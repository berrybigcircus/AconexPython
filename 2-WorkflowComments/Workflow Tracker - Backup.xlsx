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C:\Users\nicole.millinship\PycharmProjects\AconexPython\2-Previous_Comments\"/>
    </mc:Choice>
  </mc:AlternateContent>
  <xr:revisionPtr revIDLastSave="0" documentId="13_ncr:1_{1633D20D-1718-481B-9687-B9A55F65F2EB}" xr6:coauthVersionLast="47" xr6:coauthVersionMax="47" xr10:uidLastSave="{00000000-0000-0000-0000-000000000000}"/>
  <bookViews>
    <workbookView xWindow="28680" yWindow="-120" windowWidth="25440" windowHeight="15270" activeTab="2" xr2:uid="{88656BE8-9090-43C8-90C5-4CCBCCF71E67}"/>
  </bookViews>
  <sheets>
    <sheet name="Summary" sheetId="1" r:id="rId1"/>
    <sheet name="Tracker" sheetId="2" r:id="rId2"/>
    <sheet name="RawData" sheetId="4" r:id="rId3"/>
  </sheets>
  <definedNames>
    <definedName name="DateGenerated">Summary!$D$3</definedName>
    <definedName name="ExternalData_1" localSheetId="2" hidden="1">'RawData'!$A$4:$K$9</definedName>
    <definedName name="ExternalData_1" localSheetId="0" hidden="1">Summary!#REF!</definedName>
    <definedName name="ExternalData_2" localSheetId="2" hidden="1">'RawData'!$A$1:$B$2</definedName>
    <definedName name="_xlnm.Print_Area" localSheetId="0">Summary!$D$1:$G$24</definedName>
    <definedName name="_xlnm.Print_Titles" localSheetId="1">Tracker!$1:$5</definedName>
    <definedName name="ProjectName">Summary!$D$2</definedName>
  </definedNames>
  <calcPr calcId="191029"/>
  <pivotCaches>
    <pivotCache cacheId="23" r:id="rId4"/>
    <pivotCache cacheId="28"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4" l="1"/>
  <c r="L6" i="4"/>
  <c r="L7" i="4"/>
  <c r="L8" i="4"/>
  <c r="L9" i="4"/>
  <c r="D3" i="1" l="1" a="1"/>
  <c r="D3" i="1" s="1"/>
  <c r="A3" i="2" s="1"/>
  <c r="D2" i="1"/>
  <c r="A2" i="2" s="1"/>
  <c r="F1" i="2"/>
  <c r="I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4EDD3B-8E61-4177-9C3E-0D72C167B9D6}" keepAlive="1" name="Query - DocStatuses" description="Connection to the 'DocStatuses' query in the workbook." type="5" refreshedVersion="8" background="1">
    <dbPr connection="Provider=Microsoft.Mashup.OleDb.1;Data Source=$Workbook$;Location=DocStatuses;Extended Properties=&quot;&quot;" command="SELECT * FROM [DocStatuses]"/>
  </connection>
  <connection id="2" xr16:uid="{7519C9DB-07D1-476E-B2E3-6F8EB48F7F11}" keepAlive="1" name="Query - ProjectInfo" description="Connection to the 'ProjectInfo' query in the workbook." type="5" refreshedVersion="8" background="1" saveData="1">
    <dbPr connection="Provider=Microsoft.Mashup.OleDb.1;Data Source=$Workbook$;Location=ProjectInfo;Extended Properties=&quot;&quot;" command="SELECT * FROM [ProjectInfo]"/>
  </connection>
  <connection id="3" xr16:uid="{C945485A-F23E-45C7-96C5-99F66170B0C3}" keepAlive="1" name="Query - RawData" description="Connection to the 'RawData' query in the workbook." type="5" refreshedVersion="8" background="1" refreshOnLoad="1" saveData="1">
    <dbPr connection="Provider=Microsoft.Mashup.OleDb.1;Data Source=$Workbook$;Location=RawData;Extended Properties=&quot;&quot;" command="SELECT * FROM [RawData]"/>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<sst xmlns="http://schemas.openxmlformats.org/spreadsheetml/2006/main" count="90" uniqueCount="45">
  <si>
    <t>Workflow Document Tracker</t>
  </si>
  <si>
    <t>Latest revision?</t>
  </si>
  <si>
    <t>Step Outcome</t>
  </si>
  <si>
    <t>Summary Page</t>
  </si>
  <si>
    <t>Approved with Comments</t>
  </si>
  <si>
    <t>Pending</t>
  </si>
  <si>
    <t>Rejected</t>
  </si>
  <si>
    <t>Grand Total</t>
  </si>
  <si>
    <t>Date In</t>
  </si>
  <si>
    <t>Step Name</t>
  </si>
  <si>
    <t>Date of Comments</t>
  </si>
  <si>
    <t>Comments</t>
  </si>
  <si>
    <t>P02</t>
  </si>
  <si>
    <t>Step 1</t>
  </si>
  <si>
    <t>Please can the drawing be updated to show the man writing in his left hand as this would be more exciting</t>
  </si>
  <si>
    <t>P03</t>
  </si>
  <si>
    <t>DFE Review</t>
  </si>
  <si>
    <t>(blank)</t>
  </si>
  <si>
    <t>P01</t>
  </si>
  <si>
    <t>Document Number</t>
  </si>
  <si>
    <t>Title</t>
  </si>
  <si>
    <t>Revision</t>
  </si>
  <si>
    <t>Workflow Status</t>
  </si>
  <si>
    <t>(Helper) Num + Title</t>
  </si>
  <si>
    <t>DRW-000001</t>
  </si>
  <si>
    <t>Dummy 1</t>
  </si>
  <si>
    <t>Completed</t>
  </si>
  <si>
    <t>In Progress</t>
  </si>
  <si>
    <t>C - Rejected</t>
  </si>
  <si>
    <t>1. this drawing shows the phase 1 construction area but uses the phase 3 car park layout (final configuration). HB need to show 2 construction phases and the different car park layouts as presented in the logistics CEM.</t>
  </si>
  <si>
    <t>Designer Response</t>
  </si>
  <si>
    <t/>
  </si>
  <si>
    <t>DRW-000001          Dummy 1</t>
  </si>
  <si>
    <t>DRW-000002</t>
  </si>
  <si>
    <t>Dummy 2 New Title</t>
  </si>
  <si>
    <t>The cow is brown and suspicious-looking</t>
  </si>
  <si>
    <t>DRW-000002          Dummy 2 New Title</t>
  </si>
  <si>
    <t>A - Accepted</t>
  </si>
  <si>
    <t>This document shows the correct car park layouts for this phase. therefore can FS1018-HBC-XX-XX-D-X-0001 be removed?</t>
  </si>
  <si>
    <t>Project Name</t>
  </si>
  <si>
    <t>Date Generated</t>
  </si>
  <si>
    <t>HB Test</t>
  </si>
  <si>
    <t>Row Labels</t>
  </si>
  <si>
    <t>Count of (Helper) Doc Status</t>
  </si>
  <si>
    <t>(Helper) Hyperlink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</si>
</sst>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Aptos Narrow"/>
      <family val="2"/>
      <scheme val="minor"/>
    </font>
    <font>
      <sz val="11"/>
      <color theme="1"/>
      <name val="Aptos Narrow"/>
      <family val="2"/>
      <scheme val="minor"/>
    </font>
    <font>
      <b/>
      <sz val="13"/>
      <color theme="3"/>
      <name val="Aptos Narrow"/>
      <family val="2"/>
      <scheme val="minor"/>
    </font>
    <font>
      <b/>
      <sz val="12"/>
      <color theme="1" tint="0.1498764000366222"/>
      <name val="Aptos Narrow"/>
      <family val="2"/>
      <scheme val="minor"/>
    </font>
    <font>
      <b/>
      <sz val="18"/>
      <color theme="1" tint="0.24994659260841701"/>
      <name val="Aptos Display"/>
      <family val="2"/>
      <scheme val="major"/>
    </font>
    <font>
      <u/>
      <sz val="11"/>
      <color theme="10"/>
      <name val="Aptos Narrow"/>
      <family val="2"/>
      <scheme val="minor"/>
    </font>
    <font>
      <b/>
      <sz val="14"/>
      <color theme="1" tint="0.24994659260841701"/>
      <name val="Aptos Narrow"/>
      <family val="2"/>
      <scheme val="minor"/>
    </font>
    <font>
      <b/>
      <sz val="13"/>
      <color theme="4"/>
      <name val="Aptos Narrow"/>
      <family val="2"/>
      <scheme val="minor"/>
    </font>
  </fonts>
  <fills count="2">
    <fill>
      <patternFill patternType="none"/>
    </fill>
    <fill>
      <patternFill patternType="gray125"/>
    </fill>
  </fills>
  <borders count="7">
    <border>
      <left/>
      <right/>
      <top/>
      <bottom/>
      <diagonal/>
    </border>
    <border>
      <left/>
      <right/>
      <top style="thin">
        <color indexed="64"/>
      </top>
      <bottom style="thin">
        <color indexed="64"/>
      </bottom>
      <diagonal/>
    </border>
    <border>
      <left/>
      <right/>
      <top/>
      <bottom style="thin">
        <color indexed="6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right/>
      <top style="medium">
        <color theme="1" tint="0.499984740745262"/>
      </top>
      <bottom/>
      <diagonal/>
    </border>
    <border>
      <left style="hair">
        <color theme="0" tint="-0.499984740745262"/>
      </left>
      <right style="hair">
        <color theme="0" tint="-0.499984740745262"/>
      </right>
      <top style="hair">
        <color theme="0" tint="-0.499984740745262"/>
      </top>
      <bottom style="hair">
        <color theme="0" tint="-0.499984740745262"/>
      </bottom>
      <diagonal/>
    </border>
  </borders>
  <cellStyleXfs count="6">
    <xf numFmtId="0" fontId="0" fillId="0" borderId="0"/>
    <xf numFmtId="0" fontId="4" fillId="0" borderId="0"/>
    <xf numFmtId="0" fontId="2" fillId="0" borderId="3"/>
    <xf numFmtId="0" fontId="3" fillId="0" borderId="4"/>
    <xf numFmtId="0" fontId="5" fillId="0" borderId="0"/>
    <xf numFmtId="0" fontId="1" fillId="0" borderId="6">
      <alignment horizontal="left" vertical="center" wrapText="1"/>
    </xf>
  </cellStyleXfs>
  <cellXfs count="23">
    <xf numFmtId="0" fontId="0" fillId="0" borderId="0" xfId="0"/>
    <xf numFmtId="0" fontId="0" fillId="0" borderId="0" xfId="0" applyAlignment="1">
      <alignment wrapText="1"/>
    </xf>
    <xf numFmtId="0" fontId="0" fillId="0" borderId="0" xfId="0" pivotButton="1"/>
    <xf numFmtId="0" fontId="0" fillId="0" borderId="2" xfId="0" applyBorder="1" applyAlignment="1">
      <alignment wrapText="1"/>
    </xf>
    <xf numFmtId="0" fontId="0" fillId="0" borderId="0" xfId="0" applyAlignment="1">
      <alignment horizontal="left"/>
    </xf>
    <xf numFmtId="0" fontId="3" fillId="0" borderId="0" xfId="3" applyBorder="1"/>
    <xf numFmtId="0" fontId="4" fillId="0" borderId="0" xfId="1"/>
    <xf numFmtId="0" fontId="5" fillId="0" borderId="0" xfId="4" applyAlignment="1">
      <alignment horizontal="right"/>
    </xf>
    <xf numFmtId="0" fontId="6" fillId="0" borderId="5" xfId="0" applyFont="1" applyBorder="1" applyAlignment="1">
      <alignment horizontal="left" vertical="center"/>
    </xf>
    <xf numFmtId="14" fontId="0" fillId="0" borderId="0" xfId="0" applyNumberFormat="1"/>
    <xf numFmtId="0" fontId="0" fillId="0" borderId="1" xfId="0" applyBorder="1" applyAlignment="1">
      <alignment wrapText="1"/>
    </xf>
    <xf numFmtId="0" fontId="7" fillId="0" borderId="0" xfId="2" applyFont="1" applyBorder="1" applyAlignment="1">
      <alignment horizontal="left"/>
    </xf>
    <xf numFmtId="0" fontId="0" fillId="0" borderId="0" xfId="0"/>
    <xf numFmtId="0" fontId="0" fillId="0" borderId="0" xfId="0" applyNumberFormat="1"/>
    <xf numFmtId="14" fontId="3" fillId="0" borderId="0" xfId="3" applyNumberFormat="1" applyBorder="1"/>
    <xf numFmtId="0" fontId="0" fillId="0" borderId="0" xfId="0" applyFont="1" applyFill="1" applyBorder="1" applyAlignment="1">
      <alignment wrapText="1"/>
    </xf>
    <xf numFmtId="0" fontId="0" fillId="0" borderId="0" xfId="0" applyFont="1" applyFill="1" applyBorder="1"/>
    <xf numFmtId="0" fontId="0" fillId="0" borderId="0" xfId="0" applyFont="1" applyFill="1" applyBorder="1" applyAlignment="1">
      <alignment horizontal="left" vertical="center" wrapText="1" indent="1"/>
    </xf>
    <xf numFmtId="14" fontId="0" fillId="0" borderId="0" xfId="0" applyNumberFormat="1"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Font="1" applyFill="1" applyBorder="1" applyAlignment="1">
      <alignment horizontal="left"/>
    </xf>
    <xf numFmtId="0" fontId="0" fillId="0" borderId="5" xfId="0" applyFont="1" applyFill="1" applyBorder="1"/>
    <xf numFmtId="0" fontId="5" fillId="0" borderId="0" xfId="4"/>
  </cellXfs>
  <cellStyles count="6">
    <cellStyle name="EachRow" xfId="5" xr:uid="{00000000-0005-0000-0000-000005000000}"/>
    <cellStyle name="Heading 2" xfId="2" builtinId="17"/>
    <cellStyle name="Hyperlink" xfId="4" builtinId="8"/>
    <cellStyle name="Input" xfId="3" builtinId="20"/>
    <cellStyle name="Normal" xfId="0" builtinId="0"/>
    <cellStyle name="Title" xfId="1" builtinId="15"/>
  </cellStyles>
  <dxfs count="101">
    <dxf>
      <numFmt numFmtId="0" formatCode="General"/>
    </dxf>
    <dxf>
      <border>
        <top style="medium">
          <color theme="1" tint="0.499984740745262"/>
        </top>
      </border>
    </dxf>
    <dxf>
      <font>
        <b/>
        <i val="0"/>
        <color theme="1" tint="0.14996795556505021"/>
      </font>
      <fill>
        <patternFill>
          <bgColor theme="0" tint="-0.14996795556505021"/>
        </patternFill>
      </fill>
      <border diagonalUp="0" diagonalDown="0">
        <left/>
        <right/>
        <top/>
        <bottom/>
        <vertical/>
        <horizontal/>
      </border>
    </dxf>
    <dxf>
      <font>
        <color theme="1"/>
      </font>
      <border diagonalUp="0" diagonalDown="0">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vertical/>
      </border>
    </dxf>
    <dxf>
      <font>
        <color theme="8" tint="-0.499984740745262"/>
      </font>
      <fill>
        <patternFill>
          <bgColor theme="8" tint="0.79998168889431442"/>
        </patternFill>
      </fill>
    </dxf>
    <dxf>
      <font>
        <color rgb="FF006100"/>
      </font>
      <fill>
        <patternFill>
          <bgColor rgb="FFC6EFCE"/>
        </patternFill>
      </fill>
    </dxf>
    <dxf>
      <font>
        <color theme="9" tint="-0.499984740745262"/>
      </font>
      <fill>
        <patternFill>
          <bgColor theme="9" tint="0.79998168889431442"/>
        </patternFill>
      </fill>
    </dxf>
    <dxf>
      <font>
        <i/>
        <color theme="1" tint="0.499984740745262"/>
      </font>
      <fill>
        <patternFill>
          <bgColor auto="1"/>
        </patternFill>
      </fill>
    </dxf>
    <dxf>
      <font>
        <color theme="8" tint="-0.499984740745262"/>
      </font>
      <fill>
        <patternFill>
          <bgColor theme="8" tint="0.79998168889431442"/>
        </patternFill>
      </fill>
    </dxf>
    <dxf>
      <font>
        <color rgb="FF006100"/>
      </font>
      <fill>
        <patternFill>
          <bgColor rgb="FFC6EFCE"/>
        </patternFill>
      </fill>
    </dxf>
    <dxf>
      <font>
        <color theme="9" tint="-0.499984740745262"/>
      </font>
      <fill>
        <patternFill>
          <bgColor theme="9" tint="0.79998168889431442"/>
        </patternFill>
      </fill>
    </dxf>
    <dxf>
      <font>
        <i/>
        <color theme="1" tint="0.499984740745262"/>
      </font>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b/>
        <sz val="14"/>
        <color theme="1" tint="0.24994659260841701"/>
      </font>
    </dxf>
    <dxf>
      <font>
        <b/>
        <sz val="14"/>
        <color theme="1" tint="0.24994659260841701"/>
      </font>
    </dxf>
    <dxf>
      <border>
        <top style="medium">
          <color theme="1" tint="0.499984740745262"/>
        </top>
      </border>
    </dxf>
    <dxf>
      <numFmt numFmtId="0" formatCode="General"/>
      <alignment horizontal="general" vertical="bottom" textRotation="0" wrapText="1" indent="0" justifyLastLine="0" shrinkToFit="0" readingOrder="0"/>
    </dxf>
    <dxf>
      <numFmt numFmtId="19" formatCode="dd/mm/yyyy"/>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i/>
        <color theme="0" tint="-0.499984740745262"/>
      </font>
      <fill>
        <patternFill>
          <bgColor theme="0" tint="-4.9989318521683403E-2"/>
        </patternFill>
      </fill>
    </dxf>
    <dxf>
      <font>
        <b/>
        <color theme="1"/>
      </font>
    </dxf>
    <dxf>
      <font>
        <b/>
        <color theme="1"/>
      </font>
      <border>
        <top style="double">
          <color theme="1"/>
        </top>
      </border>
    </dxf>
    <dxf>
      <font>
        <b/>
        <color theme="1"/>
      </font>
      <border>
        <bottom style="medium">
          <color theme="1"/>
        </bottom>
      </border>
    </dxf>
    <dxf>
      <font>
        <color theme="1"/>
      </font>
      <border>
        <left style="thin">
          <color theme="1"/>
        </left>
        <right style="thin">
          <color theme="1"/>
        </right>
        <top style="thin">
          <color theme="1"/>
        </top>
        <bottom style="thin">
          <color theme="1"/>
        </bottom>
        <vertical style="thin">
          <color theme="1"/>
        </vertical>
        <horizontal style="thin">
          <color theme="1"/>
        </horizontal>
      </border>
    </dxf>
  </dxfs>
  <tableStyles count="2" defaultTableStyle="TableStyleMedium2" defaultPivotStyle="PivotStyleLight16">
    <tableStyle name="TableStyleLight15 2" pivot="0" count="7" xr9:uid="{00000000-0011-0000-FFFF-FFFF00000000}">
      <tableStyleElement type="wholeTable" dxfId="100"/>
      <tableStyleElement type="headerRow" dxfId="99"/>
      <tableStyleElement type="totalRow" dxfId="98"/>
      <tableStyleElement type="firstColumn" dxfId="97"/>
      <tableStyleElement type="lastColumn" dxfId="96"/>
      <tableStyleElement type="firstRowStripe" dxfId="95"/>
      <tableStyleElement type="firstColumnStripe" dxfId="94"/>
    </tableStyle>
    <tableStyle name="Workflow Tracker" table="0" count="2" xr9:uid="{88AE39F0-1EF6-4053-8645-DEA133DFABCF}">
      <tableStyleElement type="wholeTable" dxfId="3"/>
      <tableStyleElement type="headerRow"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[Workflow Tracker.xlsx]Summary!PivotTable2</c:name>
    <c:fmtId val="21"/>
  </c:pivotSource>
  <c:chart>
    <c:title>
      <c:tx>
        <c:rich>
          <a:bodyPr rot="0" spcFirstLastPara="1" vertOverflow="ellipsis" vert="horz" wrap="square" anchor="ctr" anchorCtr="1"/>
          <a:lstStyle/>
          <a:p>
            <a:pPr>
              <a:defRPr sz="1400" b="1" i="0" u="none" strike="noStrike" kern="1200" cap="all" spc="100" normalizeH="0" baseline="0">
                <a:solidFill>
                  <a:schemeClr val="lt1"/>
                </a:solidFill>
                <a:latin typeface="+mn-lt"/>
                <a:ea typeface="+mn-ea"/>
                <a:cs typeface="+mn-cs"/>
              </a:defRPr>
            </a:pPr>
            <a:r>
              <a:rPr lang="en-US" sz="1400" cap="none" baseline="0"/>
              <a:t>Current status of documents</a:t>
            </a:r>
          </a:p>
        </c:rich>
      </c:tx>
      <c:overlay val="0"/>
      <c:spPr>
        <a:noFill/>
        <a:ln>
          <a:noFill/>
        </a:ln>
        <a:effectLst/>
      </c:spPr>
      <c:txPr>
        <a:bodyPr rot="0" spcFirstLastPara="1" vertOverflow="ellipsis" vert="horz" wrap="square" anchor="ctr" anchorCtr="1"/>
        <a:lstStyle/>
        <a:p>
          <a:pPr>
            <a:defRPr sz="14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
        <c:idx val="15"/>
        <c:spPr>
          <a:solidFill>
            <a:schemeClr val="lt1"/>
          </a:solidFill>
          <a:ln w="19050">
            <a:solidFill>
              <a:schemeClr val="accent1"/>
            </a:solidFill>
          </a:ln>
          <a:effectLst/>
        </c:spPr>
      </c:pivotFmt>
      <c:pivotFmt>
        <c:idx val="16"/>
        <c:spPr>
          <a:solidFill>
            <a:schemeClr val="bg1">
              <a:lumMod val="85000"/>
            </a:schemeClr>
          </a:solidFill>
          <a:ln w="19050">
            <a:solidFill>
              <a:schemeClr val="accent1"/>
            </a:solidFill>
          </a:ln>
          <a:effectLst/>
        </c:spPr>
      </c:pivotFmt>
      <c:pivotFmt>
        <c:idx val="17"/>
        <c:spPr>
          <a:solidFill>
            <a:schemeClr val="lt1"/>
          </a:solidFill>
          <a:ln w="19050">
            <a:solidFill>
              <a:schemeClr val="accent1"/>
            </a:solidFill>
          </a:ln>
          <a:effectLst/>
        </c:spPr>
      </c:pivotFmt>
      <c:pivotFmt>
        <c:idx val="18"/>
        <c:spPr>
          <a:solidFill>
            <a:schemeClr val="accent6">
              <a:lumMod val="60000"/>
              <a:lumOff val="40000"/>
            </a:schemeClr>
          </a:solidFill>
          <a:ln w="19050">
            <a:solidFill>
              <a:schemeClr val="accent1"/>
            </a:solidFill>
          </a:ln>
          <a:effectLst/>
        </c:spPr>
      </c:pivotFmt>
      <c:pivotFmt>
        <c:idx val="19"/>
        <c:spPr>
          <a:solidFill>
            <a:schemeClr val="accent3"/>
          </a:solidFill>
          <a:ln w="19050">
            <a:solidFill>
              <a:schemeClr val="accent1"/>
            </a:solidFill>
          </a:ln>
          <a:effectLst/>
        </c:spPr>
      </c:pivotFmt>
      <c:pivotFmt>
        <c:idx val="20"/>
        <c:spPr>
          <a:solidFill>
            <a:schemeClr val="lt1"/>
          </a:solidFill>
          <a:ln w="19050">
            <a:solidFill>
              <a:schemeClr val="accent1"/>
            </a:solidFill>
          </a:ln>
          <a:effectLst/>
        </c:spPr>
      </c:pivotFmt>
      <c:pivotFmt>
        <c:idx val="21"/>
        <c:spPr>
          <a:solidFill>
            <a:schemeClr val="lt1"/>
          </a:solidFill>
          <a:ln w="19050">
            <a:solidFill>
              <a:schemeClr val="accent1"/>
            </a:solidFill>
          </a:ln>
          <a:effectLst/>
        </c:spPr>
      </c:pivotFmt>
      <c:pivotFmt>
        <c:idx val="2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3"/>
          </a:solidFill>
          <a:ln w="19050">
            <a:solidFill>
              <a:schemeClr val="accen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4"/>
        <c:spPr>
          <a:solidFill>
            <a:schemeClr val="bg1">
              <a:lumMod val="95000"/>
            </a:schemeClr>
          </a:solidFill>
          <a:ln w="19050">
            <a:solidFill>
              <a:schemeClr val="accen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452071237526658"/>
          <c:y val="0.13906615377140211"/>
          <c:w val="0.56254885538482979"/>
          <c:h val="0.83404482609716224"/>
        </c:manualLayout>
      </c:layout>
      <c:pieChart>
        <c:varyColors val="1"/>
        <c:ser>
          <c:idx val="0"/>
          <c:order val="0"/>
          <c:tx>
            <c:strRef>
              <c:f>Summary!$B$2</c:f>
              <c:strCache>
                <c:ptCount val="1"/>
                <c:pt idx="0">
                  <c:v>Total</c:v>
                </c:pt>
              </c:strCache>
            </c:strRef>
          </c:tx>
          <c:spPr>
            <a:solidFill>
              <a:schemeClr val="lt1"/>
            </a:solidFill>
            <a:ln w="19050">
              <a:solidFill>
                <a:schemeClr val="accent1"/>
              </a:solidFill>
            </a:ln>
            <a:effectLst/>
          </c:spPr>
          <c:dPt>
            <c:idx val="0"/>
            <c:bubble3D val="0"/>
            <c:spPr>
              <a:solidFill>
                <a:schemeClr val="accent3"/>
              </a:solidFill>
              <a:ln w="19050">
                <a:solidFill>
                  <a:schemeClr val="accent1"/>
                </a:solidFill>
              </a:ln>
              <a:effectLst/>
            </c:spPr>
            <c:extLst>
              <c:ext xmlns:c16="http://schemas.microsoft.com/office/drawing/2014/chart" uri="{C3380CC4-5D6E-409C-BE32-E72D297353CC}">
                <c16:uniqueId val="{00000016-A594-4D3D-A985-E206C710C2AB}"/>
              </c:ext>
            </c:extLst>
          </c:dPt>
          <c:dPt>
            <c:idx val="1"/>
            <c:bubble3D val="0"/>
            <c:spPr>
              <a:solidFill>
                <a:schemeClr val="bg1">
                  <a:lumMod val="95000"/>
                </a:schemeClr>
              </a:solidFill>
              <a:ln w="19050">
                <a:solidFill>
                  <a:schemeClr val="accent1"/>
                </a:solidFill>
              </a:ln>
              <a:effectLst/>
            </c:spPr>
            <c:extLst>
              <c:ext xmlns:c16="http://schemas.microsoft.com/office/drawing/2014/chart" uri="{C3380CC4-5D6E-409C-BE32-E72D297353CC}">
                <c16:uniqueId val="{00000015-A594-4D3D-A985-E206C710C2AB}"/>
              </c:ext>
            </c:extLst>
          </c:dPt>
          <c:dLbls>
            <c:dLbl>
              <c:idx val="0"/>
              <c:dLblPos val="inEnd"/>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6-A594-4D3D-A985-E206C710C2AB}"/>
                </c:ext>
              </c:extLst>
            </c:dLbl>
            <c:dLbl>
              <c:idx val="1"/>
              <c:dLblPos val="inEnd"/>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A594-4D3D-A985-E206C710C2A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Summary!$A$3:$A$5</c:f>
              <c:strCache>
                <c:ptCount val="2"/>
                <c:pt idx="0">
                  <c:v>A - Accepted</c:v>
                </c:pt>
                <c:pt idx="1">
                  <c:v>Pending</c:v>
                </c:pt>
              </c:strCache>
            </c:strRef>
          </c:cat>
          <c:val>
            <c:numRef>
              <c:f>Summary!$B$3:$B$5</c:f>
              <c:numCache>
                <c:formatCode>General</c:formatCode>
                <c:ptCount val="2"/>
                <c:pt idx="0">
                  <c:v>1</c:v>
                </c:pt>
                <c:pt idx="1">
                  <c:v>1</c:v>
                </c:pt>
              </c:numCache>
            </c:numRef>
          </c:val>
          <c:extLst>
            <c:ext xmlns:c16="http://schemas.microsoft.com/office/drawing/2014/chart" uri="{C3380CC4-5D6E-409C-BE32-E72D297353CC}">
              <c16:uniqueId val="{00000012-A594-4D3D-A985-E206C710C2AB}"/>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5863</xdr:colOff>
      <xdr:row>4</xdr:row>
      <xdr:rowOff>168852</xdr:rowOff>
    </xdr:from>
    <xdr:to>
      <xdr:col>7</xdr:col>
      <xdr:colOff>44695</xdr:colOff>
      <xdr:row>22</xdr:row>
      <xdr:rowOff>39772</xdr:rowOff>
    </xdr:to>
    <xdr:grpSp>
      <xdr:nvGrpSpPr>
        <xdr:cNvPr id="4" name="Group 3">
          <a:extLst>
            <a:ext uri="{FF2B5EF4-FFF2-40B4-BE49-F238E27FC236}">
              <a16:creationId xmlns:a16="http://schemas.microsoft.com/office/drawing/2014/main" id="{FE8F1AF8-C2B0-4034-8045-B112B0266439}"/>
            </a:ext>
          </a:extLst>
        </xdr:cNvPr>
        <xdr:cNvGrpSpPr/>
      </xdr:nvGrpSpPr>
      <xdr:grpSpPr>
        <a:xfrm>
          <a:off x="3745759" y="1174692"/>
          <a:ext cx="4568160" cy="3347164"/>
          <a:chOff x="4060112" y="1075733"/>
          <a:chExt cx="4281879" cy="3681329"/>
        </a:xfrm>
      </xdr:grpSpPr>
      <xdr:graphicFrame macro="">
        <xdr:nvGraphicFramePr>
          <xdr:cNvPr id="5" name="Chart 4">
            <a:extLst>
              <a:ext uri="{FF2B5EF4-FFF2-40B4-BE49-F238E27FC236}">
                <a16:creationId xmlns:a16="http://schemas.microsoft.com/office/drawing/2014/main" id="{CEB387B6-50CF-7E2D-08E9-5858CD3AE4A6}"/>
              </a:ext>
            </a:extLst>
          </xdr:cNvPr>
          <xdr:cNvGraphicFramePr/>
        </xdr:nvGraphicFramePr>
        <xdr:xfrm>
          <a:off x="4065729" y="1075733"/>
          <a:ext cx="4269386" cy="3345578"/>
        </xdr:xfrm>
        <a:graphic>
          <a:graphicData uri="http://schemas.openxmlformats.org/drawingml/2006/chart">
            <c:chart xmlns:c="http://schemas.openxmlformats.org/drawingml/2006/chart" xmlns:r="http://schemas.openxmlformats.org/officeDocument/2006/relationships" r:id="rId1"/>
          </a:graphicData>
        </a:graphic>
      </xdr:graphicFrame>
      <xdr:sp macro="" textlink="$I$2">
        <xdr:nvSpPr>
          <xdr:cNvPr id="6" name="TextBox 5">
            <a:extLst>
              <a:ext uri="{FF2B5EF4-FFF2-40B4-BE49-F238E27FC236}">
                <a16:creationId xmlns:a16="http://schemas.microsoft.com/office/drawing/2014/main" id="{5C8F6573-322C-1F0D-A366-FD1915D8A7C2}"/>
              </a:ext>
            </a:extLst>
          </xdr:cNvPr>
          <xdr:cNvSpPr txBox="1"/>
        </xdr:nvSpPr>
        <xdr:spPr>
          <a:xfrm>
            <a:off x="4060112" y="4383382"/>
            <a:ext cx="4281879" cy="373680"/>
          </a:xfrm>
          <a:prstGeom prst="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pPr algn="r"/>
            <a:fld id="{DA70FFAE-508E-4AD6-AD23-EA1B0649018F}" type="TxLink">
              <a:rPr lang="en-US" sz="1300" b="0" i="0" u="none" strike="noStrike" cap="none" spc="50">
                <a:ln w="9525" cmpd="sng">
                  <a:noFill/>
                  <a:prstDash val="solid"/>
                </a:ln>
                <a:solidFill>
                  <a:schemeClr val="bg1"/>
                </a:solidFill>
                <a:effectLst>
                  <a:glow rad="38100">
                    <a:schemeClr val="accent1">
                      <a:alpha val="40000"/>
                    </a:schemeClr>
                  </a:glow>
                </a:effectLst>
                <a:latin typeface="Aptos Narrow"/>
              </a:rPr>
              <a:pPr algn="r"/>
              <a:t>Total number of documents: 2</a:t>
            </a:fld>
            <a:endParaRPr lang="en-GB" sz="1300" b="0" i="0" cap="none" spc="50">
              <a:ln w="9525" cmpd="sng">
                <a:noFill/>
                <a:prstDash val="solid"/>
              </a:ln>
              <a:solidFill>
                <a:schemeClr val="bg1"/>
              </a:solidFill>
              <a:effectLst>
                <a:glow rad="38100">
                  <a:schemeClr val="accent1">
                    <a:alpha val="40000"/>
                  </a:schemeClr>
                </a:glow>
              </a:effectLst>
              <a:latin typeface="+mn-lt"/>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icole Millinship" refreshedDate="45739.732515625001" createdVersion="8" refreshedVersion="8" minRefreshableVersion="3" recordCount="5" xr:uid="{76EEEB75-3404-476A-84D4-0CD32F5AFB48}">
  <cacheSource type="worksheet">
    <worksheetSource name="RawData"/>
  </cacheSource>
  <cacheFields count="11">
    <cacheField name="Document Number" numFmtId="0">
      <sharedItems count="2">
        <s v="DRW-000001"/>
        <s v="DRW-000002"/>
      </sharedItems>
    </cacheField>
    <cacheField name="Title" numFmtId="0">
      <sharedItems/>
    </cacheField>
    <cacheField name="Revision" numFmtId="0">
      <sharedItems count="4">
        <s v="P02"/>
        <s v="P03"/>
        <s v="P01"/>
        <s v="-" u="1"/>
      </sharedItems>
    </cacheField>
    <cacheField name="Workflow Status" numFmtId="0">
      <sharedItems/>
    </cacheField>
    <cacheField name="Date In" numFmtId="14">
      <sharedItems containsSemiMixedTypes="0" containsNonDate="0" containsDate="1" containsString="0" minDate="2024-11-25T00:00:00" maxDate="2025-03-24T00:00:00" count="5">
        <d v="2024-11-25T00:00:00"/>
        <d v="2025-03-22T00:00:00"/>
        <d v="2025-03-23T00:00:00"/>
        <d v="2024-12-09T00:00:00" u="1"/>
        <d v="2024-12-05T00:00:00" u="1"/>
      </sharedItems>
    </cacheField>
    <cacheField name="Step Name" numFmtId="0">
      <sharedItems count="6">
        <s v="Step 1"/>
        <s v="DFE Review"/>
        <s v="Designer Response"/>
        <s v="DFE Review of Responses" u="1"/>
        <s v="Step 2" u="1"/>
        <s v="Step 3" u="1"/>
      </sharedItems>
    </cacheField>
    <cacheField name="Step Outcome" numFmtId="0">
      <sharedItems count="9">
        <s v="Approved with Comments"/>
        <s v="C - Rejected"/>
        <s v="Pending"/>
        <s v="Rejected"/>
        <s v="A - Accepted"/>
        <s v="None" u="1"/>
        <s v="B - Partially Accepted with Comments" u="1"/>
        <s v="Approved" u="1"/>
        <s v="No Comments" u="1"/>
      </sharedItems>
    </cacheField>
    <cacheField name="Date of Comments" numFmtId="14">
      <sharedItems containsNonDate="0" containsDate="1" containsString="0" containsBlank="1" minDate="2024-12-05T00:00:00" maxDate="2025-03-24T00:00:00" count="4">
        <d v="2024-12-05T00:00:00"/>
        <d v="2025-03-23T00:00:00"/>
        <m/>
        <d v="2024-12-09T00:00:00" u="1"/>
      </sharedItems>
    </cacheField>
    <cacheField name="Comments" numFmtId="0">
      <sharedItems containsBlank="1" count="17" longText="1">
        <s v="Please can the drawing be updated to show the man writing in his left hand as this would be more exciting"/>
        <s v="1. this drawing shows the phase 1 construction area but uses the phase 3 car park layout (final configuration). HB need to show 2 construction phases and the different car park layouts as presented in the logistics CEM."/>
        <m/>
        <s v="The cow is brown and suspicious-looking"/>
        <s v="This document shows the correct car park layouts for this phase. therefore can FS1018-HBC-XX-XX-D-X-0001 be removed?"/>
        <s v="Black and white is very pretentious, please add colour." u="1"/>
        <s v="1. as this is summer works are the notes regarding pedestrian access to be maintained necessary? _x000d__x000a_2. re the note about a decision needs to eb made regadring use if link road - Can the link road be released for use from Sept 2026 to improve the bus and pedestrian and vehicle access? _x000d__x000a_3. what arrangements will be made for Teaching staff parking during this phase of works as the new building will be open. This was raised at CEM meeting" u="1"/>
        <s v="Really cute cat, looks peaceful and content with life" u="1"/>
        <s v="1. more detailed proposals will be needed for phasing of access into staff car park as drawing indicates that this may be blocked. _x000d__x000a_2. Staff car parking will be needed in the interim period following portacabin decant and reinstatement of portakabin area to provide parking" u="1"/>
        <s v="Most shifty-eyed looking monkey I've ever seen. Hate it, frightening." u="1"/>
        <s v="1. should this drawing be named final layout post handover not site set up phase 3?" u="1"/>
        <s v="I do like carrots however can we have them washed? I'm not going to eat those muddy carrots" u="1"/>
        <s v="Yes they are clean now but now there's too many of them. What am I, a rabbit?" u="1"/>
        <s v="Actuallly, you are wrong. It is better value for money to get this many." u="1"/>
        <s v="Nope, the number of carrots must be halved otherwise I will turn orange. Source: https://en.wikipedia.org/wiki/Carotenosis" u="1"/>
        <s v="This is a lift companies sale literature (which is non compliant for a new lift going into a new build building) and is not a lift specification as WSP VT would expect. Front page of document says 29 pages and 12 are submitted. Please provide full lift specification for review. WSP VT can not offer comment as document is incomplete" u="1"/>
        <s v="Rejected Pending conclusion of the planning submission" u="1"/>
      </sharedItems>
    </cacheField>
    <cacheField name="Latest revision?" numFmtId="0">
      <sharedItems count="2">
        <b v="0"/>
        <b v="1"/>
      </sharedItems>
    </cacheField>
    <cacheField name="(Helper) Num + Title" numFmtId="0">
      <sharedItems count="8">
        <s v="DRW-000001          Dummy 1"/>
        <s v="DRW-000002          Dummy 2 New Title"/>
        <s v="DRW-000003          Dummy 3" u="1"/>
        <s v="DRW-000004          Dummy 4" u="1"/>
        <s v="DRW-000005          Dummy 5" u="1"/>
        <s v="DRW-000006          Dummy 6" u="1"/>
        <s v="DRW-000007          Dummy 8 - Superseded" u="1"/>
        <s v="PLN-000001          Dummy 7"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ole Millinship" refreshedDate="45739.744342939812" backgroundQuery="1" createdVersion="8" refreshedVersion="8" minRefreshableVersion="3" recordCount="2" xr:uid="{245A0A9C-4754-4E94-821C-C79E85ECD199}">
  <cacheSource type="external" connectionId="1"/>
  <cacheFields count="5">
    <cacheField name="Document Number" numFmtId="0">
      <sharedItems count="2">
        <s v="DRW-000001"/>
        <s v="DRW-000002"/>
      </sharedItems>
    </cacheField>
    <cacheField name="Count.Workflow Status" numFmtId="0">
      <sharedItems count="2">
        <s v="In Progress"/>
        <s v="Completed"/>
      </sharedItems>
    </cacheField>
    <cacheField name="Count.Step Outcome" numFmtId="0">
      <sharedItems count="2">
        <s v="C - Rejected"/>
        <s v="A - Accepted"/>
      </sharedItems>
    </cacheField>
    <cacheField name="Count.Latest revision?" numFmtId="0">
      <sharedItems count="1">
        <b v="1"/>
      </sharedItems>
    </cacheField>
    <cacheField name="(Helper) Doc Status" numFmtId="0">
      <sharedItems count="2">
        <s v="Pending"/>
        <s v="A - Accepte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s v="Dummy 1"/>
    <x v="0"/>
    <s v="Completed"/>
    <x v="0"/>
    <x v="0"/>
    <x v="0"/>
    <x v="0"/>
    <x v="0"/>
    <x v="0"/>
    <x v="0"/>
  </r>
  <r>
    <x v="0"/>
    <s v="Dummy 1"/>
    <x v="1"/>
    <s v="In Progress"/>
    <x v="1"/>
    <x v="1"/>
    <x v="1"/>
    <x v="1"/>
    <x v="1"/>
    <x v="1"/>
    <x v="0"/>
  </r>
  <r>
    <x v="0"/>
    <s v="Dummy 1"/>
    <x v="1"/>
    <s v="In Progress"/>
    <x v="2"/>
    <x v="2"/>
    <x v="2"/>
    <x v="2"/>
    <x v="2"/>
    <x v="1"/>
    <x v="0"/>
  </r>
  <r>
    <x v="1"/>
    <s v="Dummy 2 New Title"/>
    <x v="2"/>
    <s v="Completed"/>
    <x v="0"/>
    <x v="0"/>
    <x v="3"/>
    <x v="0"/>
    <x v="3"/>
    <x v="0"/>
    <x v="1"/>
  </r>
  <r>
    <x v="1"/>
    <s v="Dummy 2 New Title"/>
    <x v="0"/>
    <s v="Completed"/>
    <x v="1"/>
    <x v="1"/>
    <x v="4"/>
    <x v="1"/>
    <x v="4"/>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x v="0"/>
    <x v="0"/>
    <x v="0"/>
    <x v="0"/>
  </r>
  <r>
    <x v="1"/>
    <x v="1"/>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DC2283-7E55-4D93-8EC3-F64D61342D0F}"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A2:B5" firstHeaderRow="1" firstDataRow="1" firstDataCol="1"/>
  <pivotFields count="5">
    <pivotField showAll="0">
      <items count="3">
        <item x="0"/>
        <item x="1"/>
        <item t="default"/>
      </items>
    </pivotField>
    <pivotField showAll="0"/>
    <pivotField showAll="0"/>
    <pivotField showAll="0">
      <items count="2">
        <item x="0"/>
        <item t="default"/>
      </items>
    </pivotField>
    <pivotField axis="axisRow" dataField="1" showAll="0">
      <items count="3">
        <item x="1"/>
        <item x="0"/>
        <item t="default"/>
      </items>
    </pivotField>
  </pivotFields>
  <rowFields count="1">
    <field x="4"/>
  </rowFields>
  <rowItems count="3">
    <i>
      <x/>
    </i>
    <i>
      <x v="1"/>
    </i>
    <i t="grand">
      <x/>
    </i>
  </rowItems>
  <colItems count="1">
    <i/>
  </colItems>
  <dataFields count="1">
    <dataField name="Count of (Helper) Doc Status" fld="4" subtotal="count" baseField="0" baseItem="0"/>
  </dataFields>
  <chartFormats count="4">
    <chartFormat chart="0" format="3" series="1">
      <pivotArea type="data" outline="0" fieldPosition="0">
        <references count="1">
          <reference field="4294967294" count="1" selected="0">
            <x v="0"/>
          </reference>
        </references>
      </pivotArea>
    </chartFormat>
    <chartFormat chart="21" format="22" series="1">
      <pivotArea type="data" outline="0" fieldPosition="0">
        <references count="1">
          <reference field="4294967294" count="1" selected="0">
            <x v="0"/>
          </reference>
        </references>
      </pivotArea>
    </chartFormat>
    <chartFormat chart="21" format="23">
      <pivotArea type="data" outline="0" fieldPosition="0">
        <references count="2">
          <reference field="4294967294" count="1" selected="0">
            <x v="0"/>
          </reference>
          <reference field="4" count="1" selected="0">
            <x v="0"/>
          </reference>
        </references>
      </pivotArea>
    </chartFormat>
    <chartFormat chart="21" format="2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7769DD-FC86-41B4-A896-71AD79EF0837}" name="PivotTable12" cacheId="23"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chartFormat="8" rowHeaderCaption="">
  <location ref="A5:F14" firstHeaderRow="1" firstDataRow="1" firstDataCol="6"/>
  <pivotFields count="11">
    <pivotField compact="0" outline="0" showAll="0" defaultSubtotal="0"/>
    <pivotField compact="0" outline="0" showAll="0" defaultSubtotal="0"/>
    <pivotField axis="axisRow" compact="0" outline="0" showAll="0" defaultSubtotal="0">
      <items count="4">
        <item m="1" x="3"/>
        <item x="2"/>
        <item x="0"/>
        <item x="1"/>
      </items>
    </pivotField>
    <pivotField compact="0" outline="0" showAll="0"/>
    <pivotField axis="axisRow" compact="0" outline="0" showAll="0" defaultSubtotal="0">
      <items count="5">
        <item x="0"/>
        <item x="1"/>
        <item x="2"/>
        <item m="1" x="3"/>
        <item m="1" x="4"/>
      </items>
    </pivotField>
    <pivotField axis="axisRow" compact="0" outline="0" showAll="0" defaultSubtotal="0">
      <items count="6">
        <item x="0"/>
        <item m="1" x="4"/>
        <item m="1" x="5"/>
        <item x="1"/>
        <item x="2"/>
        <item m="1" x="3"/>
      </items>
    </pivotField>
    <pivotField axis="axisRow" compact="0" outline="0" showAll="0" defaultSubtotal="0">
      <items count="9">
        <item m="1" x="7"/>
        <item x="0"/>
        <item m="1" x="8"/>
        <item x="2"/>
        <item x="3"/>
        <item x="1"/>
        <item x="4"/>
        <item m="1" x="5"/>
        <item m="1" x="6"/>
      </items>
    </pivotField>
    <pivotField axis="axisRow" compact="0" outline="0" showAll="0" sortType="ascending" defaultSubtotal="0">
      <items count="4">
        <item x="0"/>
        <item m="1" x="3"/>
        <item x="1"/>
        <item x="2"/>
      </items>
    </pivotField>
    <pivotField axis="axisRow" compact="0" outline="0" showAll="0" defaultSubtotal="0">
      <items count="17">
        <item m="1" x="13"/>
        <item m="1" x="5"/>
        <item m="1" x="11"/>
        <item m="1" x="9"/>
        <item m="1" x="14"/>
        <item x="0"/>
        <item m="1" x="7"/>
        <item x="3"/>
        <item m="1" x="12"/>
        <item x="2"/>
        <item x="1"/>
        <item x="4"/>
        <item m="1" x="6"/>
        <item m="1" x="8"/>
        <item m="1" x="10"/>
        <item m="1" x="15"/>
        <item m="1" x="16"/>
      </items>
    </pivotField>
    <pivotField compact="0" outline="0" showAll="0"/>
    <pivotField axis="axisRow" subtotalTop="0" showAll="0" insertBlankRow="1" defaultSubtotal="0">
      <items count="8">
        <item x="0"/>
        <item x="1"/>
        <item m="1" x="2"/>
        <item m="1" x="3"/>
        <item m="1" x="4"/>
        <item m="1" x="5"/>
        <item m="1" x="6"/>
        <item m="1" x="7"/>
      </items>
    </pivotField>
  </pivotFields>
  <rowFields count="7">
    <field x="10"/>
    <field x="2"/>
    <field x="4"/>
    <field x="5"/>
    <field x="6"/>
    <field x="7"/>
    <field x="8"/>
  </rowFields>
  <rowItems count="9">
    <i>
      <x/>
    </i>
    <i r="1">
      <x v="2"/>
      <x/>
      <x/>
      <x v="1"/>
      <x/>
      <x v="5"/>
    </i>
    <i r="1">
      <x v="3"/>
      <x v="1"/>
      <x v="3"/>
      <x v="5"/>
      <x v="2"/>
      <x v="10"/>
    </i>
    <i r="2">
      <x v="2"/>
      <x v="4"/>
      <x v="3"/>
      <x v="3"/>
      <x v="9"/>
    </i>
    <i t="blank">
      <x/>
    </i>
    <i>
      <x v="1"/>
    </i>
    <i r="1">
      <x v="1"/>
      <x/>
      <x/>
      <x v="4"/>
      <x/>
      <x v="7"/>
    </i>
    <i r="1">
      <x v="2"/>
      <x v="1"/>
      <x v="3"/>
      <x v="6"/>
      <x v="2"/>
      <x v="11"/>
    </i>
    <i t="blank">
      <x v="1"/>
    </i>
  </rowItems>
  <colItems count="1">
    <i/>
  </colItems>
  <formats count="71">
    <format dxfId="46">
      <pivotArea field="10" type="button" dataOnly="0" labelOnly="1" outline="0" axis="axisRow" fieldPosition="0"/>
    </format>
    <format dxfId="47">
      <pivotArea field="4" type="button" dataOnly="0" labelOnly="1" outline="0" axis="axisRow" fieldPosition="2"/>
    </format>
    <format dxfId="48">
      <pivotArea field="5" type="button" dataOnly="0" labelOnly="1" outline="0" axis="axisRow" fieldPosition="3"/>
    </format>
    <format dxfId="49">
      <pivotArea field="6" type="button" dataOnly="0" labelOnly="1" outline="0" axis="axisRow" fieldPosition="4"/>
    </format>
    <format dxfId="50">
      <pivotArea field="7" type="button" dataOnly="0" labelOnly="1" outline="0" axis="axisRow" fieldPosition="5"/>
    </format>
    <format dxfId="51">
      <pivotArea field="8" type="button" dataOnly="0" labelOnly="1" outline="0" axis="axisRow" fieldPosition="6"/>
    </format>
    <format dxfId="52">
      <pivotArea dataOnly="0" labelOnly="1" fieldPosition="0">
        <references count="1">
          <reference field="10" count="0"/>
        </references>
      </pivotArea>
    </format>
    <format dxfId="53">
      <pivotArea dataOnly="0" labelOnly="1" outline="0" fieldPosition="0">
        <references count="2">
          <reference field="2" count="2">
            <x v="2"/>
            <x v="3"/>
          </reference>
          <reference field="10" count="1" selected="0">
            <x v="0"/>
          </reference>
        </references>
      </pivotArea>
    </format>
    <format dxfId="54">
      <pivotArea dataOnly="0" labelOnly="1" outline="0" fieldPosition="0">
        <references count="2">
          <reference field="2" count="2">
            <x v="1"/>
            <x v="2"/>
          </reference>
          <reference field="10" count="1" selected="0">
            <x v="1"/>
          </reference>
        </references>
      </pivotArea>
    </format>
    <format dxfId="55">
      <pivotArea dataOnly="0" labelOnly="1" outline="0" fieldPosition="0">
        <references count="3">
          <reference field="2" count="1" selected="0">
            <x v="2"/>
          </reference>
          <reference field="4" count="1">
            <x v="0"/>
          </reference>
          <reference field="10" count="1" selected="0">
            <x v="0"/>
          </reference>
        </references>
      </pivotArea>
    </format>
    <format dxfId="56">
      <pivotArea dataOnly="0" labelOnly="1" outline="0" fieldPosition="0">
        <references count="3">
          <reference field="2" count="1" selected="0">
            <x v="3"/>
          </reference>
          <reference field="4" count="2">
            <x v="1"/>
            <x v="2"/>
          </reference>
          <reference field="10" count="1" selected="0">
            <x v="0"/>
          </reference>
        </references>
      </pivotArea>
    </format>
    <format dxfId="57">
      <pivotArea dataOnly="0" labelOnly="1" outline="0" fieldPosition="0">
        <references count="3">
          <reference field="2" count="1" selected="0">
            <x v="1"/>
          </reference>
          <reference field="4" count="1">
            <x v="0"/>
          </reference>
          <reference field="10" count="1" selected="0">
            <x v="1"/>
          </reference>
        </references>
      </pivotArea>
    </format>
    <format dxfId="58">
      <pivotArea dataOnly="0" labelOnly="1" outline="0" fieldPosition="0">
        <references count="3">
          <reference field="2" count="1" selected="0">
            <x v="2"/>
          </reference>
          <reference field="4" count="1">
            <x v="1"/>
          </reference>
          <reference field="10" count="1" selected="0">
            <x v="1"/>
          </reference>
        </references>
      </pivotArea>
    </format>
    <format dxfId="59">
      <pivotArea dataOnly="0" labelOnly="1" outline="0" fieldPosition="0">
        <references count="4">
          <reference field="2" count="1" selected="0">
            <x v="2"/>
          </reference>
          <reference field="4" count="1" selected="0">
            <x v="0"/>
          </reference>
          <reference field="5" count="1">
            <x v="0"/>
          </reference>
          <reference field="10" count="1" selected="0">
            <x v="0"/>
          </reference>
        </references>
      </pivotArea>
    </format>
    <format dxfId="60">
      <pivotArea dataOnly="0" labelOnly="1" outline="0" fieldPosition="0">
        <references count="4">
          <reference field="2" count="1" selected="0">
            <x v="3"/>
          </reference>
          <reference field="4" count="1" selected="0">
            <x v="1"/>
          </reference>
          <reference field="5" count="1">
            <x v="3"/>
          </reference>
          <reference field="10" count="1" selected="0">
            <x v="0"/>
          </reference>
        </references>
      </pivotArea>
    </format>
    <format dxfId="61">
      <pivotArea dataOnly="0" labelOnly="1" outline="0" fieldPosition="0">
        <references count="4">
          <reference field="2" count="1" selected="0">
            <x v="3"/>
          </reference>
          <reference field="4" count="1" selected="0">
            <x v="2"/>
          </reference>
          <reference field="5" count="1">
            <x v="4"/>
          </reference>
          <reference field="10" count="1" selected="0">
            <x v="0"/>
          </reference>
        </references>
      </pivotArea>
    </format>
    <format dxfId="62">
      <pivotArea dataOnly="0" labelOnly="1" outline="0" fieldPosition="0">
        <references count="4">
          <reference field="2" count="1" selected="0">
            <x v="1"/>
          </reference>
          <reference field="4" count="1" selected="0">
            <x v="0"/>
          </reference>
          <reference field="5" count="1">
            <x v="0"/>
          </reference>
          <reference field="10" count="1" selected="0">
            <x v="1"/>
          </reference>
        </references>
      </pivotArea>
    </format>
    <format dxfId="63">
      <pivotArea dataOnly="0" labelOnly="1" outline="0" fieldPosition="0">
        <references count="4">
          <reference field="2" count="1" selected="0">
            <x v="2"/>
          </reference>
          <reference field="4" count="1" selected="0">
            <x v="1"/>
          </reference>
          <reference field="5" count="1">
            <x v="3"/>
          </reference>
          <reference field="10" count="1" selected="0">
            <x v="1"/>
          </reference>
        </references>
      </pivotArea>
    </format>
    <format dxfId="64">
      <pivotArea dataOnly="0" labelOnly="1" outline="0" fieldPosition="0">
        <references count="5">
          <reference field="2" count="1" selected="0">
            <x v="2"/>
          </reference>
          <reference field="4" count="1" selected="0">
            <x v="0"/>
          </reference>
          <reference field="5" count="1" selected="0">
            <x v="0"/>
          </reference>
          <reference field="6" count="1">
            <x v="1"/>
          </reference>
          <reference field="10" count="1" selected="0">
            <x v="0"/>
          </reference>
        </references>
      </pivotArea>
    </format>
    <format dxfId="65">
      <pivotArea dataOnly="0" labelOnly="1" outline="0" fieldPosition="0">
        <references count="5">
          <reference field="2" count="1" selected="0">
            <x v="3"/>
          </reference>
          <reference field="4" count="1" selected="0">
            <x v="1"/>
          </reference>
          <reference field="5" count="1" selected="0">
            <x v="3"/>
          </reference>
          <reference field="6" count="1">
            <x v="5"/>
          </reference>
          <reference field="10" count="1" selected="0">
            <x v="0"/>
          </reference>
        </references>
      </pivotArea>
    </format>
    <format dxfId="66">
      <pivotArea dataOnly="0" labelOnly="1" outline="0" fieldPosition="0">
        <references count="5">
          <reference field="2" count="1" selected="0">
            <x v="3"/>
          </reference>
          <reference field="4" count="1" selected="0">
            <x v="2"/>
          </reference>
          <reference field="5" count="1" selected="0">
            <x v="4"/>
          </reference>
          <reference field="6" count="1">
            <x v="3"/>
          </reference>
          <reference field="10" count="1" selected="0">
            <x v="0"/>
          </reference>
        </references>
      </pivotArea>
    </format>
    <format dxfId="67">
      <pivotArea dataOnly="0" labelOnly="1" outline="0" fieldPosition="0">
        <references count="5">
          <reference field="2" count="1" selected="0">
            <x v="1"/>
          </reference>
          <reference field="4" count="1" selected="0">
            <x v="0"/>
          </reference>
          <reference field="5" count="1" selected="0">
            <x v="0"/>
          </reference>
          <reference field="6" count="1">
            <x v="4"/>
          </reference>
          <reference field="10" count="1" selected="0">
            <x v="1"/>
          </reference>
        </references>
      </pivotArea>
    </format>
    <format dxfId="68">
      <pivotArea dataOnly="0" labelOnly="1" outline="0" fieldPosition="0">
        <references count="5">
          <reference field="2" count="1" selected="0">
            <x v="2"/>
          </reference>
          <reference field="4" count="1" selected="0">
            <x v="1"/>
          </reference>
          <reference field="5" count="1" selected="0">
            <x v="3"/>
          </reference>
          <reference field="6" count="1">
            <x v="6"/>
          </reference>
          <reference field="10" count="1" selected="0">
            <x v="1"/>
          </reference>
        </references>
      </pivotArea>
    </format>
    <format dxfId="69">
      <pivotArea dataOnly="0" labelOnly="1" outline="0" fieldPosition="0">
        <references count="6">
          <reference field="2" count="1" selected="0">
            <x v="2"/>
          </reference>
          <reference field="4" count="1" selected="0">
            <x v="0"/>
          </reference>
          <reference field="5" count="1" selected="0">
            <x v="0"/>
          </reference>
          <reference field="6" count="1" selected="0">
            <x v="1"/>
          </reference>
          <reference field="7" count="1">
            <x v="0"/>
          </reference>
          <reference field="10" count="1" selected="0">
            <x v="0"/>
          </reference>
        </references>
      </pivotArea>
    </format>
    <format dxfId="70">
      <pivotArea dataOnly="0" labelOnly="1" outline="0" fieldPosition="0">
        <references count="6">
          <reference field="2" count="1" selected="0">
            <x v="3"/>
          </reference>
          <reference field="4" count="1" selected="0">
            <x v="1"/>
          </reference>
          <reference field="5" count="1" selected="0">
            <x v="3"/>
          </reference>
          <reference field="6" count="1" selected="0">
            <x v="5"/>
          </reference>
          <reference field="7" count="1">
            <x v="2"/>
          </reference>
          <reference field="10" count="1" selected="0">
            <x v="0"/>
          </reference>
        </references>
      </pivotArea>
    </format>
    <format dxfId="71">
      <pivotArea dataOnly="0" labelOnly="1" outline="0" fieldPosition="0">
        <references count="6">
          <reference field="2" count="1" selected="0">
            <x v="3"/>
          </reference>
          <reference field="4" count="1" selected="0">
            <x v="2"/>
          </reference>
          <reference field="5" count="1" selected="0">
            <x v="4"/>
          </reference>
          <reference field="6" count="1" selected="0">
            <x v="3"/>
          </reference>
          <reference field="7" count="1">
            <x v="3"/>
          </reference>
          <reference field="10" count="1" selected="0">
            <x v="0"/>
          </reference>
        </references>
      </pivotArea>
    </format>
    <format dxfId="72">
      <pivotArea dataOnly="0" labelOnly="1" outline="0" fieldPosition="0">
        <references count="6">
          <reference field="2" count="1" selected="0">
            <x v="1"/>
          </reference>
          <reference field="4" count="1" selected="0">
            <x v="0"/>
          </reference>
          <reference field="5" count="1" selected="0">
            <x v="0"/>
          </reference>
          <reference field="6" count="1" selected="0">
            <x v="4"/>
          </reference>
          <reference field="7" count="1">
            <x v="0"/>
          </reference>
          <reference field="10" count="1" selected="0">
            <x v="1"/>
          </reference>
        </references>
      </pivotArea>
    </format>
    <format dxfId="73">
      <pivotArea dataOnly="0" labelOnly="1" outline="0" fieldPosition="0">
        <references count="6">
          <reference field="2" count="1" selected="0">
            <x v="2"/>
          </reference>
          <reference field="4" count="1" selected="0">
            <x v="1"/>
          </reference>
          <reference field="5" count="1" selected="0">
            <x v="3"/>
          </reference>
          <reference field="6" count="1" selected="0">
            <x v="6"/>
          </reference>
          <reference field="7" count="1">
            <x v="2"/>
          </reference>
          <reference field="10" count="1" selected="0">
            <x v="1"/>
          </reference>
        </references>
      </pivotArea>
    </format>
    <format dxfId="74">
      <pivotArea dataOnly="0" labelOnly="1" outline="0" fieldPosition="0">
        <references count="7">
          <reference field="2" count="1" selected="0">
            <x v="2"/>
          </reference>
          <reference field="4" count="1" selected="0">
            <x v="0"/>
          </reference>
          <reference field="5" count="1" selected="0">
            <x v="0"/>
          </reference>
          <reference field="6" count="1" selected="0">
            <x v="1"/>
          </reference>
          <reference field="7" count="1" selected="0">
            <x v="0"/>
          </reference>
          <reference field="8" count="1">
            <x v="5"/>
          </reference>
          <reference field="10" count="1" selected="0">
            <x v="0"/>
          </reference>
        </references>
      </pivotArea>
    </format>
    <format dxfId="75">
      <pivotArea dataOnly="0" labelOnly="1" outline="0" fieldPosition="0">
        <references count="7">
          <reference field="2" count="1" selected="0">
            <x v="3"/>
          </reference>
          <reference field="4" count="1" selected="0">
            <x v="1"/>
          </reference>
          <reference field="5" count="1" selected="0">
            <x v="3"/>
          </reference>
          <reference field="6" count="1" selected="0">
            <x v="5"/>
          </reference>
          <reference field="7" count="1" selected="0">
            <x v="2"/>
          </reference>
          <reference field="8" count="1">
            <x v="10"/>
          </reference>
          <reference field="10" count="1" selected="0">
            <x v="0"/>
          </reference>
        </references>
      </pivotArea>
    </format>
    <format dxfId="76">
      <pivotArea dataOnly="0" labelOnly="1" outline="0" fieldPosition="0">
        <references count="7">
          <reference field="2" count="1" selected="0">
            <x v="3"/>
          </reference>
          <reference field="4" count="1" selected="0">
            <x v="2"/>
          </reference>
          <reference field="5" count="1" selected="0">
            <x v="4"/>
          </reference>
          <reference field="6" count="1" selected="0">
            <x v="3"/>
          </reference>
          <reference field="7" count="1" selected="0">
            <x v="3"/>
          </reference>
          <reference field="8" count="1">
            <x v="9"/>
          </reference>
          <reference field="10" count="1" selected="0">
            <x v="0"/>
          </reference>
        </references>
      </pivotArea>
    </format>
    <format dxfId="77">
      <pivotArea dataOnly="0" labelOnly="1" outline="0" fieldPosition="0">
        <references count="7">
          <reference field="2" count="1" selected="0">
            <x v="1"/>
          </reference>
          <reference field="4" count="1" selected="0">
            <x v="0"/>
          </reference>
          <reference field="5" count="1" selected="0">
            <x v="0"/>
          </reference>
          <reference field="6" count="1" selected="0">
            <x v="4"/>
          </reference>
          <reference field="7" count="1" selected="0">
            <x v="0"/>
          </reference>
          <reference field="8" count="1">
            <x v="7"/>
          </reference>
          <reference field="10" count="1" selected="0">
            <x v="1"/>
          </reference>
        </references>
      </pivotArea>
    </format>
    <format dxfId="78">
      <pivotArea dataOnly="0" labelOnly="1" outline="0" fieldPosition="0">
        <references count="7">
          <reference field="2" count="1" selected="0">
            <x v="2"/>
          </reference>
          <reference field="4" count="1" selected="0">
            <x v="1"/>
          </reference>
          <reference field="5" count="1" selected="0">
            <x v="3"/>
          </reference>
          <reference field="6" count="1" selected="0">
            <x v="6"/>
          </reference>
          <reference field="7" count="1" selected="0">
            <x v="2"/>
          </reference>
          <reference field="8" count="1">
            <x v="11"/>
          </reference>
          <reference field="10" count="1" selected="0">
            <x v="1"/>
          </reference>
        </references>
      </pivotArea>
    </format>
    <format dxfId="79">
      <pivotArea dataOnly="0" labelOnly="1" fieldPosition="0">
        <references count="1">
          <reference field="10" count="1">
            <x v="0"/>
          </reference>
        </references>
      </pivotArea>
    </format>
    <format dxfId="80">
      <pivotArea dataOnly="0" labelOnly="1" fieldPosition="0">
        <references count="1">
          <reference field="10" count="1">
            <x v="1"/>
          </reference>
        </references>
      </pivotArea>
    </format>
    <format dxfId="81">
      <pivotArea dataOnly="0" fieldPosition="0">
        <references count="1">
          <reference field="10" count="1">
            <x v="1"/>
          </reference>
        </references>
      </pivotArea>
    </format>
    <format dxfId="37">
      <pivotArea dataOnly="0" fieldPosition="0">
        <references count="1">
          <reference field="10" count="0"/>
        </references>
      </pivotArea>
    </format>
    <format dxfId="36">
      <pivotArea field="10" type="button" dataOnly="0" labelOnly="1" outline="0" axis="axisRow" fieldPosition="0"/>
    </format>
    <format dxfId="35">
      <pivotArea field="4" type="button" dataOnly="0" labelOnly="1" outline="0" axis="axisRow" fieldPosition="2"/>
    </format>
    <format dxfId="34">
      <pivotArea field="5" type="button" dataOnly="0" labelOnly="1" outline="0" axis="axisRow" fieldPosition="3"/>
    </format>
    <format dxfId="33">
      <pivotArea field="6" type="button" dataOnly="0" labelOnly="1" outline="0" axis="axisRow" fieldPosition="4"/>
    </format>
    <format dxfId="32">
      <pivotArea field="7" type="button" dataOnly="0" labelOnly="1" outline="0" axis="axisRow" fieldPosition="5"/>
    </format>
    <format dxfId="31">
      <pivotArea field="8" type="button" dataOnly="0" labelOnly="1" outline="0" axis="axisRow" fieldPosition="6"/>
    </format>
    <format dxfId="30">
      <pivotArea dataOnly="0" labelOnly="1" fieldPosition="0">
        <references count="1">
          <reference field="10" count="0"/>
        </references>
      </pivotArea>
    </format>
    <format dxfId="29">
      <pivotArea dataOnly="0" labelOnly="1" outline="0" fieldPosition="0">
        <references count="2">
          <reference field="2" count="2">
            <x v="2"/>
            <x v="3"/>
          </reference>
          <reference field="10" count="1" selected="0">
            <x v="0"/>
          </reference>
        </references>
      </pivotArea>
    </format>
    <format dxfId="28">
      <pivotArea dataOnly="0" labelOnly="1" outline="0" fieldPosition="0">
        <references count="2">
          <reference field="2" count="2">
            <x v="1"/>
            <x v="2"/>
          </reference>
          <reference field="10" count="1" selected="0">
            <x v="1"/>
          </reference>
        </references>
      </pivotArea>
    </format>
    <format dxfId="27">
      <pivotArea dataOnly="0" labelOnly="1" outline="0" fieldPosition="0">
        <references count="3">
          <reference field="2" count="1" selected="0">
            <x v="2"/>
          </reference>
          <reference field="4" count="1">
            <x v="0"/>
          </reference>
          <reference field="10" count="1" selected="0">
            <x v="0"/>
          </reference>
        </references>
      </pivotArea>
    </format>
    <format dxfId="26">
      <pivotArea dataOnly="0" labelOnly="1" outline="0" fieldPosition="0">
        <references count="3">
          <reference field="2" count="1" selected="0">
            <x v="3"/>
          </reference>
          <reference field="4" count="2">
            <x v="1"/>
            <x v="2"/>
          </reference>
          <reference field="10" count="1" selected="0">
            <x v="0"/>
          </reference>
        </references>
      </pivotArea>
    </format>
    <format dxfId="25">
      <pivotArea dataOnly="0" labelOnly="1" outline="0" fieldPosition="0">
        <references count="3">
          <reference field="2" count="1" selected="0">
            <x v="1"/>
          </reference>
          <reference field="4" count="1">
            <x v="0"/>
          </reference>
          <reference field="10" count="1" selected="0">
            <x v="1"/>
          </reference>
        </references>
      </pivotArea>
    </format>
    <format dxfId="24">
      <pivotArea dataOnly="0" labelOnly="1" outline="0" fieldPosition="0">
        <references count="3">
          <reference field="2" count="1" selected="0">
            <x v="2"/>
          </reference>
          <reference field="4" count="1">
            <x v="1"/>
          </reference>
          <reference field="10" count="1" selected="0">
            <x v="1"/>
          </reference>
        </references>
      </pivotArea>
    </format>
    <format dxfId="23">
      <pivotArea dataOnly="0" labelOnly="1" outline="0" fieldPosition="0">
        <references count="4">
          <reference field="2" count="1" selected="0">
            <x v="2"/>
          </reference>
          <reference field="4" count="1" selected="0">
            <x v="0"/>
          </reference>
          <reference field="5" count="1">
            <x v="0"/>
          </reference>
          <reference field="10" count="1" selected="0">
            <x v="0"/>
          </reference>
        </references>
      </pivotArea>
    </format>
    <format dxfId="22">
      <pivotArea dataOnly="0" labelOnly="1" outline="0" fieldPosition="0">
        <references count="4">
          <reference field="2" count="1" selected="0">
            <x v="3"/>
          </reference>
          <reference field="4" count="1" selected="0">
            <x v="1"/>
          </reference>
          <reference field="5" count="1">
            <x v="3"/>
          </reference>
          <reference field="10" count="1" selected="0">
            <x v="0"/>
          </reference>
        </references>
      </pivotArea>
    </format>
    <format dxfId="21">
      <pivotArea dataOnly="0" labelOnly="1" outline="0" fieldPosition="0">
        <references count="4">
          <reference field="2" count="1" selected="0">
            <x v="3"/>
          </reference>
          <reference field="4" count="1" selected="0">
            <x v="2"/>
          </reference>
          <reference field="5" count="1">
            <x v="4"/>
          </reference>
          <reference field="10" count="1" selected="0">
            <x v="0"/>
          </reference>
        </references>
      </pivotArea>
    </format>
    <format dxfId="20">
      <pivotArea dataOnly="0" labelOnly="1" outline="0" fieldPosition="0">
        <references count="4">
          <reference field="2" count="1" selected="0">
            <x v="1"/>
          </reference>
          <reference field="4" count="1" selected="0">
            <x v="0"/>
          </reference>
          <reference field="5" count="1">
            <x v="0"/>
          </reference>
          <reference field="10" count="1" selected="0">
            <x v="1"/>
          </reference>
        </references>
      </pivotArea>
    </format>
    <format dxfId="19">
      <pivotArea dataOnly="0" labelOnly="1" outline="0" fieldPosition="0">
        <references count="4">
          <reference field="2" count="1" selected="0">
            <x v="2"/>
          </reference>
          <reference field="4" count="1" selected="0">
            <x v="1"/>
          </reference>
          <reference field="5" count="1">
            <x v="3"/>
          </reference>
          <reference field="10" count="1" selected="0">
            <x v="1"/>
          </reference>
        </references>
      </pivotArea>
    </format>
    <format dxfId="18">
      <pivotArea dataOnly="0" labelOnly="1" outline="0" fieldPosition="0">
        <references count="5">
          <reference field="2" count="1" selected="0">
            <x v="2"/>
          </reference>
          <reference field="4" count="1" selected="0">
            <x v="0"/>
          </reference>
          <reference field="5" count="1" selected="0">
            <x v="0"/>
          </reference>
          <reference field="6" count="1">
            <x v="1"/>
          </reference>
          <reference field="10" count="1" selected="0">
            <x v="0"/>
          </reference>
        </references>
      </pivotArea>
    </format>
    <format dxfId="17">
      <pivotArea dataOnly="0" labelOnly="1" outline="0" fieldPosition="0">
        <references count="5">
          <reference field="2" count="1" selected="0">
            <x v="3"/>
          </reference>
          <reference field="4" count="1" selected="0">
            <x v="1"/>
          </reference>
          <reference field="5" count="1" selected="0">
            <x v="3"/>
          </reference>
          <reference field="6" count="1">
            <x v="5"/>
          </reference>
          <reference field="10" count="1" selected="0">
            <x v="0"/>
          </reference>
        </references>
      </pivotArea>
    </format>
    <format dxfId="16">
      <pivotArea dataOnly="0" labelOnly="1" outline="0" fieldPosition="0">
        <references count="5">
          <reference field="2" count="1" selected="0">
            <x v="3"/>
          </reference>
          <reference field="4" count="1" selected="0">
            <x v="2"/>
          </reference>
          <reference field="5" count="1" selected="0">
            <x v="4"/>
          </reference>
          <reference field="6" count="1">
            <x v="3"/>
          </reference>
          <reference field="10" count="1" selected="0">
            <x v="0"/>
          </reference>
        </references>
      </pivotArea>
    </format>
    <format dxfId="15">
      <pivotArea dataOnly="0" labelOnly="1" outline="0" fieldPosition="0">
        <references count="5">
          <reference field="2" count="1" selected="0">
            <x v="1"/>
          </reference>
          <reference field="4" count="1" selected="0">
            <x v="0"/>
          </reference>
          <reference field="5" count="1" selected="0">
            <x v="0"/>
          </reference>
          <reference field="6" count="1">
            <x v="4"/>
          </reference>
          <reference field="10" count="1" selected="0">
            <x v="1"/>
          </reference>
        </references>
      </pivotArea>
    </format>
    <format dxfId="14">
      <pivotArea dataOnly="0" labelOnly="1" outline="0" fieldPosition="0">
        <references count="5">
          <reference field="2" count="1" selected="0">
            <x v="2"/>
          </reference>
          <reference field="4" count="1" selected="0">
            <x v="1"/>
          </reference>
          <reference field="5" count="1" selected="0">
            <x v="3"/>
          </reference>
          <reference field="6" count="1">
            <x v="6"/>
          </reference>
          <reference field="10" count="1" selected="0">
            <x v="1"/>
          </reference>
        </references>
      </pivotArea>
    </format>
    <format dxfId="13">
      <pivotArea dataOnly="0" labelOnly="1" outline="0" fieldPosition="0">
        <references count="6">
          <reference field="2" count="1" selected="0">
            <x v="2"/>
          </reference>
          <reference field="4" count="1" selected="0">
            <x v="0"/>
          </reference>
          <reference field="5" count="1" selected="0">
            <x v="0"/>
          </reference>
          <reference field="6" count="1" selected="0">
            <x v="1"/>
          </reference>
          <reference field="7" count="1">
            <x v="0"/>
          </reference>
          <reference field="10" count="1" selected="0">
            <x v="0"/>
          </reference>
        </references>
      </pivotArea>
    </format>
    <format dxfId="12">
      <pivotArea dataOnly="0" labelOnly="1" outline="0" fieldPosition="0">
        <references count="6">
          <reference field="2" count="1" selected="0">
            <x v="3"/>
          </reference>
          <reference field="4" count="1" selected="0">
            <x v="1"/>
          </reference>
          <reference field="5" count="1" selected="0">
            <x v="3"/>
          </reference>
          <reference field="6" count="1" selected="0">
            <x v="5"/>
          </reference>
          <reference field="7" count="1">
            <x v="2"/>
          </reference>
          <reference field="10" count="1" selected="0">
            <x v="0"/>
          </reference>
        </references>
      </pivotArea>
    </format>
    <format dxfId="11">
      <pivotArea dataOnly="0" labelOnly="1" outline="0" fieldPosition="0">
        <references count="6">
          <reference field="2" count="1" selected="0">
            <x v="3"/>
          </reference>
          <reference field="4" count="1" selected="0">
            <x v="2"/>
          </reference>
          <reference field="5" count="1" selected="0">
            <x v="4"/>
          </reference>
          <reference field="6" count="1" selected="0">
            <x v="3"/>
          </reference>
          <reference field="7" count="1">
            <x v="3"/>
          </reference>
          <reference field="10" count="1" selected="0">
            <x v="0"/>
          </reference>
        </references>
      </pivotArea>
    </format>
    <format dxfId="10">
      <pivotArea dataOnly="0" labelOnly="1" outline="0" fieldPosition="0">
        <references count="6">
          <reference field="2" count="1" selected="0">
            <x v="1"/>
          </reference>
          <reference field="4" count="1" selected="0">
            <x v="0"/>
          </reference>
          <reference field="5" count="1" selected="0">
            <x v="0"/>
          </reference>
          <reference field="6" count="1" selected="0">
            <x v="4"/>
          </reference>
          <reference field="7" count="1">
            <x v="0"/>
          </reference>
          <reference field="10" count="1" selected="0">
            <x v="1"/>
          </reference>
        </references>
      </pivotArea>
    </format>
    <format dxfId="9">
      <pivotArea dataOnly="0" labelOnly="1" outline="0" fieldPosition="0">
        <references count="6">
          <reference field="2" count="1" selected="0">
            <x v="2"/>
          </reference>
          <reference field="4" count="1" selected="0">
            <x v="1"/>
          </reference>
          <reference field="5" count="1" selected="0">
            <x v="3"/>
          </reference>
          <reference field="6" count="1" selected="0">
            <x v="6"/>
          </reference>
          <reference field="7" count="1">
            <x v="2"/>
          </reference>
          <reference field="10" count="1" selected="0">
            <x v="1"/>
          </reference>
        </references>
      </pivotArea>
    </format>
    <format dxfId="8">
      <pivotArea dataOnly="0" labelOnly="1" outline="0" fieldPosition="0">
        <references count="7">
          <reference field="2" count="1" selected="0">
            <x v="2"/>
          </reference>
          <reference field="4" count="1" selected="0">
            <x v="0"/>
          </reference>
          <reference field="5" count="1" selected="0">
            <x v="0"/>
          </reference>
          <reference field="6" count="1" selected="0">
            <x v="1"/>
          </reference>
          <reference field="7" count="1" selected="0">
            <x v="0"/>
          </reference>
          <reference field="8" count="1">
            <x v="5"/>
          </reference>
          <reference field="10" count="1" selected="0">
            <x v="0"/>
          </reference>
        </references>
      </pivotArea>
    </format>
    <format dxfId="7">
      <pivotArea dataOnly="0" labelOnly="1" outline="0" fieldPosition="0">
        <references count="7">
          <reference field="2" count="1" selected="0">
            <x v="3"/>
          </reference>
          <reference field="4" count="1" selected="0">
            <x v="1"/>
          </reference>
          <reference field="5" count="1" selected="0">
            <x v="3"/>
          </reference>
          <reference field="6" count="1" selected="0">
            <x v="5"/>
          </reference>
          <reference field="7" count="1" selected="0">
            <x v="2"/>
          </reference>
          <reference field="8" count="1">
            <x v="10"/>
          </reference>
          <reference field="10" count="1" selected="0">
            <x v="0"/>
          </reference>
        </references>
      </pivotArea>
    </format>
    <format dxfId="6">
      <pivotArea dataOnly="0" labelOnly="1" outline="0" fieldPosition="0">
        <references count="7">
          <reference field="2" count="1" selected="0">
            <x v="3"/>
          </reference>
          <reference field="4" count="1" selected="0">
            <x v="2"/>
          </reference>
          <reference field="5" count="1" selected="0">
            <x v="4"/>
          </reference>
          <reference field="6" count="1" selected="0">
            <x v="3"/>
          </reference>
          <reference field="7" count="1" selected="0">
            <x v="3"/>
          </reference>
          <reference field="8" count="1">
            <x v="9"/>
          </reference>
          <reference field="10" count="1" selected="0">
            <x v="0"/>
          </reference>
        </references>
      </pivotArea>
    </format>
    <format dxfId="5">
      <pivotArea dataOnly="0" labelOnly="1" outline="0" fieldPosition="0">
        <references count="7">
          <reference field="2" count="1" selected="0">
            <x v="1"/>
          </reference>
          <reference field="4" count="1" selected="0">
            <x v="0"/>
          </reference>
          <reference field="5" count="1" selected="0">
            <x v="0"/>
          </reference>
          <reference field="6" count="1" selected="0">
            <x v="4"/>
          </reference>
          <reference field="7" count="1" selected="0">
            <x v="0"/>
          </reference>
          <reference field="8" count="1">
            <x v="7"/>
          </reference>
          <reference field="10" count="1" selected="0">
            <x v="1"/>
          </reference>
        </references>
      </pivotArea>
    </format>
    <format dxfId="4">
      <pivotArea dataOnly="0" labelOnly="1" outline="0" fieldPosition="0">
        <references count="7">
          <reference field="2" count="1" selected="0">
            <x v="2"/>
          </reference>
          <reference field="4" count="1" selected="0">
            <x v="1"/>
          </reference>
          <reference field="5" count="1" selected="0">
            <x v="3"/>
          </reference>
          <reference field="6" count="1" selected="0">
            <x v="6"/>
          </reference>
          <reference field="7" count="1" selected="0">
            <x v="2"/>
          </reference>
          <reference field="8" count="1">
            <x v="11"/>
          </reference>
          <reference field="10" count="1" selected="0">
            <x v="1"/>
          </reference>
        </references>
      </pivotArea>
    </format>
    <format dxfId="1">
      <pivotArea dataOnly="0" labelOnly="1" fieldPosition="0">
        <references count="1">
          <reference field="10" count="0"/>
        </references>
      </pivotArea>
    </format>
  </formats>
  <pivotTableStyleInfo name="Workflow Tracker" showRowHeaders="1" showColHeaders="1" showRowStripes="0" showColStripes="0" showLastColumn="1"/>
  <extLs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adjustColumnWidth="0" connectionId="3" xr16:uid="{BBEB2CE1-60A2-4049-9B09-A3BA45D8F50E}" autoFormatId="16" applyNumberFormats="0" applyBorderFormats="0" applyFontFormats="0" applyPatternFormats="0" applyAlignmentFormats="0" applyWidthHeightFormats="0">
  <queryTableRefresh nextId="15" unboundColumnsRight="1">
    <queryTableFields count="12">
      <queryTableField id="1" name="Document Number" tableColumnId="1"/>
      <queryTableField id="2" name="Title" tableColumnId="2"/>
      <queryTableField id="3" name="Revision" tableColumnId="3"/>
      <queryTableField id="4" name="Workflow Status" tableColumnId="4"/>
      <queryTableField id="5" name="Date In" tableColumnId="5"/>
      <queryTableField id="6" name="Step Name" tableColumnId="6"/>
      <queryTableField id="7" name="Step Outcome" tableColumnId="7"/>
      <queryTableField id="8" name="Date of Comments" tableColumnId="8"/>
      <queryTableField id="9" name="Comments" tableColumnId="9"/>
      <queryTableField id="10" name="Latest revision?" tableColumnId="10"/>
      <queryTableField id="13" name="(Helper) Num + Title" tableColumnId="13"/>
      <queryTableField id="14"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16445F9F-BC40-4F8A-AC71-B1571CEED0A6}" autoFormatId="16" applyNumberFormats="0" applyBorderFormats="0" applyFontFormats="0" applyPatternFormats="0" applyAlignmentFormats="0" applyWidthHeightFormats="0">
  <queryTableRefresh nextId="3">
    <queryTableFields count="2">
      <queryTableField id="1" name="Project Name" tableColumnId="1"/>
      <queryTableField id="2" name="Date Generated"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63047F-FF9B-4355-8BCA-9BE2E7C08B48}" name="RawData" displayName="RawData" ref="A4:L9" tableType="queryTable" totalsRowShown="0">
  <autoFilter ref="A4:L9" xr:uid="{0D63047F-FF9B-4355-8BCA-9BE2E7C08B48}"/>
  <tableColumns count="12">
    <tableColumn id="1" xr3:uid="{BADA64F2-BDBA-47E5-80FC-B4A56EA68A5F}" uniqueName="1" name="Document Number" queryTableFieldId="1" dataDxfId="93"/>
    <tableColumn id="2" xr3:uid="{73FEF870-06F8-454B-90A6-DA0601FC1805}" uniqueName="2" name="Title" queryTableFieldId="2" dataDxfId="92"/>
    <tableColumn id="3" xr3:uid="{A01D87D0-9C31-4CA9-B2AB-5A8C0409AE25}" uniqueName="3" name="Revision" queryTableFieldId="3" dataDxfId="91"/>
    <tableColumn id="4" xr3:uid="{F76830CB-5D60-41A6-B286-3CE06C759A09}" uniqueName="4" name="Workflow Status" queryTableFieldId="4" dataDxfId="90"/>
    <tableColumn id="5" xr3:uid="{0FC64E1E-692E-47DA-95E9-E8559E1E48F6}" uniqueName="5" name="Date In" queryTableFieldId="5" dataDxfId="86"/>
    <tableColumn id="6" xr3:uid="{F19580FF-4E30-4471-9A01-88C64B1824A4}" uniqueName="6" name="Step Name" queryTableFieldId="6" dataDxfId="85"/>
    <tableColumn id="7" xr3:uid="{6A0AFC7F-8606-4E09-B945-03FCA7C4127A}" uniqueName="7" name="Step Outcome" queryTableFieldId="7" dataDxfId="84"/>
    <tableColumn id="8" xr3:uid="{1970E651-0CCD-47BF-B184-D51FA8244748}" uniqueName="8" name="Date of Comments" queryTableFieldId="8" dataDxfId="83"/>
    <tableColumn id="9" xr3:uid="{F7535362-E459-4564-B1D9-01E373450E1A}" uniqueName="9" name="Comments" queryTableFieldId="9" dataDxfId="82"/>
    <tableColumn id="10" xr3:uid="{9D54319D-DE2C-42F5-8506-F60D2AE2133B}" uniqueName="10" name="Latest revision?" queryTableFieldId="10"/>
    <tableColumn id="13" xr3:uid="{9C3EA749-A32D-4994-B884-8E1E95A5DE1B}" uniqueName="13" name="(Helper) Num + Title" queryTableFieldId="13" dataDxfId="89"/>
    <tableColumn id="11" xr3:uid="{CF00106C-4E46-4FD6-B632-EECF1CD65CE9}" uniqueName="11" name="(Helper) Hyperlink" queryTableFieldId="14" dataDxfId="0">
      <calculatedColumnFormula>HYPERLINK("https://uk1.aconex.co.uk/hub/index.html?mainTarget=%2FSearchControlledDoc%3FSEARCH_ACTION%3D15%26tab%3D0%26searchMode%3D1%26searchQuery%3Ddocno:%22"&amp;RawData[[#This Row],[Document Number]]&amp;"%22%20%2Bcversion%253A1",RawData[[#This Row],[Document Number]])</calculatedColumnFormula>
    </tableColumn>
  </tableColumns>
  <tableStyleInfo name="TableStyleLight15 2" showFirstColumn="0" showLastColumn="1"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8C0398-C974-42FB-942C-C16853FFB781}" name="ProjectInfo" displayName="ProjectInfo" ref="A1:B2" tableType="queryTable" totalsRowShown="0">
  <autoFilter ref="A1:B2" xr:uid="{668C0398-C974-42FB-942C-C16853FFB781}"/>
  <tableColumns count="2">
    <tableColumn id="1" xr3:uid="{4CB9339E-02E0-4155-AE93-4EC28802928D}" uniqueName="1" name="Project Name" queryTableFieldId="1" dataDxfId="88"/>
    <tableColumn id="2" xr3:uid="{96759155-4763-441B-BD5A-9E4AAFBE91AA}" uniqueName="2" name="Date Generated" queryTableFieldId="2" dataDxfId="87"/>
  </tableColumns>
  <tableStyleInfo name="TableStyleLight15 2" showFirstColumn="0" showLastColumn="0" showRowStripes="0"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5"/>
  <sheetViews>
    <sheetView zoomScale="130" zoomScaleNormal="130" workbookViewId="0">
      <selection activeCell="D29" sqref="D29"/>
    </sheetView>
  </sheetViews>
  <sheetFormatPr defaultRowHeight="14.4" x14ac:dyDescent="0.3"/>
  <cols>
    <col min="1" max="1" width="15.109375" bestFit="1" customWidth="1"/>
    <col min="2" max="2" width="20.21875" bestFit="1" customWidth="1"/>
    <col min="3" max="3" width="16.88671875" customWidth="1"/>
    <col min="4" max="4" width="27.6640625" customWidth="1"/>
    <col min="5" max="5" width="13.5546875" customWidth="1"/>
    <col min="6" max="6" width="11.33203125" bestFit="1" customWidth="1"/>
    <col min="7" max="7" width="10.6640625" customWidth="1"/>
  </cols>
  <sheetData>
    <row r="1" spans="1:9" ht="23.4" customHeight="1" x14ac:dyDescent="0.45">
      <c r="D1" s="6" t="s">
        <v>0</v>
      </c>
    </row>
    <row r="2" spans="1:9" ht="15.6" x14ac:dyDescent="0.3">
      <c r="A2" s="2" t="s">
        <v>42</v>
      </c>
      <c r="B2" t="s">
        <v>43</v>
      </c>
      <c r="D2" s="5" t="str">
        <f>"Project Name: " &amp; ProjectInfo[[#This Row],[Project Name]]</f>
        <v>Project Name: HB Test</v>
      </c>
      <c r="I2" t="str">
        <f>"Total number of documents: " &amp; GETPIVOTDATA("(Helper) Doc Status",$A$2)</f>
        <v>Total number of documents: 2</v>
      </c>
    </row>
    <row r="3" spans="1:9" ht="15.6" x14ac:dyDescent="0.3">
      <c r="A3" s="4" t="s">
        <v>37</v>
      </c>
      <c r="B3" s="13">
        <v>1</v>
      </c>
      <c r="D3" s="14" t="str" cm="1">
        <f t="array" ref="D3">"Date Generated: " &amp; TEXT(ProjectInfo[Date Generated],"dd/mm/yyyy")</f>
        <v>Date Generated: 23/03/2025</v>
      </c>
    </row>
    <row r="4" spans="1:9" ht="19.8" customHeight="1" x14ac:dyDescent="0.35">
      <c r="A4" s="4" t="s">
        <v>5</v>
      </c>
      <c r="B4" s="13">
        <v>1</v>
      </c>
      <c r="D4" s="11" t="s">
        <v>3</v>
      </c>
      <c r="E4" s="12"/>
      <c r="F4" s="12"/>
      <c r="G4" s="12"/>
    </row>
    <row r="5" spans="1:9" x14ac:dyDescent="0.3">
      <c r="A5" s="4" t="s">
        <v>7</v>
      </c>
      <c r="B5" s="13">
        <v>2</v>
      </c>
    </row>
  </sheetData>
  <mergeCells count="1">
    <mergeCell ref="D4:G4"/>
  </mergeCells>
  <pageMargins left="0.70866141732283472" right="0.70866141732283472" top="0.74803149606299213" bottom="0.74803149606299213" header="0.31496062992125984" footer="0.31496062992125984"/>
  <pageSetup paperSize="11" fitToHeight="0" orientation="portrait" r:id="rId2"/>
  <headerFooter>
    <oddHeader>&amp;L&amp;G</oddHeader>
  </headerFooter>
  <drawing r:id="rId3"/>
  <legacyDrawingHF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30"/>
  <sheetViews>
    <sheetView zoomScaleNormal="100" workbookViewId="0">
      <selection activeCell="F9" sqref="F9"/>
    </sheetView>
  </sheetViews>
  <sheetFormatPr defaultRowHeight="14.4" x14ac:dyDescent="0.3"/>
  <cols>
    <col min="1" max="1" width="7.33203125" customWidth="1"/>
    <col min="2" max="2" width="12.77734375" customWidth="1"/>
    <col min="3" max="3" width="14.88671875" customWidth="1"/>
    <col min="4" max="4" width="18.44140625" customWidth="1"/>
    <col min="5" max="5" width="12.88671875" customWidth="1"/>
    <col min="6" max="6" width="149.33203125" customWidth="1"/>
    <col min="7" max="7" width="42.109375" style="1" bestFit="1" customWidth="1"/>
  </cols>
  <sheetData>
    <row r="1" spans="1:6" ht="23.4" x14ac:dyDescent="0.45">
      <c r="A1" s="6" t="s">
        <v>0</v>
      </c>
      <c r="F1" s="7" t="str">
        <f>HYPERLINK("https://uk1.aconex.co.uk/hub/index.html?mainTarget=%2Ftasks%2Fview%3F_action%3DviewAllTasksOfType%26indexName%3Dawaitingreview%26projectid%3D268455658","Click here to go to your outstanding workflows")</f>
        <v>Click here to go to your outstanding workflows</v>
      </c>
    </row>
    <row r="2" spans="1:6" ht="15.6" x14ac:dyDescent="0.3">
      <c r="A2" s="5" t="str">
        <f>ProjectName</f>
        <v>Project Name: HB Test</v>
      </c>
    </row>
    <row r="3" spans="1:6" ht="15.6" x14ac:dyDescent="0.3">
      <c r="A3" s="5" t="str">
        <f>DateGenerated</f>
        <v>Date Generated: 23/03/2025</v>
      </c>
    </row>
    <row r="5" spans="1:6" ht="37.200000000000003" customHeight="1" thickBot="1" x14ac:dyDescent="0.35">
      <c r="A5" s="15" t="s">
        <v>31</v>
      </c>
      <c r="B5" s="16" t="s">
        <v>8</v>
      </c>
      <c r="C5" s="15" t="s">
        <v>9</v>
      </c>
      <c r="D5" s="15" t="s">
        <v>2</v>
      </c>
      <c r="E5" s="15" t="s">
        <v>10</v>
      </c>
      <c r="F5" s="15" t="s">
        <v>11</v>
      </c>
    </row>
    <row r="6" spans="1:6" ht="18" x14ac:dyDescent="0.3">
      <c r="A6" s="8" t="s">
        <v>32</v>
      </c>
      <c r="B6" s="21"/>
      <c r="C6" s="21"/>
      <c r="D6" s="21"/>
      <c r="E6" s="21"/>
      <c r="F6" s="21"/>
    </row>
    <row r="7" spans="1:6" ht="28.8" x14ac:dyDescent="0.3">
      <c r="A7" s="17" t="s">
        <v>12</v>
      </c>
      <c r="B7" s="18">
        <v>45621</v>
      </c>
      <c r="C7" s="19" t="s">
        <v>13</v>
      </c>
      <c r="D7" s="19" t="s">
        <v>4</v>
      </c>
      <c r="E7" s="18">
        <v>45631</v>
      </c>
      <c r="F7" s="19" t="s">
        <v>14</v>
      </c>
    </row>
    <row r="8" spans="1:6" ht="28.8" x14ac:dyDescent="0.3">
      <c r="A8" s="17" t="s">
        <v>15</v>
      </c>
      <c r="B8" s="18">
        <v>45738</v>
      </c>
      <c r="C8" s="19" t="s">
        <v>16</v>
      </c>
      <c r="D8" s="19" t="s">
        <v>28</v>
      </c>
      <c r="E8" s="18">
        <v>45739</v>
      </c>
      <c r="F8" s="19" t="s">
        <v>29</v>
      </c>
    </row>
    <row r="9" spans="1:6" ht="28.8" x14ac:dyDescent="0.3">
      <c r="A9" s="19"/>
      <c r="B9" s="18">
        <v>45739</v>
      </c>
      <c r="C9" s="19" t="s">
        <v>30</v>
      </c>
      <c r="D9" s="19" t="s">
        <v>5</v>
      </c>
      <c r="E9" s="19" t="s">
        <v>17</v>
      </c>
      <c r="F9" s="19" t="s">
        <v>17</v>
      </c>
    </row>
    <row r="10" spans="1:6" ht="15" thickBot="1" x14ac:dyDescent="0.35">
      <c r="A10" s="20"/>
      <c r="B10" s="16"/>
      <c r="C10" s="16"/>
      <c r="D10" s="16"/>
      <c r="E10" s="16"/>
      <c r="F10" s="16"/>
    </row>
    <row r="11" spans="1:6" ht="18" x14ac:dyDescent="0.3">
      <c r="A11" s="8" t="s">
        <v>36</v>
      </c>
      <c r="B11" s="21"/>
      <c r="C11" s="21"/>
      <c r="D11" s="21"/>
      <c r="E11" s="21"/>
      <c r="F11" s="21"/>
    </row>
    <row r="12" spans="1:6" x14ac:dyDescent="0.3">
      <c r="A12" s="17" t="s">
        <v>18</v>
      </c>
      <c r="B12" s="18">
        <v>45621</v>
      </c>
      <c r="C12" s="19" t="s">
        <v>13</v>
      </c>
      <c r="D12" s="19" t="s">
        <v>6</v>
      </c>
      <c r="E12" s="18">
        <v>45631</v>
      </c>
      <c r="F12" s="19" t="s">
        <v>35</v>
      </c>
    </row>
    <row r="13" spans="1:6" x14ac:dyDescent="0.3">
      <c r="A13" s="17" t="s">
        <v>12</v>
      </c>
      <c r="B13" s="18">
        <v>45738</v>
      </c>
      <c r="C13" s="19" t="s">
        <v>16</v>
      </c>
      <c r="D13" s="19" t="s">
        <v>37</v>
      </c>
      <c r="E13" s="18">
        <v>45739</v>
      </c>
      <c r="F13" s="19" t="s">
        <v>38</v>
      </c>
    </row>
    <row r="14" spans="1:6" x14ac:dyDescent="0.3">
      <c r="A14" s="20"/>
      <c r="B14" s="16"/>
      <c r="C14" s="16"/>
      <c r="D14" s="16"/>
      <c r="E14" s="16"/>
      <c r="F14" s="16"/>
    </row>
    <row r="18" ht="15" thickBot="1" x14ac:dyDescent="0.35"/>
    <row r="26" ht="15" thickBot="1" x14ac:dyDescent="0.35"/>
    <row r="30" ht="15" thickBot="1" x14ac:dyDescent="0.35"/>
  </sheetData>
  <conditionalFormatting sqref="D1:D1048576">
    <cfRule type="containsText" dxfId="45" priority="1" operator="containsText" text="Pending">
      <formula>NOT(ISERROR(SEARCH("Pending",D1)))</formula>
    </cfRule>
    <cfRule type="containsText" dxfId="44" priority="2" operator="containsText" text="C - ">
      <formula>NOT(ISERROR(SEARCH("C - ",D1)))</formula>
    </cfRule>
    <cfRule type="containsText" dxfId="43" priority="3" operator="containsText" text="A - ">
      <formula>NOT(ISERROR(SEARCH("A - ",D1)))</formula>
    </cfRule>
    <cfRule type="containsText" dxfId="42" priority="4" operator="containsText" text="B - ">
      <formula>NOT(ISERROR(SEARCH("B - ",D1)))</formula>
    </cfRule>
  </conditionalFormatting>
  <pageMargins left="0.70866141732283472" right="0.70866141732283472" top="0.74803149606299213" bottom="0.74803149606299213" header="0.31496062992125978" footer="0.31496062992125978"/>
  <pageSetup paperSize="8" scale="89" firstPageNumber="2" fitToHeight="0" orientation="landscape" r:id="rId2"/>
  <headerFooter>
    <oddFooter>&amp;CPage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9F82E-1E27-4D68-A829-C897DEAE7BD0}">
  <dimension ref="A1:L14"/>
  <sheetViews>
    <sheetView tabSelected="1" zoomScale="85" zoomScaleNormal="85" workbookViewId="0">
      <selection activeCell="D6" sqref="D6"/>
    </sheetView>
  </sheetViews>
  <sheetFormatPr defaultRowHeight="14.4" x14ac:dyDescent="0.3"/>
  <cols>
    <col min="1" max="1" width="19.77734375" bestFit="1" customWidth="1"/>
    <col min="2" max="2" width="17" bestFit="1" customWidth="1"/>
    <col min="3" max="3" width="10.33203125" customWidth="1"/>
    <col min="4" max="4" width="16.77734375" bestFit="1" customWidth="1"/>
    <col min="5" max="5" width="12.109375" customWidth="1"/>
    <col min="6" max="6" width="16.109375" style="1" customWidth="1"/>
    <col min="7" max="7" width="18.44140625" style="1" customWidth="1"/>
    <col min="8" max="8" width="19.6640625" customWidth="1"/>
    <col min="9" max="9" width="53" style="1" customWidth="1"/>
    <col min="10" max="10" width="15.77734375" customWidth="1"/>
    <col min="11" max="11" width="15.77734375" hidden="1" customWidth="1"/>
    <col min="12" max="12" width="25.6640625" customWidth="1"/>
    <col min="13" max="13" width="26.5546875" customWidth="1"/>
  </cols>
  <sheetData>
    <row r="1" spans="1:12" x14ac:dyDescent="0.3">
      <c r="A1" t="s">
        <v>39</v>
      </c>
      <c r="B1" t="s">
        <v>40</v>
      </c>
    </row>
    <row r="2" spans="1:12" x14ac:dyDescent="0.3">
      <c r="A2" s="13" t="s">
        <v>41</v>
      </c>
      <c r="B2" s="9">
        <v>45739</v>
      </c>
    </row>
    <row r="4" spans="1:12" ht="30" customHeight="1" x14ac:dyDescent="0.3">
      <c r="A4" t="s">
        <v>19</v>
      </c>
      <c r="B4" t="s">
        <v>20</v>
      </c>
      <c r="C4" t="s">
        <v>21</v>
      </c>
      <c r="D4" t="s">
        <v>22</v>
      </c>
      <c r="E4" t="s">
        <v>8</v>
      </c>
      <c r="F4" s="1" t="s">
        <v>9</v>
      </c>
      <c r="G4" s="3" t="s">
        <v>2</v>
      </c>
      <c r="H4" t="s">
        <v>10</v>
      </c>
      <c r="I4" s="1" t="s">
        <v>11</v>
      </c>
      <c r="J4" t="s">
        <v>1</v>
      </c>
      <c r="K4" t="s">
        <v>23</v>
      </c>
      <c r="L4" t="s">
        <v>44</v>
      </c>
    </row>
    <row r="5" spans="1:12" ht="28.8" x14ac:dyDescent="0.3">
      <c r="A5" t="s">
        <v>24</v>
      </c>
      <c r="B5" t="s">
        <v>25</v>
      </c>
      <c r="C5" t="s">
        <v>12</v>
      </c>
      <c r="D5" t="s">
        <v>26</v>
      </c>
      <c r="E5" s="9">
        <v>45621</v>
      </c>
      <c r="F5" s="1" t="s">
        <v>13</v>
      </c>
      <c r="G5" s="10" t="s">
        <v>4</v>
      </c>
      <c r="H5" s="9">
        <v>45631</v>
      </c>
      <c r="I5" s="1" t="s">
        <v>14</v>
      </c>
      <c r="J5" t="b">
        <v>0</v>
      </c>
      <c r="K5" t="s">
        <v>32</v>
      </c>
      <c r="L5" s="22" t="str">
        <f>HYPERLINK("https://uk1.aconex.co.uk/hub/index.html?mainTarget=%2FSearchControlledDoc%3FSEARCH_ACTION%3D15%26tab%3D0%26searchMode%3D1%26searchQuery%3Ddocno:%22"&amp;RawData[[#This Row],[Document Number]]&amp;"%22%20%2Bcversion%253A1",RawData[[#This Row],[Document Number]])</f>
        <v>DRW-000001</v>
      </c>
    </row>
    <row r="6" spans="1:12" ht="57.6" x14ac:dyDescent="0.3">
      <c r="A6" t="s">
        <v>24</v>
      </c>
      <c r="B6" t="s">
        <v>25</v>
      </c>
      <c r="C6" t="s">
        <v>15</v>
      </c>
      <c r="D6" t="s">
        <v>27</v>
      </c>
      <c r="E6" s="9">
        <v>45738</v>
      </c>
      <c r="F6" s="1" t="s">
        <v>16</v>
      </c>
      <c r="G6" s="10" t="s">
        <v>28</v>
      </c>
      <c r="H6" s="9">
        <v>45739</v>
      </c>
      <c r="I6" s="1" t="s">
        <v>29</v>
      </c>
      <c r="J6" t="b">
        <v>1</v>
      </c>
      <c r="K6" t="s">
        <v>32</v>
      </c>
      <c r="L6" s="22" t="str">
        <f>HYPERLINK("https://uk1.aconex.co.uk/hub/index.html?mainTarget=%2FSearchControlledDoc%3FSEARCH_ACTION%3D15%26tab%3D0%26searchMode%3D1%26searchQuery%3Ddocno:%22"&amp;RawData[[#This Row],[Document Number]]&amp;"%22%20%2Bcversion%253A1",RawData[[#This Row],[Document Number]])</f>
        <v>DRW-000001</v>
      </c>
    </row>
    <row r="7" spans="1:12" ht="28.8" x14ac:dyDescent="0.3">
      <c r="A7" t="s">
        <v>24</v>
      </c>
      <c r="B7" t="s">
        <v>25</v>
      </c>
      <c r="C7" t="s">
        <v>15</v>
      </c>
      <c r="D7" t="s">
        <v>27</v>
      </c>
      <c r="E7" s="9">
        <v>45739</v>
      </c>
      <c r="F7" s="1" t="s">
        <v>30</v>
      </c>
      <c r="G7" s="1" t="s">
        <v>5</v>
      </c>
      <c r="H7" s="9"/>
      <c r="J7" t="b">
        <v>1</v>
      </c>
      <c r="K7" t="s">
        <v>32</v>
      </c>
      <c r="L7" s="22" t="str">
        <f>HYPERLINK("https://uk1.aconex.co.uk/hub/index.html?mainTarget=%2FSearchControlledDoc%3FSEARCH_ACTION%3D15%26tab%3D0%26searchMode%3D1%26searchQuery%3Ddocno:%22"&amp;RawData[[#This Row],[Document Number]]&amp;"%22%20%2Bcversion%253A1",RawData[[#This Row],[Document Number]])</f>
        <v>DRW-000001</v>
      </c>
    </row>
    <row r="8" spans="1:12" x14ac:dyDescent="0.3">
      <c r="A8" t="s">
        <v>33</v>
      </c>
      <c r="B8" t="s">
        <v>34</v>
      </c>
      <c r="C8" t="s">
        <v>18</v>
      </c>
      <c r="D8" t="s">
        <v>26</v>
      </c>
      <c r="E8" s="9">
        <v>45621</v>
      </c>
      <c r="F8" s="1" t="s">
        <v>13</v>
      </c>
      <c r="G8" s="1" t="s">
        <v>6</v>
      </c>
      <c r="H8" s="9">
        <v>45631</v>
      </c>
      <c r="I8" s="1" t="s">
        <v>35</v>
      </c>
      <c r="J8" t="b">
        <v>0</v>
      </c>
      <c r="K8" t="s">
        <v>36</v>
      </c>
      <c r="L8" s="22" t="str">
        <f>HYPERLINK("https://uk1.aconex.co.uk/hub/index.html?mainTarget=%2FSearchControlledDoc%3FSEARCH_ACTION%3D15%26tab%3D0%26searchMode%3D1%26searchQuery%3Ddocno:%22"&amp;RawData[[#This Row],[Document Number]]&amp;"%22%20%2Bcversion%253A1",RawData[[#This Row],[Document Number]])</f>
        <v>DRW-000002</v>
      </c>
    </row>
    <row r="9" spans="1:12" ht="28.8" x14ac:dyDescent="0.3">
      <c r="A9" t="s">
        <v>33</v>
      </c>
      <c r="B9" t="s">
        <v>34</v>
      </c>
      <c r="C9" t="s">
        <v>12</v>
      </c>
      <c r="D9" t="s">
        <v>26</v>
      </c>
      <c r="E9" s="9">
        <v>45738</v>
      </c>
      <c r="F9" s="1" t="s">
        <v>16</v>
      </c>
      <c r="G9" s="1" t="s">
        <v>37</v>
      </c>
      <c r="H9" s="9">
        <v>45739</v>
      </c>
      <c r="I9" s="1" t="s">
        <v>38</v>
      </c>
      <c r="J9" t="b">
        <v>1</v>
      </c>
      <c r="K9" t="s">
        <v>36</v>
      </c>
      <c r="L9" s="22" t="str">
        <f>HYPERLINK("https://uk1.aconex.co.uk/hub/index.html?mainTarget=%2FSearchControlledDoc%3FSEARCH_ACTION%3D15%26tab%3D0%26searchMode%3D1%26searchQuery%3Ddocno:%22"&amp;RawData[[#This Row],[Document Number]]&amp;"%22%20%2Bcversion%253A1",RawData[[#This Row],[Document Number]])</f>
        <v>DRW-000002</v>
      </c>
    </row>
    <row r="14" spans="1:12" ht="28.8" x14ac:dyDescent="0.3"/>
  </sheetData>
  <conditionalFormatting sqref="G1:G1048576">
    <cfRule type="containsText" dxfId="41" priority="1" operator="containsText" text="Pending">
      <formula>NOT(ISERROR(SEARCH("Pending",G1)))</formula>
    </cfRule>
    <cfRule type="containsText" dxfId="40" priority="2" operator="containsText" text="C - ">
      <formula>NOT(ISERROR(SEARCH("C - ",G1)))</formula>
    </cfRule>
    <cfRule type="containsText" dxfId="39" priority="3" operator="containsText" text="A - ">
      <formula>NOT(ISERROR(SEARCH("A - ",G1)))</formula>
    </cfRule>
    <cfRule type="containsText" dxfId="38" priority="4" operator="containsText" text="B - ">
      <formula>NOT(ISERROR(SEARCH("B - ",G1)))</formula>
    </cfRule>
  </conditionalFormatting>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4D8EE5-2CA9-4D81-A215-46F270C0A502}">
  <ds:schemaRefs>
    <ds:schemaRef ds:uri="http://schemas.microsoft.com/DataMashup"/>
  </ds:schemaRefs>
</ds:datastoreItem>
</file>

<file path=docMetadata/LabelInfo.xml><?xml version="1.0" encoding="utf-8"?>
<clbl:labelList xmlns:clbl="http://schemas.microsoft.com/office/2020/mipLabelMetadata">
  <clbl:label id="{428e5717-1df4-456d-8576-f827ff2d20e1}" enabled="1" method="Privileged" siteId="{69033406-071b-4a95-919c-befbd00ae24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Summary</vt:lpstr>
      <vt:lpstr>Tracker</vt:lpstr>
      <vt:lpstr>RawData</vt:lpstr>
      <vt:lpstr>DateGenerated</vt:lpstr>
      <vt:lpstr>Summary!Print_Area</vt:lpstr>
      <vt:lpstr>Tracker!Print_Titles</vt:lpstr>
      <vt:lpstr>ProjectName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Millinship</dc:creator>
  <cp:lastModifiedBy>Nicole Millinship</cp:lastModifiedBy>
  <cp:lastPrinted>2025-03-23T18:37:30Z</cp:lastPrinted>
  <dcterms:created xsi:type="dcterms:W3CDTF">2024-12-09T14:44:19Z</dcterms:created>
  <dcterms:modified xsi:type="dcterms:W3CDTF">2025-03-23T20:03:36Z</dcterms:modified>
</cp:coreProperties>
</file>