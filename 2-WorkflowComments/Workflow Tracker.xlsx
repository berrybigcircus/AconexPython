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C:\Users\nicole.millinship\PycharmProjects\AconexPython\2-WorkflowComments\"/>
    </mc:Choice>
  </mc:AlternateContent>
  <xr:revisionPtr revIDLastSave="0" documentId="13_ncr:1_{37E884F9-B1C9-4AE5-BA87-87D4C99D6638}" xr6:coauthVersionLast="47" xr6:coauthVersionMax="47" xr10:uidLastSave="{00000000-0000-0000-0000-000000000000}"/>
  <bookViews>
    <workbookView xWindow="28680" yWindow="-120" windowWidth="25440" windowHeight="15270" activeTab="1" xr2:uid="{88656BE8-9090-43C8-90C5-4CCBCCF71E67}"/>
  </bookViews>
  <sheets>
    <sheet name="Summary" sheetId="1" r:id="rId1"/>
    <sheet name="Tracker" sheetId="2" r:id="rId2"/>
    <sheet name="RawData" sheetId="4" r:id="rId3"/>
  </sheets>
  <definedNames>
    <definedName name="DateGenerated">Summary!$D$3</definedName>
    <definedName name="ExternalData_1" localSheetId="2" hidden="1">'RawData'!$A$4:$K$1078</definedName>
    <definedName name="ExternalData_1" localSheetId="0" hidden="1">Summary!#REF!</definedName>
    <definedName name="ExternalData_2" localSheetId="2" hidden="1">'RawData'!$A$1:$B$2</definedName>
    <definedName name="_xlnm.Print_Area" localSheetId="0">Summary!$D$1:$G$24</definedName>
    <definedName name="_xlnm.Print_Titles" localSheetId="1">Tracker!$1:$5</definedName>
    <definedName name="ProjectName">Summary!$D$2</definedName>
  </definedNames>
  <calcPr calcId="191029"/>
  <pivotCaches>
    <pivotCache cacheId="14" r:id="rId4"/>
    <pivotCache cacheId="24"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4" l="1"/>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D3" i="1" l="1" a="1"/>
  <c r="D3" i="1" s="1"/>
  <c r="A3" i="2" s="1"/>
  <c r="D2" i="1"/>
  <c r="A2" i="2" s="1"/>
  <c r="F1" i="2"/>
  <c r="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4EDD3B-8E61-4177-9C3E-0D72C167B9D6}" keepAlive="1" name="Query - DocStatuses" description="Connection to the 'DocStatuses' query in the workbook." type="5" refreshedVersion="8" background="1">
    <dbPr connection="Provider=Microsoft.Mashup.OleDb.1;Data Source=$Workbook$;Location=DocStatuses;Extended Properties=&quot;&quot;" command="SELECT * FROM [DocStatuses]"/>
  </connection>
  <connection id="2" xr16:uid="{7519C9DB-07D1-476E-B2E3-6F8EB48F7F11}" keepAlive="1" name="Query - ProjectInfo" description="Connection to the 'ProjectInfo' query in the workbook." type="5" refreshedVersion="8" background="1" saveData="1">
    <dbPr connection="Provider=Microsoft.Mashup.OleDb.1;Data Source=$Workbook$;Location=ProjectInfo;Extended Properties=&quot;&quot;" command="SELECT * FROM [ProjectInfo]"/>
  </connection>
  <connection id="3" xr16:uid="{C945485A-F23E-45C7-96C5-99F66170B0C3}" keepAlive="1" name="Query - RawData" description="Connection to the 'RawData' query in the workbook." type="5" refreshedVersion="8" background="1" refreshOnLoad="1" saveData="1">
    <dbPr connection="Provider=Microsoft.Mashup.OleDb.1;Data Source=$Workbook$;Location=RawData;Extended Properties=&quot;&quot;" command="SELECT * FROM [Raw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<sst xmlns="http://schemas.openxmlformats.org/spreadsheetml/2006/main" count="11500" uniqueCount="2673">
  <si>
    <t>Workflow Document Tracker</t>
  </si>
  <si>
    <t>Latest revision?</t>
  </si>
  <si>
    <t>Step Outcome</t>
  </si>
  <si>
    <t>Summary Page</t>
  </si>
  <si>
    <t>Pending</t>
  </si>
  <si>
    <t>Grand Total</t>
  </si>
  <si>
    <t>Date In</t>
  </si>
  <si>
    <t>Step Name</t>
  </si>
  <si>
    <t>Date of Comments</t>
  </si>
  <si>
    <t>Comments</t>
  </si>
  <si>
    <t>P02</t>
  </si>
  <si>
    <t>P03</t>
  </si>
  <si>
    <t>DFE Review</t>
  </si>
  <si>
    <t>(blank)</t>
  </si>
  <si>
    <t>P01</t>
  </si>
  <si>
    <t>Document Number</t>
  </si>
  <si>
    <t>Title</t>
  </si>
  <si>
    <t>Revision</t>
  </si>
  <si>
    <t>Workflow Status</t>
  </si>
  <si>
    <t>(Helper) Num + Title</t>
  </si>
  <si>
    <t>Completed</t>
  </si>
  <si>
    <t>In Progress</t>
  </si>
  <si>
    <t>C - Rejected</t>
  </si>
  <si>
    <t>Designer Response</t>
  </si>
  <si>
    <t/>
  </si>
  <si>
    <t>A - Accepted</t>
  </si>
  <si>
    <t>Project Name</t>
  </si>
  <si>
    <t>Date Generated</t>
  </si>
  <si>
    <t>Row Labels</t>
  </si>
  <si>
    <t>Count of (Helper) Doc Status</t>
  </si>
  <si>
    <t>(Helper) Hyperlink</t>
  </si>
  <si>
    <t>FS1018-ADT-ZZ-00-D-J-0001</t>
  </si>
  <si>
    <t>Acoustic criteria - ground floor</t>
  </si>
  <si>
    <t>Architectural Review</t>
  </si>
  <si>
    <t>A3 - Accepted</t>
  </si>
  <si>
    <t>FS1018-ADT-ZZ-00-D-J-0001          Acoustic criteria - ground floor</t>
  </si>
  <si>
    <t>BB93 Acoustic Criteria Ground Floor</t>
  </si>
  <si>
    <t>FS1018-ADT-ZZ-00-D-J-0001          BB93 Acoustic Criteria Ground Floor</t>
  </si>
  <si>
    <t>FS1018-ADT-ZZ-00-D-J-0004</t>
  </si>
  <si>
    <t>Acoustic  wall types - ground floor</t>
  </si>
  <si>
    <t>B3 - Partially Accepted with Comments</t>
  </si>
  <si>
    <t>Have the internal wall types been developed to take into account the minimum wall thicknesses to satisfy the acoustic requirements, which vary from 250 - 600mm studs?</t>
  </si>
  <si>
    <t>FS1018-ADT-ZZ-00-D-J-0004          Acoustic  wall types - ground floor</t>
  </si>
  <si>
    <t>Acoustic Wall Types Ground Floor</t>
  </si>
  <si>
    <t>FS1018-ADT-ZZ-00-D-J-0004          Acoustic Wall Types Ground Floor</t>
  </si>
  <si>
    <t>FS1018-ADT-ZZ-01-D-J-0002</t>
  </si>
  <si>
    <t>Acoustic criteria - first floor</t>
  </si>
  <si>
    <t>FS1018-ADT-ZZ-01-D-J-0002          Acoustic criteria - first floor</t>
  </si>
  <si>
    <t>BB93 Acoustic Criteria First Floor</t>
  </si>
  <si>
    <t>FS1018-ADT-ZZ-01-D-J-0002          BB93 Acoustic Criteria First Floor</t>
  </si>
  <si>
    <t>FS1018-ADT-ZZ-01-D-J-0005</t>
  </si>
  <si>
    <t>Acoustic wall types - first floor</t>
  </si>
  <si>
    <t>See comments on FS1018-ADT-ZZ-00-D-J-0004</t>
  </si>
  <si>
    <t>FS1018-ADT-ZZ-01-D-J-0005          Acoustic wall types - first floor</t>
  </si>
  <si>
    <t>Acoustic Wall Types First Floor</t>
  </si>
  <si>
    <t>FS1018-ADT-ZZ-01-D-J-0005          Acoustic Wall Types First Floor</t>
  </si>
  <si>
    <t>FS1018-ADT-ZZ-02-D-J-0003</t>
  </si>
  <si>
    <t>Acoustic criteria - second floor</t>
  </si>
  <si>
    <t>FS1018-ADT-ZZ-02-D-J-0003          Acoustic criteria - second floor</t>
  </si>
  <si>
    <t>BB93 Acoustic Criteria Second Floor</t>
  </si>
  <si>
    <t>FS1018-ADT-ZZ-02-D-J-0003          BB93 Acoustic Criteria Second Floor</t>
  </si>
  <si>
    <t>FS1018-ADT-ZZ-02-D-J-0006</t>
  </si>
  <si>
    <t>Acoustic wall types - second floor</t>
  </si>
  <si>
    <t>FS1018-ADT-ZZ-02-D-J-0006          Acoustic wall types - second floor</t>
  </si>
  <si>
    <t>Acoustic Wall Types Second Floor</t>
  </si>
  <si>
    <t>FS1018-ADT-ZZ-02-D-J-0006          Acoustic Wall Types Second Floor</t>
  </si>
  <si>
    <t>FS1018-ADT-ZZ-ZZ-T-J-0001</t>
  </si>
  <si>
    <t>Stage 3 acoustic strategy</t>
  </si>
  <si>
    <t>Refer to comment on document</t>
  </si>
  <si>
    <t>FS1018-ADT-ZZ-ZZ-T-J-0001          Stage 3 acoustic strategy</t>
  </si>
  <si>
    <t>Acoustic Strategy</t>
  </si>
  <si>
    <t>To be closed out in Stage 4 review - added to  Clarifications log to ensure review is complete in Stage 4</t>
  </si>
  <si>
    <t>FS1018-ADT-ZZ-ZZ-T-J-0001          Acoustic Strategy</t>
  </si>
  <si>
    <t>FS1018-ADT-ZZ-ZZ-T-Y-0002</t>
  </si>
  <si>
    <t>Environmental Noise Impact Assessment</t>
  </si>
  <si>
    <t>FS1018-ADT-ZZ-ZZ-T-Y-0002          Environmental Noise Impact Assessment</t>
  </si>
  <si>
    <t>FS1018-AGL-XX-XX-L-X-0007</t>
  </si>
  <si>
    <t>Risk Register</t>
  </si>
  <si>
    <t>Client Review</t>
  </si>
  <si>
    <t>FS1018-AGL-XX-XX-L-X-0007          Risk Register</t>
  </si>
  <si>
    <t>FS1018-AGL-ZZ-00-D-E-6101</t>
  </si>
  <si>
    <t>Level 00 Distribution Strategy</t>
  </si>
  <si>
    <t>Electrical Review</t>
  </si>
  <si>
    <t>Cables or other electrical equipment shall not be installed in a protected escape route unless part of an essential fire safety or related safety system, general needs lighting, socket- outlets provided for cleaning or maintenance. please refer to the latest BS 7671 18th edition (regulation 422.2). _x000D_
_x000D_
Data containment shall be installed at 300mm away from LV submain tray inorder to migitate the electromagnetic interference issue._x000D_
_x000D_
Fire alarm cables should have been installed independently of the other cables._x000D_
_x000D_
Separate partition required in the services shaft to protect the fire alarm and data tray_x000D_
_x000D_
Confirm which DB supply serves the furniture store, plantroom (heat source and water heater)</t>
  </si>
  <si>
    <t>FS1018-AGL-ZZ-00-D-E-6101          Level 00 Distribution Strategy</t>
  </si>
  <si>
    <t>FS1018-AGL-ZZ-00-D-E-6110</t>
  </si>
  <si>
    <t>Level 00 Containment Sheet 1</t>
  </si>
  <si>
    <t>FS1018-AGL-ZZ-00-D-E-6110          Level 00 Containment Sheet 1</t>
  </si>
  <si>
    <t>FS1018-AGL-ZZ-00-D-E-6111</t>
  </si>
  <si>
    <t>Level 00 Containment Sheet 2</t>
  </si>
  <si>
    <t>FS1018-AGL-ZZ-00-D-E-6111          Level 00 Containment Sheet 2</t>
  </si>
  <si>
    <t>FS1018-AGL-ZZ-00-D-E-6112</t>
  </si>
  <si>
    <t>Level 00 Containment Sheet 3</t>
  </si>
  <si>
    <t>FS1018-AGL-ZZ-00-D-E-6112          Level 00 Containment Sheet 3</t>
  </si>
  <si>
    <t>FS1018-AGL-ZZ-00-D-E-6114</t>
  </si>
  <si>
    <t>Building Electrical Switchroom Details</t>
  </si>
  <si>
    <t>FS1018-AGL-ZZ-00-D-E-6114          Building Electrical Switchroom Details</t>
  </si>
  <si>
    <t>FS1018-AGL-ZZ-00-D-E-6210</t>
  </si>
  <si>
    <t>Level 00 Small Power And Data Sheet 1</t>
  </si>
  <si>
    <t>FS1018-AGL-ZZ-00-D-E-6210          Level 00 Small Power And Data Sheet 1</t>
  </si>
  <si>
    <t>FS1018-AGL-ZZ-00-D-E-6211</t>
  </si>
  <si>
    <t>Level 00 Small Power And Data Sheet 2</t>
  </si>
  <si>
    <t>FS1018-AGL-ZZ-00-D-E-6211          Level 00 Small Power And Data Sheet 2</t>
  </si>
  <si>
    <t>FS1018-AGL-ZZ-00-D-E-6212</t>
  </si>
  <si>
    <t>Level 00 Small Power And Data Sheet 3</t>
  </si>
  <si>
    <t>FS1018-AGL-ZZ-00-D-E-6212          Level 00 Small Power And Data Sheet 3</t>
  </si>
  <si>
    <t>FS1018-AGL-ZZ-00-D-E-6213</t>
  </si>
  <si>
    <t>Level 00 MSER Sheet 1</t>
  </si>
  <si>
    <t>FS1018-AGL-ZZ-00-D-E-6213          Level 00 MSER Sheet 1</t>
  </si>
  <si>
    <t>FS1018-AGL-ZZ-00-D-E-6214</t>
  </si>
  <si>
    <t>Level 00 MSER Sheet 2</t>
  </si>
  <si>
    <t>FS1018-AGL-ZZ-00-D-E-6214          Level 00 MSER Sheet 2</t>
  </si>
  <si>
    <t>FS1018-AGL-ZZ-00-D-E-6215</t>
  </si>
  <si>
    <t>Level 00 MSER Sheet 3</t>
  </si>
  <si>
    <t>FS1018-AGL-ZZ-00-D-E-6215          Level 00 MSER Sheet 3</t>
  </si>
  <si>
    <t>FS1018-AGL-ZZ-00-D-E-6301</t>
  </si>
  <si>
    <t>Level 00 Lighting Lux Levels Strategy</t>
  </si>
  <si>
    <t>200lux level to be achived in front of lift._x000D_
_x000D_
Confirm the lux level requirements of cold store, food store, kicthe office areas near to food prep area_x000D_
_x000D_
Confirm why two lux requirements for music practice rooms?_x000D_
_x000D_
It appears that in various areas, the same rooms have different lux requirements (Eg. Confidential Meeting rooms near entrance)</t>
  </si>
  <si>
    <t>FS1018-AGL-ZZ-00-D-E-6301          Level 00 Lighting Lux Levels Strategy</t>
  </si>
  <si>
    <t>FS1018-AGL-ZZ-00-D-E-6302</t>
  </si>
  <si>
    <t>Level 00 Lighting Controls Strategy</t>
  </si>
  <si>
    <t>FS1018-AGL-ZZ-00-D-E-6302          Level 00 Lighting Controls Strategy</t>
  </si>
  <si>
    <t>FS1018-AGL-ZZ-00-D-E-6310</t>
  </si>
  <si>
    <t>Level 00 Lighting Sheet 1</t>
  </si>
  <si>
    <t>FS1018-AGL-ZZ-00-D-E-6310          Level 00 Lighting Sheet 1</t>
  </si>
  <si>
    <t>FS1018-AGL-ZZ-00-D-E-6311</t>
  </si>
  <si>
    <t>Level 00 Lighting Sheet 2</t>
  </si>
  <si>
    <t>FS1018-AGL-ZZ-00-D-E-6311          Level 00 Lighting Sheet 2</t>
  </si>
  <si>
    <t>FS1018-AGL-ZZ-00-D-E-6312</t>
  </si>
  <si>
    <t>Level 00 Lighting Sheet 3</t>
  </si>
  <si>
    <t>FS1018-AGL-ZZ-00-D-E-6312          Level 00 Lighting Sheet 3</t>
  </si>
  <si>
    <t>FS1018-AGL-ZZ-00-D-E-6801</t>
  </si>
  <si>
    <t>Level 00 Fire Alarm Strategy</t>
  </si>
  <si>
    <t xml:space="preserve">Confirm the location of fire alarm panel._x000D_
_x000D_
Confirm the fire alarm detection location of triple height spaces such as assembly halls, sports halls. </t>
  </si>
  <si>
    <t>FS1018-AGL-ZZ-00-D-E-6801          Level 00 Fire Alarm Strategy</t>
  </si>
  <si>
    <t>FS1018-AGL-ZZ-00-D-E-6802</t>
  </si>
  <si>
    <t>Level 00 CCTV and Access Control Strategy</t>
  </si>
  <si>
    <t>Confirm that the door access control is linked to the fire alarm panel for fail-safe operation during emergency evacuation.</t>
  </si>
  <si>
    <t>FS1018-AGL-ZZ-00-D-E-6802          Level 00 CCTV and Access Control Strategy</t>
  </si>
  <si>
    <t>FS1018-AGL-ZZ-00-D-E-6803</t>
  </si>
  <si>
    <t>Level 00 PA Strategy</t>
  </si>
  <si>
    <t xml:space="preserve">BS5839-1 says fire alarm sounder should not be used for purposes other than warning of fire, unless the response required is identical to that required in the event of fire (i.e immediate evacuation by use of all escape routes). However, as an established exception, the fire alarm signal may be used in schools to indicate start or finish of predetermined periods. The duration of such signal should not exceed 5s. Please confirm if the PA system and  the class change system are independent of the fire alarm system._x000D_
_x000D_
</t>
  </si>
  <si>
    <t>FS1018-AGL-ZZ-00-D-E-6803          Level 00 PA Strategy</t>
  </si>
  <si>
    <t>FS1018-AGL-ZZ-00-D-E-6810</t>
  </si>
  <si>
    <t>Level 00 Fire Alarm Sheet 1</t>
  </si>
  <si>
    <t>FS1018-AGL-ZZ-00-D-E-6810          Level 00 Fire Alarm Sheet 1</t>
  </si>
  <si>
    <t>FS1018-AGL-ZZ-00-D-E-6811</t>
  </si>
  <si>
    <t>Level 00 Fire Alarm Sheet 2</t>
  </si>
  <si>
    <t>FS1018-AGL-ZZ-00-D-E-6811          Level 00 Fire Alarm Sheet 2</t>
  </si>
  <si>
    <t>FS1018-AGL-ZZ-00-D-E-6812</t>
  </si>
  <si>
    <t>Level 00 Fire Alarm Sheet 3</t>
  </si>
  <si>
    <t>FS1018-AGL-ZZ-00-D-E-6812          Level 00 Fire Alarm Sheet 3</t>
  </si>
  <si>
    <t>FS1018-AGL-ZZ-00-D-E-6820</t>
  </si>
  <si>
    <t>Level 00 Fire Alarm Zoning Sheet 1</t>
  </si>
  <si>
    <t>FS1018-AGL-ZZ-00-D-E-6820          Level 00 Fire Alarm Zoning Sheet 1</t>
  </si>
  <si>
    <t>FS1018-AGL-ZZ-00-D-E-6821</t>
  </si>
  <si>
    <t>Level 00 Fire Alarm Zoning Sheet 2</t>
  </si>
  <si>
    <t>FS1018-AGL-ZZ-00-D-E-6821          Level 00 Fire Alarm Zoning Sheet 2</t>
  </si>
  <si>
    <t>FS1018-AGL-ZZ-00-D-E-6822</t>
  </si>
  <si>
    <t>Level 00 Fire Alarm Zoning Sheet 3</t>
  </si>
  <si>
    <t>FS1018-AGL-ZZ-00-D-E-6822          Level 00 Fire Alarm Zoning Sheet 3</t>
  </si>
  <si>
    <t>FS1018-AGL-ZZ-00-D-E-6840</t>
  </si>
  <si>
    <t>Level 00 Security Sheet 1</t>
  </si>
  <si>
    <t>FS1018-AGL-ZZ-00-D-E-6840          Level 00 Security Sheet 1</t>
  </si>
  <si>
    <t>FS1018-AGL-ZZ-00-D-E-6841</t>
  </si>
  <si>
    <t>Level 00 Security Sheet 2</t>
  </si>
  <si>
    <t>FS1018-AGL-ZZ-00-D-E-6841          Level 00 Security Sheet 2</t>
  </si>
  <si>
    <t>FS1018-AGL-ZZ-00-D-E-6842</t>
  </si>
  <si>
    <t>Level 00 Security Sheet 3</t>
  </si>
  <si>
    <t>FS1018-AGL-ZZ-00-D-E-6842          Level 00 Security Sheet 3</t>
  </si>
  <si>
    <t>FS1018-AGL-ZZ-00-D-E-9001</t>
  </si>
  <si>
    <t>Photovoltaic Canopies</t>
  </si>
  <si>
    <t>FS1018-AGL-ZZ-00-D-E-9001          Photovoltaic Canopies</t>
  </si>
  <si>
    <t>FS1018-AGL-ZZ-00-D-M-5201</t>
  </si>
  <si>
    <t>Level 00 Above Ground Drainage Strategy</t>
  </si>
  <si>
    <t>Mechanical Review</t>
  </si>
  <si>
    <t>Would have expected to see PH major routes/ proposed sizes and riser locations. Currently no pipework shown within drawings for review</t>
  </si>
  <si>
    <t>FS1018-AGL-ZZ-00-D-M-5201          Level 00 Above Ground Drainage Strategy</t>
  </si>
  <si>
    <t>FS1018-AGL-ZZ-00-D-M-5210</t>
  </si>
  <si>
    <t>Level 00 Above Ground Drainage Sheet 1</t>
  </si>
  <si>
    <t>FS1018-AGL-ZZ-00-D-M-5210          Level 00 Above Ground Drainage Sheet 1</t>
  </si>
  <si>
    <t>FS1018-AGL-ZZ-00-D-M-5211</t>
  </si>
  <si>
    <t>Level 00 Above Ground Drainage Sheet 2</t>
  </si>
  <si>
    <t>FS1018-AGL-ZZ-00-D-M-5211          Level 00 Above Ground Drainage Sheet 2</t>
  </si>
  <si>
    <t>FS1018-AGL-ZZ-00-D-M-5212</t>
  </si>
  <si>
    <t>Level 00 Above Ground Drainage Sheet 3</t>
  </si>
  <si>
    <t>FS1018-AGL-ZZ-00-D-M-5212          Level 00 Above Ground Drainage Sheet 3</t>
  </si>
  <si>
    <t>FS1018-AGL-ZZ-00-D-M-5301</t>
  </si>
  <si>
    <t>Level 00 Domestic Water Services Strategy</t>
  </si>
  <si>
    <t>FS1018-AGL-ZZ-00-D-M-5301          Level 00 Domestic Water Services Strategy</t>
  </si>
  <si>
    <t>FS1018-AGL-ZZ-00-D-M-5310</t>
  </si>
  <si>
    <t>Level 00 Domestic Water Services Sheet 1</t>
  </si>
  <si>
    <t>FS1018-AGL-ZZ-00-D-M-5310          Level 00 Domestic Water Services Sheet 1</t>
  </si>
  <si>
    <t>FS1018-AGL-ZZ-00-D-M-5311</t>
  </si>
  <si>
    <t>Level 00 Domestic Water Services Sheet 2</t>
  </si>
  <si>
    <t>FS1018-AGL-ZZ-00-D-M-5311          Level 00 Domestic Water Services Sheet 2</t>
  </si>
  <si>
    <t>FS1018-AGL-ZZ-00-D-M-5312</t>
  </si>
  <si>
    <t>Level 00 Domestic Water Services Sheet 3</t>
  </si>
  <si>
    <t>FS1018-AGL-ZZ-00-D-M-5312          Level 00 Domestic Water Services Sheet 3</t>
  </si>
  <si>
    <t>FS1018-AGL-ZZ-00-D-M-5401</t>
  </si>
  <si>
    <t>Level 00 Gas Strategy</t>
  </si>
  <si>
    <t>Would have expected to see major gas routes/ proposed sizes and riser locations in stage 3 design. Currently no pipework shown within drawings for review.</t>
  </si>
  <si>
    <t>FS1018-AGL-ZZ-00-D-M-5401          Level 00 Gas Strategy</t>
  </si>
  <si>
    <t>FS1018-AGL-ZZ-00-D-M-5410</t>
  </si>
  <si>
    <t>Level 00 Gas</t>
  </si>
  <si>
    <t>FS1018-AGL-ZZ-00-D-M-5410          Level 00 Gas</t>
  </si>
  <si>
    <t>FS1018-AGL-ZZ-00-D-M-5601</t>
  </si>
  <si>
    <t>Level 00 Heating and Cooling Strategy</t>
  </si>
  <si>
    <t>Would have expected to see major heating and cooling routes/ proposed sizes and riser locations in stage 3 design. Currently no pipework shown within drawings for review.</t>
  </si>
  <si>
    <t>FS1018-AGL-ZZ-00-D-M-5601          Level 00 Heating and Cooling Strategy</t>
  </si>
  <si>
    <t>FS1018-AGL-ZZ-00-D-M-5610</t>
  </si>
  <si>
    <t>Level 00 Heating and Cooling Sheet 1</t>
  </si>
  <si>
    <t>FS1018-AGL-ZZ-00-D-M-5610          Level 00 Heating and Cooling Sheet 1</t>
  </si>
  <si>
    <t>FS1018-AGL-ZZ-00-D-M-5611</t>
  </si>
  <si>
    <t>Level 00 Heating and Cooling Sheet 2</t>
  </si>
  <si>
    <t>FS1018-AGL-ZZ-00-D-M-5611          Level 00 Heating and Cooling Sheet 2</t>
  </si>
  <si>
    <t>FS1018-AGL-ZZ-00-D-M-5612</t>
  </si>
  <si>
    <t>Level 00 Heating and Cooling Sheet 3</t>
  </si>
  <si>
    <t>FS1018-AGL-ZZ-00-D-M-5612          Level 00 Heating and Cooling Sheet 3</t>
  </si>
  <si>
    <t>FS1018-AGL-ZZ-00-D-M-5701</t>
  </si>
  <si>
    <t>Level 00 Ventilation Strategy</t>
  </si>
  <si>
    <t>Would have expected to see major ventilation routes/ proposed sizes and riser locations in stage 3 design. Currently no pipework shown within drawings for review.</t>
  </si>
  <si>
    <t>FS1018-AGL-ZZ-00-D-M-5701          Level 00 Ventilation Strategy</t>
  </si>
  <si>
    <t>FS1018-AGL-ZZ-00-D-M-5710</t>
  </si>
  <si>
    <t>Level 00 Ventilation Sheet 1</t>
  </si>
  <si>
    <t>FS1018-AGL-ZZ-00-D-M-5710          Level 00 Ventilation Sheet 1</t>
  </si>
  <si>
    <t>FS1018-AGL-ZZ-00-D-M-5711</t>
  </si>
  <si>
    <t>Level 00 Ventilation Sheet 2</t>
  </si>
  <si>
    <t>FS1018-AGL-ZZ-00-D-M-5711          Level 00 Ventilation Sheet 2</t>
  </si>
  <si>
    <t>FS1018-AGL-ZZ-00-D-M-5712</t>
  </si>
  <si>
    <t>Level 00 Ventilation Sheet 3</t>
  </si>
  <si>
    <t>FS1018-AGL-ZZ-00-D-M-5712          Level 00 Ventilation Sheet 3</t>
  </si>
  <si>
    <t>FS1018-AGL-ZZ-00-D-M-5810</t>
  </si>
  <si>
    <t>Level 00 Plantroom Sheet 1</t>
  </si>
  <si>
    <t>FS1018-AGL-ZZ-00-D-M-5810          Level 00 Plantroom Sheet 1</t>
  </si>
  <si>
    <t>FS1018-AGL-ZZ-00-D-M-5811</t>
  </si>
  <si>
    <t>Level 00 Plantroom Sheet 2</t>
  </si>
  <si>
    <t>FS1018-AGL-ZZ-00-D-M-5811          Level 00 Plantroom Sheet 2</t>
  </si>
  <si>
    <t>FS1018-AGL-ZZ-00-D-Z-6010</t>
  </si>
  <si>
    <t>Level 00 Builderswork Sheet 1</t>
  </si>
  <si>
    <t>FS1018-AGL-ZZ-00-D-Z-6010          Level 00 Builderswork Sheet 1</t>
  </si>
  <si>
    <t>FS1018-AGL-ZZ-00-D-Z-6011</t>
  </si>
  <si>
    <t>Level 00 Builderswork Sheet 2</t>
  </si>
  <si>
    <t>FS1018-AGL-ZZ-00-D-Z-6011          Level 00 Builderswork Sheet 2</t>
  </si>
  <si>
    <t>FS1018-AGL-ZZ-00-D-Z-6012</t>
  </si>
  <si>
    <t>Level 00 Builderswork Sheet 3</t>
  </si>
  <si>
    <t>FS1018-AGL-ZZ-00-D-Z-6012          Level 00 Builderswork Sheet 3</t>
  </si>
  <si>
    <t>FS1018-AGL-ZZ-00-D-Z-9501</t>
  </si>
  <si>
    <t>Level 00 Plant Access and Maintenance Strategy</t>
  </si>
  <si>
    <t>Multiple Discipline Review</t>
  </si>
  <si>
    <t>'- Would have expected to see critical maintenance information including maintenance space requirements, delivery path, etc. Currently only showing “access required” in the drawing._x000D_
- Please confirm the access, maintenance, and replacement strategy for lighting and smoke detection systems in the assembly halls and sports hall.</t>
  </si>
  <si>
    <t>FS1018-AGL-ZZ-00-D-Z-9501          Level 00 Plant Access and Maintenance Strategy</t>
  </si>
  <si>
    <t>FS1018-AGL-ZZ-00-D-Z-9610</t>
  </si>
  <si>
    <t>Level 00 Reflected Ceiling Plan Sheet 1</t>
  </si>
  <si>
    <t>FS1018-AGL-ZZ-00-D-Z-9610          Level 00 Reflected Ceiling Plan Sheet 1</t>
  </si>
  <si>
    <t>FS1018-AGL-ZZ-00-D-Z-9611</t>
  </si>
  <si>
    <t>Level 00 Reflected Ceiling Plan Sheet 2</t>
  </si>
  <si>
    <t>FS1018-AGL-ZZ-00-D-Z-9611          Level 00 Reflected Ceiling Plan Sheet 2</t>
  </si>
  <si>
    <t>FS1018-AGL-ZZ-00-D-Z-9612</t>
  </si>
  <si>
    <t>Level 00 Reflected Ceiling Plan Sheet 3</t>
  </si>
  <si>
    <t>FS1018-AGL-ZZ-00-D-Z-9612          Level 00 Reflected Ceiling Plan Sheet 3</t>
  </si>
  <si>
    <t>FS1018-AGL-ZZ-01-D-E-6101</t>
  </si>
  <si>
    <t>Level 01 Distribution Strategy</t>
  </si>
  <si>
    <t>Data containment shall be installed at 300mm away from LV submain tray inorder to migitate the electromagnetic interference issue._x000D_
_x000D_
Fire alarm cables should have been installed independently of the other cables._x000D_
_x000D_
Separate partition required in the services shaft to protect the fire alarm and data tray</t>
  </si>
  <si>
    <t>FS1018-AGL-ZZ-01-D-E-6101          Level 01 Distribution Strategy</t>
  </si>
  <si>
    <t>FS1018-AGL-ZZ-01-D-E-6110</t>
  </si>
  <si>
    <t>Level 01 Containment Sheet 1</t>
  </si>
  <si>
    <t>FS1018-AGL-ZZ-01-D-E-6110          Level 01 Containment Sheet 1</t>
  </si>
  <si>
    <t>FS1018-AGL-ZZ-01-D-E-6111</t>
  </si>
  <si>
    <t>Level 01 Containment Sheet 2</t>
  </si>
  <si>
    <t>FS1018-AGL-ZZ-01-D-E-6111          Level 01 Containment Sheet 2</t>
  </si>
  <si>
    <t>FS1018-AGL-ZZ-01-D-E-6210</t>
  </si>
  <si>
    <t>Level 01 Small Power And Data Sheet 1</t>
  </si>
  <si>
    <t>FS1018-AGL-ZZ-01-D-E-6210          Level 01 Small Power And Data Sheet 1</t>
  </si>
  <si>
    <t>FS1018-AGL-ZZ-01-D-E-6211</t>
  </si>
  <si>
    <t>Level 01 Small Power And Data Sheet 2</t>
  </si>
  <si>
    <t>FS1018-AGL-ZZ-01-D-E-6211          Level 01 Small Power And Data Sheet 2</t>
  </si>
  <si>
    <t>FS1018-AGL-ZZ-01-D-E-6212</t>
  </si>
  <si>
    <t>Level 01 MSER Sheet 1</t>
  </si>
  <si>
    <t>FS1018-AGL-ZZ-01-D-E-6212          Level 01 MSER Sheet 1</t>
  </si>
  <si>
    <t>FS1018-AGL-ZZ-01-D-E-6213</t>
  </si>
  <si>
    <t>Level 01 MSER Sheet 2</t>
  </si>
  <si>
    <t>FS1018-AGL-ZZ-01-D-E-6213          Level 01 MSER Sheet 2</t>
  </si>
  <si>
    <t>FS1018-AGL-ZZ-01-D-E-6301</t>
  </si>
  <si>
    <t>Level 01 Lighting Lux Levels Strategy</t>
  </si>
  <si>
    <t>200lux level to be achived in front of lift.</t>
  </si>
  <si>
    <t>FS1018-AGL-ZZ-01-D-E-6301          Level 01 Lighting Lux Levels Strategy</t>
  </si>
  <si>
    <t>FS1018-AGL-ZZ-01-D-E-6302</t>
  </si>
  <si>
    <t>Level 01 Lighting Controls Strategy</t>
  </si>
  <si>
    <t>FS1018-AGL-ZZ-01-D-E-6302          Level 01 Lighting Controls Strategy</t>
  </si>
  <si>
    <t>FS1018-AGL-ZZ-01-D-E-6310</t>
  </si>
  <si>
    <t>Level 01 Lighting Sheet 1</t>
  </si>
  <si>
    <t>FS1018-AGL-ZZ-01-D-E-6310          Level 01 Lighting Sheet 1</t>
  </si>
  <si>
    <t>FS1018-AGL-ZZ-01-D-E-6311</t>
  </si>
  <si>
    <t>Level 01 Lighting Sheet 2</t>
  </si>
  <si>
    <t>FS1018-AGL-ZZ-01-D-E-6311          Level 01 Lighting Sheet 2</t>
  </si>
  <si>
    <t>FS1018-AGL-ZZ-01-D-E-6801</t>
  </si>
  <si>
    <t>Level 01 Fire Alarm Strategy</t>
  </si>
  <si>
    <t xml:space="preserve">Confirm the fire alarm detection location of triple height spaces such as assembly halls, sports halls. </t>
  </si>
  <si>
    <t>FS1018-AGL-ZZ-01-D-E-6801          Level 01 Fire Alarm Strategy</t>
  </si>
  <si>
    <t>FS1018-AGL-ZZ-01-D-E-6802</t>
  </si>
  <si>
    <t>Level 01 CCTV and Access Control Strategy</t>
  </si>
  <si>
    <t>FS1018-AGL-ZZ-01-D-E-6802          Level 01 CCTV and Access Control Strategy</t>
  </si>
  <si>
    <t>FS1018-AGL-ZZ-01-D-E-6803</t>
  </si>
  <si>
    <t>Level 01 PA Strategy</t>
  </si>
  <si>
    <t>FS1018-AGL-ZZ-01-D-E-6803          Level 01 PA Strategy</t>
  </si>
  <si>
    <t>FS1018-AGL-ZZ-01-D-E-6810</t>
  </si>
  <si>
    <t>Level 01 Fire Alarm Sheet 1</t>
  </si>
  <si>
    <t>FS1018-AGL-ZZ-01-D-E-6810          Level 01 Fire Alarm Sheet 1</t>
  </si>
  <si>
    <t>FS1018-AGL-ZZ-01-D-E-6811</t>
  </si>
  <si>
    <t>Level 01 Fire Alarm Sheet 2</t>
  </si>
  <si>
    <t>FS1018-AGL-ZZ-01-D-E-6811          Level 01 Fire Alarm Sheet 2</t>
  </si>
  <si>
    <t>FS1018-AGL-ZZ-01-D-E-6820</t>
  </si>
  <si>
    <t>Level 01 Fire Alarm Zoning Sheet 1</t>
  </si>
  <si>
    <t>FS1018-AGL-ZZ-01-D-E-6820          Level 01 Fire Alarm Zoning Sheet 1</t>
  </si>
  <si>
    <t>FS1018-AGL-ZZ-01-D-E-6821</t>
  </si>
  <si>
    <t>Level 01 Fire Alarm Zoning Sheet 2</t>
  </si>
  <si>
    <t>FS1018-AGL-ZZ-01-D-E-6821          Level 01 Fire Alarm Zoning Sheet 2</t>
  </si>
  <si>
    <t>FS1018-AGL-ZZ-01-D-E-6840</t>
  </si>
  <si>
    <t>Level 01 Security Sheet 1</t>
  </si>
  <si>
    <t>FS1018-AGL-ZZ-01-D-E-6840          Level 01 Security Sheet 1</t>
  </si>
  <si>
    <t>FS1018-AGL-ZZ-01-D-E-6841</t>
  </si>
  <si>
    <t>Level 01 Security Sheet 2</t>
  </si>
  <si>
    <t>FS1018-AGL-ZZ-01-D-E-6841          Level 01 Security Sheet 2</t>
  </si>
  <si>
    <t>FS1018-AGL-ZZ-01-D-M-5201</t>
  </si>
  <si>
    <t>Level 01 Above Ground Drainage Strategy</t>
  </si>
  <si>
    <t>FS1018-AGL-ZZ-01-D-M-5201          Level 01 Above Ground Drainage Strategy</t>
  </si>
  <si>
    <t>FS1018-AGL-ZZ-01-D-M-5210</t>
  </si>
  <si>
    <t>Level 01 Above Ground Drainage Sheet 1</t>
  </si>
  <si>
    <t>FS1018-AGL-ZZ-01-D-M-5210          Level 01 Above Ground Drainage Sheet 1</t>
  </si>
  <si>
    <t>FS1018-AGL-ZZ-01-D-M-5211</t>
  </si>
  <si>
    <t>Level 01 Above Ground Drainage Sheet 2</t>
  </si>
  <si>
    <t>FS1018-AGL-ZZ-01-D-M-5211          Level 01 Above Ground Drainage Sheet 2</t>
  </si>
  <si>
    <t>FS1018-AGL-ZZ-01-D-M-5301</t>
  </si>
  <si>
    <t>Level 01 Domestic Water Services Strategy</t>
  </si>
  <si>
    <t>FS1018-AGL-ZZ-01-D-M-5301          Level 01 Domestic Water Services Strategy</t>
  </si>
  <si>
    <t>FS1018-AGL-ZZ-01-D-M-5310</t>
  </si>
  <si>
    <t>Level 01 Domestic Water Services Sheet 1</t>
  </si>
  <si>
    <t>FS1018-AGL-ZZ-01-D-M-5310          Level 01 Domestic Water Services Sheet 1</t>
  </si>
  <si>
    <t>FS1018-AGL-ZZ-01-D-M-5311</t>
  </si>
  <si>
    <t>Level 01 Domestic Water Services Sheet 2</t>
  </si>
  <si>
    <t>FS1018-AGL-ZZ-01-D-M-5311          Level 01 Domestic Water Services Sheet 2</t>
  </si>
  <si>
    <t>FS1018-AGL-ZZ-01-D-M-5401</t>
  </si>
  <si>
    <t>Level 01 Gas Strategy</t>
  </si>
  <si>
    <t>FS1018-AGL-ZZ-01-D-M-5401          Level 01 Gas Strategy</t>
  </si>
  <si>
    <t>FS1018-AGL-ZZ-01-D-M-5410</t>
  </si>
  <si>
    <t>Level 01 Gas</t>
  </si>
  <si>
    <t>FS1018-AGL-ZZ-01-D-M-5410          Level 01 Gas</t>
  </si>
  <si>
    <t>FS1018-AGL-ZZ-01-D-M-5601</t>
  </si>
  <si>
    <t>Level 01 Heating and Cooling Strategy</t>
  </si>
  <si>
    <t>FS1018-AGL-ZZ-01-D-M-5601          Level 01 Heating and Cooling Strategy</t>
  </si>
  <si>
    <t>FS1018-AGL-ZZ-01-D-M-5610</t>
  </si>
  <si>
    <t>Level 01 Heating and Cooling Sheet 1</t>
  </si>
  <si>
    <t>FS1018-AGL-ZZ-01-D-M-5610          Level 01 Heating and Cooling Sheet 1</t>
  </si>
  <si>
    <t>FS1018-AGL-ZZ-01-D-M-5611</t>
  </si>
  <si>
    <t>Level 01 Heating and Cooling Sheet 2</t>
  </si>
  <si>
    <t>FS1018-AGL-ZZ-01-D-M-5611          Level 01 Heating and Cooling Sheet 2</t>
  </si>
  <si>
    <t>FS1018-AGL-ZZ-01-D-M-5701</t>
  </si>
  <si>
    <t>Level 01 Ventilation Strategy</t>
  </si>
  <si>
    <t>FS1018-AGL-ZZ-01-D-M-5701          Level 01 Ventilation Strategy</t>
  </si>
  <si>
    <t>FS1018-AGL-ZZ-01-D-M-5710</t>
  </si>
  <si>
    <t>Level 01 Ventilation Sheet 1</t>
  </si>
  <si>
    <t>FS1018-AGL-ZZ-01-D-M-5710          Level 01 Ventilation Sheet 1</t>
  </si>
  <si>
    <t>FS1018-AGL-ZZ-01-D-M-5711</t>
  </si>
  <si>
    <t>Level 01 Ventilation Sheet 2</t>
  </si>
  <si>
    <t>FS1018-AGL-ZZ-01-D-M-5711          Level 01 Ventilation Sheet 2</t>
  </si>
  <si>
    <t>FS1018-AGL-ZZ-01-D-Z-6010</t>
  </si>
  <si>
    <t>Level 01 Builderswork Sheet 1</t>
  </si>
  <si>
    <t>FS1018-AGL-ZZ-01-D-Z-6010          Level 01 Builderswork Sheet 1</t>
  </si>
  <si>
    <t>FS1018-AGL-ZZ-01-D-Z-6011</t>
  </si>
  <si>
    <t>Level 01 Builderswork Sheet 2</t>
  </si>
  <si>
    <t>FS1018-AGL-ZZ-01-D-Z-6011          Level 01 Builderswork Sheet 2</t>
  </si>
  <si>
    <t>FS1018-AGL-ZZ-01-D-Z-9501</t>
  </si>
  <si>
    <t>Level 01 Plant Access and Maintenance Strategy</t>
  </si>
  <si>
    <t>FS1018-AGL-ZZ-01-D-Z-9501          Level 01 Plant Access and Maintenance Strategy</t>
  </si>
  <si>
    <t>FS1018-AGL-ZZ-01-D-Z-9610</t>
  </si>
  <si>
    <t>Level 01 Reflected Ceiling Plan Sheet 1</t>
  </si>
  <si>
    <t>FS1018-AGL-ZZ-01-D-Z-9610          Level 01 Reflected Ceiling Plan Sheet 1</t>
  </si>
  <si>
    <t>FS1018-AGL-ZZ-01-D-Z-9611</t>
  </si>
  <si>
    <t>Level 01 Reflected Ceiling Plan Sheet 2</t>
  </si>
  <si>
    <t>FS1018-AGL-ZZ-01-D-Z-9611          Level 01 Reflected Ceiling Plan Sheet 2</t>
  </si>
  <si>
    <t>FS1018-AGL-ZZ-02-D-E-6101</t>
  </si>
  <si>
    <t>Level 02 Distribution Strategy</t>
  </si>
  <si>
    <t>FS1018-AGL-ZZ-02-D-E-6101          Level 02 Distribution Strategy</t>
  </si>
  <si>
    <t>FS1018-AGL-ZZ-02-D-E-6110</t>
  </si>
  <si>
    <t>Level 02 Containment Sheet 1</t>
  </si>
  <si>
    <t>FS1018-AGL-ZZ-02-D-E-6110          Level 02 Containment Sheet 1</t>
  </si>
  <si>
    <t>FS1018-AGL-ZZ-02-D-E-6111</t>
  </si>
  <si>
    <t>Level 02 Containment Sheet 2</t>
  </si>
  <si>
    <t>FS1018-AGL-ZZ-02-D-E-6111          Level 02 Containment Sheet 2</t>
  </si>
  <si>
    <t>FS1018-AGL-ZZ-02-D-E-6210</t>
  </si>
  <si>
    <t>Level 02 Small Power And Data Sheet 1</t>
  </si>
  <si>
    <t>FS1018-AGL-ZZ-02-D-E-6210          Level 02 Small Power And Data Sheet 1</t>
  </si>
  <si>
    <t>FS1018-AGL-ZZ-02-D-E-6211</t>
  </si>
  <si>
    <t>Level 02 Small Power And Data Sheet 2</t>
  </si>
  <si>
    <t>FS1018-AGL-ZZ-02-D-E-6211          Level 02 Small Power And Data Sheet 2</t>
  </si>
  <si>
    <t>FS1018-AGL-ZZ-02-D-E-6212</t>
  </si>
  <si>
    <t>Level 02 MSER Sheet 1</t>
  </si>
  <si>
    <t>FS1018-AGL-ZZ-02-D-E-6212          Level 02 MSER Sheet 1</t>
  </si>
  <si>
    <t>FS1018-AGL-ZZ-02-D-E-6213</t>
  </si>
  <si>
    <t>Level 02 MSER Sheet 2</t>
  </si>
  <si>
    <t>FS1018-AGL-ZZ-02-D-E-6213          Level 02 MSER Sheet 2</t>
  </si>
  <si>
    <t>FS1018-AGL-ZZ-02-D-E-6301</t>
  </si>
  <si>
    <t>Level 02 Lighting Lux Levels Strategy</t>
  </si>
  <si>
    <t>200lux level to be achived in front of lift._x000D_
_x000D_
It is noted that the proposed lux level in the stairway is 100 lux, while lower levels have 150 lux. Lux levels should be the same throughout the stairways.</t>
  </si>
  <si>
    <t>FS1018-AGL-ZZ-02-D-E-6301          Level 02 Lighting Lux Levels Strategy</t>
  </si>
  <si>
    <t>FS1018-AGL-ZZ-02-D-E-6302</t>
  </si>
  <si>
    <t>Level 02 Lighting Controls Strategy</t>
  </si>
  <si>
    <t>FS1018-AGL-ZZ-02-D-E-6302          Level 02 Lighting Controls Strategy</t>
  </si>
  <si>
    <t>FS1018-AGL-ZZ-02-D-E-6310</t>
  </si>
  <si>
    <t>Level 02 Lighting Sheet 1</t>
  </si>
  <si>
    <t>FS1018-AGL-ZZ-02-D-E-6310          Level 02 Lighting Sheet 1</t>
  </si>
  <si>
    <t>FS1018-AGL-ZZ-02-D-E-6311</t>
  </si>
  <si>
    <t>Level 02 Lighting Sheet 2</t>
  </si>
  <si>
    <t>FS1018-AGL-ZZ-02-D-E-6311          Level 02 Lighting Sheet 2</t>
  </si>
  <si>
    <t>FS1018-AGL-ZZ-02-D-E-6801</t>
  </si>
  <si>
    <t>Level 02 Fire Alarm Strategy</t>
  </si>
  <si>
    <t>FS1018-AGL-ZZ-02-D-E-6801          Level 02 Fire Alarm Strategy</t>
  </si>
  <si>
    <t>FS1018-AGL-ZZ-02-D-E-6802</t>
  </si>
  <si>
    <t>Level 02 CCTV and Access Control Strategy</t>
  </si>
  <si>
    <t>FS1018-AGL-ZZ-02-D-E-6802          Level 02 CCTV and Access Control Strategy</t>
  </si>
  <si>
    <t>FS1018-AGL-ZZ-02-D-E-6803</t>
  </si>
  <si>
    <t>Level 02 PA Strategy</t>
  </si>
  <si>
    <t>FS1018-AGL-ZZ-02-D-E-6803          Level 02 PA Strategy</t>
  </si>
  <si>
    <t>FS1018-AGL-ZZ-02-D-E-6810</t>
  </si>
  <si>
    <t>Level 02 Fire Alarm Sheet 1</t>
  </si>
  <si>
    <t>FS1018-AGL-ZZ-02-D-E-6810          Level 02 Fire Alarm Sheet 1</t>
  </si>
  <si>
    <t>FS1018-AGL-ZZ-02-D-E-6811</t>
  </si>
  <si>
    <t>Level 02 Fire Alarm Sheet 2</t>
  </si>
  <si>
    <t>FS1018-AGL-ZZ-02-D-E-6811          Level 02 Fire Alarm Sheet 2</t>
  </si>
  <si>
    <t>FS1018-AGL-ZZ-02-D-E-6820</t>
  </si>
  <si>
    <t>Level 02 Fire Alarm Zoning Sheet 1</t>
  </si>
  <si>
    <t>FS1018-AGL-ZZ-02-D-E-6820          Level 02 Fire Alarm Zoning Sheet 1</t>
  </si>
  <si>
    <t>FS1018-AGL-ZZ-02-D-E-6821</t>
  </si>
  <si>
    <t>Level 02 Fire Alarm Zoning Sheet 2</t>
  </si>
  <si>
    <t>FS1018-AGL-ZZ-02-D-E-6821          Level 02 Fire Alarm Zoning Sheet 2</t>
  </si>
  <si>
    <t>FS1018-AGL-ZZ-02-D-E-6840</t>
  </si>
  <si>
    <t>Level 02 Security Sheet 1</t>
  </si>
  <si>
    <t>FS1018-AGL-ZZ-02-D-E-6840          Level 02 Security Sheet 1</t>
  </si>
  <si>
    <t>FS1018-AGL-ZZ-02-D-E-6841</t>
  </si>
  <si>
    <t>Level 02 Security Sheet 2</t>
  </si>
  <si>
    <t>FS1018-AGL-ZZ-02-D-E-6841          Level 02 Security Sheet 2</t>
  </si>
  <si>
    <t>FS1018-AGL-ZZ-02-D-M-5201</t>
  </si>
  <si>
    <t>Level 02 Above Ground Drainage Strategy</t>
  </si>
  <si>
    <t>FS1018-AGL-ZZ-02-D-M-5201          Level 02 Above Ground Drainage Strategy</t>
  </si>
  <si>
    <t>FS1018-AGL-ZZ-02-D-M-5210</t>
  </si>
  <si>
    <t>Level 02 Above Ground Drainage Sheet 1</t>
  </si>
  <si>
    <t>FS1018-AGL-ZZ-02-D-M-5210          Level 02 Above Ground Drainage Sheet 1</t>
  </si>
  <si>
    <t>FS1018-AGL-ZZ-02-D-M-5211</t>
  </si>
  <si>
    <t>Level 02 Above Ground Drainage Sheet 2</t>
  </si>
  <si>
    <t>FS1018-AGL-ZZ-02-D-M-5211          Level 02 Above Ground Drainage Sheet 2</t>
  </si>
  <si>
    <t>FS1018-AGL-ZZ-02-D-M-5301</t>
  </si>
  <si>
    <t>Level 02 Domestic Water Services Strategy</t>
  </si>
  <si>
    <t>FS1018-AGL-ZZ-02-D-M-5301          Level 02 Domestic Water Services Strategy</t>
  </si>
  <si>
    <t>FS1018-AGL-ZZ-02-D-M-5310</t>
  </si>
  <si>
    <t>Level 02 Domestic Water Services Sheet 1</t>
  </si>
  <si>
    <t>FS1018-AGL-ZZ-02-D-M-5310          Level 02 Domestic Water Services Sheet 1</t>
  </si>
  <si>
    <t>FS1018-AGL-ZZ-02-D-M-5311</t>
  </si>
  <si>
    <t>Level 02 Domestic Water Services Sheet 2</t>
  </si>
  <si>
    <t>FS1018-AGL-ZZ-02-D-M-5311          Level 02 Domestic Water Services Sheet 2</t>
  </si>
  <si>
    <t>FS1018-AGL-ZZ-02-D-M-5401</t>
  </si>
  <si>
    <t>Level 02 Gas Strategy</t>
  </si>
  <si>
    <t>FS1018-AGL-ZZ-02-D-M-5401          Level 02 Gas Strategy</t>
  </si>
  <si>
    <t>FS1018-AGL-ZZ-02-D-M-5410</t>
  </si>
  <si>
    <t>Level 02 Gas</t>
  </si>
  <si>
    <t>FS1018-AGL-ZZ-02-D-M-5410          Level 02 Gas</t>
  </si>
  <si>
    <t>FS1018-AGL-ZZ-02-D-M-5601</t>
  </si>
  <si>
    <t>Level 02 Heating and Cooling Strategy</t>
  </si>
  <si>
    <t>FS1018-AGL-ZZ-02-D-M-5601          Level 02 Heating and Cooling Strategy</t>
  </si>
  <si>
    <t>FS1018-AGL-ZZ-02-D-M-5610</t>
  </si>
  <si>
    <t>Level 02 Heating and Cooling Sheet 1</t>
  </si>
  <si>
    <t>FS1018-AGL-ZZ-02-D-M-5610          Level 02 Heating and Cooling Sheet 1</t>
  </si>
  <si>
    <t>FS1018-AGL-ZZ-02-D-M-5611</t>
  </si>
  <si>
    <t>Level 02 Heating and Cooling Sheet 2</t>
  </si>
  <si>
    <t>FS1018-AGL-ZZ-02-D-M-5611          Level 02 Heating and Cooling Sheet 2</t>
  </si>
  <si>
    <t>FS1018-AGL-ZZ-02-D-M-5701</t>
  </si>
  <si>
    <t>Level 02 Ventilation Strategy</t>
  </si>
  <si>
    <t>FS1018-AGL-ZZ-02-D-M-5701          Level 02 Ventilation Strategy</t>
  </si>
  <si>
    <t>FS1018-AGL-ZZ-02-D-M-5710</t>
  </si>
  <si>
    <t>Level 02 Ventilation Sheet 1</t>
  </si>
  <si>
    <t>FS1018-AGL-ZZ-02-D-M-5710          Level 02 Ventilation Sheet 1</t>
  </si>
  <si>
    <t>FS1018-AGL-ZZ-02-D-M-5711</t>
  </si>
  <si>
    <t>Level 02 Ventilation Sheet 2</t>
  </si>
  <si>
    <t>FS1018-AGL-ZZ-02-D-M-5711          Level 02 Ventilation Sheet 2</t>
  </si>
  <si>
    <t>FS1018-AGL-ZZ-02-D-Z-6010</t>
  </si>
  <si>
    <t>Level 02 Builderswork Sheet 1</t>
  </si>
  <si>
    <t>FS1018-AGL-ZZ-02-D-Z-6010          Level 02 Builderswork Sheet 1</t>
  </si>
  <si>
    <t>FS1018-AGL-ZZ-02-D-Z-6011</t>
  </si>
  <si>
    <t>Level 02 Builderswork Sheet 2</t>
  </si>
  <si>
    <t>FS1018-AGL-ZZ-02-D-Z-6011          Level 02 Builderswork Sheet 2</t>
  </si>
  <si>
    <t>FS1018-AGL-ZZ-02-D-Z-9501</t>
  </si>
  <si>
    <t>Level 02 Plant Access and Maintenance Strategy</t>
  </si>
  <si>
    <t>FS1018-AGL-ZZ-02-D-Z-9501          Level 02 Plant Access and Maintenance Strategy</t>
  </si>
  <si>
    <t>FS1018-AGL-ZZ-02-D-Z-9610</t>
  </si>
  <si>
    <t>Level 02 Reflected Ceiling Plan Sheet 1</t>
  </si>
  <si>
    <t>FS1018-AGL-ZZ-02-D-Z-9610          Level 02 Reflected Ceiling Plan Sheet 1</t>
  </si>
  <si>
    <t>FS1018-AGL-ZZ-02-D-Z-9611</t>
  </si>
  <si>
    <t>Level 02 Reflected Ceiling Plan Sheet 2</t>
  </si>
  <si>
    <t>FS1018-AGL-ZZ-02-D-Z-9611          Level 02 Reflected Ceiling Plan Sheet 2</t>
  </si>
  <si>
    <t>FS1018-AGL-ZZ-RF-D-E-6213</t>
  </si>
  <si>
    <t>Roof Level MSER</t>
  </si>
  <si>
    <t>FS1018-AGL-ZZ-RF-D-E-6213          Roof Level MSER</t>
  </si>
  <si>
    <t>FS1018-AGL-ZZ-RF-D-E-6810</t>
  </si>
  <si>
    <t>Roof Level Fire Alarm Sheet 1</t>
  </si>
  <si>
    <t>FS1018-AGL-ZZ-RF-D-E-6810          Roof Level Fire Alarm Sheet 1</t>
  </si>
  <si>
    <t>FS1018-AGL-ZZ-RF-D-E-6811</t>
  </si>
  <si>
    <t>Roof Level Fire Alarm Sheet 2</t>
  </si>
  <si>
    <t>FS1018-AGL-ZZ-RF-D-E-6811          Roof Level Fire Alarm Sheet 2</t>
  </si>
  <si>
    <t>FS1018-AGL-ZZ-RF-D-E-6840</t>
  </si>
  <si>
    <t>Roof Level Security Sheet 1</t>
  </si>
  <si>
    <t>FS1018-AGL-ZZ-RF-D-E-6840          Roof Level Security Sheet 1</t>
  </si>
  <si>
    <t>FS1018-AGL-ZZ-RF-D-E-6841</t>
  </si>
  <si>
    <t>Roof Level Security Sheet 2</t>
  </si>
  <si>
    <t>FS1018-AGL-ZZ-RF-D-E-6841          Roof Level Security Sheet 2</t>
  </si>
  <si>
    <t>FS1018-AGL-ZZ-RF-D-E-6842</t>
  </si>
  <si>
    <t>Roof Level Security Sheet 3</t>
  </si>
  <si>
    <t>FS1018-AGL-ZZ-RF-D-E-6842          Roof Level Security Sheet 3</t>
  </si>
  <si>
    <t>FS1018-AGL-ZZ-RF-D-E-9001</t>
  </si>
  <si>
    <t>Photovoltaic</t>
  </si>
  <si>
    <t>FS1018-AGL-ZZ-RF-D-E-9001          Photovoltaic</t>
  </si>
  <si>
    <t>FS1018-AGL-ZZ-RF-D-M-5210</t>
  </si>
  <si>
    <t>Roof Level Above Ground Drainage Sheet 1</t>
  </si>
  <si>
    <t>FS1018-AGL-ZZ-RF-D-M-5210          Roof Level Above Ground Drainage Sheet 1</t>
  </si>
  <si>
    <t>FS1018-AGL-ZZ-RF-D-M-5211</t>
  </si>
  <si>
    <t>Roof Level Above Ground Drainage Sheet 2</t>
  </si>
  <si>
    <t>FS1018-AGL-ZZ-RF-D-M-5211          Roof Level Above Ground Drainage Sheet 2</t>
  </si>
  <si>
    <t>FS1018-AGL-ZZ-RF-D-M-5212</t>
  </si>
  <si>
    <t>Roof Level Above Ground Drainage Sheet 3</t>
  </si>
  <si>
    <t>FS1018-AGL-ZZ-RF-D-M-5212          Roof Level Above Ground Drainage Sheet 3</t>
  </si>
  <si>
    <t>FS1018-AGL-ZZ-RF-D-M-5301</t>
  </si>
  <si>
    <t>Roof Level Domestic Water Services Strategy</t>
  </si>
  <si>
    <t>FS1018-AGL-ZZ-RF-D-M-5301          Roof Level Domestic Water Services Strategy</t>
  </si>
  <si>
    <t>FS1018-AGL-ZZ-RF-D-M-5310</t>
  </si>
  <si>
    <t>Roof Level Domestic Water Services Sheet 1</t>
  </si>
  <si>
    <t>FS1018-AGL-ZZ-RF-D-M-5310          Roof Level Domestic Water Services Sheet 1</t>
  </si>
  <si>
    <t>FS1018-AGL-ZZ-RF-D-M-5311</t>
  </si>
  <si>
    <t>Roof Level Domestic Water Services Sheet 2</t>
  </si>
  <si>
    <t>FS1018-AGL-ZZ-RF-D-M-5311          Roof Level Domestic Water Services Sheet 2</t>
  </si>
  <si>
    <t>FS1018-AGL-ZZ-RF-D-M-5312</t>
  </si>
  <si>
    <t>Roof Level Domestic Water Services Sheet 3</t>
  </si>
  <si>
    <t>FS1018-AGL-ZZ-RF-D-M-5312          Roof Level Domestic Water Services Sheet 3</t>
  </si>
  <si>
    <t>FS1018-AGL-ZZ-RF-D-M-5710</t>
  </si>
  <si>
    <t>Roof Level Ventilation Sheet 1</t>
  </si>
  <si>
    <t>FS1018-AGL-ZZ-RF-D-M-5710          Roof Level Ventilation Sheet 1</t>
  </si>
  <si>
    <t>FS1018-AGL-ZZ-RF-D-M-5711</t>
  </si>
  <si>
    <t>Roof Level Ventilation Sheet 2</t>
  </si>
  <si>
    <t>FS1018-AGL-ZZ-RF-D-M-5711          Roof Level Ventilation Sheet 2</t>
  </si>
  <si>
    <t>FS1018-AGL-ZZ-RF-D-M-5712</t>
  </si>
  <si>
    <t>Roof Level Ventilation Sheet 3</t>
  </si>
  <si>
    <t>FS1018-AGL-ZZ-RF-D-M-5712          Roof Level Ventilation Sheet 3</t>
  </si>
  <si>
    <t>FS1018-AGL-ZZ-RF-D-M-5801</t>
  </si>
  <si>
    <t>Roof Level Plantroom Strategy</t>
  </si>
  <si>
    <t>Missing major airduct route and attenuator information for Kitchen AHU and extract fan._x000D_
Any electrostatic precipitator for kitchen extract fan?</t>
  </si>
  <si>
    <t>FS1018-AGL-ZZ-RF-D-M-5801          Roof Level Plantroom Strategy</t>
  </si>
  <si>
    <t>FS1018-AGL-ZZ-RF-D-Z-5810</t>
  </si>
  <si>
    <t>Roof Level Plantroom Sheet 1</t>
  </si>
  <si>
    <t>FS1018-AGL-ZZ-RF-D-Z-5810          Roof Level Plantroom Sheet 1</t>
  </si>
  <si>
    <t>FS1018-AGL-ZZ-RF-D-Z-5811</t>
  </si>
  <si>
    <t>Roof Level Plantroom Sheet 2</t>
  </si>
  <si>
    <t>FS1018-AGL-ZZ-RF-D-Z-5811          Roof Level Plantroom Sheet 2</t>
  </si>
  <si>
    <t>FS1018-AGL-ZZ-RF-D-Z-5812</t>
  </si>
  <si>
    <t>Roof Level Plantroom Sheet 3</t>
  </si>
  <si>
    <t>FS1018-AGL-ZZ-RF-D-Z-5812          Roof Level Plantroom Sheet 3</t>
  </si>
  <si>
    <t>FS1018-AGL-ZZ-RF-D-Z-6010</t>
  </si>
  <si>
    <t>Roof Level Builderswork Sheet 1</t>
  </si>
  <si>
    <t>FS1018-AGL-ZZ-RF-D-Z-6010          Roof Level Builderswork Sheet 1</t>
  </si>
  <si>
    <t>FS1018-AGL-ZZ-RF-D-Z-6011</t>
  </si>
  <si>
    <t>Roof Level Builderswork Sheet 2</t>
  </si>
  <si>
    <t>FS1018-AGL-ZZ-RF-D-Z-6011          Roof Level Builderswork Sheet 2</t>
  </si>
  <si>
    <t>FS1018-AGL-ZZ-RF-D-Z-6012</t>
  </si>
  <si>
    <t>Roof Level Builderswork Sheet 3</t>
  </si>
  <si>
    <t>FS1018-AGL-ZZ-RF-D-Z-6012          Roof Level Builderswork Sheet 3</t>
  </si>
  <si>
    <t>FS1018-AGL-ZZ-RF-D-Z-6101</t>
  </si>
  <si>
    <t>Roof Level Mechanical and Electrical Strategy</t>
  </si>
  <si>
    <t>Label for PV is incorrect. Not clear what initial proposed solar PV array layout looks like. Needs further detail to show this and confirm how it is accommodated with green roof.</t>
  </si>
  <si>
    <t>FS1018-AGL-ZZ-RF-D-Z-6101          Roof Level Mechanical and Electrical Strategy</t>
  </si>
  <si>
    <t>FS1018-AGL-ZZ-XX-D-E-6802</t>
  </si>
  <si>
    <t>External Access Control Strategy</t>
  </si>
  <si>
    <t>FS1018-AGL-ZZ-XX-D-E-6802          External Access Control Strategy</t>
  </si>
  <si>
    <t>FS1018-AGL-ZZ-XX-D-E-9001</t>
  </si>
  <si>
    <t>External Lighting</t>
  </si>
  <si>
    <t>Please confirm if external emergency lighting is in place along every exit route of the building in line with BS5266-2016</t>
  </si>
  <si>
    <t>FS1018-AGL-ZZ-XX-D-E-9001          External Lighting</t>
  </si>
  <si>
    <t>P04</t>
  </si>
  <si>
    <t>FS1018-AGL-ZZ-XX-D-E-9002</t>
  </si>
  <si>
    <t>External Lighting Lux Levels</t>
  </si>
  <si>
    <t>Please confirm if minimum 10 lux level has been achieved on car parks and pathways._x000D_
_x000D_
Please confirm if external emergency lighting is in place along every exit route of the building in line with BS5266-2016</t>
  </si>
  <si>
    <t>FS1018-AGL-ZZ-XX-D-E-9002          External Lighting Lux Levels</t>
  </si>
  <si>
    <t>FS1018-AGL-ZZ-XX-D-E-9511</t>
  </si>
  <si>
    <t>DNO Services Drawing and Proposal</t>
  </si>
  <si>
    <t>FS1018-AGL-ZZ-XX-D-E-9511          DNO Services Drawing and Proposal</t>
  </si>
  <si>
    <t>FS1018-AGL-ZZ-XX-D-Z-5810</t>
  </si>
  <si>
    <t>External Compound</t>
  </si>
  <si>
    <t>FS1018-AGL-ZZ-XX-D-Z-5810          External Compound</t>
  </si>
  <si>
    <t>FS1018-AGL-ZZ-XX-D-Z-9510</t>
  </si>
  <si>
    <t>External Services</t>
  </si>
  <si>
    <t>FS1018-AGL-ZZ-XX-D-Z-9510          External Services</t>
  </si>
  <si>
    <t>FS1018-AGL-ZZ-XX-L-E-0001</t>
  </si>
  <si>
    <t>Proposed Manufacturers Electrical Schedule</t>
  </si>
  <si>
    <t>FS1018-AGL-ZZ-XX-L-E-0001          Proposed Manufacturers Electrical Schedule</t>
  </si>
  <si>
    <t>FS1018-AGL-ZZ-XX-L-E-0002</t>
  </si>
  <si>
    <t>Cable Calculation &amp; Schedule Report</t>
  </si>
  <si>
    <t>FS1018-AGL-ZZ-XX-L-E-0002          Cable Calculation &amp; Schedule Report</t>
  </si>
  <si>
    <t>FS1018-AGL-ZZ-XX-L-E-0003</t>
  </si>
  <si>
    <t>Containment Calculations</t>
  </si>
  <si>
    <t>FS1018-AGL-ZZ-XX-L-E-0003          Containment Calculations</t>
  </si>
  <si>
    <t>FS1018-AGL-ZZ-XX-L-E-0004</t>
  </si>
  <si>
    <t>Lighting Calculations</t>
  </si>
  <si>
    <t>FS1018-AGL-ZZ-XX-L-E-0004          Lighting Calculations</t>
  </si>
  <si>
    <t>FS1018-AGL-ZZ-XX-L-E-0005</t>
  </si>
  <si>
    <t>Exit Signage Calculation</t>
  </si>
  <si>
    <t>FS1018-AGL-ZZ-XX-L-E-0005          Exit Signage Calculation</t>
  </si>
  <si>
    <t>FS1018-AGL-ZZ-XX-L-E-9602</t>
  </si>
  <si>
    <t>Luminaire Schedule</t>
  </si>
  <si>
    <t>FS1018-AGL-ZZ-XX-L-E-9602          Luminaire Schedule</t>
  </si>
  <si>
    <t>FS1018-AGL-ZZ-XX-L-M-0001</t>
  </si>
  <si>
    <t>Proposed Manufacturers Mechanical Schedule</t>
  </si>
  <si>
    <t>Any electrostatic precipitator for kitchen extract fan?</t>
  </si>
  <si>
    <t>FS1018-AGL-ZZ-XX-L-M-0001          Proposed Manufacturers Mechanical Schedule</t>
  </si>
  <si>
    <t>FS1018-AGL-ZZ-XX-L-M-0002</t>
  </si>
  <si>
    <t>Peak Water Demand BS EN 806</t>
  </si>
  <si>
    <t>Peak water demand to be reviewed upon final layouts and finalisation of fixtures and fittings. (i.e showers area)</t>
  </si>
  <si>
    <t>FS1018-AGL-ZZ-XX-L-M-0002          Peak Water Demand BS EN 806</t>
  </si>
  <si>
    <t>FS1018-AGL-ZZ-XX-L-M-0003</t>
  </si>
  <si>
    <t>Domestic Water Services Calculations</t>
  </si>
  <si>
    <t>FS1018-AGL-ZZ-XX-L-M-0003          Domestic Water Services Calculations</t>
  </si>
  <si>
    <t>FS1018-AGL-ZZ-XX-L-M-0004</t>
  </si>
  <si>
    <t>Ventilation Calculations</t>
  </si>
  <si>
    <t>FS1018-AGL-ZZ-XX-L-M-0004          Ventilation Calculations</t>
  </si>
  <si>
    <t>FS1018-AGL-ZZ-XX-L-M-0005</t>
  </si>
  <si>
    <t>Gas Calculations</t>
  </si>
  <si>
    <t>FS1018-AGL-ZZ-XX-L-M-0005          Gas Calculations</t>
  </si>
  <si>
    <t>FS1018-AGL-ZZ-XX-L-M-0006</t>
  </si>
  <si>
    <t>Above Ground Drainage Calculations</t>
  </si>
  <si>
    <t>FS1018-AGL-ZZ-XX-L-M-0006          Above Ground Drainage Calculations</t>
  </si>
  <si>
    <t>FS1018-AGL-ZZ-XX-L-M-0007</t>
  </si>
  <si>
    <t>Heating Calculations</t>
  </si>
  <si>
    <t>FS1018-AGL-ZZ-XX-L-M-0007          Heating Calculations</t>
  </si>
  <si>
    <t>FS1018-AGL-ZZ-XX-L-M-0008</t>
  </si>
  <si>
    <t>Heat Source Calculations</t>
  </si>
  <si>
    <t>FS1018-AGL-ZZ-XX-L-M-0008          Heat Source Calculations</t>
  </si>
  <si>
    <t>FS1018-AGL-ZZ-XX-L-M-9604</t>
  </si>
  <si>
    <t>Heat Pump Schedule</t>
  </si>
  <si>
    <t>FS1018-AGL-ZZ-XX-L-M-9604          Heat Pump Schedule</t>
  </si>
  <si>
    <t>FS1018-AGL-ZZ-XX-L-M-9605</t>
  </si>
  <si>
    <t>Buffer Vessel Schedule</t>
  </si>
  <si>
    <t>FS1018-AGL-ZZ-XX-L-M-9605          Buffer Vessel Schedule</t>
  </si>
  <si>
    <t>FS1018-AGL-ZZ-XX-L-M-9607</t>
  </si>
  <si>
    <t>Plate Heat Exchanger Schedule</t>
  </si>
  <si>
    <t>FS1018-AGL-ZZ-XX-L-M-9607          Plate Heat Exchanger Schedule</t>
  </si>
  <si>
    <t>FS1018-AGL-ZZ-XX-L-M-9608</t>
  </si>
  <si>
    <t>Water Heater Schedule</t>
  </si>
  <si>
    <t>FS1018-AGL-ZZ-XX-L-M-9608          Water Heater Schedule</t>
  </si>
  <si>
    <t>FS1018-AGL-ZZ-XX-L-M-9609</t>
  </si>
  <si>
    <t>Air &amp; Dirt Separator Schedule</t>
  </si>
  <si>
    <t>FS1018-AGL-ZZ-XX-L-M-9609          Air &amp; Dirt Separator Schedule</t>
  </si>
  <si>
    <t>FS1018-AGL-ZZ-XX-L-M-9610</t>
  </si>
  <si>
    <t>Dosing Pot Schedule</t>
  </si>
  <si>
    <t>FS1018-AGL-ZZ-XX-L-M-9610          Dosing Pot Schedule</t>
  </si>
  <si>
    <t>FS1018-AGL-ZZ-XX-L-M-9613</t>
  </si>
  <si>
    <t>Water Filter Schedule</t>
  </si>
  <si>
    <t>FS1018-AGL-ZZ-XX-L-M-9613          Water Filter Schedule</t>
  </si>
  <si>
    <t>FS1018-AGL-ZZ-XX-L-M-9614</t>
  </si>
  <si>
    <t>Water Softener Schedule</t>
  </si>
  <si>
    <t>FS1018-AGL-ZZ-XX-L-M-9614          Water Softener Schedule</t>
  </si>
  <si>
    <t>FS1018-AGL-ZZ-XX-L-M-9617</t>
  </si>
  <si>
    <t>Leak Detection Schedule</t>
  </si>
  <si>
    <t>FS1018-AGL-ZZ-XX-L-M-9617          Leak Detection Schedule</t>
  </si>
  <si>
    <t>FS1018-AGL-ZZ-XX-L-M-9619</t>
  </si>
  <si>
    <t>Gas Meter Schedule</t>
  </si>
  <si>
    <t>FS1018-AGL-ZZ-XX-L-M-9619          Gas Meter Schedule</t>
  </si>
  <si>
    <t>FS1018-AGL-ZZ-XX-L-M-9620</t>
  </si>
  <si>
    <t>Water Meter Schedule</t>
  </si>
  <si>
    <t>FS1018-AGL-ZZ-XX-L-M-9620          Water Meter Schedule</t>
  </si>
  <si>
    <t>FS1018-AGL-ZZ-XX-L-M-9621</t>
  </si>
  <si>
    <t>Heat Meter Schedule</t>
  </si>
  <si>
    <t>FS1018-AGL-ZZ-XX-L-M-9621          Heat Meter Schedule</t>
  </si>
  <si>
    <t>FS1018-AGL-ZZ-XX-L-M-9623</t>
  </si>
  <si>
    <t>Gas Solenoid Valve Schedule</t>
  </si>
  <si>
    <t>FS1018-AGL-ZZ-XX-L-M-9623          Gas Solenoid Valve Schedule</t>
  </si>
  <si>
    <t>FS1018-AGL-ZZ-XX-L-M-9624</t>
  </si>
  <si>
    <t>Gas Detection &amp; Proving Panel Schedule</t>
  </si>
  <si>
    <t>FS1018-AGL-ZZ-XX-L-M-9624          Gas Detection &amp; Proving Panel Schedule</t>
  </si>
  <si>
    <t>FS1018-AGL-ZZ-XX-L-M-9625</t>
  </si>
  <si>
    <t>Pressurisation Unit Schedule</t>
  </si>
  <si>
    <t>FS1018-AGL-ZZ-XX-L-M-9625          Pressurisation Unit Schedule</t>
  </si>
  <si>
    <t>FS1018-AGL-ZZ-XX-L-M-9627</t>
  </si>
  <si>
    <t>Storage Tank Schedule</t>
  </si>
  <si>
    <t>FS1018-AGL-ZZ-XX-L-M-9627          Storage Tank Schedule</t>
  </si>
  <si>
    <t>FS1018-AGL-ZZ-XX-L-M-9628</t>
  </si>
  <si>
    <t>Booster Set Schedule</t>
  </si>
  <si>
    <t>FS1018-AGL-ZZ-XX-L-M-9628          Booster Set Schedule</t>
  </si>
  <si>
    <t>FS1018-AGL-ZZ-XX-L-M-9630</t>
  </si>
  <si>
    <t>Pump Schedule</t>
  </si>
  <si>
    <t>FS1018-AGL-ZZ-XX-L-M-9630          Pump Schedule</t>
  </si>
  <si>
    <t>FS1018-AGL-ZZ-XX-L-M-9634</t>
  </si>
  <si>
    <t>Local Water Heater Schedule</t>
  </si>
  <si>
    <t>FS1018-AGL-ZZ-XX-L-M-9634          Local Water Heater Schedule</t>
  </si>
  <si>
    <t>FS1018-AGL-ZZ-XX-L-M-9637</t>
  </si>
  <si>
    <t>Radiator Schedule</t>
  </si>
  <si>
    <t>FS1018-AGL-ZZ-XX-L-M-9637          Radiator Schedule</t>
  </si>
  <si>
    <t>FS1018-AGL-ZZ-XX-L-M-9641</t>
  </si>
  <si>
    <t>Underfloor Heating Schedule</t>
  </si>
  <si>
    <t>FS1018-AGL-ZZ-XX-L-M-9641          Underfloor Heating Schedule</t>
  </si>
  <si>
    <t>FS1018-AGL-ZZ-XX-L-M-9642</t>
  </si>
  <si>
    <t>Underfloor Heating Manifold Schedule</t>
  </si>
  <si>
    <t>FS1018-AGL-ZZ-XX-L-M-9642          Underfloor Heating Manifold Schedule</t>
  </si>
  <si>
    <t>FS1018-AGL-ZZ-XX-L-M-9644</t>
  </si>
  <si>
    <t>Overdoor Heater Schedule</t>
  </si>
  <si>
    <t>FS1018-AGL-ZZ-XX-L-M-9644          Overdoor Heater Schedule</t>
  </si>
  <si>
    <t>FS1018-AGL-ZZ-XX-L-M-9647</t>
  </si>
  <si>
    <t>Electric Heater Schedule</t>
  </si>
  <si>
    <t>FS1018-AGL-ZZ-XX-L-M-9647          Electric Heater Schedule</t>
  </si>
  <si>
    <t>FS1018-AGL-ZZ-XX-L-M-9649</t>
  </si>
  <si>
    <t>Fan Convector Schedule</t>
  </si>
  <si>
    <t>FS1018-AGL-ZZ-XX-L-M-9649          Fan Convector Schedule</t>
  </si>
  <si>
    <t>FS1018-AGL-ZZ-XX-L-M-9652</t>
  </si>
  <si>
    <t>Air Handling Unit Schedule</t>
  </si>
  <si>
    <t>FS1018-AGL-ZZ-XX-L-M-9652          Air Handling Unit Schedule</t>
  </si>
  <si>
    <t>FS1018-AGL-ZZ-XX-L-M-9653</t>
  </si>
  <si>
    <t>Heat Recovery Unit Schedule</t>
  </si>
  <si>
    <t>FS1018-AGL-ZZ-XX-L-M-9653          Heat Recovery Unit Schedule</t>
  </si>
  <si>
    <t>FS1018-AGL-ZZ-XX-L-M-9654</t>
  </si>
  <si>
    <t>Hybrid Ventilation Unit Schedule</t>
  </si>
  <si>
    <t>FS1018-AGL-ZZ-XX-L-M-9654          Hybrid Ventilation Unit Schedule</t>
  </si>
  <si>
    <t>FS1018-AGL-ZZ-XX-L-M-9655</t>
  </si>
  <si>
    <t>Fan Schedule</t>
  </si>
  <si>
    <t>FS1018-AGL-ZZ-XX-L-M-9655          Fan Schedule</t>
  </si>
  <si>
    <t>FS1018-AGL-ZZ-XX-L-M-9658</t>
  </si>
  <si>
    <t>Louvre Schedule</t>
  </si>
  <si>
    <t>FS1018-AGL-ZZ-XX-L-M-9658          Louvre Schedule</t>
  </si>
  <si>
    <t>FS1018-AGL-ZZ-XX-L-M-9659</t>
  </si>
  <si>
    <t>Supply Diffuser Schedule</t>
  </si>
  <si>
    <t>FS1018-AGL-ZZ-XX-L-M-9659          Supply Diffuser Schedule</t>
  </si>
  <si>
    <t>FS1018-AGL-ZZ-XX-L-M-9660</t>
  </si>
  <si>
    <t>Extract Grille Schedule</t>
  </si>
  <si>
    <t>FS1018-AGL-ZZ-XX-L-M-9660          Extract Grille Schedule</t>
  </si>
  <si>
    <t>FS1018-AGL-ZZ-XX-L-M-9661</t>
  </si>
  <si>
    <t>Attenuator Schedule</t>
  </si>
  <si>
    <t>FS1018-AGL-ZZ-XX-L-M-9661          Attenuator Schedule</t>
  </si>
  <si>
    <t>FS1018-AGL-ZZ-XX-L-M-9662</t>
  </si>
  <si>
    <t>Transfer Grille Schedule</t>
  </si>
  <si>
    <t>FS1018-AGL-ZZ-XX-L-M-9662          Transfer Grille Schedule</t>
  </si>
  <si>
    <t>FS1018-AGL-ZZ-XX-L-M-9671</t>
  </si>
  <si>
    <t>Heating Coil Schedule (LTHW)</t>
  </si>
  <si>
    <t>FS1018-AGL-ZZ-XX-L-M-9671          Heating Coil Schedule (LTHW)</t>
  </si>
  <si>
    <t>FS1018-AGL-ZZ-XX-L-M-9675</t>
  </si>
  <si>
    <t>Smoke-activated Fire Damper Schedule</t>
  </si>
  <si>
    <t>FS1018-AGL-ZZ-XX-L-M-9675          Smoke-activated Fire Damper Schedule</t>
  </si>
  <si>
    <t>FS1018-AGL-ZZ-XX-L-M-9678</t>
  </si>
  <si>
    <t>Passive Stack Ventilator Schedule</t>
  </si>
  <si>
    <t>FS1018-AGL-ZZ-XX-L-M-9678          Passive Stack Ventilator Schedule</t>
  </si>
  <si>
    <t>FS1018-AGL-ZZ-XX-L-M-9681</t>
  </si>
  <si>
    <t>DX Indoor Unit Schedule</t>
  </si>
  <si>
    <t>FS1018-AGL-ZZ-XX-L-M-9681          DX Indoor Unit Schedule</t>
  </si>
  <si>
    <t>FS1018-AGL-ZZ-XX-L-M-9682</t>
  </si>
  <si>
    <t>DX Outdoor Unit Schedule</t>
  </si>
  <si>
    <t>FS1018-AGL-ZZ-XX-L-M-9682          DX Outdoor Unit Schedule</t>
  </si>
  <si>
    <t>FS1018-AGL-ZZ-XX-L-Z-0001</t>
  </si>
  <si>
    <t>Designers MEP Risk Assessment</t>
  </si>
  <si>
    <t>CDM Review</t>
  </si>
  <si>
    <t xml:space="preserve">KB Comments: 	have these been provided to the Principal Designer for comment?  _x000D_
	Have the Designers been provided with Pre-Construction Information to inform their Design and DRA’s? _x000D_
	Is the Principal Designer satisfied that the Designers have used the general principles of prevention to eliminate/reduce risk in their design?  _x000D_
	Confusing as comments in the “Action already taken during design process” seem to apply to future actions required by others e.g contractor.  _x000D_
	How has risk been eliminated/reduced through Stage 3 design?  _x000D_
	Confirm/Identify appropriate information from the design that the Principal Designer will need to include in the H&amp;S file for completion._x000D_
</t>
  </si>
  <si>
    <t>FS1018-AGL-ZZ-XX-L-Z-0001          Designers MEP Risk Assessment</t>
  </si>
  <si>
    <t>FS1018-AGL-ZZ-XX-L-Z-0002</t>
  </si>
  <si>
    <t>Derogation Schedule</t>
  </si>
  <si>
    <t>We need one derogation schedule to pick up all derogations across the project. Could this please be resubmitted as a Henry Brothers document, incorporating other disciplines?</t>
  </si>
  <si>
    <t>FS1018-AGL-ZZ-XX-L-Z-0002          Derogation Schedule</t>
  </si>
  <si>
    <t>FS1018-AGL-ZZ-XX-L-Z-0003</t>
  </si>
  <si>
    <t>M and E Design Development Report</t>
  </si>
  <si>
    <t>Mechanical: Any design development on kitchen ventilation requirement and control strategy?</t>
  </si>
  <si>
    <t>FS1018-AGL-ZZ-XX-L-Z-0003          M and E Design Development Report</t>
  </si>
  <si>
    <t>FS1018-AGL-ZZ-XX-L-Z-0004</t>
  </si>
  <si>
    <t>Heat Loss Calculations</t>
  </si>
  <si>
    <t>FS1018-AGL-ZZ-XX-L-Z-0004          Heat Loss Calculations</t>
  </si>
  <si>
    <t>FS1018-AGL-ZZ-XX-T-E-0001</t>
  </si>
  <si>
    <t>Electrical Specification</t>
  </si>
  <si>
    <t>FS1018-AGL-ZZ-XX-T-E-0001          Electrical Specification</t>
  </si>
  <si>
    <t>FS1018-AGL-ZZ-XX-T-E-0003</t>
  </si>
  <si>
    <t>Electrical Maximum Demand</t>
  </si>
  <si>
    <t>Please confirm that the total power requirement for electric vehicle charging corresponds to the number of parking bays available on site. Check SoA for GIFA.</t>
  </si>
  <si>
    <t>FS1018-AGL-ZZ-XX-T-E-0003          Electrical Maximum Demand</t>
  </si>
  <si>
    <t>FS1018-AGL-ZZ-XX-T-M-0001</t>
  </si>
  <si>
    <t>Mechanical Specification</t>
  </si>
  <si>
    <t>FS1018-AGL-ZZ-XX-T-M-0001          Mechanical Specification</t>
  </si>
  <si>
    <t>FS1018-AGL-ZZ-XX-T-Z-0001</t>
  </si>
  <si>
    <t>Gateway M and E Proposal Report</t>
  </si>
  <si>
    <t>Gas strategy includes both LPG tank and mains gas as options to supply for science teaching. This is inconsistent with FS1018-AGL-ZZ-00-D-M-5401-Level 00 Gas Strategy-S5-P01 and stated requirement for LPG tank. It is consistent with FS1018-AGL-ZZ-ZZ-G-M-5401-Gas Strategy Schematic-S5-P01. Should have agreed position on this by this stage of design.</t>
  </si>
  <si>
    <t>FS1018-AGL-ZZ-XX-T-Z-0001          Gateway M and E Proposal Report</t>
  </si>
  <si>
    <t>FS1018-AGL-ZZ-XX-T-Z-0002</t>
  </si>
  <si>
    <t>M and E Plant Access Maintenance and Replacement Strategy</t>
  </si>
  <si>
    <t>'- delivery path for large equipment replacement like ASHP and AHU should be provide._x000D_
- Please confirm the access, maintenance, and replacement strategy for lighting and smoke detection systems in the assembly halls and sports hall.</t>
  </si>
  <si>
    <t>FS1018-AGL-ZZ-XX-T-Z-0002          M and E Plant Access Maintenance and Replacement Strategy</t>
  </si>
  <si>
    <t>Plant Access Maintenance And Replacement Strategy</t>
  </si>
  <si>
    <t>FS1018-AGL-ZZ-XX-T-Z-0002          Plant Access Maintenance And Replacement Strategy</t>
  </si>
  <si>
    <t>FS1018-AGL-ZZ-XX-T-Z-0003</t>
  </si>
  <si>
    <t>Thermal Modelling and Compliance Report</t>
  </si>
  <si>
    <t>Need to remove reference to Newcastle City Council in Section 6. This is not the relevant planning authority. Check any additional planning guidance as issued by the relevant authority.</t>
  </si>
  <si>
    <t>FS1018-AGL-ZZ-XX-T-Z-0003          Thermal Modelling and Compliance Report</t>
  </si>
  <si>
    <t>FS1018-AGL-ZZ-XX-T-Z-0006</t>
  </si>
  <si>
    <t>NBS Project Description</t>
  </si>
  <si>
    <t>FS1018-AGL-ZZ-XX-T-Z-0006          NBS Project Description</t>
  </si>
  <si>
    <t>FS1018-AGL-ZZ-XX-T-Z-0007</t>
  </si>
  <si>
    <t>Thermal Modelling, Compliance &amp; Sustainability Report</t>
  </si>
  <si>
    <t>FS1018-AGL-ZZ-XX-T-Z-0007          Thermal Modelling, Compliance &amp; Sustainability Report</t>
  </si>
  <si>
    <t>FS1018-AGL-ZZ-ZZ-D-E-7205</t>
  </si>
  <si>
    <t>Typical Teachers Wall Detail</t>
  </si>
  <si>
    <t>Please confirm if there will be any light switch controls in the teaching wall area.</t>
  </si>
  <si>
    <t>FS1018-AGL-ZZ-ZZ-D-E-7205          Typical Teachers Wall Detail</t>
  </si>
  <si>
    <t>FS1018-AGL-ZZ-ZZ-D-E-9001</t>
  </si>
  <si>
    <t>Lightning Protection</t>
  </si>
  <si>
    <t>FS1018-AGL-ZZ-ZZ-D-E-9001          Lightning Protection</t>
  </si>
  <si>
    <t>FS1018-AGL-ZZ-ZZ-D-Z-5002</t>
  </si>
  <si>
    <t>Typical Riser and Corridor Details</t>
  </si>
  <si>
    <t>All control valve is missing.</t>
  </si>
  <si>
    <t>FS1018-AGL-ZZ-ZZ-D-Z-5002          Typical Riser and Corridor Details</t>
  </si>
  <si>
    <t>FS1018-AGL-ZZ-ZZ-D-Z-5801</t>
  </si>
  <si>
    <t>Level 00 Plantroom and Server Room Strategy</t>
  </si>
  <si>
    <t>FS1018-AGL-ZZ-ZZ-D-Z-5801          Level 00 Plantroom and Server Room Strategy</t>
  </si>
  <si>
    <t>FS1018-AGL-ZZ-ZZ-D-Z-6115</t>
  </si>
  <si>
    <t>Server and Hub Room</t>
  </si>
  <si>
    <t>FS1018-AGL-ZZ-ZZ-D-Z-6115          Server and Hub Room</t>
  </si>
  <si>
    <t>FS1018-AGL-ZZ-ZZ-D-Z-7201</t>
  </si>
  <si>
    <t>Typical Classroom Strategy</t>
  </si>
  <si>
    <t>FS1018-AGL-ZZ-ZZ-D-Z-7201          Typical Classroom Strategy</t>
  </si>
  <si>
    <t>FS1018-AGL-ZZ-ZZ-D-Z-7202</t>
  </si>
  <si>
    <t>Typical Science Room Strategy</t>
  </si>
  <si>
    <t>FS1018-AGL-ZZ-ZZ-D-Z-7202          Typical Science Room Strategy</t>
  </si>
  <si>
    <t>FS1018-AGL-ZZ-ZZ-D-Z-7203</t>
  </si>
  <si>
    <t>Typical ICT Classroom Strategy</t>
  </si>
  <si>
    <t>FS1018-AGL-ZZ-ZZ-D-Z-7203          Typical ICT Classroom Strategy</t>
  </si>
  <si>
    <t>FS1018-AGL-ZZ-ZZ-D-Z-7204</t>
  </si>
  <si>
    <t>Typical DT Classroom Strategy</t>
  </si>
  <si>
    <t>FS1018-AGL-ZZ-ZZ-D-Z-7204          Typical DT Classroom Strategy</t>
  </si>
  <si>
    <t>FS1018-AGL-ZZ-ZZ-D-Z-9610</t>
  </si>
  <si>
    <t>Typical D&amp;T Classroom</t>
  </si>
  <si>
    <t>FS1018-AGL-ZZ-ZZ-D-Z-9610          Typical D&amp;T Classroom</t>
  </si>
  <si>
    <t>FS1018-AGL-ZZ-ZZ-D-Z-9611</t>
  </si>
  <si>
    <t>Typical Food Room</t>
  </si>
  <si>
    <t>FS1018-AGL-ZZ-ZZ-D-Z-9611          Typical Food Room</t>
  </si>
  <si>
    <t>FS1018-AGL-ZZ-ZZ-D-Z-9612</t>
  </si>
  <si>
    <t>Typical ICT Classroom</t>
  </si>
  <si>
    <t>FS1018-AGL-ZZ-ZZ-D-Z-9612          Typical ICT Classroom</t>
  </si>
  <si>
    <t>FS1018-AGL-ZZ-ZZ-D-Z-9613</t>
  </si>
  <si>
    <t>Typical Riser</t>
  </si>
  <si>
    <t>FS1018-AGL-ZZ-ZZ-D-Z-9613          Typical Riser</t>
  </si>
  <si>
    <t>FS1018-AGL-ZZ-ZZ-D-Z-9614</t>
  </si>
  <si>
    <t>Typical Science Room</t>
  </si>
  <si>
    <t>FS1018-AGL-ZZ-ZZ-D-Z-9614          Typical Science Room</t>
  </si>
  <si>
    <t>FS1018-AGL-ZZ-ZZ-G-E-6001</t>
  </si>
  <si>
    <t>LV Schematic</t>
  </si>
  <si>
    <t xml:space="preserve">Confirm emergency fire man PV isolation switch location._x000D_
_x000D_
Lift supply is not shown in the LV schematic. Please confirm._x000D_
</t>
  </si>
  <si>
    <t>FS1018-AGL-ZZ-ZZ-G-E-6001          LV Schematic</t>
  </si>
  <si>
    <t>FS1018-AGL-ZZ-ZZ-G-E-6010</t>
  </si>
  <si>
    <t>LV Schematic Sheet 1</t>
  </si>
  <si>
    <t>FS1018-AGL-ZZ-ZZ-G-E-6010          LV Schematic Sheet 1</t>
  </si>
  <si>
    <t>FS1018-AGL-ZZ-ZZ-G-E-6011</t>
  </si>
  <si>
    <t>LV Schematic Sheet 2</t>
  </si>
  <si>
    <t>FS1018-AGL-ZZ-ZZ-G-E-6011          LV Schematic Sheet 2</t>
  </si>
  <si>
    <t>FS1018-AGL-ZZ-ZZ-G-E-6801</t>
  </si>
  <si>
    <t>Fire Alarm Strategy Schematic</t>
  </si>
  <si>
    <t>Confirm if PV isolation is controlled through the main fire alarm panel._x000D_
_x000D_
Confirm the location of fire man's PV isolation switches_x000D_
_x000D_
Define and segregate the areas with Smoke/heat/sounder/detector/beacon locations.</t>
  </si>
  <si>
    <t>FS1018-AGL-ZZ-ZZ-G-E-6801          Fire Alarm Strategy Schematic</t>
  </si>
  <si>
    <t>FS1018-AGL-ZZ-ZZ-G-E-6811</t>
  </si>
  <si>
    <t>Fire Alarm Schematic</t>
  </si>
  <si>
    <t>FS1018-AGL-ZZ-ZZ-G-E-6811          Fire Alarm Schematic</t>
  </si>
  <si>
    <t>FS1018-AGL-ZZ-ZZ-G-M-5001</t>
  </si>
  <si>
    <t>Controls Strategy Schematic</t>
  </si>
  <si>
    <t>FS1018-AGL-ZZ-ZZ-G-M-5001          Controls Strategy Schematic</t>
  </si>
  <si>
    <t>FS1018-AGL-ZZ-ZZ-G-M-5010</t>
  </si>
  <si>
    <t>Controls Schematic</t>
  </si>
  <si>
    <t>FS1018-AGL-ZZ-ZZ-G-M-5010          Controls Schematic</t>
  </si>
  <si>
    <t>FS1018-AGL-ZZ-ZZ-G-M-5210</t>
  </si>
  <si>
    <t>Above Ground Drainage Schematic Sheet 1</t>
  </si>
  <si>
    <t>FS1018-AGL-ZZ-ZZ-G-M-5210          Above Ground Drainage Schematic Sheet 1</t>
  </si>
  <si>
    <t>FS1018-AGL-ZZ-ZZ-G-M-5211</t>
  </si>
  <si>
    <t>Above Ground Drainage Schematic Sheet 2</t>
  </si>
  <si>
    <t>FS1018-AGL-ZZ-ZZ-G-M-5211          Above Ground Drainage Schematic Sheet 2</t>
  </si>
  <si>
    <t>FS1018-AGL-ZZ-ZZ-G-M-5310</t>
  </si>
  <si>
    <t>Domestic Water Services Schematic</t>
  </si>
  <si>
    <t>FS1018-AGL-ZZ-ZZ-G-M-5310          Domestic Water Services Schematic</t>
  </si>
  <si>
    <t>FS1018-AGL-ZZ-ZZ-G-M-5401</t>
  </si>
  <si>
    <t>Gas Strategy Schematic</t>
  </si>
  <si>
    <t>See comments against Gateway M and E Proposal Report</t>
  </si>
  <si>
    <t>FS1018-AGL-ZZ-ZZ-G-M-5401          Gas Strategy Schematic</t>
  </si>
  <si>
    <t>FS1018-AGL-ZZ-ZZ-G-M-5410</t>
  </si>
  <si>
    <t>Gas Schematic</t>
  </si>
  <si>
    <t>FS1018-AGL-ZZ-ZZ-G-M-5410          Gas Schematic</t>
  </si>
  <si>
    <t>FS1018-AGL-ZZ-ZZ-G-M-5610</t>
  </si>
  <si>
    <t>Heating &amp; Cooling Schematic Sheet 1</t>
  </si>
  <si>
    <t>FS1018-AGL-ZZ-ZZ-G-M-5610          Heating &amp; Cooling Schematic Sheet 1</t>
  </si>
  <si>
    <t>FS1018-AGL-ZZ-ZZ-G-M-5611</t>
  </si>
  <si>
    <t>Heating &amp; Cooling Schematic Sheet 2</t>
  </si>
  <si>
    <t>FS1018-AGL-ZZ-ZZ-G-M-5611          Heating &amp; Cooling Schematic Sheet 2</t>
  </si>
  <si>
    <t>FS1018-AGL-ZZ-ZZ-G-M-5612</t>
  </si>
  <si>
    <t>Heating &amp; Cooling Schematic Sheet 3</t>
  </si>
  <si>
    <t>FS1018-AGL-ZZ-ZZ-G-M-5612          Heating &amp; Cooling Schematic Sheet 3</t>
  </si>
  <si>
    <t>FS1018-AGL-ZZ-ZZ-G-M-5613</t>
  </si>
  <si>
    <t>Heating &amp; Cooling Schematic Sheet 4</t>
  </si>
  <si>
    <t>FS1018-AGL-ZZ-ZZ-G-M-5613          Heating &amp; Cooling Schematic Sheet 4</t>
  </si>
  <si>
    <t>FS1018-AGL-ZZ-ZZ-G-M-5701</t>
  </si>
  <si>
    <t>Ventilation Strategy Schematic</t>
  </si>
  <si>
    <t>FS1018-AGL-ZZ-ZZ-G-M-5701          Ventilation Strategy Schematic</t>
  </si>
  <si>
    <t>FS1018-AGL-ZZ-ZZ-G-M-5710</t>
  </si>
  <si>
    <t>Ventilation Schematic Sheet 1</t>
  </si>
  <si>
    <t>FS1018-AGL-ZZ-ZZ-G-M-5710          Ventilation Schematic Sheet 1</t>
  </si>
  <si>
    <t>FS1018-AGL-ZZ-ZZ-G-M-5711</t>
  </si>
  <si>
    <t>Ventilation Schematic Sheet 2</t>
  </si>
  <si>
    <t>FS1018-AGL-ZZ-ZZ-G-M-5711          Ventilation Schematic Sheet 2</t>
  </si>
  <si>
    <t>FS1018-AGL-ZZ-ZZ-G-M-5801</t>
  </si>
  <si>
    <t>Heating and Domestic Water Plant Strategy Schematic</t>
  </si>
  <si>
    <t>Please update with relevant main sizing of plant (cold water storage tank / hot water heaters / CAT 5 / Boosted water pump)</t>
  </si>
  <si>
    <t>FS1018-AGL-ZZ-ZZ-G-M-5801          Heating and Domestic Water Plant Strategy Schematic</t>
  </si>
  <si>
    <t>FS1018-AGL-ZZ-ZZ-G-M-5812</t>
  </si>
  <si>
    <t>Plantroom Schematic</t>
  </si>
  <si>
    <t>FS1018-AGL-ZZ-ZZ-G-M-5812          Plantroom Schematic</t>
  </si>
  <si>
    <t>FS1018-AGL-ZZ-ZZ-G-M-9600</t>
  </si>
  <si>
    <t>PV Proposal</t>
  </si>
  <si>
    <t>Please confirm the split between roof mounted and canopy mounted panels._x000D_
The canopies proposed do not appear to comply with the DfE specification.</t>
  </si>
  <si>
    <t>FS1018-AGL-ZZ-ZZ-G-M-9600          PV Proposal</t>
  </si>
  <si>
    <t>FS1018-AGL-ZZ-ZZ-M-Z-0001</t>
  </si>
  <si>
    <t>MEPModel Revit</t>
  </si>
  <si>
    <t>Lack of model geometry. Would have expected to see ME and PH major routes, Plumbing fixtures, Electrical fixtures. Only cable tray primary routes and plant room equipment present in model. Empty levels present in the model and incorrect level assignments.</t>
  </si>
  <si>
    <t>FS1018-AGL-ZZ-ZZ-M-Z-0001          MEPModel Revit</t>
  </si>
  <si>
    <t>MEP Model Revit</t>
  </si>
  <si>
    <t>P15</t>
  </si>
  <si>
    <t>FS1018-AGL-ZZ-ZZ-M-Z-0001          MEP Model Revit</t>
  </si>
  <si>
    <t>FS1018-AGL-ZZ-ZZ-M-Z-0002</t>
  </si>
  <si>
    <t>MEPModel IFC</t>
  </si>
  <si>
    <t>Mechanical equipment should be assigned appropriate IFC Type and not remain generic Building Element Proxy type. 133 elements have USERDEFINED or NOTDEFINED predefined type. Empty levels present in the model and incorrect level assignments.</t>
  </si>
  <si>
    <t>FS1018-AGL-ZZ-ZZ-M-Z-0002          MEPModel IFC</t>
  </si>
  <si>
    <t>MEP Model IFC</t>
  </si>
  <si>
    <t>FS1018-AGL-ZZ-ZZ-M-Z-0002          MEP Model IFC</t>
  </si>
  <si>
    <t>FS1018-AGL-ZZ-ZZ-M-Z-0003</t>
  </si>
  <si>
    <t>MEPModel NWC</t>
  </si>
  <si>
    <t>FS1018-AGL-ZZ-ZZ-M-Z-0003          MEPModel NWC</t>
  </si>
  <si>
    <t>MEP Model NWC</t>
  </si>
  <si>
    <t>FS1018-AGL-ZZ-ZZ-M-Z-0003          MEP Model NWC</t>
  </si>
  <si>
    <t>FS1018-AMT-XX-XX-L-O-0001</t>
  </si>
  <si>
    <t>Preliminary Ecological Appraisal</t>
  </si>
  <si>
    <t>Client / Contractor / BIM Review</t>
  </si>
  <si>
    <t>FS1018-AMT-XX-XX-L-O-0001          Preliminary Ecological Appraisal</t>
  </si>
  <si>
    <t>FS1018-AMT-XX-XX-L-O-0002</t>
  </si>
  <si>
    <t>Tree Survey and Constraints Report</t>
  </si>
  <si>
    <t>FS1018-AMT-XX-XX-L-O-0002          Tree Survey and Constraints Report</t>
  </si>
  <si>
    <t>FS1018-CPM-01-XX-T-A-0005</t>
  </si>
  <si>
    <t>Teaching Block Finishes</t>
  </si>
  <si>
    <t>Superseded by P02</t>
  </si>
  <si>
    <t>FS1018-CPM-01-XX-T-A-0005          Teaching Block Finishes</t>
  </si>
  <si>
    <t>FS1018-CPM-01-XX-T-A-0010</t>
  </si>
  <si>
    <t>Outline Specification</t>
  </si>
  <si>
    <t>Superceded by P03</t>
  </si>
  <si>
    <t>FS1018-CPM-01-XX-T-A-0010          Outline Specification</t>
  </si>
  <si>
    <t>FS1018-CPM-01-ZZ-L-A-0000</t>
  </si>
  <si>
    <t>Building Model COBie</t>
  </si>
  <si>
    <t>This information should be incorporated into the Asset Register, in this case this was not done because the IFC was not provided to Majenta. COBie sheet populated with Sheets required for Stage 3 . Majority of Facility COBie fields are not compliant with Standardised Values set out in the Project Information Standards. Nor Space name field. External spaces missing from COBie. Zone Sheet not compliant to COBie standard, Name field must be unique and grouped according to the Zones in the PIS. Contact sheet has supplier that is not referenced in other sheets.</t>
  </si>
  <si>
    <t>FS1018-CPM-01-ZZ-L-A-0000          Building Model COBie</t>
  </si>
  <si>
    <t>FS1018-CPM-XX-XX-L-A-0001</t>
  </si>
  <si>
    <t>Schedule Of Accommodation</t>
  </si>
  <si>
    <t>Refer to comments in TA notes section on SoA.
Note that proposed GIFA is 5009 sq m ie 179 sqm more than the SoA at ITT of 4830 sqm. 
 Note Thermal modelling currently based on GIFA of 4973 sq m</t>
  </si>
  <si>
    <t>FS1018-CPM-XX-XX-L-A-0001          Schedule Of Accommodation</t>
  </si>
  <si>
    <t>P06</t>
  </si>
  <si>
    <t>FS1018-CPM-XX-XX-T-A-0005</t>
  </si>
  <si>
    <t>FS1018-CPM-XX-XX-T-A-0005          Teaching Block Finishes</t>
  </si>
  <si>
    <t>FS1018-CPM-XX-XX-T-A-0010</t>
  </si>
  <si>
    <t>OutlineSpecification</t>
  </si>
  <si>
    <t>1.0 Please state at the top how proposals satisfy the overall ER's  with respect to Minimum Life Expectancy, U-value requirements etc; 1.1 Please also describe recessed and hit &amp; miss condition. Do these also achieve stated required u-values? ; 1.2 Fibre cement rainscreen described as 'Mechanical fixing with colour-matched screw heads; ' yet drawing describes secret fix' - which is it?; 1.3 does not mentioned top hung opening lights in hall and whether they are automated ; 3.1 BIO-SOLAR ROOF ARRANGEMENT ON HOT MELT ROOFING SYSTEM - ensure proposed roof buildup satisifies ER's TA 2C: 3.2.13 The system shall incorporate, as a minimum, the following (for a flat roof green roof build up): a lightweight growing material tested to BS8616, a filtration layer, drainage board for water storage, a protection layer to the top surface of the underlying waterproofing membrane comprising a bituminous/Hot Melt/Single Ply or Cold Applied liquid waterproofing layer to top of insulation. [Ss_45_40_47_28]; 3.5 MAINTENANCE ACCESS EQUIPMENT: - galvanised stairs described - see comments elsewhere, galvanised finishes not acceptable, see TA 2C 3.5.2 g) Galvanised mild steel balustrades are permitted in non-visually obvious situations [PM_80_60_50] ; 3.6 SYPHONIC RAINWATER DRAINAGE SYSTEM: see comments elsewhere, please draw this for our review; 4.1 FAIR-FACED BLOCKWORK WALLS: identified 'to plant rooms, lift shaft and risers' -  Is Blockwork in lift shafts typical? Also, how does it satisfy fire rating requirements?; 4.0 INTERNAL PARTITION WALLS AND FINISHES - please include additional wall linings required to meet acoustic requiements; 7.1 ENCLOSED STAIRCASES: and 7.3 BALUSTRADING TO STACK VENTILATION VOIDS - how does structural glass balustrading satisfy BWT's requirements for privacy?; What are the internal finishes on the lanterns? ; 10.3 Furniture: Do proposals satisfy requirements of ER's?; 10.4 Fencing: Discrepancies between what is proposed here and proposed on FS1018-ONE-XX-ZZ-D-L-0009-Access Security Strategy-S5-P04; 10.5 Soft Landscaping: How do these satisfy BNG requirements?</t>
  </si>
  <si>
    <t>FS1018-CPM-XX-XX-T-A-0010          OutlineSpecification</t>
  </si>
  <si>
    <t>1.4 - blinds - confirm blinds comply with dim out and black out in relevant locations in accordance with Annex 3 and Annex 2D. 1.5 Confirm doors external doors are PAS 24 compliant in accordance with Annex 2C 5.1.3.  7.3 Confirm balustrade height is acceptable to Trust based on risk assessment in accordance with Annex 2D 6.1.1c. 10.4 is 4.5m high fence for sprinkler tank achievable/practical? are the gates to be 4.5m high too? how easy will these be to open for the users?</t>
  </si>
  <si>
    <t>P08</t>
  </si>
  <si>
    <t>FS1018-CPM-XX-XX-T-A-0010          Outline Specification</t>
  </si>
  <si>
    <t>P09</t>
  </si>
  <si>
    <t>FS1018-CPM-XX-XX-T-A-0020</t>
  </si>
  <si>
    <t>Design and Access Statement</t>
  </si>
  <si>
    <t>FS1018-CPM-XX-XX-T-A-0020          Design and Access Statement</t>
  </si>
  <si>
    <t>FS1018-CPM-XX-XX-T-A-5001</t>
  </si>
  <si>
    <t>Stage 3 Report</t>
  </si>
  <si>
    <t xml:space="preserve">Would like to have seen more of a narrative on how the SSB has evolved through the CEMs, how this has been captured and how it has been addressed;  Would also like to see Next Steps and timescale itemised_x000D_
</t>
  </si>
  <si>
    <t>FS1018-CPM-XX-XX-T-A-5001          Stage 3 Report</t>
  </si>
  <si>
    <t>Stage 4 Report</t>
  </si>
  <si>
    <t>FS1018-CPM-XX-XX-T-A-5001          Stage 4 Report</t>
  </si>
  <si>
    <t>FS1018-CPM-XX-XX-T-A-5002</t>
  </si>
  <si>
    <t>Design Development Report</t>
  </si>
  <si>
    <t>See comments on document, and, Schedule does not totalise the Brief / Proposed area though I count the proposed design to be +35 sqm on the brief area. Please compare and contrast with FS1018-CPM-XX-XX-L-A-0001-ScheduleOfAccommodation-S5-P01 as well as GIFA as contained in Revit model and clarify.</t>
  </si>
  <si>
    <t>FS1018-CPM-XX-XX-T-A-5002          Design Development Report</t>
  </si>
  <si>
    <t>FS1018-CPM-XX-XX-T-A-5003</t>
  </si>
  <si>
    <t>Pre-Construction Information</t>
  </si>
  <si>
    <t>FS1018-CPM-XX-XX-T-A-5003          Pre-Construction Information</t>
  </si>
  <si>
    <t>FS1018-CPM-XX-ZZ-L-A-0000</t>
  </si>
  <si>
    <t>P12</t>
  </si>
  <si>
    <t>FS1018-CPM-XX-ZZ-L-A-0000          Building Model COBie</t>
  </si>
  <si>
    <t>Building Model COBie Report</t>
  </si>
  <si>
    <t>P25</t>
  </si>
  <si>
    <t>FS1018-CPM-XX-ZZ-L-A-0000          Building Model COBie Report</t>
  </si>
  <si>
    <t>FS1018-CPM-ZZ-00-D-A-0001</t>
  </si>
  <si>
    <t>Reflected Ceiling Plan L00</t>
  </si>
  <si>
    <t>FS1018-CPM-ZZ-00-D-A-0001          Reflected Ceiling Plan L00</t>
  </si>
  <si>
    <t>FS1018-CPM-ZZ-00-D-A-2001</t>
  </si>
  <si>
    <t>GA Proposed Floor Plan L00</t>
  </si>
  <si>
    <t>Refer to comments on attached drawings and the below. 
**--General notes for all GA plans deliverables: I really appreciate Room tag showing both SOA area and Proposed area - note however that some room tags are not legible eg DT Studio (electronics / control), please review; Have all rooms been allocated? What is total GIFA from Revit model? See comments on SoA discrepancies between FS1018-CPM-XX-XX-L-A-0001-ScheduleOfAccommodation-S5-P01 and FS1018-CPM-XX-XX-T-A-5002-DesignDevelopmentReport-S5-P01 ; No dimensions shown to gridlines, rooms, corridors, lifts, or stairs--**External staircase from L00 service yard to L01 roof not permissible under ER's - needs to ascend for internal secured space. See GDB: 2.6.5.2 External staircases are not permitted except when refurbishing Existing Buildings, if there is no alternative, and between changes in roof level for maintenance. [PM_10_20_82]; Ensure all externally opening doors have door guards inline with ER's and Statutory Requirements - ref  TA 2C: 5.1.3 External door hardware, ironmongery or control mechanism provided shall be robust and heavy duty and the following requirements shall be met: i) Door guards shall be installed to opening outward doors. [Ss_25_30_20_25] and Building Regs Part K Diagram 10.2; Noting provision of 'Coat and bag store (lockers)' yet Trust previously advised they did not want these - please clarify your understanding that these are being shown for futureproofing? ; Confirm purpose of cupboard adjacent to Dining Hall doors? Note clash of outward opening doors. ; Please indicate access hatch between 00-2003 | DIN11 and 00-6001 | KIT01; Review appropriateness of proposed kitchen layout and 4 spaces within. Locating them all to the north reduces the usable wall area for the kitchen layout. Also consider environmental health requirements for access to toilets an clean/dirty workstreams. Is it worth trying to cluster these uses either side of the external door?; Confirm use of room located between 00-6041 | TOC12 and 00-4003 | ADM11?; Confirm reason for angled walls between 00-6001c | RES12 and 00-6001d | RES12. Not mentioned in FS1018-ADT-ZZ-ZZ-T-J-0001-AcousticStrategy-S5-P01; Confirm all proposed pupil toilet numbers satisfy ER's. Comment applies to all levels; Confirm all proposed staff toilet numbers satisfy ER's. Comment applies to all levels. ; Confirm dimensions to all toilets meet the ER's and Statutory requirements. Are they consistently sized? Comment applies to all levels.; Please show toilet layouts for 00-6012 | TOC14 and 00-6013 | TOC14 ; Please show shower and changing layouts for 00-6007 | TOC01 and 00-6008 | TOC01; Confirm how separate pupil and staff toilet use will be maintained when they are located alongside one another? ; Delineate clear zone in front of lift; Confirm proposed Lift dimensions satisfy ER's? See GDB 2.14.3.11: In mainstream schools the provision shall be related to the number of pupils and storeys served: [PM_80_50_30] b) for larger school</t>
  </si>
  <si>
    <t>FS1018-CPM-ZZ-00-D-A-2001          GA Proposed Floor Plan L00</t>
  </si>
  <si>
    <t>GA Proposed L00 Floor Plan</t>
  </si>
  <si>
    <t>FS1018-CPM-ZZ-00-D-A-2001          GA Proposed L00 Floor Plan</t>
  </si>
  <si>
    <t>P17</t>
  </si>
  <si>
    <t>FS1018-CPM-ZZ-00-D-A-2142</t>
  </si>
  <si>
    <t>Ground Edge Details</t>
  </si>
  <si>
    <t>FS1018-CPM-ZZ-00-D-A-2142          Ground Edge Details</t>
  </si>
  <si>
    <t>FS1018-CPM-ZZ-00-D-A-2200</t>
  </si>
  <si>
    <t>Wall And Partition Types L00</t>
  </si>
  <si>
    <t>FS1018-CPM-ZZ-00-D-A-2200          Wall And Partition Types L00</t>
  </si>
  <si>
    <t>FS1018-CPM-ZZ-00-D-A-2900</t>
  </si>
  <si>
    <t>Fire Strategy L00</t>
  </si>
  <si>
    <t>FS1018-CPM-ZZ-00-D-A-2900          Fire Strategy L00</t>
  </si>
  <si>
    <t>FS1018-CPM-ZZ-00-D-A-3001</t>
  </si>
  <si>
    <t>External Door Schedules Sheet 01</t>
  </si>
  <si>
    <t>FS1018-CPM-ZZ-00-D-A-3001          External Door Schedules Sheet 01</t>
  </si>
  <si>
    <t>FS1018-CPM-ZZ-00-D-A-3050</t>
  </si>
  <si>
    <t>Internal Doors Level 00 Sheet 01</t>
  </si>
  <si>
    <t>FS1018-CPM-ZZ-00-D-A-3050          Internal Doors Level 00 Sheet 01</t>
  </si>
  <si>
    <t>FS1018-CPM-ZZ-00-D-A-3051</t>
  </si>
  <si>
    <t>Internal Doors Level 00 Sheet 02</t>
  </si>
  <si>
    <t>FS1018-CPM-ZZ-00-D-A-3051          Internal Doors Level 00 Sheet 02</t>
  </si>
  <si>
    <t>FS1018-CPM-ZZ-00-D-A-3052</t>
  </si>
  <si>
    <t>Internal Doors Level 00 Sheet 03</t>
  </si>
  <si>
    <t>FS1018-CPM-ZZ-00-D-A-3052          Internal Doors Level 00 Sheet 03</t>
  </si>
  <si>
    <t>FS1018-CPM-ZZ-00-D-A-3053</t>
  </si>
  <si>
    <t>Internal Doors Level 00 Sheet 04</t>
  </si>
  <si>
    <t>FS1018-CPM-ZZ-00-D-A-3053          Internal Doors Level 00 Sheet 04</t>
  </si>
  <si>
    <t>FS1018-CPM-ZZ-00-D-A-3054</t>
  </si>
  <si>
    <t>Internal Doors Level 00 Sheet 05</t>
  </si>
  <si>
    <t>FS1018-CPM-ZZ-00-D-A-3054          Internal Doors Level 00 Sheet 05</t>
  </si>
  <si>
    <t>FS1018-CPM-ZZ-00-D-A-3500</t>
  </si>
  <si>
    <t>Reflected Ceiling L00</t>
  </si>
  <si>
    <t>FS1018-CPM-ZZ-00-D-A-3500          Reflected Ceiling L00</t>
  </si>
  <si>
    <t>FS1018-CPM-ZZ-00-D-A-6807</t>
  </si>
  <si>
    <t>Room Elevations Hygiene Room</t>
  </si>
  <si>
    <t>FS1018-CPM-ZZ-00-D-A-6807          Room Elevations Hygiene Room</t>
  </si>
  <si>
    <t>FS1018-CPM-ZZ-00-D-A-6808</t>
  </si>
  <si>
    <t>Room Elecations Pupil WC'S</t>
  </si>
  <si>
    <t>FS1018-CPM-ZZ-00-D-A-6808          Room Elecations Pupil WC'S</t>
  </si>
  <si>
    <t>FS1018-CPM-ZZ-00-D-A-6809</t>
  </si>
  <si>
    <t>Room Elevations Pupils And Staff WC</t>
  </si>
  <si>
    <t>FS1018-CPM-ZZ-00-D-A-6809          Room Elevations Pupils And Staff WC</t>
  </si>
  <si>
    <t>FS1018-CPM-ZZ-00-D-A-6810</t>
  </si>
  <si>
    <t>Room Elevations Accessible WC</t>
  </si>
  <si>
    <t>FS1018-CPM-ZZ-00-D-A-6810          Room Elevations Accessible WC</t>
  </si>
  <si>
    <t>FS1018-CPM-ZZ-00-D-A-6811</t>
  </si>
  <si>
    <t>Room Elevations Changing Room</t>
  </si>
  <si>
    <t>FS1018-CPM-ZZ-00-D-A-6811          Room Elevations Changing Room</t>
  </si>
  <si>
    <t>FS1018-CPM-ZZ-00-D-A-6812</t>
  </si>
  <si>
    <t>Room Elevations Accessible Changing Room</t>
  </si>
  <si>
    <t>FS1018-CPM-ZZ-00-D-A-6812          Room Elevations Accessible Changing Room</t>
  </si>
  <si>
    <t>FS1018-CPM-ZZ-01-D-A-0001</t>
  </si>
  <si>
    <t>Reflected CeilingPlan L01</t>
  </si>
  <si>
    <t>FS1018-CPM-ZZ-01-D-A-0001          Reflected CeilingPlan L01</t>
  </si>
  <si>
    <t>FS1018-CPM-ZZ-01-D-A-2002</t>
  </si>
  <si>
    <t>GA Proposed Floor Plan L01</t>
  </si>
  <si>
    <t>Refer to comments on the drawings and the below.
Lightwells showing inconsistently - sometimes as void (white) sometimes as circulation (grey) - please clarify as will impact SoA; Are Lightwells coordinated between L00 and L01? Lightwell 1 at G-H/5 seems to offer a view into a riser cupboard below, while Lightwell 3 at N-P1/ 5 offers a view into 00-6010 | TOC02; Please show a coordinated L01 Roof layout, with access routes, actual quantum of PV's indicated, along with syphonic drainage inlets (which need to be located away from access routes to prevent damage), proposed finishes codes to the Roof/Canopies to classrooms annotated, all roof levels, parapet levels ; How does 01-3006 | SEN02 MI Medical treatment room provide hygienic setting as required of GDB 2.3.18.5 d) a medical treatment (nurse’s room) which provides a hygienic environment and provides secure and appropriate storage for medicines if it is used to access 01-4016 | OFF23?; How does access to Services riser shaft from 01-4013 | OFF12 satisfy GDB 2.3.3.2 Access to service risers within small rooms such as offices or stores shall not limit the required occupancy or furniture layout. [PM_10_80] ; Is it appropriate for 01-6062 | PLA13 Server room to be located on the façade line with a window when Server Rooms need to be kept cool and other spaces could benefit from having this window? Is it worth considering swapping with 01-4013 | OFF12 ?</t>
  </si>
  <si>
    <t>FS1018-CPM-ZZ-01-D-A-2002          GA Proposed Floor Plan L01</t>
  </si>
  <si>
    <t>GA Proposed L01 Floor Plan</t>
  </si>
  <si>
    <t>P11</t>
  </si>
  <si>
    <t>FS1018-CPM-ZZ-01-D-A-2002          GA Proposed L01 Floor Plan</t>
  </si>
  <si>
    <t>P16</t>
  </si>
  <si>
    <t>FS1018-CPM-ZZ-01-D-A-2201</t>
  </si>
  <si>
    <t>Wall And Partition Types L01</t>
  </si>
  <si>
    <t>FS1018-CPM-ZZ-01-D-A-2201          Wall And Partition Types L01</t>
  </si>
  <si>
    <t>FS1018-CPM-ZZ-01-D-A-2250</t>
  </si>
  <si>
    <t>Patressing Plan For Typical Classroom</t>
  </si>
  <si>
    <t>FS1018-CPM-ZZ-01-D-A-2250          Patressing Plan For Typical Classroom</t>
  </si>
  <si>
    <t>FS1018-CPM-ZZ-01-D-A-2251</t>
  </si>
  <si>
    <t>Patressing Plan For Art Room</t>
  </si>
  <si>
    <t>FS1018-CPM-ZZ-01-D-A-2251          Patressing Plan For Art Room</t>
  </si>
  <si>
    <t>FS1018-CPM-ZZ-01-D-A-2901</t>
  </si>
  <si>
    <t>Fire Strategy L01</t>
  </si>
  <si>
    <t>FS1018-CPM-ZZ-01-D-A-2901          Fire Strategy L01</t>
  </si>
  <si>
    <t>FS1018-CPM-ZZ-01-D-A-3501</t>
  </si>
  <si>
    <t>Reflected Ceiling L01</t>
  </si>
  <si>
    <t>FS1018-CPM-ZZ-01-D-A-3501          Reflected Ceiling L01</t>
  </si>
  <si>
    <t>FS1018-CPM-ZZ-01-D-A-6800</t>
  </si>
  <si>
    <t>Room Elevations Classroom</t>
  </si>
  <si>
    <t>FS1018-CPM-ZZ-01-D-A-6800          Room Elevations Classroom</t>
  </si>
  <si>
    <t>FS1018-CPM-ZZ-02-D-A-0001</t>
  </si>
  <si>
    <t>Reflected Ceiling Plan L02</t>
  </si>
  <si>
    <t>FS1018-CPM-ZZ-02-D-A-0001          Reflected Ceiling Plan L02</t>
  </si>
  <si>
    <t>FS1018-CPM-ZZ-02-D-A-2003</t>
  </si>
  <si>
    <t>GA Proposed Floor Plan L02</t>
  </si>
  <si>
    <t>Refer to comments on drawings and the below. 
Please show a coordinated L02 Roof layout, with access routes, actual quantum of PV's indicated, along with syphonic drainage inlets (which need to be located away from access routes to prevent damage), proposed finishes codes to the Roof/Canopies to classrooms annotated, all roof levels, parapet levels ; Check that all area showing in 02-3008 | RES03 is attributed to the room and not circulation; Represent two halls at this level consistently - the Dining Hall is shown as a void, the Sports hall is shown as green fill with rooflights.; How is access from L02 up to Roof level via Stairway 2 restricted? Should route of Northern Stair be flipped and a door added? ; Omit shadows cast by Revit model on GA's</t>
  </si>
  <si>
    <t>FS1018-CPM-ZZ-02-D-A-2003          GA Proposed Floor Plan L02</t>
  </si>
  <si>
    <t>GA Proposed L02 Floor Plan</t>
  </si>
  <si>
    <t>FS1018-CPM-ZZ-02-D-A-2003          GA Proposed L02 Floor Plan</t>
  </si>
  <si>
    <t>FS1018-CPM-ZZ-02-D-A-2202</t>
  </si>
  <si>
    <t>Wall And Partition Types L02</t>
  </si>
  <si>
    <t>FS1018-CPM-ZZ-02-D-A-2202          Wall And Partition Types L02</t>
  </si>
  <si>
    <t>FS1018-CPM-ZZ-02-D-A-2902</t>
  </si>
  <si>
    <t>Fire Strategy L02</t>
  </si>
  <si>
    <t>FS1018-CPM-ZZ-02-D-A-2902          Fire Strategy L02</t>
  </si>
  <si>
    <t>FS1018-CPM-ZZ-02-D-A-3502</t>
  </si>
  <si>
    <t>Reflected Ceiling L02</t>
  </si>
  <si>
    <t>FS1018-CPM-ZZ-02-D-A-3502          Reflected Ceiling L02</t>
  </si>
  <si>
    <t>FS1018-CPM-ZZ-RF-D-A-2023</t>
  </si>
  <si>
    <t>GA Proposed Roof Plan</t>
  </si>
  <si>
    <t>Refer to comments on the drawing and the below.
Review clash of gridlines; Please show a coordinated Main Roof layout, with access routes, actual quantum of PV's indicated, along with syphonic drainage inlets (which need to be located away from access routes to prevent damage), proposed finishes codes to the Roof/Canopies to classrooms annotated, all roof levels, parapet levels, etc; Is proposed quantum of PV's sufficient? As commented elsewhere, this needs to be shown to justify provision of canopies elsewhere.; Is this a BioSolar Green roof in accordance with ER's?  ; Are all rooflights required? See comments elsewhere about appropriate placement of rooms needing/not needing daylight.; Clarify discrepancy between Access Hatch at gridlines E/5 which is shown rectangular at Roof level, but serves a square-shaped space at L02. Is this coordinated?; Need more detail on railing to Secondary Means of Escape Hatch - does it comply with ER's? Note TA 2C: 3.5.4 Non-permanent or collapsible type barriers shall not be acceptable. The provision of free-standing systems which rely on their dead weight only and are not physically fixed to the building structure for stability and strength, shall be acceptable only where there are limitations forming connections through the roof deck to the structure e.g., in modular construction. [PM_10_20_82]</t>
  </si>
  <si>
    <t>FS1018-CPM-ZZ-RF-D-A-2023          GA Proposed Roof Plan</t>
  </si>
  <si>
    <t>P07</t>
  </si>
  <si>
    <t>FS1018-CPM-ZZ-RF-D-A-2144</t>
  </si>
  <si>
    <t>Roof Details Sheet 1</t>
  </si>
  <si>
    <t>FS1018-CPM-ZZ-RF-D-A-2144          Roof Details Sheet 1</t>
  </si>
  <si>
    <t>FS1018-CPM-ZZ-RF-D-A-2145</t>
  </si>
  <si>
    <t>Roof Details Sheet 2</t>
  </si>
  <si>
    <t>FS1018-CPM-ZZ-RF-D-A-2145          Roof Details Sheet 2</t>
  </si>
  <si>
    <t>FS1018-CPM-ZZ-RF-D-A-2903</t>
  </si>
  <si>
    <t>Fire Strategy Rf</t>
  </si>
  <si>
    <t>FS1018-CPM-ZZ-RF-D-A-2903          Fire Strategy Rf</t>
  </si>
  <si>
    <t>FS1018-CPM-ZZ-RF-D-A-3100</t>
  </si>
  <si>
    <t>Rooflight Elevations Sheet 1</t>
  </si>
  <si>
    <t>FS1018-CPM-ZZ-RF-D-A-3100          Rooflight Elevations Sheet 1</t>
  </si>
  <si>
    <t>FS1018-CPM-ZZ-RF-D-A-3101</t>
  </si>
  <si>
    <t>Rooflights And Hatch Plan</t>
  </si>
  <si>
    <t>FS1018-CPM-ZZ-RF-D-A-3101          Rooflights And Hatch Plan</t>
  </si>
  <si>
    <t>FS1018-CPM-ZZ-XX-D-A-2146</t>
  </si>
  <si>
    <t>3D Section</t>
  </si>
  <si>
    <t>FS1018-CPM-ZZ-XX-D-A-2146          3D Section</t>
  </si>
  <si>
    <t>FS1018-CPM-ZZ-XX-D-A-2210</t>
  </si>
  <si>
    <t>Partition Detail Plans</t>
  </si>
  <si>
    <t>FS1018-CPM-ZZ-XX-D-A-2210          Partition Detail Plans</t>
  </si>
  <si>
    <t>FS1018-CPM-ZZ-XX-L-A-0020</t>
  </si>
  <si>
    <t>CDM Design Risk Assessment</t>
  </si>
  <si>
    <t xml:space="preserve">KB Comments: 	Would comment that its more of a RAG list status more than a risk assessment that identifies hazards and the actions taken at design stage to eliminate or reduce and at what stage it applies i.e. construction, operation/maintenance, demolition._x000D_
	would be expecting to see the Principal Designer accumulate project designers’ significant risks into a single CDM Risk Register; _x000D_
	Confirm/Identify appropriate information at design that the Principal Designer will need to include in the H&amp;S file for completion_x000D_
</t>
  </si>
  <si>
    <t>FS1018-CPM-ZZ-XX-L-A-0020          CDM Design Risk Assessment</t>
  </si>
  <si>
    <t>FS1018-CPM-ZZ-ZZ-D-A-0050</t>
  </si>
  <si>
    <t>Circulation Strategy</t>
  </si>
  <si>
    <t>See comments on the drawing. Circulation widths to wc's is not consistent between L00 (1.5m) and upper floors (1.8m) - all need to be in accordance with ER's ; Clarify annotations of 'principal entrance' and 'pupil entrance' - is this pupil entrance just from the Hard/Soft play or is this their entrance upon arrival to school? Please see comments on Landscape drawing FS1018-ONE-XX-ZZ-D-L-0009-Access Security Strategy-S5-P04 Please indicate Entrances for Staff / Pupils / Public / Community</t>
  </si>
  <si>
    <t>FS1018-CPM-ZZ-ZZ-D-A-0050          Circulation Strategy</t>
  </si>
  <si>
    <t>FS1018-CPM-ZZ-ZZ-D-A-0051</t>
  </si>
  <si>
    <t>Zoning &amp; Security Strategy</t>
  </si>
  <si>
    <t>See comments on the drawing and, Are 00-6009 | TOC02 and 00-6010 | TOC02 intended for community use also? Otherwise, where can accessible changing and changing places activities take place?; Are all aspects of ER's satisfied with regards to Passive Supervision? GDB 1.8.4.1 d) toilets that are positioned for easy access and to facilitate passive supervision. [Ac_25_90_60]).</t>
  </si>
  <si>
    <t>FS1018-CPM-ZZ-ZZ-D-A-0051          Zoning &amp; Security Strategy</t>
  </si>
  <si>
    <t>Zoning and Security Strategy</t>
  </si>
  <si>
    <t>FS1018-CPM-ZZ-ZZ-D-A-0051          Zoning and Security Strategy</t>
  </si>
  <si>
    <t>Zoning And Security Strategy</t>
  </si>
  <si>
    <t>FS1018-CPM-ZZ-ZZ-D-A-0051          Zoning And Security Strategy</t>
  </si>
  <si>
    <t>FS1018-CPM-ZZ-ZZ-D-A-0052</t>
  </si>
  <si>
    <t>Sanitary &amp; Hygiene Strategy</t>
  </si>
  <si>
    <t>See comments on drawing and, 7 toilets denoted at eastern cluster - contrast with GA's which show 8.; 5M &amp; 5F showers denoted - does this satisfy ER's? Ref BB103: Normally in secondary schools it is sufficient to provide changing facilities for half a year group with equal and separate facilities for boys and girls in co-educational schools. Showers should generally be in the form of separate cubicles, with about one for every seven pupils changing. At least one accessible changing area (with a sanitary fitting, wash basin and shower) should be provided, although this may be also be used by staff. See point made elsewhere - please show layout</t>
  </si>
  <si>
    <t>FS1018-CPM-ZZ-ZZ-D-A-0052          Sanitary &amp; Hygiene Strategy</t>
  </si>
  <si>
    <t>Sanitary and Hygiene Strategy</t>
  </si>
  <si>
    <t>FS1018-CPM-ZZ-ZZ-D-A-0052          Sanitary and Hygiene Strategy</t>
  </si>
  <si>
    <t>Sanitary And Hygiene Strategy</t>
  </si>
  <si>
    <t>FS1018-CPM-ZZ-ZZ-D-A-0052          Sanitary And Hygiene Strategy</t>
  </si>
  <si>
    <t>FS1018-CPM-ZZ-ZZ-D-A-0053</t>
  </si>
  <si>
    <t>Access &amp; Maintenance Strategy</t>
  </si>
  <si>
    <t>See comments on drawing and, "Access &amp; Maintenance Strategy Legend lists Building Fabric elements - but Access and Maintenance Strategy ought to also highlight the major risks represented and steps taken to design out / reduce / mitigate said risks. Some immediate specific risks that stand out: 
1/ access from L00 up to L01 roof (covered elsewhere here) 
2/ area under stairs posing collision risk 
3/ open voids to L01 / L02 with respect to falling, fire, throwing things down to L00 etc"</t>
  </si>
  <si>
    <t>FS1018-CPM-ZZ-ZZ-D-A-0053          Access &amp; Maintenance Strategy</t>
  </si>
  <si>
    <t>Access and Maintenance Strategy</t>
  </si>
  <si>
    <t>FS1018-CPM-ZZ-ZZ-D-A-0053          Access and Maintenance Strategy</t>
  </si>
  <si>
    <t>Access And Maintenance Strategy</t>
  </si>
  <si>
    <t>P05</t>
  </si>
  <si>
    <t>FS1018-CPM-ZZ-ZZ-D-A-0053          Access And Maintenance Strategy</t>
  </si>
  <si>
    <t>FS1018-CPM-ZZ-ZZ-D-A-0054</t>
  </si>
  <si>
    <t>Cleaning &amp; Maintenance Strategy</t>
  </si>
  <si>
    <t>See comments on drawings and, How are smaller areas of roof proposed to be accessed, cleaned and maintained? Roofs to: LRC, Sports stores, entrance canopy; Zone for polewashing for windows indicated but how are areas at L01 and above accessed for maintenance? Can you get a MEWP along the entire perimeter of the façade?; Show how MEWPS gain access to large internal hall spaces?; Need to indicate access and clearances around roof plant / PV's, as well as travel distances</t>
  </si>
  <si>
    <t>FS1018-CPM-ZZ-ZZ-D-A-0054          Cleaning &amp; Maintenance Strategy</t>
  </si>
  <si>
    <t>Cleaning and Maintenance Strategy</t>
  </si>
  <si>
    <t>FS1018-CPM-ZZ-ZZ-D-A-0054          Cleaning and Maintenance Strategy</t>
  </si>
  <si>
    <t>Cleaning And Maintenance Strategy</t>
  </si>
  <si>
    <t>FS1018-CPM-ZZ-ZZ-D-A-0054          Cleaning And Maintenance Strategy</t>
  </si>
  <si>
    <t>FS1018-CPM-ZZ-ZZ-D-A-0060</t>
  </si>
  <si>
    <t>Proposed Room Cluster Diagram</t>
  </si>
  <si>
    <t>FS1018-CPM-ZZ-ZZ-D-A-0060          Proposed Room Cluster Diagram</t>
  </si>
  <si>
    <t>FS1018-CPM-ZZ-ZZ-D-A-2001</t>
  </si>
  <si>
    <t>GA Proposed Sections AABBCCDD</t>
  </si>
  <si>
    <t>See comments on drawing and, Key plan denotes Sections AA-EE, yet only sections AA-DD shown. Section EE missing and rather important. Also section through LRC and entrance is key. Please provide.; Please show floor levels to AOD, not AFFL (on the basis that your NGL may vary) - and then dim between floors; Please show proposed parapet levels to AOD; Section BB: What are the internal finishes on the lanterns? They look dark - could be oppressive at the top of a building.; Section CC: Please show stair tread numbers, rise/going, levels at half landings, clear heights; Section CC: How is area under stair at L00 to be dealt with, noting it is unusable and a hazard if left open?; Section CC: Consider relationship of openings/glazing/louvres to stair flights in both stair cores in relation to user experience, guarding as outlined in B Regs AD Part K Diagram 3.1 and elevation composition.; Sections CC and DD: Confirm all parapet heights are 1100mm for safe access</t>
  </si>
  <si>
    <t>FS1018-CPM-ZZ-ZZ-D-A-2001          GA Proposed Sections AABBCCDD</t>
  </si>
  <si>
    <t>GA Proposed Section AA, BB, CC, DD</t>
  </si>
  <si>
    <t>FS1018-CPM-ZZ-ZZ-D-A-2001          GA Proposed Section AA, BB, CC, DD</t>
  </si>
  <si>
    <t>GA Proposed Section Aa, Bb, Cc, Dd</t>
  </si>
  <si>
    <t>FS1018-CPM-ZZ-ZZ-D-A-2001          GA Proposed Section Aa, Bb, Cc, Dd</t>
  </si>
  <si>
    <t>FS1018-CPM-ZZ-ZZ-D-A-2002</t>
  </si>
  <si>
    <t>GA Proposed Section EE 1 To 125</t>
  </si>
  <si>
    <t>FS1018-CPM-ZZ-ZZ-D-A-2002          GA Proposed Section EE 1 To 125</t>
  </si>
  <si>
    <t>GA Proposed Section EE</t>
  </si>
  <si>
    <t>FS1018-CPM-ZZ-ZZ-D-A-2002          GA Proposed Section EE</t>
  </si>
  <si>
    <t>FS1018-CPM-ZZ-ZZ-D-A-2005</t>
  </si>
  <si>
    <t>FS1018-CPM-ZZ-ZZ-D-A-2005          GA Proposed Section EE</t>
  </si>
  <si>
    <t>FS1018-CPM-ZZ-ZZ-D-A-2010</t>
  </si>
  <si>
    <t>GA Proposed Elevations Sheet 01</t>
  </si>
  <si>
    <t>See comments on drawing and, "**---General notes for all GA elevation deliverables: Please omit shadows/rendered trees/bins/other fencing in front etc, we would like to see the full building elevations rather than a rendered Revit model cut line; Legend note 1 - 5: Please provide further information on selection of Buff and Dark Grey brickwork; Legend note 1 - 5: Please further detail on proposed wall depths/build ups to show head/jamb/cill details of recessed and hit &amp; miss scenarios ; Legend note 6: Please provide further detail on proposed rainscreen system; Legend note 12: Galvanised - see ER's TA 2C 3.5.2 g) Galvanised mild steel balustrades are permitted in non-visually obvious 
situations [PM_80_60_50] - the proposed locations would be considered visually obvious; Please provide Sample board showing all proposed finishes; See previous comments about fencing heights - look low on these elevations--**; Please show External doors accurately - Doors to L00 Kitchen and Roof Plant shown as glazed (Note does say 'PPC Aluminium Doors (Louvred/Solid/Glazed)' but it should be drawn accurately)"</t>
  </si>
  <si>
    <t>FS1018-CPM-ZZ-ZZ-D-A-2010          GA Proposed Elevations Sheet 01</t>
  </si>
  <si>
    <t>GA Proposed Elevations Sheet 1</t>
  </si>
  <si>
    <t>FS1018-CPM-ZZ-ZZ-D-A-2010          GA Proposed Elevations Sheet 1</t>
  </si>
  <si>
    <t>FS1018-CPM-ZZ-ZZ-D-A-2011</t>
  </si>
  <si>
    <t>GA Proposed Elevations Sheet 02</t>
  </si>
  <si>
    <t>See comments on drawing and, At stair cores: consider relationship of openings/glazing/louvres to stair flights in elevation and in section; What are the various finishes to curtain walling at stair cores? Legend says 'PPC Aluminium Curtain Walling System (Dark Grey)' but elevation indicates light glazing and spandrel at L001, and dark glazing and spandrel at L01 and L02 - can you provide more detail? ; Consider terminating curtain walling at half landing instead of running down to L00 level if this area under stair will be out of sight and inaccessible? Not best use of £ also consider robustness requirements of ER's (GDB and TA 2C); Consider terminating Curtain walling at underside of Roof slab level? Currently shown running up past the Roof FFL to form part of the parapet? Improbable and not best use of £. Please review composition of elevations if maintaining a common datum between both stair cores is important to you.</t>
  </si>
  <si>
    <t>FS1018-CPM-ZZ-ZZ-D-A-2011          GA Proposed Elevations Sheet 02</t>
  </si>
  <si>
    <t>GA Proposed Elevations Sheet 2</t>
  </si>
  <si>
    <t>FS1018-CPM-ZZ-ZZ-D-A-2011          GA Proposed Elevations Sheet 2</t>
  </si>
  <si>
    <t>FS1018-CPM-ZZ-ZZ-D-A-2012</t>
  </si>
  <si>
    <t>GA Proposed Elevations Sheet 03</t>
  </si>
  <si>
    <t>See comments on drawing and, Please confirm what the main entrance doors will be made from? Proposal looks like internal double doors, but presume this is a function of Revit modelling view range.; Is signage on canopy sufficiently sized and contrasting for the person on the ground looking upwards?</t>
  </si>
  <si>
    <t>FS1018-CPM-ZZ-ZZ-D-A-2012          GA Proposed Elevations Sheet 03</t>
  </si>
  <si>
    <t>FS1018-CPM-ZZ-ZZ-D-A-2013</t>
  </si>
  <si>
    <t>GA Proposed Elevations SE 1 To 125</t>
  </si>
  <si>
    <t>FS1018-CPM-ZZ-ZZ-D-A-2013          GA Proposed Elevations SE 1 To 125</t>
  </si>
  <si>
    <t>FS1018-CPM-ZZ-ZZ-D-A-2014</t>
  </si>
  <si>
    <t>GA Proposed Elevations NW 1 to 125</t>
  </si>
  <si>
    <t>FS1018-CPM-ZZ-ZZ-D-A-2014          GA Proposed Elevations NW 1 to 125</t>
  </si>
  <si>
    <t>FS1018-CPM-ZZ-ZZ-D-A-2025</t>
  </si>
  <si>
    <t>Hazard Identification Plan</t>
  </si>
  <si>
    <t>Can you tabulate the risks to show: Risk rating (based on Probability x Impact) and proposed steps to eliminate, reduce, mitigate.</t>
  </si>
  <si>
    <t>FS1018-CPM-ZZ-ZZ-D-A-2025          Hazard Identification Plan</t>
  </si>
  <si>
    <t>FS1018-CPM-ZZ-ZZ-D-A-2031</t>
  </si>
  <si>
    <t>Visuals Sheet 01 External</t>
  </si>
  <si>
    <t>FS1018-CPM-ZZ-ZZ-D-A-2031          Visuals Sheet 01 External</t>
  </si>
  <si>
    <t>Internal Views</t>
  </si>
  <si>
    <t>FS1018-CPM-ZZ-ZZ-D-A-2031          Internal Views</t>
  </si>
  <si>
    <t>FS1018-CPM-ZZ-ZZ-D-A-2032</t>
  </si>
  <si>
    <t>Visuals Sheet 02 Internal</t>
  </si>
  <si>
    <t>See comments on drawing and Ceilings in LRC look low - are they? GA Sections do not cover this area.</t>
  </si>
  <si>
    <t>FS1018-CPM-ZZ-ZZ-D-A-2032          Visuals Sheet 02 Internal</t>
  </si>
  <si>
    <t>External Views</t>
  </si>
  <si>
    <t>FS1018-CPM-ZZ-ZZ-D-A-2032          External Views</t>
  </si>
  <si>
    <t>FS1018-CPM-ZZ-ZZ-D-A-2040</t>
  </si>
  <si>
    <t>Lock Suiting Strategy</t>
  </si>
  <si>
    <t>FS1018-CPM-ZZ-ZZ-D-A-2040          Lock Suiting Strategy</t>
  </si>
  <si>
    <t>FS1018-CPM-ZZ-ZZ-D-A-2140</t>
  </si>
  <si>
    <t>Construction Building Sections Sheet 1</t>
  </si>
  <si>
    <t>FS1018-CPM-ZZ-ZZ-D-A-2140          Construction Building Sections Sheet 1</t>
  </si>
  <si>
    <t>FS1018-CPM-ZZ-ZZ-D-A-2141</t>
  </si>
  <si>
    <t>Construction Building Sections</t>
  </si>
  <si>
    <t>See comments on drawing and, Is proposed roof a Bio Solar Green Roof in line with DfE ER's? TA 2C 3.2.1 All roofs shall comprise a bio-solar green roofing system, maximised with photovoltaics (PVs) to meet the requirements in Technical Annex 2G, Technical Annex 2H  and Technical Annex 2J. [PM_10_20_90]; Parapet detail annotates a 'Recessed feature brickwork' - yet the elevation shows hit and miss brickwork. Is it recessed or is it hit and miss? ; Detail 2: Is there barrier matting here? ; Are 2 x Top hung opening light's automated? ; Please provide more details of fibre cement rainscreen cladding; Confirm Thermal / Fire / Acoustic requirements have been achieved - provide all systems testing and certification</t>
  </si>
  <si>
    <t>FS1018-CPM-ZZ-ZZ-D-A-2141          Construction Building Sections</t>
  </si>
  <si>
    <t>Construction Building Sections Sheet 2</t>
  </si>
  <si>
    <t>FS1018-CPM-ZZ-ZZ-D-A-2141          Construction Building Sections Sheet 2</t>
  </si>
  <si>
    <t>FS1018-CPM-ZZ-ZZ-D-A-2143</t>
  </si>
  <si>
    <t>External Wall Details Sheet 1</t>
  </si>
  <si>
    <t>FS1018-CPM-ZZ-ZZ-D-A-2143          External Wall Details Sheet 1</t>
  </si>
  <si>
    <t>FS1018-CPM-ZZ-ZZ-D-A-2144</t>
  </si>
  <si>
    <t>External Wall Details Sheet 2</t>
  </si>
  <si>
    <t>FS1018-CPM-ZZ-ZZ-D-A-2144          External Wall Details Sheet 2</t>
  </si>
  <si>
    <t>FS1018-CPM-ZZ-ZZ-D-A-2401</t>
  </si>
  <si>
    <t>Typical Staircase Sheet 01</t>
  </si>
  <si>
    <t>FS1018-CPM-ZZ-ZZ-D-A-2401          Typical Staircase Sheet 01</t>
  </si>
  <si>
    <t>FS1018-CPM-ZZ-ZZ-D-A-2402</t>
  </si>
  <si>
    <t>Typical Staircase Sheet 02</t>
  </si>
  <si>
    <t>FS1018-CPM-ZZ-ZZ-D-A-2402          Typical Staircase Sheet 02</t>
  </si>
  <si>
    <t>FS1018-CPM-ZZ-ZZ-D-A-2403</t>
  </si>
  <si>
    <t>Typical Staircase Sheet 03</t>
  </si>
  <si>
    <t>FS1018-CPM-ZZ-ZZ-D-A-2403          Typical Staircase Sheet 03</t>
  </si>
  <si>
    <t>FS1018-CPM-ZZ-ZZ-D-A-2404</t>
  </si>
  <si>
    <t>Typical Staircase Sheet 04</t>
  </si>
  <si>
    <t>FS1018-CPM-ZZ-ZZ-D-A-2404          Typical Staircase Sheet 04</t>
  </si>
  <si>
    <t>FS1018-CPM-ZZ-ZZ-D-A-2405</t>
  </si>
  <si>
    <t>Typical Staircase Sheet 05</t>
  </si>
  <si>
    <t>FS1018-CPM-ZZ-ZZ-D-A-2405          Typical Staircase Sheet 05</t>
  </si>
  <si>
    <t>FS1018-CPM-ZZ-ZZ-D-A-3002</t>
  </si>
  <si>
    <t>External Door Schedues Sheet 02</t>
  </si>
  <si>
    <t>FS1018-CPM-ZZ-ZZ-D-A-3002          External Door Schedues Sheet 02</t>
  </si>
  <si>
    <t>FS1018-CPM-ZZ-ZZ-D-A-3010</t>
  </si>
  <si>
    <t>Curtain Wall Panelling Elevations Sheet 01</t>
  </si>
  <si>
    <t>FS1018-CPM-ZZ-ZZ-D-A-3010          Curtain Wall Panelling Elevations Sheet 01</t>
  </si>
  <si>
    <t>FS1018-CPM-ZZ-ZZ-D-A-3011</t>
  </si>
  <si>
    <t>Curtain Wall Panelling Elevations Sheet 02</t>
  </si>
  <si>
    <t>FS1018-CPM-ZZ-ZZ-D-A-3011          Curtain Wall Panelling Elevations Sheet 02</t>
  </si>
  <si>
    <t>FS1018-CPM-ZZ-ZZ-D-A-3020</t>
  </si>
  <si>
    <t>External Windows Elevation And Schedule</t>
  </si>
  <si>
    <t>FS1018-CPM-ZZ-ZZ-D-A-3020          External Windows Elevation And Schedule</t>
  </si>
  <si>
    <t>FS1018-CPM-ZZ-ZZ-D-A-3021</t>
  </si>
  <si>
    <t>Internal Glazed Panel Elevations And Schedule</t>
  </si>
  <si>
    <t>FS1018-CPM-ZZ-ZZ-D-A-3021          Internal Glazed Panel Elevations And Schedule</t>
  </si>
  <si>
    <t>FS1018-CPM-ZZ-ZZ-D-A-3055</t>
  </si>
  <si>
    <t>Internal Doors Level 00 Sheet 06</t>
  </si>
  <si>
    <t>FS1018-CPM-ZZ-ZZ-D-A-3055          Internal Doors Level 00 Sheet 06</t>
  </si>
  <si>
    <t>FS1018-CPM-ZZ-ZZ-D-A-3062</t>
  </si>
  <si>
    <t>Window Schedule</t>
  </si>
  <si>
    <t>FS1018-CPM-ZZ-ZZ-D-A-3062          Window Schedule</t>
  </si>
  <si>
    <t>FS1018-CPM-ZZ-ZZ-D-A-4001</t>
  </si>
  <si>
    <t>GA Wall Finishes Strategy</t>
  </si>
  <si>
    <t>See comments on drawings and, Can I ask for these strategy drawings to show L00 at the bottom of the page and go up the page L01 L02, as your other strategy drawings? Mix of methods is inconsistent. Comment applies also to FS1018-CPM-ZZ-ZZ-D-A-4004-GAFloorFinishesStrategy-S5-P01 and FS1018-CPM-ZZ-ZZ-D-A-4007-GACeilingFinishesStrategy-S5-P01; Note that room fills denoting wall finishes missing from L00, please show.; How does your code W2.2 map to Internal Wall Finishes Table 2 in TA 2D? Do you mean 2.2h? ; Showers are shown as W2.2 but shouldn't they be W3.3 as per Table 2 in TA 2D? Ie Wet areas not humid areas? ; Please provide further detail on W6.1h proposed finish to Sports Hall. ; How are acoustic requirements outlined in FS1018-ADT-ZZ-ZZ-T-J-0001-AcousticStrategy-S5-P01 satisfied in proposals for both Main Hall and Sports Hall? Eg in Sports Hall acoustic strategy says 'The current proposal is to have plywood wall finishes including perforated panels at low level, on a sub frame with mineral wool backing.'</t>
  </si>
  <si>
    <t>FS1018-CPM-ZZ-ZZ-D-A-4001          GA Wall Finishes Strategy</t>
  </si>
  <si>
    <t>FS1018-CPM-ZZ-ZZ-D-A-4004</t>
  </si>
  <si>
    <t>GA Floor Finishes Strategy</t>
  </si>
  <si>
    <t>See comments on drawing and, Note that room fills denoting floor finishes missing from L00, please show.; F1.1 Carpet is proposed for Stairs - is this correct?; F2.1 Vinyl to Server room - is this correct; Are F3.2i and F3.4 the same floor finish, with the only difference being in the skirting?; F3.4 for 'Light practical' in Art and Science? Wouldn't these be Heavy practical as outlined in TA 2D Table 5a?; Is there any F5 for Heavy practical? Not on legend besides F5.4 in Plantrooms; Do codes F6.1 (activity studio) and F6.2h (multi purpose hall) match the plans? ; No finish to cupboard from secondary access; Acoustic underlay denoted on legend but not shown on plans.</t>
  </si>
  <si>
    <t>FS1018-CPM-ZZ-ZZ-D-A-4004          GA Floor Finishes Strategy</t>
  </si>
  <si>
    <t>FS1018-CPM-ZZ-ZZ-D-A-4007</t>
  </si>
  <si>
    <t>GA Ceiling Finishes Strategy</t>
  </si>
  <si>
    <t>See comments on drawings and, Need to see proposed FCL's for each room; Do External Stores require a ceiling C1.1? ; Please clarify note in Ceiling 1.1 (600x600 grid ceiling) and Ceiling 1.2 (600x600 hygienic grid ceiling)  'in classrooms ceiling C3.2 provided to area outside of raft' - what does this mean, given that C3.2 is described as an emulsion painted concrete soffit to humid areas. Are you saying that the substrate is emulsion painted concrete soffit with raft ceilings? ; Ceiling type C1.1e described as 'PPC perforated profiled structural metal deck' - how does this satisfy acoustic requirements contained in Acoustic Strategy FS1018-ADT-ZZ-ZZ-T-J-0001-AcousticStrategy-S5-P01 'In the sports hall there will be a perforated liner tray to the roof, overlaid with mineral wool insulation and with insulation to the troughs, to achieve minimum absorption Class C.'; You have multiple ceiling codes for 2.2, 2.2/2.3, 2.3. Is Ceiling code 2.2/2.3 confusing things? ER's clear on what is needed where. This is why you need to draw your shower layouts - typically these are classed as wet areas (C2.3), with the changing space classed as a humid area (C2.2)</t>
  </si>
  <si>
    <t>FS1018-CPM-ZZ-ZZ-D-A-4007          GA Ceiling Finishes Strategy</t>
  </si>
  <si>
    <t>FS1018-CPM-ZZ-ZZ-D-A-6601</t>
  </si>
  <si>
    <t>Lift Pit Details</t>
  </si>
  <si>
    <t>FS1018-CPM-ZZ-ZZ-D-A-6601          Lift Pit Details</t>
  </si>
  <si>
    <t>FS1018-CPM-ZZ-ZZ-D-A-6801</t>
  </si>
  <si>
    <t>Room Elevations Assembly Dining Sheet 1</t>
  </si>
  <si>
    <t>FS1018-CPM-ZZ-ZZ-D-A-6801          Room Elevations Assembly Dining Sheet 1</t>
  </si>
  <si>
    <t>FS1018-CPM-ZZ-ZZ-D-A-6802</t>
  </si>
  <si>
    <t>Room Elevations Assembly Dining Sheet 2</t>
  </si>
  <si>
    <t>FS1018-CPM-ZZ-ZZ-D-A-6802          Room Elevations Assembly Dining Sheet 2</t>
  </si>
  <si>
    <t>FS1018-CPM-ZZ-ZZ-D-A-6803</t>
  </si>
  <si>
    <t>Room Elevations Sports Hall Sheet 1</t>
  </si>
  <si>
    <t>FS1018-CPM-ZZ-ZZ-D-A-6803          Room Elevations Sports Hall Sheet 1</t>
  </si>
  <si>
    <t>FS1018-CPM-ZZ-ZZ-D-A-6804</t>
  </si>
  <si>
    <t>Room Elevations Sports Hall Sheet 2</t>
  </si>
  <si>
    <t>FS1018-CPM-ZZ-ZZ-D-A-6804          Room Elevations Sports Hall Sheet 2</t>
  </si>
  <si>
    <t>FS1018-CPM-ZZ-ZZ-D-A-6805</t>
  </si>
  <si>
    <t>Room Elevations Sports Hall Sheet 3</t>
  </si>
  <si>
    <t>FS1018-CPM-ZZ-ZZ-D-A-6805          Room Elevations Sports Hall Sheet 3</t>
  </si>
  <si>
    <t>FS1018-CPM-ZZ-ZZ-D-A-6806</t>
  </si>
  <si>
    <t>Room Elevations Sports Hall Acoustic Panel Set Out</t>
  </si>
  <si>
    <t>FS1018-CPM-ZZ-ZZ-D-A-6806          Room Elevations Sports Hall Acoustic Panel Set Out</t>
  </si>
  <si>
    <t>FS1018-CPM-ZZ-ZZ-D-A-6813</t>
  </si>
  <si>
    <t>Room Elevations Pupil WC'S L01 And L02</t>
  </si>
  <si>
    <t>FS1018-CPM-ZZ-ZZ-D-A-6813          Room Elevations Pupil WC'S L01 And L02</t>
  </si>
  <si>
    <t>FS1018-CPM-ZZ-ZZ-L-A-0001</t>
  </si>
  <si>
    <t>Clash Report</t>
  </si>
  <si>
    <t>Report identifies 2400 clashes. Report does not evidence sufficient issue/clash resolution progress during the stage.  Report should be presented in a more actionable format.  All images are corrupt in the report.</t>
  </si>
  <si>
    <t>FS1018-CPM-ZZ-ZZ-L-A-0001          Clash Report</t>
  </si>
  <si>
    <t>FS1018-CPM-ZZ-ZZ-L-A-3060</t>
  </si>
  <si>
    <t>Internal Door Schedule</t>
  </si>
  <si>
    <t>FS1018-CPM-ZZ-ZZ-L-A-3060          Internal Door Schedule</t>
  </si>
  <si>
    <t>FS1018-CPM-ZZ-ZZ-L-A-3061</t>
  </si>
  <si>
    <t>External Door Schedule</t>
  </si>
  <si>
    <t>FS1018-CPM-ZZ-ZZ-L-A-3061          External Door Schedule</t>
  </si>
  <si>
    <t>FS1018-CPM-ZZ-ZZ-M-A-0002</t>
  </si>
  <si>
    <t>Federated Model</t>
  </si>
  <si>
    <t>Better spatial coordination would be expected by Stage 3, 2,400 clashes is impracticle and not acceptable. Structural elements not well coordinated with architecture (especially doors and structural elements. Internal walls not aligned with column and bracing positions. Instances of furniture interfering with architectural doorways and structural elements. Library entrance, threshold between outside and inside missing geometry.</t>
  </si>
  <si>
    <t>FS1018-CPM-ZZ-ZZ-M-A-0002          Federated Model</t>
  </si>
  <si>
    <t>FS1018-CPM-ZZ-ZZ-M-A-0003</t>
  </si>
  <si>
    <t>Building Model Navisworks</t>
  </si>
  <si>
    <t>Object assignment to correct levels requires review as a_x000D_
it appears there are objects which should be on different levels.</t>
  </si>
  <si>
    <t>FS1018-CPM-ZZ-ZZ-M-A-0003          Building Model Navisworks</t>
  </si>
  <si>
    <t>Architectural Model NWC</t>
  </si>
  <si>
    <t>FS1018-CPM-ZZ-ZZ-M-A-0003          Architectural Model NWC</t>
  </si>
  <si>
    <t>FS1018-CPM-ZZ-ZZ-M-A-0004</t>
  </si>
  <si>
    <t>Building Model IFC</t>
  </si>
  <si>
    <t>modelling erros apparent (ie. ceiling passing through wall, gaps in external walls). 92 elements have USERDEFINED or NOTDEFINED predefined type and 341 with empty field. Object assignment to correct levels requires review. COBie Facility information not consistently available in the IFC properties, COBie Zones missing from architectural IFC.</t>
  </si>
  <si>
    <t>FS1018-CPM-ZZ-ZZ-M-A-0004          Building Model IFC</t>
  </si>
  <si>
    <t>Architectural Model IFC</t>
  </si>
  <si>
    <t>FS1018-CPM-ZZ-ZZ-M-A-0004          Architectural Model IFC</t>
  </si>
  <si>
    <t>FS1018-CPM-ZZ-ZZ-M-A-0005</t>
  </si>
  <si>
    <t>Building Model Revit</t>
  </si>
  <si>
    <t>Model not detatched from central. Status on Flysheet is at S1.</t>
  </si>
  <si>
    <t>FS1018-CPM-ZZ-ZZ-M-A-0005          Building Model Revit</t>
  </si>
  <si>
    <t>Architectural Model Revit</t>
  </si>
  <si>
    <t>FS1018-CPM-ZZ-ZZ-M-A-0005          Architectural Model Revit</t>
  </si>
  <si>
    <t>FS1018-CPM-ZZ-ZZ-V-A-0001</t>
  </si>
  <si>
    <t>Flythrough Video</t>
  </si>
  <si>
    <t>Video does not play.</t>
  </si>
  <si>
    <t>FS1018-CPM-ZZ-ZZ-V-A-0001          Flythrough Video</t>
  </si>
  <si>
    <t>External Flythrough Video</t>
  </si>
  <si>
    <t>FS1018-CPM-ZZ-ZZ-V-A-0001          External Flythrough Video</t>
  </si>
  <si>
    <t>FS1018-CPM-ZZ-ZZ-V-A-0002</t>
  </si>
  <si>
    <t>Internal Flythrough Video</t>
  </si>
  <si>
    <t>FS1018-CPM-ZZ-ZZ-V-A-0002          Internal Flythrough Video</t>
  </si>
  <si>
    <t>FS1018-DSI-XX-XX-T-G-0001</t>
  </si>
  <si>
    <t>GI Geo Environmental Assesment</t>
  </si>
  <si>
    <t>Civil Review</t>
  </si>
  <si>
    <t>FS1018-DSI-XX-XX-T-G-0001          GI Geo Environmental Assesment</t>
  </si>
  <si>
    <t>FS1018-EVR-XX-XX-D-O-0001</t>
  </si>
  <si>
    <t>Server Room Location</t>
  </si>
  <si>
    <t>ICT Review</t>
  </si>
  <si>
    <t xml:space="preserve">TR Comments:- Need to revisit proposed server and hub room location taking into account comments in lines 8, 9, 11, 12_x000D_
- Is there a window in the server room _x000D_
</t>
  </si>
  <si>
    <t>FS1018-EVR-XX-XX-D-O-0001          Server Room Location</t>
  </si>
  <si>
    <t>FS1018-EVR-XX-XX-D-O-0002</t>
  </si>
  <si>
    <t>ICT Plans</t>
  </si>
  <si>
    <t>TR Comments:- Need to revisit proposed server and hub room location taking into account comments in lines 8, 9, 11, 12</t>
  </si>
  <si>
    <t>FS1018-EVR-XX-XX-D-O-0002          ICT Plans</t>
  </si>
  <si>
    <t>FS1018-EVR-XX-XX-D-O-0003</t>
  </si>
  <si>
    <t>Wireless Heat Maps</t>
  </si>
  <si>
    <t>FS1018-EVR-XX-XX-D-O-0003          Wireless Heat Maps</t>
  </si>
  <si>
    <t>FS1018-EVR-XX-XX-D-O-0004</t>
  </si>
  <si>
    <t>Server Cabinet Layout</t>
  </si>
  <si>
    <t>FS1018-EVR-XX-XX-D-O-0004          Server Cabinet Layout</t>
  </si>
  <si>
    <t>FS1018-EVR-XX-XX-G-O-0001</t>
  </si>
  <si>
    <t>ICT Network Diagrams</t>
  </si>
  <si>
    <t>FS1018-EVR-XX-XX-G-O-0001          ICT Network Diagrams</t>
  </si>
  <si>
    <t>FS1018-EVR-XX-XX-L-O-0001</t>
  </si>
  <si>
    <t>ICT Equipment List</t>
  </si>
  <si>
    <t xml:space="preserve">TR Comments:- Need to revisit in line with changes that need to be made   _x000D_
</t>
  </si>
  <si>
    <t>FS1018-EVR-XX-XX-L-O-0001          ICT Equipment List</t>
  </si>
  <si>
    <t>FS1018-EVR-XX-XX-L-O-0002</t>
  </si>
  <si>
    <t>ICT Cost Matrix</t>
  </si>
  <si>
    <t>FS1018-EVR-XX-XX-L-O-0002          ICT Cost Matrix</t>
  </si>
  <si>
    <t>FS1018-EVR-XX-XX-L-O-0003</t>
  </si>
  <si>
    <t>ICT Small Power and Data Schedule</t>
  </si>
  <si>
    <t>FS1018-EVR-XX-XX-L-O-0003          ICT Small Power and Data Schedule</t>
  </si>
  <si>
    <t>FS1018-EVR-XX-XX-L-O-0004</t>
  </si>
  <si>
    <t>ICT Construction Programme</t>
  </si>
  <si>
    <t>FS1018-EVR-XX-XX-L-O-0004          ICT Construction Programme</t>
  </si>
  <si>
    <t>FS1018-EVR-XX-XX-T-O-0001</t>
  </si>
  <si>
    <t>ICT Decant Plan</t>
  </si>
  <si>
    <t>FS1018-EVR-XX-XX-T-O-0001          ICT Decant Plan</t>
  </si>
  <si>
    <t>FS1018-EVR-XX-XX-T-O-0002</t>
  </si>
  <si>
    <t>ICT Calculations</t>
  </si>
  <si>
    <t>FS1018-EVR-XX-XX-T-O-0002          ICT Calculations</t>
  </si>
  <si>
    <t>FS1018-EVR-XX-XX-T-O-0003</t>
  </si>
  <si>
    <t>Draft ICT CPs</t>
  </si>
  <si>
    <t>See attached Comment sheet from Tony Roman - DfE ICT Advisor. Comments are logged against specific sections of the report which together ghave generated a Rejected vote.</t>
  </si>
  <si>
    <t>FS1018-EVR-XX-XX-T-O-0003          Draft ICT CPs</t>
  </si>
  <si>
    <t>FS1018-EVR-XX-XX-T-O-0004</t>
  </si>
  <si>
    <t>ICT Contractor's Proposals</t>
  </si>
  <si>
    <t>FS1018-EVR-XX-XX-T-O-0004          ICT Contractor's Proposals</t>
  </si>
  <si>
    <t>FS1018-EVR-XX-XX-T-O-0005</t>
  </si>
  <si>
    <t>Post Award ICT Meetings (PAM) Agendas</t>
  </si>
  <si>
    <t>FS1018-EVR-XX-XX-T-O-0005          Post Award ICT Meetings (PAM) Agendas</t>
  </si>
  <si>
    <t>FS1018-EVR-XX-XX-T-O-0006</t>
  </si>
  <si>
    <t>User Acceptance Testing (UAT) Schedule</t>
  </si>
  <si>
    <t>FS1018-EVR-XX-XX-T-O-0006          User Acceptance Testing (UAT) Schedule</t>
  </si>
  <si>
    <t>FS1018-EVR-XX-XX-T-O-0007</t>
  </si>
  <si>
    <t>Post Award ICT Meetings (PAM) Minutes</t>
  </si>
  <si>
    <t>FS1018-EVR-XX-XX-T-O-0007          Post Award ICT Meetings (PAM) Minutes</t>
  </si>
  <si>
    <t>FS1018-GLE-XX-XX-T-Z-0001</t>
  </si>
  <si>
    <t>PV System Calculation</t>
  </si>
  <si>
    <t>FS1018-GLE-XX-XX-T-Z-0001          PV System Calculation</t>
  </si>
  <si>
    <t>FS1018-HBC-XX-XX-D-R-9999</t>
  </si>
  <si>
    <t>DfE Wisbech - Blank TEST Document</t>
  </si>
  <si>
    <t>TEST Review</t>
  </si>
  <si>
    <t>A - Approved</t>
  </si>
  <si>
    <t>Test Approval</t>
  </si>
  <si>
    <t>FS1018-HBC-XX-XX-D-R-9999          DfE Wisbech - Blank TEST Document</t>
  </si>
  <si>
    <t>B - Approved with Comments</t>
  </si>
  <si>
    <t xml:space="preserve">Test </t>
  </si>
  <si>
    <t>FS1018-HBC-XX-XX-D-X-0001</t>
  </si>
  <si>
    <t>Site Set Up Plan</t>
  </si>
  <si>
    <t>Please provide a plan showing the site set-up during Phase 2 of the project.</t>
  </si>
  <si>
    <t>FS1018-HBC-XX-XX-D-X-0001          Site Set Up Plan</t>
  </si>
  <si>
    <t>Site Construction Plan</t>
  </si>
  <si>
    <t>FS1018-HBC-XX-XX-D-X-0001          Site Construction Plan</t>
  </si>
  <si>
    <t>1. this drawing  shows the phase 1 construction area but uses the phase 3 car park layout (final configuration). HB need to show 2 construction phases and the different car park layouts as presented in the logistics CEM.</t>
  </si>
  <si>
    <t>FS1018-HBC-XX-XX-D-X-0002</t>
  </si>
  <si>
    <t>Site Phasing Plan</t>
  </si>
  <si>
    <t>Wtihin the phasing plan, we would expect to see the following:_x000D_
Details of the logistics for the different phases (compound, materials storage, hoarding, traffic management, etc.)_x000D_
Access points for staff, pupils, visitors, emergency services, contractors and deliveries._x000D_
Generally, there are three different phases of the project:_x000D_
1: Phase 1 only, pre-Phase 2_x000D_
2: Phase 1 and 2 taking place in tandem_x000D_
3: Phase 1 only, post-Phase 2</t>
  </si>
  <si>
    <t>FS1018-HBC-XX-XX-D-X-0002          Site Phasing Plan</t>
  </si>
  <si>
    <t>FS1018-HBC-XX-XX-D-X-0003</t>
  </si>
  <si>
    <t>Site Set Up Plan Phase 1</t>
  </si>
  <si>
    <t>FS1018-HBC-XX-XX-D-X-0003          Site Set Up Plan Phase 1</t>
  </si>
  <si>
    <t>Phase1</t>
  </si>
  <si>
    <t>FS1018-HBC-XX-XX-D-X-0003          Phase1</t>
  </si>
  <si>
    <t>this document shows the correct car park layouts for this phase. therefore can FS1018-HBC-XX-XX-D-X-0001 be removed?</t>
  </si>
  <si>
    <t>FS1018-HBC-XX-XX-D-X-0004</t>
  </si>
  <si>
    <t>Site Set Up Plan Phase 2</t>
  </si>
  <si>
    <t>FS1018-HBC-XX-XX-D-X-0004          Site Set Up Plan Phase 2</t>
  </si>
  <si>
    <t>Phase2</t>
  </si>
  <si>
    <t>FS1018-HBC-XX-XX-D-X-0004          Phase2</t>
  </si>
  <si>
    <t>Site Set Up Plan Phase 2 Section 1</t>
  </si>
  <si>
    <t>FS1018-HBC-XX-XX-D-X-0004          Site Set Up Plan Phase 2 Section 1</t>
  </si>
  <si>
    <t>B - Partially Accepted with Comments</t>
  </si>
  <si>
    <t>1. as this is summer works are the notes regarding pedestrian access to be maintained necessary?
2. re the note about a decision needs to eb made regadring use if link road - Can the link road be released for use from Sept 2026 to improve the bus and pedestrian and vehicle access? 3. what arrangements will be made for Teaching staff parking during this phase of works as the new building will be open. This was raised at CEM meeting</t>
  </si>
  <si>
    <t>FS1018-HBC-XX-XX-D-X-0005</t>
  </si>
  <si>
    <t>Roof Plan PV Annotations Mark up</t>
  </si>
  <si>
    <t>FS1018-HBC-XX-XX-D-X-0005          Roof Plan PV Annotations Mark up</t>
  </si>
  <si>
    <t>Site Set Up Plan Phase 2 Section 2</t>
  </si>
  <si>
    <t>FS1018-HBC-XX-XX-D-X-0005          Site Set Up Plan Phase 2 Section 2</t>
  </si>
  <si>
    <t>1. more detailed proposals will be needed for phasing of access into staff car park as drawing indicates that this may be blocked. 2. Staff car parking will be needed in the interim period following portacabin decant and reinstatement of portakabin area to provide parking</t>
  </si>
  <si>
    <t>FS1018-HBC-XX-XX-D-X-0006</t>
  </si>
  <si>
    <t>Site Set Up Plan Phase 3</t>
  </si>
  <si>
    <t>FS1018-HBC-XX-XX-D-X-0006          Site Set Up Plan Phase 3</t>
  </si>
  <si>
    <t>1. should this drawing be named final layout post handover not site set up phase 3?</t>
  </si>
  <si>
    <t>FS1018-HBC-XX-XX-L-X-0001</t>
  </si>
  <si>
    <t>MIDP</t>
  </si>
  <si>
    <t>See email sent 20/10/23 - files in MIDP not matching CDE - 2 DEIR Items missing - 103 &amp; 180.</t>
  </si>
  <si>
    <t>FS1018-HBC-XX-XX-L-X-0001          MIDP</t>
  </si>
  <si>
    <t>P10</t>
  </si>
  <si>
    <t xml:space="preserve">the following items are either not matching CDE or not submitted - see email sent FS1018-AGL-ZZ-XX-T-Z-0003_x000D_
FS1018-AGL-ZZ-XX-T-Z-0003_x000D_
FS1018-AGL-ZZ-XX-T-Z-0003_x000D_
FS1018-AGL-ZZ-ZZ-D-Z-5801_x000D_
FS1018-CPM-ZZ-ZZ-D-A-2141_x000D_
FS1018-CPM-XX-XX-T-A-5002_x000D_
FS1018-DSI-XX-XX-T-G-0001_x000D_
FS1018-EVR-XX-XX-D-O-0001_x000D_
FS1018-EVR-XX-XX-T-O-0003_x000D_
FS1018-HEX-ZZ-ZZ-M-C-0003_x000D_
FS1018-HEX-ZZ-ZZ-D-C-5200_x000D_
FS1018-HEX-ZZ-ZZ-D-C-5201_x000D_
FS1018-HEX-ZZ-ZZ-D-C-5205_x000D_
FS1018-HEX-ZZ-ZZ-D-C-5210_x000D_
FS1018-HEX-ZZ-ZZ-D-C-5211_x000D_
FS1018-ONE-ZZ-ZZ-M-L-0001_x000D_
FS1018-PIN-ZZ-00-D-O-5021_x000D_
</t>
  </si>
  <si>
    <t>FS1018-HBC-XX-XX-L-X-0003</t>
  </si>
  <si>
    <t>Design Programme</t>
  </si>
  <si>
    <t>Programme needs updating following late issue of Stage 3 information to DfE._x000D_
Additional comments on mark-up.</t>
  </si>
  <si>
    <t>FS1018-HBC-XX-XX-L-X-0003          Design Programme</t>
  </si>
  <si>
    <t>1. Line 47 Judicial review and line 49 Discharge of pre commencement conditions can these be run concurrently? 2. line 51 is this a duplicate of line 49 but does suggest condition discharge is running concurrently? 3. line 68 Delivery of  CPS was only partial MEP 17th March and costs etc not received as of 19/3/2025 4. Should CP review evaluation line 69 should be 8 weeks from receipt of full CPS.  5. line 80 should also include a note .. Contract finalisation including any increased DFE budget submissions (CCF)</t>
  </si>
  <si>
    <t>FS1018-HBC-XX-XX-L-X-0004</t>
  </si>
  <si>
    <t>Construction Programme</t>
  </si>
  <si>
    <t>Review required following late issue of Stage 3 information and to assess potential routes to allow the school to open in September 2025.</t>
  </si>
  <si>
    <t>FS1018-HBC-XX-XX-L-X-0004          Construction Programme</t>
  </si>
  <si>
    <t>1. Line 56 - please clarify this task - is this place order or install the substation - NB noted line 224 Legal process for easements and S77 disposal of land has been planned into programme 2. Line 74 power and water on 2a. power on does the activity need more details see my comments re line 56? 2b, this is planned for early in school term - can the service interruptions be planned outside school term ie summer or half term or weekends? 3 ICT fit out needs to be planned with School ICT contractor, also will need the main hall AV as a planned activity as well as the drama rooms etc. 4. Lines 297 and line 310 phase 2 section and 1 and 2 handover are both after school term starts can these be planned for completion prior to school term starts to avoid disruption ie before 1st September 2026 and 2027?</t>
  </si>
  <si>
    <t>FS1018-HBC-XX-XX-L-X-0005</t>
  </si>
  <si>
    <t>Master Programme</t>
  </si>
  <si>
    <t>As comments on design and construction programmes. Additional comments on mark-up.</t>
  </si>
  <si>
    <t>FS1018-HBC-XX-XX-L-X-0005          Master Programme</t>
  </si>
  <si>
    <t>1. see comments regarding Design programme and construction programme. Master programme to eb updated to reflect these comments</t>
  </si>
  <si>
    <t>FS1018-HBC-XX-XX-L-X-0006</t>
  </si>
  <si>
    <t>Work Package Procurement Plan</t>
  </si>
  <si>
    <t>FS1018-HBC-XX-XX-L-X-0006          Work Package Procurement Plan</t>
  </si>
  <si>
    <t>Works Package Procurement Programme</t>
  </si>
  <si>
    <t>FS1018-HBC-XX-XX-L-X-0006          Works Package Procurement Programme</t>
  </si>
  <si>
    <t>FS1018-HBC-XX-XX-L-X-0007</t>
  </si>
  <si>
    <t>We would expect to see risks for:_x000D_
Local incinerator and how this could impact on the design_x000D_
Objections to the planning application from locals or Cambridgeshire, or others_x000D_
Delay to securing the land from the existing PFI agreement</t>
  </si>
  <si>
    <t>FS1018-HBC-XX-XX-L-X-0007          Risk Register</t>
  </si>
  <si>
    <t>1. line 3 - existing drainage culvert - need to update this risk following IDB planning objection 2. Line 11 Sport England response has been received removing objection - needs updating 3. Planning  delay - needs updating / re evaluating due to delays in statutory consultee responses and risk of not making April committee</t>
  </si>
  <si>
    <t>FS1018-HBC-XX-XX-L-X-0008</t>
  </si>
  <si>
    <t>PCSA</t>
  </si>
  <si>
    <t>FS1018-HBC-XX-XX-L-X-0008          PCSA</t>
  </si>
  <si>
    <t>FS1018-HBC-XX-XX-L-X-0009</t>
  </si>
  <si>
    <t>PCSA Milestone Schedule</t>
  </si>
  <si>
    <t>FS1018-HBC-XX-XX-L-X-0009          PCSA Milestone Schedule</t>
  </si>
  <si>
    <t>FS1018-HBC-XX-XX-L-X-0010</t>
  </si>
  <si>
    <t>PCSA Certificate Of Completion</t>
  </si>
  <si>
    <t>FS1018-HBC-XX-XX-L-X-0010          PCSA Certificate Of Completion</t>
  </si>
  <si>
    <t>FS1018-HBC-XX-XX-L-X-0011</t>
  </si>
  <si>
    <t>Cashflow Forecast</t>
  </si>
  <si>
    <t>FS1018-HBC-XX-XX-L-X-0011          Cashflow Forecast</t>
  </si>
  <si>
    <t>FS1018-HBC-XX-XX-L-X-0012</t>
  </si>
  <si>
    <t>Framewok Pricing Schedule</t>
  </si>
  <si>
    <t>Separate review meetings ongoing.</t>
  </si>
  <si>
    <t>FS1018-HBC-XX-XX-L-X-0012          Framewok Pricing Schedule</t>
  </si>
  <si>
    <t>FS1018-HBC-XX-XX-L-X-0013</t>
  </si>
  <si>
    <t>KPI Key Performance Indicator</t>
  </si>
  <si>
    <t>FS1018-HBC-XX-XX-L-X-0013          KPI Key Performance Indicator</t>
  </si>
  <si>
    <t>DFE KPIs</t>
  </si>
  <si>
    <t>FS1018-HBC-XX-XX-L-X-0013          DFE KPIs</t>
  </si>
  <si>
    <t>FS1018-HBC-XX-XX-L-X-0014</t>
  </si>
  <si>
    <t>Supplier Directory CV</t>
  </si>
  <si>
    <t>This document needs to provide proposed sub-contractors for each package of work, typically three per package.</t>
  </si>
  <si>
    <t>FS1018-HBC-XX-XX-L-X-0014          Supplier Directory CV</t>
  </si>
  <si>
    <t>FS1018-HBC-XX-XX-L-X-0015</t>
  </si>
  <si>
    <t>Supplier Directory Organisation Chart</t>
  </si>
  <si>
    <t>This needs to focus more on the management of the different sub-contractors, not so much the design and DfE teams.</t>
  </si>
  <si>
    <t>FS1018-HBC-XX-XX-L-X-0015          Supplier Directory Organisation Chart</t>
  </si>
  <si>
    <t>FS1018-HBC-XX-XX-L-X-0016</t>
  </si>
  <si>
    <t>Handover Training Plan</t>
  </si>
  <si>
    <t>FS1018-HBC-XX-XX-L-X-0016          Handover Training Plan</t>
  </si>
  <si>
    <t>FS1018-HBC-XX-XX-L-X-0017</t>
  </si>
  <si>
    <t>Supplier Chain Directory</t>
  </si>
  <si>
    <t>FS1018-HBC-XX-XX-L-X-0017          Supplier Chain Directory</t>
  </si>
  <si>
    <t>FS1018-HBC-XX-XX-L-X-0018</t>
  </si>
  <si>
    <t>HB Social Value KPIs</t>
  </si>
  <si>
    <t>FS1018-HBC-XX-XX-L-X-0018          HB Social Value KPIs</t>
  </si>
  <si>
    <t>FS1018-HBC-XX-XX-L-X-0019</t>
  </si>
  <si>
    <t>Site Organisation Chart</t>
  </si>
  <si>
    <t>FS1018-HBC-XX-XX-L-X-0019          Site Organisation Chart</t>
  </si>
  <si>
    <t>FS1018-HBC-XX-XX-L-X-0020</t>
  </si>
  <si>
    <t>Commissioning Programme</t>
  </si>
  <si>
    <t>FS1018-HBC-XX-XX-L-X-0020          Commissioning Programme</t>
  </si>
  <si>
    <t>FS1018-HBC-XX-XX-L-X-1001</t>
  </si>
  <si>
    <t>Quality Management Plan</t>
  </si>
  <si>
    <t>Sustainability Review</t>
  </si>
  <si>
    <t>FS1018-HBC-XX-XX-L-X-1001          Quality Management Plan</t>
  </si>
  <si>
    <t>FS1018-HBC-XX-XX-L-X-1002</t>
  </si>
  <si>
    <t>Sustainable Estate Strategy</t>
  </si>
  <si>
    <t>FS1018-HBC-XX-XX-L-X-1002          Sustainable Estate Strategy</t>
  </si>
  <si>
    <t>FS1018-HBC-XX-XX-L-X-1003</t>
  </si>
  <si>
    <t>Lift Specification</t>
  </si>
  <si>
    <t>FS1018-HBC-XX-XX-L-X-1003          Lift Specification</t>
  </si>
  <si>
    <t>This is a lift companies sale literature (which is non compliant for a new lift going into a new build building) and is not a lift specification as WSP VT would expect. Front page of document says 29 pages and 12 are submitted. Please provide full lift specification for review. WSP VT can not offer comment as document is incomplete</t>
  </si>
  <si>
    <t>FS1018-HBC-XX-XX-L-X-1004</t>
  </si>
  <si>
    <t>Project Execution Plan</t>
  </si>
  <si>
    <t>FS1018-HBC-XX-XX-L-X-1004          Project Execution Plan</t>
  </si>
  <si>
    <t>FS1018-HBC-XX-XX-L-X-2003</t>
  </si>
  <si>
    <t>HB Workflow Comment Tracker</t>
  </si>
  <si>
    <t>FS1018-HBC-XX-XX-L-X-2003          HB Workflow Comment Tracker</t>
  </si>
  <si>
    <t>FS1018-HBC-XX-XX-L-X-3000</t>
  </si>
  <si>
    <t>Derogations Schedule</t>
  </si>
  <si>
    <t>FS1018-HBC-XX-XX-L-X-3000          Derogations Schedule</t>
  </si>
  <si>
    <t>FS1018-HBC-XX-XX-L-X-4000</t>
  </si>
  <si>
    <t>Planning Condition Tracker</t>
  </si>
  <si>
    <t>rejected Pending conclusion of the planning submission</t>
  </si>
  <si>
    <t>FS1018-HBC-XX-XX-L-X-4000          Planning Condition Tracker</t>
  </si>
  <si>
    <t>FS1018-HBC-XX-XX-T-R-0001</t>
  </si>
  <si>
    <t>CDE Guide - Aconex</t>
  </si>
  <si>
    <t>Test</t>
  </si>
  <si>
    <t>FS1018-HBC-XX-XX-T-R-0001          CDE Guide - Aconex</t>
  </si>
  <si>
    <t>FS1018-HBC-XX-XX-T-X-0001</t>
  </si>
  <si>
    <t>Construction Phasing Plan</t>
  </si>
  <si>
    <t>Refer to mark-up.</t>
  </si>
  <si>
    <t>FS1018-HBC-XX-XX-T-X-0001          Construction Phasing Plan</t>
  </si>
  <si>
    <t>FS1018-HBC-XX-XX-T-X-0017</t>
  </si>
  <si>
    <t>CEM1 Meeting Minutes</t>
  </si>
  <si>
    <t>FS1018-HBC-XX-XX-T-X-0017          CEM1 Meeting Minutes</t>
  </si>
  <si>
    <t>FS1018-HBC-XX-XX-T-X-0018</t>
  </si>
  <si>
    <t>CEM2 Meeting Minutes</t>
  </si>
  <si>
    <t>FS1018-HBC-XX-XX-T-X-0018          CEM2 Meeting Minutes</t>
  </si>
  <si>
    <t>FS1018-HBC-XX-XX-T-X-0019</t>
  </si>
  <si>
    <t>CEM3 Meeting Minutes</t>
  </si>
  <si>
    <t>FS1018-HBC-XX-XX-T-X-0019          CEM3 Meeting Minutes</t>
  </si>
  <si>
    <t>FS1018-HBC-XX-XX-T-X-0020</t>
  </si>
  <si>
    <t>CEM4 Meeting Minutes</t>
  </si>
  <si>
    <t>FS1018-HBC-XX-XX-T-X-0020          CEM4 Meeting Minutes</t>
  </si>
  <si>
    <t>FS1018-HBC-XX-XX-T-X-0021</t>
  </si>
  <si>
    <t>CEM5 Meeting Minutes</t>
  </si>
  <si>
    <t>FS1018-HBC-XX-XX-T-X-0021          CEM5 Meeting Minutes</t>
  </si>
  <si>
    <t>FS1018-HBC-XX-XX-T-X-0022</t>
  </si>
  <si>
    <t>CEM6 Meeting Minutes</t>
  </si>
  <si>
    <t>FS1018-HBC-XX-XX-T-X-0022          CEM6 Meeting Minutes</t>
  </si>
  <si>
    <t>FS1018-HBC-XX-XX-T-X-0023</t>
  </si>
  <si>
    <t>ICT Meeting Minutes</t>
  </si>
  <si>
    <t>FS1018-HBC-XX-XX-T-X-0023          ICT Meeting Minutes</t>
  </si>
  <si>
    <t>FS1018-HBC-XX-XX-T-X-0024</t>
  </si>
  <si>
    <t>CEM7 Meeting Minutes</t>
  </si>
  <si>
    <t>FS1018-HBC-XX-XX-T-X-0024          CEM7 Meeting Minutes</t>
  </si>
  <si>
    <t>FS1018-HBC-XX-XX-T-X-0025</t>
  </si>
  <si>
    <t>CEM8 Meeting Minutes</t>
  </si>
  <si>
    <t>FS1018-HBC-XX-XX-T-X-0025          CEM8 Meeting Minutes</t>
  </si>
  <si>
    <t>FS1018-HBC-XX-XX-T-X-0026</t>
  </si>
  <si>
    <t>CEM8-9A Meeting Minutes</t>
  </si>
  <si>
    <t>FS1018-HBC-XX-XX-T-X-0026          CEM8-9A Meeting Minutes</t>
  </si>
  <si>
    <t>FS1018-HBC-XX-XX-T-X-0027</t>
  </si>
  <si>
    <t>CEM09 Meeting Minutes</t>
  </si>
  <si>
    <t>FS1018-HBC-XX-XX-T-X-0027          CEM09 Meeting Minutes</t>
  </si>
  <si>
    <t>FS1018-HBC-XX-XX-T-X-0028</t>
  </si>
  <si>
    <t>CEM10 Meeting Minutes</t>
  </si>
  <si>
    <t>FS1018-HBC-XX-XX-T-X-0028          CEM10 Meeting Minutes</t>
  </si>
  <si>
    <t>FS1018-HBC-XX-XX-T-X-0029</t>
  </si>
  <si>
    <t>CEM10A Meeting Minutes</t>
  </si>
  <si>
    <t>FS1018-HBC-XX-XX-T-X-0029          CEM10A Meeting Minutes</t>
  </si>
  <si>
    <t>FS1018-HBC-XX-XX-T-X-0030</t>
  </si>
  <si>
    <t>CEM11 Meeting Minutes</t>
  </si>
  <si>
    <t>FS1018-HBC-XX-XX-T-X-0030          CEM11 Meeting Minutes</t>
  </si>
  <si>
    <t>FS1018-HBC-XX-XX-T-X-0031</t>
  </si>
  <si>
    <t>CEM12 Meeting Minutes</t>
  </si>
  <si>
    <t>FS1018-HBC-XX-XX-T-X-0031          CEM12 Meeting Minutes</t>
  </si>
  <si>
    <t>FS1018-HBC-XX-XX-T-X-0033</t>
  </si>
  <si>
    <t>CEM07 Agenda</t>
  </si>
  <si>
    <t>FS1018-HBC-XX-XX-T-X-0033          CEM07 Agenda</t>
  </si>
  <si>
    <t>FS1018-HBC-XX-XX-T-X-0034</t>
  </si>
  <si>
    <t>CEM08 Agenda</t>
  </si>
  <si>
    <t>FS1018-HBC-XX-XX-T-X-0034          CEM08 Agenda</t>
  </si>
  <si>
    <t>FS1018-HBC-XX-XX-T-X-0035</t>
  </si>
  <si>
    <t>CEM09 Agenda</t>
  </si>
  <si>
    <t>FS1018-HBC-XX-XX-T-X-0035          CEM09 Agenda</t>
  </si>
  <si>
    <t>FS1018-HBC-XX-XX-T-X-0036</t>
  </si>
  <si>
    <t>CEM08-9A Agenda</t>
  </si>
  <si>
    <t>FS1018-HBC-XX-XX-T-X-0036          CEM08-9A Agenda</t>
  </si>
  <si>
    <t>FS1018-HBC-XX-XX-T-X-0037</t>
  </si>
  <si>
    <t>CEM10 Meeting Agenda</t>
  </si>
  <si>
    <t>FS1018-HBC-XX-XX-T-X-0037          CEM10 Meeting Agenda</t>
  </si>
  <si>
    <t>FS1018-HBC-XX-XX-T-X-0038</t>
  </si>
  <si>
    <t>CEM10A Agenda</t>
  </si>
  <si>
    <t>FS1018-HBC-XX-XX-T-X-0038          CEM10A Agenda</t>
  </si>
  <si>
    <t>FS1018-HBC-XX-XX-T-X-0039</t>
  </si>
  <si>
    <t>CEM11 Agenda</t>
  </si>
  <si>
    <t>FS1018-HBC-XX-XX-T-X-0039          CEM11 Agenda</t>
  </si>
  <si>
    <t>FS1018-HBC-XX-XX-T-X-0040</t>
  </si>
  <si>
    <t>CEM12 Agenda</t>
  </si>
  <si>
    <t>FS1018-HBC-XX-XX-T-X-0040          CEM12 Agenda</t>
  </si>
  <si>
    <t>FS1018-HBC-XX-XX-T-X-0042</t>
  </si>
  <si>
    <t>Employer Necessary Consents</t>
  </si>
  <si>
    <t>ENCs are unclear at present as the land transaction has yet to be completed with CCC and also the planning  approval has yet to be concluded which may result in s278 or other legal agreements. As these processes are concluded ENCs may arise and this document will need to be updated</t>
  </si>
  <si>
    <t>FS1018-HBC-XX-XX-T-X-0042          Employer Necessary Consents</t>
  </si>
  <si>
    <t>FS1018-HBC-XX-XX-T-X-0043</t>
  </si>
  <si>
    <t>Construction Method Statement</t>
  </si>
  <si>
    <t>FS1018-HBC-XX-XX-T-X-0043          Construction Method Statement</t>
  </si>
  <si>
    <t>FS1018-HBC-XX-XX-T-X-0044</t>
  </si>
  <si>
    <t>Handover Strategy</t>
  </si>
  <si>
    <t>FS1018-HBC-XX-XX-T-X-0044          Handover Strategy</t>
  </si>
  <si>
    <t>FS1018-HBC-XX-XX-T-X-0045</t>
  </si>
  <si>
    <t>Thermal Assessment</t>
  </si>
  <si>
    <t>FS1018-HBC-XX-XX-T-X-0045          Thermal Assessment</t>
  </si>
  <si>
    <t>FS1018-HEX-XX-00-T-H-0002</t>
  </si>
  <si>
    <t>Framework School Travel Plan</t>
  </si>
  <si>
    <t>FS1018-HEX-XX-00-T-H-0002          Framework School Travel Plan</t>
  </si>
  <si>
    <t>FS1018-HEX-XX-XX-T-C-0001</t>
  </si>
  <si>
    <t>Flood Risk Assessment</t>
  </si>
  <si>
    <t>FS1018-HEX-XX-XX-T-C-0001          Flood Risk Assessment</t>
  </si>
  <si>
    <t>FS1018-HEX-XX-XX-T-C-0002</t>
  </si>
  <si>
    <t>SuDS Operations and Maintenance Manual</t>
  </si>
  <si>
    <t>FS1018-HEX-XX-XX-T-C-0002          SuDS Operations and Maintenance Manual</t>
  </si>
  <si>
    <t>FS1018-HEX-XX-XX-T-C-0004</t>
  </si>
  <si>
    <t>CIVIL DESIGN PHILOSOPHY</t>
  </si>
  <si>
    <t>FS1018-HEX-XX-XX-T-C-0004          CIVIL DESIGN PHILOSOPHY</t>
  </si>
  <si>
    <t>Civil Design Philosophy</t>
  </si>
  <si>
    <t>FS1018-HEX-XX-XX-T-C-0004          Civil Design Philosophy</t>
  </si>
  <si>
    <t>FS1018-HEX-XX-XX-T-C-0010</t>
  </si>
  <si>
    <t xml:space="preserve">KB Comments: 	have these been provided to the Principal Designer for comment?  _x000D_
	Have the Designers been provided with Pre-Construction Information to inform their Design and DRA’s? _x000D_
	Is the Principal Designer satisfied that the Designers have used the general principles of prevention to eliminate/reduce risk in their design?  _x000D_
	Confusing as some of the potential hazards identified aren’t “hazards” e.g. Additional Site Investigation; _x000D_
	Have the Designers been provided with Pre-Construction Information to inform their Design and DRA’s?_x000D_
	What actions has been taken by Design at Stage 3 level to eliminate/reduce risk_x000D_
	Identify appropriate information from the design that the Principal Designer will need to include in the H&amp;S file for completion._x000D_
</t>
  </si>
  <si>
    <t>FS1018-HEX-XX-XX-T-C-0010          Risk Register</t>
  </si>
  <si>
    <t>FS1018-HEX-XX-XX-T-C-0011</t>
  </si>
  <si>
    <t>Drainage Specification</t>
  </si>
  <si>
    <t>FS1018-HEX-XX-XX-T-C-0011          Drainage Specification</t>
  </si>
  <si>
    <t>FS1018-HEX-XX-XX-T-C-0012</t>
  </si>
  <si>
    <t>Earthworks Specification</t>
  </si>
  <si>
    <t>FS1018-HEX-XX-XX-T-C-0012          Earthworks Specification</t>
  </si>
  <si>
    <t>FS1018-HEX-XX-XX-T-H-0001</t>
  </si>
  <si>
    <t>Transport Assessment</t>
  </si>
  <si>
    <t>FS1018-HEX-XX-XX-T-H-0001          Transport Assessment</t>
  </si>
  <si>
    <t>FS1018-HEX-XX-XX-T-S-0003</t>
  </si>
  <si>
    <t>Structural Design Philosophy</t>
  </si>
  <si>
    <t>Structural Review</t>
  </si>
  <si>
    <t>MT Comments: PV loading on roof mentioned but no description how fixing is achieved or lefection tollerance for cells</t>
  </si>
  <si>
    <t>FS1018-HEX-XX-XX-T-S-0003          Structural Design Philosophy</t>
  </si>
  <si>
    <t>FS1018-HEX-XX-XX-T-S-0004</t>
  </si>
  <si>
    <t>Concrete Specification</t>
  </si>
  <si>
    <t>FS1018-HEX-XX-XX-T-S-0004          Concrete Specification</t>
  </si>
  <si>
    <t>FS1018-HEX-XX-XX-T-S-0005</t>
  </si>
  <si>
    <t>Steelwork Specification</t>
  </si>
  <si>
    <t>FS1018-HEX-XX-XX-T-S-0005          Steelwork Specification</t>
  </si>
  <si>
    <t>FS1018-HEX-XX-XX-T-S-0006</t>
  </si>
  <si>
    <t>Piling Specification</t>
  </si>
  <si>
    <t>FS1018-HEX-XX-XX-T-S-0006          Piling Specification</t>
  </si>
  <si>
    <t>FS1018-HEX-ZZ-00-D-S-0101</t>
  </si>
  <si>
    <t>FOUNDATION LAYOUT</t>
  </si>
  <si>
    <t>MT Comments: What is the purpose of the internal slab thickenings over the GB'S?</t>
  </si>
  <si>
    <t>FS1018-HEX-ZZ-00-D-S-0101          FOUNDATION LAYOUT</t>
  </si>
  <si>
    <t>Foundation Layout</t>
  </si>
  <si>
    <t>FS1018-HEX-ZZ-00-D-S-0101          Foundation Layout</t>
  </si>
  <si>
    <t>FS1018-HEX-ZZ-00-D-S-0102</t>
  </si>
  <si>
    <t>Foundation Details</t>
  </si>
  <si>
    <t>FS1018-HEX-ZZ-00-D-S-0102          Foundation Details</t>
  </si>
  <si>
    <t>FS1018-HEX-ZZ-00-D-S-0200</t>
  </si>
  <si>
    <t>GROUND FLOOR COLUMN PLAN</t>
  </si>
  <si>
    <t>FS1018-HEX-ZZ-00-D-S-0200          GROUND FLOOR COLUMN PLAN</t>
  </si>
  <si>
    <t>Ground Floor Column Plan</t>
  </si>
  <si>
    <t>FS1018-HEX-ZZ-00-D-S-0200          Ground Floor Column Plan</t>
  </si>
  <si>
    <t>FS1018-HEX-ZZ-01-D-S-0201</t>
  </si>
  <si>
    <t>FIRST FLOOR STEELWORK LAYOUT</t>
  </si>
  <si>
    <t>FS1018-HEX-ZZ-01-D-S-0201          FIRST FLOOR STEELWORK LAYOUT</t>
  </si>
  <si>
    <t>First Floor Steelwork Layout</t>
  </si>
  <si>
    <t>FS1018-HEX-ZZ-01-D-S-0201          First Floor Steelwork Layout</t>
  </si>
  <si>
    <t>FS1018-HEX-ZZ-02-D-S-0202</t>
  </si>
  <si>
    <t>SECOND FLOOR STEELWORK LAYOUT</t>
  </si>
  <si>
    <t>FS1018-HEX-ZZ-02-D-S-0202          SECOND FLOOR STEELWORK LAYOUT</t>
  </si>
  <si>
    <t>Second Floor Steelwork Layout</t>
  </si>
  <si>
    <t>FS1018-HEX-ZZ-02-D-S-0202          Second Floor Steelwork Layout</t>
  </si>
  <si>
    <t>FS1018-HEX-ZZ-RF-D-S-0203</t>
  </si>
  <si>
    <t>MAIN ROOF STEELWORK LAYOUT</t>
  </si>
  <si>
    <t>FS1018-HEX-ZZ-RF-D-S-0203          MAIN ROOF STEELWORK LAYOUT</t>
  </si>
  <si>
    <t>Main Roof Steelwork Layout</t>
  </si>
  <si>
    <t>FS1018-HEX-ZZ-RF-D-S-0203          Main Roof Steelwork Layout</t>
  </si>
  <si>
    <t>FS1018-HEX-ZZ-RF-D-S-0204</t>
  </si>
  <si>
    <t>HALL ROOF STEELWORK LAYOUTS</t>
  </si>
  <si>
    <t>FS1018-HEX-ZZ-RF-D-S-0204          HALL ROOF STEELWORK LAYOUTS</t>
  </si>
  <si>
    <t>Hall Roof Steelwork Layouts</t>
  </si>
  <si>
    <t>FS1018-HEX-ZZ-RF-D-S-0204          Hall Roof Steelwork Layouts</t>
  </si>
  <si>
    <t>FS1018-HEX-ZZ-RF-D-S-0205</t>
  </si>
  <si>
    <t>PARAPET STEELWORK LAYOUT</t>
  </si>
  <si>
    <t>FS1018-HEX-ZZ-RF-D-S-0205          PARAPET STEELWORK LAYOUT</t>
  </si>
  <si>
    <t>Parapet Steelwork Layout</t>
  </si>
  <si>
    <t>FS1018-HEX-ZZ-RF-D-S-0205          Parapet Steelwork Layout</t>
  </si>
  <si>
    <t>FS1018-HEX-ZZ-XX-D-S-0001</t>
  </si>
  <si>
    <t>PROJECT NOTES</t>
  </si>
  <si>
    <t xml:space="preserve">MT Comments: uplift seams high on all piles will this exist? </t>
  </si>
  <si>
    <t>FS1018-HEX-ZZ-XX-D-S-0001          PROJECT NOTES</t>
  </si>
  <si>
    <t>Project Notes</t>
  </si>
  <si>
    <t>FS1018-HEX-ZZ-XX-D-S-0001          Project Notes</t>
  </si>
  <si>
    <t>FS1018-HEX-ZZ-ZZ-D-C-5200</t>
  </si>
  <si>
    <t>SURFACE WATER DRAINAGE LAYOUT SHEET 1</t>
  </si>
  <si>
    <t>Flow arrows on pipelines would make it easier to read the drawing and understand the philosophy</t>
  </si>
  <si>
    <t>FS1018-HEX-ZZ-ZZ-D-C-5200          SURFACE WATER DRAINAGE LAYOUT SHEET 1</t>
  </si>
  <si>
    <t>Surface Water Drainage Layout Sheet 1</t>
  </si>
  <si>
    <t>FS1018-HEX-ZZ-ZZ-D-C-5200          Surface Water Drainage Layout Sheet 1</t>
  </si>
  <si>
    <t>FS1018-HEX-ZZ-ZZ-D-C-5201</t>
  </si>
  <si>
    <t>SURFACE WATER DRAINAGE LAYOUT SHEET 2</t>
  </si>
  <si>
    <t>FS1018-HEX-ZZ-ZZ-D-C-5201          SURFACE WATER DRAINAGE LAYOUT SHEET 2</t>
  </si>
  <si>
    <t>Surface Water Drainage Layout Sheet 2</t>
  </si>
  <si>
    <t>FS1018-HEX-ZZ-ZZ-D-C-5201          Surface Water Drainage Layout Sheet 2</t>
  </si>
  <si>
    <t>FS1018-HEX-ZZ-ZZ-D-C-5205</t>
  </si>
  <si>
    <t>FOUL WATER DRAINAGE LAYOUT</t>
  </si>
  <si>
    <t>Foul network gradients are very slack, 1:100-1:150. The connection to the sewer in Weasenham Lane should be investigated.</t>
  </si>
  <si>
    <t>FS1018-HEX-ZZ-ZZ-D-C-5205          FOUL WATER DRAINAGE LAYOUT</t>
  </si>
  <si>
    <t>Foul Water Drainage Layout</t>
  </si>
  <si>
    <t>FS1018-HEX-ZZ-ZZ-D-C-5205          Foul Water Drainage Layout</t>
  </si>
  <si>
    <t>FS1018-HEX-ZZ-ZZ-D-C-5210</t>
  </si>
  <si>
    <t>DRAINAGE CONSTRUCTION DETAILS SHEET 1</t>
  </si>
  <si>
    <t>FS1018-HEX-ZZ-ZZ-D-C-5210          DRAINAGE CONSTRUCTION DETAILS SHEET 1</t>
  </si>
  <si>
    <t>Drainage Construction Details Sheet 1</t>
  </si>
  <si>
    <t>FS1018-HEX-ZZ-ZZ-D-C-5210          Drainage Construction Details Sheet 1</t>
  </si>
  <si>
    <t>FS1018-HEX-ZZ-ZZ-D-C-5211</t>
  </si>
  <si>
    <t>DRAINAGE CONSTRUCTION DETAILS SHEET 2</t>
  </si>
  <si>
    <t>FS1018-HEX-ZZ-ZZ-D-C-5211          DRAINAGE CONSTRUCTION DETAILS SHEET 2</t>
  </si>
  <si>
    <t>Drainage Construction Details Sheet 2</t>
  </si>
  <si>
    <t>FS1018-HEX-ZZ-ZZ-D-C-5211          Drainage Construction Details Sheet 2</t>
  </si>
  <si>
    <t>FS1018-HEX-ZZ-ZZ-D-C-9000</t>
  </si>
  <si>
    <t>Earthworks Analysis</t>
  </si>
  <si>
    <t>FS1018-HEX-ZZ-ZZ-D-C-9000          Earthworks Analysis</t>
  </si>
  <si>
    <t>FS1018-HEX-ZZ-ZZ-D-C-9020</t>
  </si>
  <si>
    <t>EXTERNAL WORKS LAYOUT SHEET 1</t>
  </si>
  <si>
    <t>FS1018-HEX-ZZ-ZZ-D-C-9020          EXTERNAL WORKS LAYOUT SHEET 1</t>
  </si>
  <si>
    <t>External Works Layout Sheet 1</t>
  </si>
  <si>
    <t>FS1018-HEX-ZZ-ZZ-D-C-9020          External Works Layout Sheet 1</t>
  </si>
  <si>
    <t>FS1018-HEX-ZZ-ZZ-D-C-9021</t>
  </si>
  <si>
    <t>EXTERNAL WORKS LAYOUT SHEET 2</t>
  </si>
  <si>
    <t>FS1018-HEX-ZZ-ZZ-D-C-9021          EXTERNAL WORKS LAYOUT SHEET 2</t>
  </si>
  <si>
    <t>External Works Layout Sheet 2</t>
  </si>
  <si>
    <t>FS1018-HEX-ZZ-ZZ-D-C-9021          External Works Layout Sheet 2</t>
  </si>
  <si>
    <t>FS1018-HEX-ZZ-ZZ-D-C-9025</t>
  </si>
  <si>
    <t>EXTERNAL WORKS CONSTRUCTION DETAILS</t>
  </si>
  <si>
    <t>FS1018-HEX-ZZ-ZZ-D-C-9025          EXTERNAL WORKS CONSTRUCTION DETAILS</t>
  </si>
  <si>
    <t>External Works Construction Details</t>
  </si>
  <si>
    <t>FS1018-HEX-ZZ-ZZ-D-C-9025          External Works Construction Details</t>
  </si>
  <si>
    <t>FS1018-HEX-ZZ-ZZ-D-S-0501</t>
  </si>
  <si>
    <t>BUILDING ELEVATIONS SHEET 01 OF 02</t>
  </si>
  <si>
    <t xml:space="preserve">MT/IH Comments: Add drawing showing 3D views of the building frame including the the bracing system </t>
  </si>
  <si>
    <t>FS1018-HEX-ZZ-ZZ-D-S-0501          BUILDING ELEVATIONS SHEET 01 OF 02</t>
  </si>
  <si>
    <t>Building Elevations Sheet 01 Of 02</t>
  </si>
  <si>
    <t>FS1018-HEX-ZZ-ZZ-D-S-0501          Building Elevations Sheet 01 Of 02</t>
  </si>
  <si>
    <t>FS1018-HEX-ZZ-ZZ-D-S-0502</t>
  </si>
  <si>
    <t>BUILDING ELEVATIONS SHEET 02 OF 02</t>
  </si>
  <si>
    <t>FS1018-HEX-ZZ-ZZ-D-S-0502          BUILDING ELEVATIONS SHEET 02 OF 02</t>
  </si>
  <si>
    <t>Building Elevations Sheet 02 Of 02</t>
  </si>
  <si>
    <t>FS1018-HEX-ZZ-ZZ-D-S-0502          Building Elevations Sheet 02 Of 02</t>
  </si>
  <si>
    <t>FS1018-HEX-ZZ-ZZ-D-S-0503</t>
  </si>
  <si>
    <t>BRACING ELEVATIONS</t>
  </si>
  <si>
    <t xml:space="preserve">MT /IHComments: Add drawing showing 3D views of the building frame including the the bracing system </t>
  </si>
  <si>
    <t>FS1018-HEX-ZZ-ZZ-D-S-0503          BRACING ELEVATIONS</t>
  </si>
  <si>
    <t>Bracing Elevations</t>
  </si>
  <si>
    <t>FS1018-HEX-ZZ-ZZ-D-S-0503          Bracing Elevations</t>
  </si>
  <si>
    <t>FS1018-HEX-ZZ-ZZ-D-S-0601</t>
  </si>
  <si>
    <t>BUILDING SECTIONS</t>
  </si>
  <si>
    <t>FS1018-HEX-ZZ-ZZ-D-S-0601          BUILDING SECTIONS</t>
  </si>
  <si>
    <t>Building Sections</t>
  </si>
  <si>
    <t>FS1018-HEX-ZZ-ZZ-D-S-0601          Building Sections</t>
  </si>
  <si>
    <t>FS1018-HEX-ZZ-ZZ-D-S-0602</t>
  </si>
  <si>
    <t>STRUCTURAL SECTIONS &amp; DETAILS</t>
  </si>
  <si>
    <t xml:space="preserve">MT/IH Comments: Confirm the detail showing cranked rebar welded on the top flange of the UC Beam is adequate and in the zone  the shear plane of the UC section- the rebar appears high and cracked further back from the shear plane. Tie beam can also be slim flor by being grounted in parralel to PCC units </t>
  </si>
  <si>
    <t>FS1018-HEX-ZZ-ZZ-D-S-0602          STRUCTURAL SECTIONS &amp; DETAILS</t>
  </si>
  <si>
    <t>Structural Sections and Details</t>
  </si>
  <si>
    <t>FS1018-HEX-ZZ-ZZ-D-S-0602          Structural Sections and Details</t>
  </si>
  <si>
    <t>FS1018-HEX-ZZ-ZZ-D-S-0801</t>
  </si>
  <si>
    <t>3D Views</t>
  </si>
  <si>
    <t>FS1018-HEX-ZZ-ZZ-D-S-0801          3D Views</t>
  </si>
  <si>
    <t>FS1018-HEX-ZZ-ZZ-M-C-0001</t>
  </si>
  <si>
    <t>Native Civil Model</t>
  </si>
  <si>
    <t>FS1018-HEX-ZZ-ZZ-M-C-0001          Native Civil Model</t>
  </si>
  <si>
    <t>FS1018-HEX-ZZ-ZZ-M-C-0002</t>
  </si>
  <si>
    <t>IFC SPF Civil Model</t>
  </si>
  <si>
    <t>FS1018-HEX-ZZ-ZZ-M-C-0002          IFC SPF Civil Model</t>
  </si>
  <si>
    <t>FS1018-HEX-ZZ-ZZ-M-C-0003</t>
  </si>
  <si>
    <t>Navisowrks Civil Model</t>
  </si>
  <si>
    <t>Status on Flysheet is at S1 Work in Progress and revision 1. Should be updated to match requirements set out in  Project Information Standard. File name reference on splash screen does not match file name. Unnecessary site floor plan view.</t>
  </si>
  <si>
    <t>FS1018-HEX-ZZ-ZZ-M-C-0003          Navisowrks Civil Model</t>
  </si>
  <si>
    <t>Navisworks Civil Model</t>
  </si>
  <si>
    <t>FS1018-HEX-ZZ-ZZ-M-C-0003          Navisworks Civil Model</t>
  </si>
  <si>
    <t>FS1018-HEX-ZZ-ZZ-M-S-0001</t>
  </si>
  <si>
    <t>Native Structural Model</t>
  </si>
  <si>
    <t>Model reference on flysheet not aligned to file name.</t>
  </si>
  <si>
    <t>FS1018-HEX-ZZ-ZZ-M-S-0001          Native Structural Model</t>
  </si>
  <si>
    <t>FS1018-HEX-ZZ-ZZ-M-S-0002</t>
  </si>
  <si>
    <t>IFC SPF Structural Model</t>
  </si>
  <si>
    <t>COBie &amp; IFC Issues evident. 783 elements have USERDEFINED or NOTDEFINED predefined type and 392 elements with empty field. Object assignment to correct levels requires review (in level 00 there are objects that should be assigned to other levels).</t>
  </si>
  <si>
    <t>FS1018-HEX-ZZ-ZZ-M-S-0002          IFC SPF Structural Model</t>
  </si>
  <si>
    <t>FS1018-HEX-ZZ-ZZ-M-S-0003</t>
  </si>
  <si>
    <t>Navis Structural Model</t>
  </si>
  <si>
    <t>Objects not assigned to correct levels - requires review (eg. level 00 there are objects that should be assigned to other levels), naming of levels should align to Project Information Standard.</t>
  </si>
  <si>
    <t>FS1018-HEX-ZZ-ZZ-M-S-0003          Navis Structural Model</t>
  </si>
  <si>
    <t>FS1018-HEX-ZZ-ZZ-T-C-0001</t>
  </si>
  <si>
    <t>GENERAL NOTES</t>
  </si>
  <si>
    <t>FS1018-HEX-ZZ-ZZ-T-C-0001          GENERAL NOTES</t>
  </si>
  <si>
    <t>General Notes</t>
  </si>
  <si>
    <t>FS1018-HEX-ZZ-ZZ-T-C-0001          General Notes</t>
  </si>
  <si>
    <t>FS1018-MAJ-XX-XX-L-X-0090</t>
  </si>
  <si>
    <t>DetailedResponsibilityMatrix</t>
  </si>
  <si>
    <t>FS1018-MAJ-XX-XX-L-X-0090          DetailedResponsibilityMatrix</t>
  </si>
  <si>
    <t>Detailed Responsibility Matrix</t>
  </si>
  <si>
    <t>FS1018-MAJ-XX-XX-L-X-0090          Detailed Responsibility Matrix</t>
  </si>
  <si>
    <t>FS1018-MAJ-XX-XX-L-X-8001</t>
  </si>
  <si>
    <t>AssetRegister</t>
  </si>
  <si>
    <t>Asset Register only contains contact information for STR &amp; CVL engineer, no architectural. No other Contact, No Facility, Floor, Space or Zone data. Architectural was submitted separately but should be included in this file.</t>
  </si>
  <si>
    <t>FS1018-MAJ-XX-XX-L-X-8001          AssetRegister</t>
  </si>
  <si>
    <t>Asset Register</t>
  </si>
  <si>
    <t>FS1018-MAJ-XX-XX-L-X-8001          Asset Register</t>
  </si>
  <si>
    <t>FS1018-MAJ-XX-XX-L-X-8002</t>
  </si>
  <si>
    <t>COBieQCReport</t>
  </si>
  <si>
    <t>Rejected on the basis of quality of COBie data in the submission in the Federated Model and Asset Register.</t>
  </si>
  <si>
    <t>FS1018-MAJ-XX-XX-L-X-8002          COBieQCReport</t>
  </si>
  <si>
    <t>COBie QC Report</t>
  </si>
  <si>
    <t>FS1018-MAJ-XX-XX-L-X-8002          COBie QC Report</t>
  </si>
  <si>
    <t>FS1018-MAJ-XX-XX-T-X-0001</t>
  </si>
  <si>
    <t>BIM Execution Plan</t>
  </si>
  <si>
    <t>File is in WIP word format with WIP Comments from HBC contained within the file. Requires correcting all document refs - remnants of SRP1062 which is not this project. Project Directory incomplete. 5.5 CDE Configuration section is incomplete. 5.7 Security section is incomplete. 5.8 Federation Strategy incomplete. 7.5 Capability &amp; Capacity references Willmott Dixon?. 8.1 Software Requirements references solibri/Navisworks for federation - but Federation strategy also mentions Dalux? 8.5 Coordinates - all tbc. 8.7 L.O.I Need - incomplete. 9.7 Role Codes - I is spare but has been used for Interior Architecture in the P.I.S. 10.2 Management of OBie section and 10.3 Asset Register are incomplete. 3.1 Project Details require review to align with Project Information Standard. 5.6 PM Uniclass Table Version for file metadata should be specified in BEP. 6.6 Clash management and resolution progress should detail clash detection identification process; issue management process,_x000D_
clash resolution workshops. 6.8 Native model files for each discipline should be identified in BEP to confirm software compatibility. 8.6 PM Uniclass Table Version for file metadata should be specified in BEP to align with Project Information Standard. 9.5 Level elevations should be confirmed in the BEP.</t>
  </si>
  <si>
    <t>FS1018-MAJ-XX-XX-T-X-0001          BIM Execution Plan</t>
  </si>
  <si>
    <t>FS1018-MAJ-XX-XX-T-X-1001</t>
  </si>
  <si>
    <t>InformationManagersReport</t>
  </si>
  <si>
    <t>Report footer block contains wrong document number.</t>
  </si>
  <si>
    <t>FS1018-MAJ-XX-XX-T-X-1001          InformationManagersReport</t>
  </si>
  <si>
    <t>Information Managers Report</t>
  </si>
  <si>
    <t>FS1018-MAJ-XX-XX-T-X-1001          Information Managers Report</t>
  </si>
  <si>
    <t>FS1018-MAJ-ZZ-ZZ-M-X-0001</t>
  </si>
  <si>
    <t>FederatedInformationModel</t>
  </si>
  <si>
    <t>Model contains no classifications, COBie settings or checking rules to evidence checks.</t>
  </si>
  <si>
    <t>FS1018-MAJ-ZZ-ZZ-M-X-0001          FederatedInformationModel</t>
  </si>
  <si>
    <t>Federated Information Model</t>
  </si>
  <si>
    <t>FS1018-MAJ-ZZ-ZZ-M-X-0001          Federated Information Model</t>
  </si>
  <si>
    <t>FS1018-OFR-XX-00-D-K-0001</t>
  </si>
  <si>
    <t>Fire Safety Mark</t>
  </si>
  <si>
    <t>See comments on drawings. Significant strategy requirements from fire engineer have not been addressed in layouts. Layouts to be updated as a matter of priority.</t>
  </si>
  <si>
    <t>FS1018-OFR-XX-00-D-K-0001          Fire Safety Mark</t>
  </si>
  <si>
    <t>Fire Strategy Markup</t>
  </si>
  <si>
    <t>FS1018-OFR-XX-00-D-K-0001          Fire Strategy Markup</t>
  </si>
  <si>
    <t>FS1018-OFR-XX-01-D-K-0001</t>
  </si>
  <si>
    <t>FS1018-OFR-XX-01-D-K-0001          Fire Safety Mark</t>
  </si>
  <si>
    <t>FS1018-OFR-XX-01-D-K-0001          Fire Strategy Markup</t>
  </si>
  <si>
    <t>FS1018-OFR-XX-02-D-K-0001</t>
  </si>
  <si>
    <t>FS1018-OFR-XX-02-D-K-0001          Fire Safety Mark</t>
  </si>
  <si>
    <t>FS1018-OFR-XX-02-D-K-0001          Fire Strategy Markup</t>
  </si>
  <si>
    <t>FS1018-OFR-XX-RF-D-K-0001</t>
  </si>
  <si>
    <t>FS1018-OFR-XX-RF-D-K-0001          Fire Strategy Markup</t>
  </si>
  <si>
    <t>FS1018-OFR-XX-XX-D-K-0001</t>
  </si>
  <si>
    <t>FS1018-OFR-XX-XX-D-K-0001          Fire Safety Mark</t>
  </si>
  <si>
    <t>FS1018-OFR-XX-XX-D-K-0001          Fire Strategy Markup</t>
  </si>
  <si>
    <t>FS1018-OFR-XX-ZZ-G-K-0001</t>
  </si>
  <si>
    <t>Fire Strategy Report</t>
  </si>
  <si>
    <t>See comments on document.</t>
  </si>
  <si>
    <t>FS1018-OFR-XX-ZZ-G-K-0001          Fire Strategy Report</t>
  </si>
  <si>
    <t>FS1018-ONE-00-XX-T-L-0001</t>
  </si>
  <si>
    <t>Landscape Review</t>
  </si>
  <si>
    <t>Please provide detail re Canopies finishes, if they are required for PV's; More detail needed on Sprinkler tank: '4.5m high close board timber cladding attached to galvanised steel frame with matching manually lockable gates. Concrete base.'; More detail needed on Bin Store: 1.8m high close board timber cladding attached to galvanised steel frame with matching manually lockable gates. Concrete base'; Please show Bin Store gate detail ; Please show detail of proposed Door Guard</t>
  </si>
  <si>
    <t>FS1018-ONE-00-XX-T-L-0001          OutlineSpecification</t>
  </si>
  <si>
    <t>FS1018-ONE-XX-XX-T-L-0001</t>
  </si>
  <si>
    <t>FS1018-ONE-XX-XX-T-L-0001          Outline Specification</t>
  </si>
  <si>
    <t>FS1018-ONE-XX-XX-T-L-0002</t>
  </si>
  <si>
    <t>Design Development Schedule</t>
  </si>
  <si>
    <t>Confirm retention of existing fences is acceptable for Trust.</t>
  </si>
  <si>
    <t>FS1018-ONE-XX-XX-T-L-0002          Design Development Schedule</t>
  </si>
  <si>
    <t>FS1018-ONE-XX-XX-T-L-0003</t>
  </si>
  <si>
    <t>FS1018-ONE-XX-XX-T-L-0003          Risk Register</t>
  </si>
  <si>
    <t>FS1018-ONE-XX-ZZ-D-L-0001</t>
  </si>
  <si>
    <t>Location Plan</t>
  </si>
  <si>
    <t>FS1018-ONE-XX-ZZ-D-L-0001          Location Plan</t>
  </si>
  <si>
    <t>FS1018-ONE-XX-ZZ-D-L-0002</t>
  </si>
  <si>
    <t>Existing Site Plan</t>
  </si>
  <si>
    <t>FS1018-ONE-XX-ZZ-D-L-0002          Existing Site Plan</t>
  </si>
  <si>
    <t>FS1018-ONE-XX-ZZ-D-L-0003</t>
  </si>
  <si>
    <t>Whole Site Plan</t>
  </si>
  <si>
    <t>See comments on drawing</t>
  </si>
  <si>
    <t>FS1018-ONE-XX-ZZ-D-L-0003          Whole Site Plan</t>
  </si>
  <si>
    <t>P14</t>
  </si>
  <si>
    <t>FS1018-ONE-XX-ZZ-D-L-0004</t>
  </si>
  <si>
    <t>Site Landscaping Plan 1 of 5</t>
  </si>
  <si>
    <t>Please show an overall legend plan and a box call out to indicate this part drawings relative location. Comment Applies to all 5 part drawings; Confirm heights of all existing Fencing and denote on drawing. Comment Applies to all 5 part drawings; How does 2m high security fencing satisfy ER's? Annex 2C 8.1.2 Secure Line fencing shall be designed to meet the security requirements in the SSB. Secure line fencing shall: a) be a minimum of 2.4m in height in Mainstream Schools and Special Schools unless specified otherwise in the SSB [Ss_25_14]</t>
  </si>
  <si>
    <t>FS1018-ONE-XX-ZZ-D-L-0004          Site Landscaping Plan 1 of 5</t>
  </si>
  <si>
    <t>FS1018-ONE-XX-ZZ-D-L-0005</t>
  </si>
  <si>
    <t>Site Landscaping Plan 2 of 5</t>
  </si>
  <si>
    <t>FS1018-ONE-XX-ZZ-D-L-0005          Site Landscaping Plan 2 of 5</t>
  </si>
  <si>
    <t>FS1018-ONE-XX-ZZ-D-L-0006</t>
  </si>
  <si>
    <t>Site Landscaping Plan 3 of 5</t>
  </si>
  <si>
    <t>FS1018-ONE-XX-ZZ-D-L-0006          Site Landscaping Plan 3 of 5</t>
  </si>
  <si>
    <t>FS1018-ONE-XX-ZZ-D-L-0007</t>
  </si>
  <si>
    <t>Site Landscaping Plan 4 of 5</t>
  </si>
  <si>
    <t>FS1018-ONE-XX-ZZ-D-L-0007          Site Landscaping Plan 4 of 5</t>
  </si>
  <si>
    <t>FS1018-ONE-XX-ZZ-D-L-0008</t>
  </si>
  <si>
    <t>Site Landscaping Plan 5 of 5</t>
  </si>
  <si>
    <t>FS1018-ONE-XX-ZZ-D-L-0008          Site Landscaping Plan 5 of 5</t>
  </si>
  <si>
    <t>FS1018-ONE-XX-ZZ-D-L-0009</t>
  </si>
  <si>
    <t>Access Security Strategy</t>
  </si>
  <si>
    <t>See comments on drawing. Please indicate Entrances for Staff / Pupils / Public / Community; Can Sports Hall be used by Community Use as a standalone facility after hours? If so, how does access strategy help this? Is gate to North East to be used or do users have to use the Main Building Entrance? ; Is a continuous clear access width to rear of school achievable from within school grounds? eg gate to north east of school provides the primary point of entry to the back of the school (secondary double gate access from Weasenham lane), yet is by means of a single gate - however gates within this secure area are double. How does this narrowing satisfy access / egress requirements for fire / maintenance etc? Can a MEWP get through the outer single secure gate?</t>
  </si>
  <si>
    <t>FS1018-ONE-XX-ZZ-D-L-0009          Access Security Strategy</t>
  </si>
  <si>
    <t>Access and Security Strategy (with external fences)</t>
  </si>
  <si>
    <t>FS1018-ONE-XX-ZZ-D-L-0009          Access and Security Strategy (with external fences)</t>
  </si>
  <si>
    <t>Access and Security Strategy</t>
  </si>
  <si>
    <t>FS1018-ONE-XX-ZZ-D-L-0009          Access and Security Strategy</t>
  </si>
  <si>
    <t>FS1018-ONE-XX-ZZ-D-L-0010</t>
  </si>
  <si>
    <t>Subject to updates to base drawing following action of comments on overall site plan.</t>
  </si>
  <si>
    <t>FS1018-ONE-XX-ZZ-D-L-0010          Circulation Strategy</t>
  </si>
  <si>
    <t>FS1018-ONE-XX-ZZ-D-L-0011</t>
  </si>
  <si>
    <t>External Sports Provision</t>
  </si>
  <si>
    <t>FS1018-ONE-XX-ZZ-D-L-0011          External Sports Provision</t>
  </si>
  <si>
    <t>FS1018-ONE-XX-ZZ-D-L-0012</t>
  </si>
  <si>
    <t>Green Infrastructure Plan</t>
  </si>
  <si>
    <t>See comments on drawing. 
How do proposals satisfy the BNG requirements contained in the ER's and/or those of the statutory guidance required from Nov 2023?
No Green Roof contribution included in UGF calculations. Extensive green roof entry needs including. No evidence of how proposed approach meets BNG requirements in comparison with baseline (i.e. what UGF baseline is). Where are any  solar PV canopies (if required) going to be accommodated?</t>
  </si>
  <si>
    <t>FS1018-ONE-XX-ZZ-D-L-0012          Green Infrastructure Plan</t>
  </si>
  <si>
    <t>FS1018-ONE-XX-ZZ-D-L-0013</t>
  </si>
  <si>
    <t>BB103 Guidance</t>
  </si>
  <si>
    <t>Confirm how stated proposals of 24073 sq m satisfy BB103 minimum requirement of 35000 sq m?</t>
  </si>
  <si>
    <t>FS1018-ONE-XX-ZZ-D-L-0013          BB103 Guidance</t>
  </si>
  <si>
    <t>FS1018-ONE-XX-ZZ-D-L-0014</t>
  </si>
  <si>
    <t>"Are the hazards mentioned specific to this site? 
Eg 2.2 Risk: Pedestrians at risk from moving vehicles, Mitigation:  Pedestrian routes set back from carriageways - as mentioned previously, wouldn't another mitigation be to provide pedestrian crossings from all car spaces? 
Eg 2.3 Pupils (injury), Contact with Dogs (aggressive) - is contact with dogs a specific risk on this site? "</t>
  </si>
  <si>
    <t>FS1018-ONE-XX-ZZ-D-L-0014          Hazard Identification Plan</t>
  </si>
  <si>
    <t>FS1018-ONE-XX-ZZ-D-L-0015</t>
  </si>
  <si>
    <t>Refurbishment Remodelling Strategy</t>
  </si>
  <si>
    <t>See comments on existing trees, car spaces, fencing and proposed bin store</t>
  </si>
  <si>
    <t>FS1018-ONE-XX-ZZ-D-L-0015          Refurbishment Remodelling Strategy</t>
  </si>
  <si>
    <t>FS1018-ONE-XX-ZZ-D-L-0017</t>
  </si>
  <si>
    <t>Site Sections</t>
  </si>
  <si>
    <t>FS1018-ONE-XX-ZZ-D-L-0017          Site Sections</t>
  </si>
  <si>
    <t>FS1018-ONE-XX-ZZ-D-L-0021</t>
  </si>
  <si>
    <t>Existing Site Plan 1 of 5</t>
  </si>
  <si>
    <t>FS1018-ONE-XX-ZZ-D-L-0021          Existing Site Plan 1 of 5</t>
  </si>
  <si>
    <t>FS1018-ONE-XX-ZZ-D-L-0022</t>
  </si>
  <si>
    <t>Existing Site Plan 2 of 5</t>
  </si>
  <si>
    <t>FS1018-ONE-XX-ZZ-D-L-0022          Existing Site Plan 2 of 5</t>
  </si>
  <si>
    <t>FS1018-ONE-XX-ZZ-D-L-0023</t>
  </si>
  <si>
    <t>Existing Site Plan 3 of 5</t>
  </si>
  <si>
    <t>FS1018-ONE-XX-ZZ-D-L-0023          Existing Site Plan 3 of 5</t>
  </si>
  <si>
    <t>FS1018-ONE-XX-ZZ-D-L-0024</t>
  </si>
  <si>
    <t>Existing Site Plan 4 of 5</t>
  </si>
  <si>
    <t>FS1018-ONE-XX-ZZ-D-L-0024          Existing Site Plan 4 of 5</t>
  </si>
  <si>
    <t>FS1018-ONE-XX-ZZ-D-L-0025</t>
  </si>
  <si>
    <t>Existing Site Plan 5 of 5</t>
  </si>
  <si>
    <t>FS1018-ONE-XX-ZZ-D-L-0025          Existing Site Plan 5 of 5</t>
  </si>
  <si>
    <t>FS1018-ONE-XX-ZZ-D-L-0201</t>
  </si>
  <si>
    <t>Detailed Planting Plan Sheet 1of 5</t>
  </si>
  <si>
    <t>FS1018-ONE-XX-ZZ-D-L-0201          Detailed Planting Plan Sheet 1of 5</t>
  </si>
  <si>
    <t>Detailed Planting Plan Sheet 1 of 5</t>
  </si>
  <si>
    <t>FS1018-ONE-XX-ZZ-D-L-0201          Detailed Planting Plan Sheet 1 of 5</t>
  </si>
  <si>
    <t>FS1018-ONE-XX-ZZ-D-L-0202</t>
  </si>
  <si>
    <t>Detailed Planting Plan Sheet 2of 5</t>
  </si>
  <si>
    <t>FS1018-ONE-XX-ZZ-D-L-0202          Detailed Planting Plan Sheet 2of 5</t>
  </si>
  <si>
    <t>Detailed Planting Plan Sheet 2 of 5</t>
  </si>
  <si>
    <t>FS1018-ONE-XX-ZZ-D-L-0202          Detailed Planting Plan Sheet 2 of 5</t>
  </si>
  <si>
    <t>FS1018-ONE-XX-ZZ-D-L-0203</t>
  </si>
  <si>
    <t>Detailed Planting Plan Sheet 3of 5</t>
  </si>
  <si>
    <t>FS1018-ONE-XX-ZZ-D-L-0203          Detailed Planting Plan Sheet 3of 5</t>
  </si>
  <si>
    <t>Detailed Planting Plan Sheet 3 of 5</t>
  </si>
  <si>
    <t>FS1018-ONE-XX-ZZ-D-L-0203          Detailed Planting Plan Sheet 3 of 5</t>
  </si>
  <si>
    <t>FS1018-ONE-XX-ZZ-D-L-0204</t>
  </si>
  <si>
    <t>Detailed Planting Plan Sheet 4of 5</t>
  </si>
  <si>
    <t>FS1018-ONE-XX-ZZ-D-L-0204          Detailed Planting Plan Sheet 4of 5</t>
  </si>
  <si>
    <t>Detailed Planting Plan Sheet 4 of 5</t>
  </si>
  <si>
    <t>FS1018-ONE-XX-ZZ-D-L-0204          Detailed Planting Plan Sheet 4 of 5</t>
  </si>
  <si>
    <t>FS1018-ONE-XX-ZZ-D-L-0205</t>
  </si>
  <si>
    <t>Detailed Planting Plan Sheet 5of 5</t>
  </si>
  <si>
    <t>FS1018-ONE-XX-ZZ-D-L-0205          Detailed Planting Plan Sheet 5of 5</t>
  </si>
  <si>
    <t>Detailed Planting Plan Sheet 5 of 5</t>
  </si>
  <si>
    <t>FS1018-ONE-XX-ZZ-D-L-0205          Detailed Planting Plan Sheet 5 of 5</t>
  </si>
  <si>
    <t>FS1018-ONE-XX-ZZ-D-L-0401</t>
  </si>
  <si>
    <t>Outline Levels Plan 1 of 5</t>
  </si>
  <si>
    <t>TA Civil engineer to review levels for suitability for drainage</t>
  </si>
  <si>
    <t>FS1018-ONE-XX-ZZ-D-L-0401          Outline Levels Plan 1 of 5</t>
  </si>
  <si>
    <t>Outline Levels Plan 1of 5</t>
  </si>
  <si>
    <t>FS1018-ONE-XX-ZZ-D-L-0401          Outline Levels Plan 1of 5</t>
  </si>
  <si>
    <t>FS1018-ONE-XX-ZZ-D-L-0402</t>
  </si>
  <si>
    <t>Outline Levels Plan 2 of 5</t>
  </si>
  <si>
    <t>To be updated following overall landscape revisions</t>
  </si>
  <si>
    <t>FS1018-ONE-XX-ZZ-D-L-0402          Outline Levels Plan 2 of 5</t>
  </si>
  <si>
    <t>Outline Levels Plan 2of 5</t>
  </si>
  <si>
    <t>FS1018-ONE-XX-ZZ-D-L-0402          Outline Levels Plan 2of 5</t>
  </si>
  <si>
    <t>FS1018-ONE-XX-ZZ-D-L-0403</t>
  </si>
  <si>
    <t>Outline Levels Plan 3 of 5</t>
  </si>
  <si>
    <t>To be updated with overall landscape revisions</t>
  </si>
  <si>
    <t>FS1018-ONE-XX-ZZ-D-L-0403          Outline Levels Plan 3 of 5</t>
  </si>
  <si>
    <t>Outline Levels Plan 3of 5</t>
  </si>
  <si>
    <t>FS1018-ONE-XX-ZZ-D-L-0403          Outline Levels Plan 3of 5</t>
  </si>
  <si>
    <t>FS1018-ONE-XX-ZZ-D-L-0404</t>
  </si>
  <si>
    <t>Outline Levels Plan 4 of 5</t>
  </si>
  <si>
    <t>To be updated along with overall landscape revisions</t>
  </si>
  <si>
    <t>FS1018-ONE-XX-ZZ-D-L-0404          Outline Levels Plan 4 of 5</t>
  </si>
  <si>
    <t>Outline Levels Plan 4of 5</t>
  </si>
  <si>
    <t>FS1018-ONE-XX-ZZ-D-L-0404          Outline Levels Plan 4of 5</t>
  </si>
  <si>
    <t>FS1018-ONE-XX-ZZ-D-L-0405</t>
  </si>
  <si>
    <t>Outline Levels Plan 5 of 5</t>
  </si>
  <si>
    <t>FS1018-ONE-XX-ZZ-D-L-0405          Outline Levels Plan 5 of 5</t>
  </si>
  <si>
    <t>Outline Levels Plan 5of 5</t>
  </si>
  <si>
    <t>FS1018-ONE-XX-ZZ-D-L-0405          Outline Levels Plan 5of 5</t>
  </si>
  <si>
    <t>FS1018-ONE-XX-ZZ-D-L-0601</t>
  </si>
  <si>
    <t>Landscape Details Sheet 1</t>
  </si>
  <si>
    <t>FS1018-ONE-XX-ZZ-D-L-0601          Landscape Details Sheet 1</t>
  </si>
  <si>
    <t>FS1018-ONE-XX-ZZ-D-L-0602</t>
  </si>
  <si>
    <t>Landscape Details Sheet 2</t>
  </si>
  <si>
    <t>FS1018-ONE-XX-ZZ-D-L-0602          Landscape Details Sheet 2</t>
  </si>
  <si>
    <t>FS1018-ONE-XX-ZZ-D-L-0603</t>
  </si>
  <si>
    <t>Landscape Details Sheet 3</t>
  </si>
  <si>
    <t>FS1018-ONE-XX-ZZ-D-L-0603          Landscape Details Sheet 3</t>
  </si>
  <si>
    <t>FS1018-ONE-ZZ-XX-T-L-0004</t>
  </si>
  <si>
    <t>Security Statement</t>
  </si>
  <si>
    <t>FS1018-ONE-ZZ-XX-T-L-0004          Security Statement</t>
  </si>
  <si>
    <t>FS1018-ONE-ZZ-ZZ-M-L-0001</t>
  </si>
  <si>
    <t>Landscape ModelLandscapeModel</t>
  </si>
  <si>
    <t xml:space="preserve">Some surfacing missing at Library entrance. </t>
  </si>
  <si>
    <t>FS1018-ONE-ZZ-ZZ-M-L-0001          Landscape ModelLandscapeModel</t>
  </si>
  <si>
    <t>Landscape Model</t>
  </si>
  <si>
    <t>FS1018-ONE-ZZ-ZZ-M-L-0001          Landscape Model</t>
  </si>
  <si>
    <t>FS1018-ONE-ZZ-ZZ-M-L-0002</t>
  </si>
  <si>
    <t>LandscapeModel</t>
  </si>
  <si>
    <t>Some surfacing missing at Library entrance. Some planting is visible in the Nwc model but not in the Ifc model. 348 elements have USERDEFINED or NOTDEFINED predefined type and 20 elements with empty field. Model should only contain 1 site instance.</t>
  </si>
  <si>
    <t>FS1018-ONE-ZZ-ZZ-M-L-0002          LandscapeModel</t>
  </si>
  <si>
    <t>FS1018-ONE-ZZ-ZZ-M-L-0002          Landscape Model</t>
  </si>
  <si>
    <t>FS1018-ONE-ZZ-ZZ-M-L-0003</t>
  </si>
  <si>
    <t xml:space="preserve">Model reference on flysheet not aligned to file name. Status code missing and splash screen sheet is missing. Unnecessary views not removed from model. Some surfacing missing at Library entrance. Some planting is visible in the Nwc model but not in the Ifc model. </t>
  </si>
  <si>
    <t>FS1018-ONE-ZZ-ZZ-M-L-0003          LandscapeModel</t>
  </si>
  <si>
    <t>FS1018-ONE-ZZ-ZZ-M-L-0003          Landscape Model</t>
  </si>
  <si>
    <t>FS1018-PIN-XX-XX-L-O-0003</t>
  </si>
  <si>
    <t>Task Team Risk Register</t>
  </si>
  <si>
    <t>FS1018-PIN-XX-XX-L-O-0003          Task Team Risk Register</t>
  </si>
  <si>
    <t>FS1018-PIN-ZZ-00-D-O-0001</t>
  </si>
  <si>
    <t>GROUND FLOOR GA (1 OF 2)</t>
  </si>
  <si>
    <t>FFE Review</t>
  </si>
  <si>
    <t>FS1018-PIN-ZZ-00-D-O-0001          GROUND FLOOR GA (1 OF 2)</t>
  </si>
  <si>
    <t>Ground Floor GA (1 Of 2)</t>
  </si>
  <si>
    <t>FS1018-PIN-ZZ-00-D-O-0001          Ground Floor GA (1 Of 2)</t>
  </si>
  <si>
    <t>Ground Floor GA 1 Of 2</t>
  </si>
  <si>
    <t>FS1018-PIN-ZZ-00-D-O-0001          Ground Floor GA 1 Of 2</t>
  </si>
  <si>
    <t>FS1018-PIN-ZZ-00-D-O-0002</t>
  </si>
  <si>
    <t>GROUND FLOOR GA (2 OF 2)</t>
  </si>
  <si>
    <t>See comments on drawing.</t>
  </si>
  <si>
    <t>FS1018-PIN-ZZ-00-D-O-0002          GROUND FLOOR GA (2 OF 2)</t>
  </si>
  <si>
    <t>Ground Floor GA (2 Of 2)</t>
  </si>
  <si>
    <t>FS1018-PIN-ZZ-00-D-O-0002          Ground Floor GA (2 Of 2)</t>
  </si>
  <si>
    <t>Ground Floor GA 2 Of 2</t>
  </si>
  <si>
    <t>FS1018-PIN-ZZ-00-D-O-0002          Ground Floor GA 2 Of 2</t>
  </si>
  <si>
    <t>FS1018-PIN-ZZ-00-D-O-0006</t>
  </si>
  <si>
    <t>Lobby 1</t>
  </si>
  <si>
    <t>FS1018-PIN-ZZ-00-D-O-0006          Lobby 1</t>
  </si>
  <si>
    <t>FS1018-PIN-ZZ-00-D-O-0601</t>
  </si>
  <si>
    <t>Food Prep Area, Kitchen (Servery And Wash Up) 1</t>
  </si>
  <si>
    <t>FS1018-PIN-ZZ-00-D-O-0601          Food Prep Area, Kitchen (Servery And Wash Up) 1</t>
  </si>
  <si>
    <t>Food Prep Area, Kitchen Servery And Wash Up 1</t>
  </si>
  <si>
    <t>FS1018-PIN-ZZ-00-D-O-0601          Food Prep Area, Kitchen Servery And Wash Up 1</t>
  </si>
  <si>
    <t>FS1018-PIN-ZZ-00-D-O-1109</t>
  </si>
  <si>
    <t>MUSIC ROOM</t>
  </si>
  <si>
    <t>FS1018-PIN-ZZ-00-D-O-1109          MUSIC ROOM</t>
  </si>
  <si>
    <t>Music Room</t>
  </si>
  <si>
    <t>FS1018-PIN-ZZ-00-D-O-1109          Music Room</t>
  </si>
  <si>
    <t>FS1018-PIN-ZZ-00-D-O-1110</t>
  </si>
  <si>
    <t>DT WORKSHOP 1</t>
  </si>
  <si>
    <t>FS1018-PIN-ZZ-00-D-O-1110          DT WORKSHOP 1</t>
  </si>
  <si>
    <t>DT Workshop 1</t>
  </si>
  <si>
    <t>FS1018-PIN-ZZ-00-D-O-1110          DT Workshop 1</t>
  </si>
  <si>
    <t>FS1018-PIN-ZZ-00-D-O-1111</t>
  </si>
  <si>
    <t>FOOD ROOM 1</t>
  </si>
  <si>
    <t>S5-P01</t>
  </si>
  <si>
    <t>FS1018-PIN-ZZ-00-D-O-1111          FOOD ROOM 1</t>
  </si>
  <si>
    <t>Food Room 1 Option 1</t>
  </si>
  <si>
    <t>FS1018-PIN-ZZ-00-D-O-1111          Food Room 1 Option 1</t>
  </si>
  <si>
    <t>FS1018-PIN-ZZ-00-D-O-1112</t>
  </si>
  <si>
    <t>DT STUDIO (GRAPHIC PRODUCTS)</t>
  </si>
  <si>
    <t>FS1018-PIN-ZZ-00-D-O-1112          DT STUDIO (GRAPHIC PRODUCTS)</t>
  </si>
  <si>
    <t>DT Studio Graphic Products</t>
  </si>
  <si>
    <t>FS1018-PIN-ZZ-00-D-O-1112          DT Studio Graphic Products</t>
  </si>
  <si>
    <t>FS1018-PIN-ZZ-00-D-O-1113</t>
  </si>
  <si>
    <t>DT STUDIO (ELECTRONICS &amp; CONTROL)</t>
  </si>
  <si>
    <t>FS1018-PIN-ZZ-00-D-O-1113          DT STUDIO (ELECTRONICS &amp; CONTROL)</t>
  </si>
  <si>
    <t>DT Studio Electronics And Control</t>
  </si>
  <si>
    <t>FS1018-PIN-ZZ-00-D-O-1113          DT Studio Electronics And Control</t>
  </si>
  <si>
    <t>FS1018-PIN-ZZ-00-D-O-1211</t>
  </si>
  <si>
    <t>FS1018-PIN-ZZ-00-D-O-1211          FOOD ROOM 1</t>
  </si>
  <si>
    <t>Food Room 1</t>
  </si>
  <si>
    <t>FS1018-PIN-ZZ-00-D-O-1211          Food Room 1</t>
  </si>
  <si>
    <t>FS1018-PIN-ZZ-00-D-O-2001</t>
  </si>
  <si>
    <t>ASSEMBLY HALL, SECONDARY</t>
  </si>
  <si>
    <t>FS1018-PIN-ZZ-00-D-O-2001          ASSEMBLY HALL, SECONDARY</t>
  </si>
  <si>
    <t>Assembly Hall, Dining Layout</t>
  </si>
  <si>
    <t>FS1018-PIN-ZZ-00-D-O-2001          Assembly Hall, Dining Layout</t>
  </si>
  <si>
    <t>FS1018-PIN-ZZ-00-D-O-2002</t>
  </si>
  <si>
    <t>SPORTS HALL (EXAM LAYOUT)</t>
  </si>
  <si>
    <t>FS1018-PIN-ZZ-00-D-O-2002          SPORTS HALL (EXAM LAYOUT)</t>
  </si>
  <si>
    <t>Sports Hall (Exam Layout)</t>
  </si>
  <si>
    <t>FS1018-PIN-ZZ-00-D-O-2002          Sports Hall (Exam Layout)</t>
  </si>
  <si>
    <t>Sports Hall Exam Layout</t>
  </si>
  <si>
    <t>FS1018-PIN-ZZ-00-D-O-2002          Sports Hall Exam Layout</t>
  </si>
  <si>
    <t>FS1018-PIN-ZZ-00-D-O-2003</t>
  </si>
  <si>
    <t>ASSEMBLY HALL, SECONDARY LAYOUT 2</t>
  </si>
  <si>
    <t>FS1018-PIN-ZZ-00-D-O-2003          ASSEMBLY HALL, SECONDARY LAYOUT 2</t>
  </si>
  <si>
    <t>Assembly Hall, Assembly Layout</t>
  </si>
  <si>
    <t>FS1018-PIN-ZZ-00-D-O-2003          Assembly Hall, Assembly Layout</t>
  </si>
  <si>
    <t>FS1018-PIN-ZZ-00-D-O-3001</t>
  </si>
  <si>
    <t>LRC OPTION 1</t>
  </si>
  <si>
    <t>FS1018-PIN-ZZ-00-D-O-3001          LRC OPTION 1</t>
  </si>
  <si>
    <t>LRC Option 1</t>
  </si>
  <si>
    <t>FS1018-PIN-ZZ-00-D-O-3001          LRC Option 1</t>
  </si>
  <si>
    <t>FS1018-PIN-ZZ-00-D-O-3002</t>
  </si>
  <si>
    <t>Sports Hall (Sport Layout)</t>
  </si>
  <si>
    <t>FS1018-PIN-ZZ-00-D-O-3002          Sports Hall (Sport Layout)</t>
  </si>
  <si>
    <t>Sports Hall Sport Layout</t>
  </si>
  <si>
    <t>FS1018-PIN-ZZ-00-D-O-3002          Sports Hall Sport Layout</t>
  </si>
  <si>
    <t>FS1018-PIN-ZZ-00-D-O-3004</t>
  </si>
  <si>
    <t>LRC</t>
  </si>
  <si>
    <t>FS1018-PIN-ZZ-00-D-O-3004          LRC</t>
  </si>
  <si>
    <t>FS1018-PIN-ZZ-00-D-O-4003</t>
  </si>
  <si>
    <t>Enclosed Office, Admin (Head) 1</t>
  </si>
  <si>
    <t>FS1018-PIN-ZZ-00-D-O-4003          Enclosed Office, Admin (Head) 1</t>
  </si>
  <si>
    <t>Enclosed Office, Admin Head 1</t>
  </si>
  <si>
    <t>FS1018-PIN-ZZ-00-D-O-4003          Enclosed Office, Admin Head 1</t>
  </si>
  <si>
    <t>FS1018-PIN-ZZ-00-D-O-4004</t>
  </si>
  <si>
    <t>Enclosed Office, Admin (Pa)1</t>
  </si>
  <si>
    <t>FS1018-PIN-ZZ-00-D-O-4004          Enclosed Office, Admin (Pa)1</t>
  </si>
  <si>
    <t>Enclosed Office, Admin PA 1</t>
  </si>
  <si>
    <t>FS1018-PIN-ZZ-00-D-O-4004          Enclosed Office, Admin PA 1</t>
  </si>
  <si>
    <t>FS1018-PIN-ZZ-00-D-O-4005</t>
  </si>
  <si>
    <t>Reprographics Room 1</t>
  </si>
  <si>
    <t>FS1018-PIN-ZZ-00-D-O-4005          Reprographics Room 1</t>
  </si>
  <si>
    <t>FS1018-PIN-ZZ-00-D-O-4006</t>
  </si>
  <si>
    <t>Enclosed Office, With Recep Desk (And Window) 1</t>
  </si>
  <si>
    <t>FS1018-PIN-ZZ-00-D-O-4006          Enclosed Office, With Recep Desk (And Window) 1</t>
  </si>
  <si>
    <t>Enclosed Office, With Recep Desk And Window 1</t>
  </si>
  <si>
    <t>FS1018-PIN-ZZ-00-D-O-4006          Enclosed Office, With Recep Desk And Window 1</t>
  </si>
  <si>
    <t>FS1018-PIN-ZZ-00-D-O-4008</t>
  </si>
  <si>
    <t>Reception Area, Entrance (50% Circulation)</t>
  </si>
  <si>
    <t>FS1018-PIN-ZZ-00-D-O-4008          Reception Area, Entrance (50% Circulation)</t>
  </si>
  <si>
    <t>Reception Area, Entrance 50% Circulation</t>
  </si>
  <si>
    <t>FS1018-PIN-ZZ-00-D-O-4008          Reception Area, Entrance 50% Circulation</t>
  </si>
  <si>
    <t>FS1018-PIN-ZZ-00-D-O-4009</t>
  </si>
  <si>
    <t>Confidential Meeting Room (Interview) 1</t>
  </si>
  <si>
    <t>FS1018-PIN-ZZ-00-D-O-4009          Confidential Meeting Room (Interview) 1</t>
  </si>
  <si>
    <t>Confidential Meeting Room Interview 1</t>
  </si>
  <si>
    <t>FS1018-PIN-ZZ-00-D-O-4009          Confidential Meeting Room Interview 1</t>
  </si>
  <si>
    <t>FS1018-PIN-ZZ-00-D-O-4015</t>
  </si>
  <si>
    <t>Office (With Meeting Area, 2 Person) 4</t>
  </si>
  <si>
    <t>FS1018-PIN-ZZ-00-D-O-4015          Office (With Meeting Area, 2 Person) 4</t>
  </si>
  <si>
    <t>Office With Meeting Area, 2 Person 4</t>
  </si>
  <si>
    <t>FS1018-PIN-ZZ-00-D-O-4015          Office With Meeting Area, 2 Person 4</t>
  </si>
  <si>
    <t>FS1018-PIN-ZZ-00-D-O-4018</t>
  </si>
  <si>
    <t>Staff Workroom (Premises) 1 And Equipment Store, Maintenance 1</t>
  </si>
  <si>
    <t>FS1018-PIN-ZZ-00-D-O-4018          Staff Workroom (Premises) 1 And Equipment Store, Maintenance 1</t>
  </si>
  <si>
    <t>Staff Workroom Premises 1 And Equipment Store, Maintenance 1</t>
  </si>
  <si>
    <t>FS1018-PIN-ZZ-00-D-O-4018          Staff Workroom Premises 1 And Equipment Store, Maintenance 1</t>
  </si>
  <si>
    <t>FS1018-PIN-ZZ-00-D-O-5001</t>
  </si>
  <si>
    <t>Assembly Hall, Secondary Option 2</t>
  </si>
  <si>
    <t>FS1018-PIN-ZZ-00-D-O-5001          Assembly Hall, Secondary Option 2</t>
  </si>
  <si>
    <t>FS1018-PIN-ZZ-00-D-O-5003</t>
  </si>
  <si>
    <t>FS1018-PIN-ZZ-00-D-O-5003          Confidential Meeting Room (Interview) 1</t>
  </si>
  <si>
    <t>FS1018-PIN-ZZ-00-D-O-5003          Confidential Meeting Room Interview 1</t>
  </si>
  <si>
    <t>FS1018-PIN-ZZ-00-D-O-5007</t>
  </si>
  <si>
    <t>Dt Prep Room 1</t>
  </si>
  <si>
    <t>FS1018-PIN-ZZ-00-D-O-5007          Dt Prep Room 1</t>
  </si>
  <si>
    <t>DT Prep Room 1</t>
  </si>
  <si>
    <t>FS1018-PIN-ZZ-00-D-O-5007          DT Prep Room 1</t>
  </si>
  <si>
    <t>FS1018-PIN-ZZ-00-D-O-5008</t>
  </si>
  <si>
    <t>Food Prep Room 1</t>
  </si>
  <si>
    <t>FS1018-PIN-ZZ-00-D-O-5008          Food Prep Room 1</t>
  </si>
  <si>
    <t>FS1018-PIN-ZZ-00-D-O-5009</t>
  </si>
  <si>
    <t>Teaching Resources Store (Off Dt Studio)</t>
  </si>
  <si>
    <t>FS1018-PIN-ZZ-00-D-O-5009          Teaching Resources Store (Off Dt Studio)</t>
  </si>
  <si>
    <t>Teaching Resources Store Off DT Studio</t>
  </si>
  <si>
    <t>FS1018-PIN-ZZ-00-D-O-5009          Teaching Resources Store Off DT Studio</t>
  </si>
  <si>
    <t>FS1018-PIN-ZZ-00-D-O-5011</t>
  </si>
  <si>
    <t>FS1018-PIN-ZZ-00-D-O-5011          Teaching Resources Store (Off Dt Studio)</t>
  </si>
  <si>
    <t>FS1018-PIN-ZZ-00-D-O-5011          Teaching Resources Store Off DT Studio</t>
  </si>
  <si>
    <t>FS1018-PIN-ZZ-00-D-O-5013</t>
  </si>
  <si>
    <t>Teaching Resources Store (Music) 1</t>
  </si>
  <si>
    <t>FS1018-PIN-ZZ-00-D-O-5013          Teaching Resources Store (Music) 1</t>
  </si>
  <si>
    <t>Teaching Resources Store Music 1</t>
  </si>
  <si>
    <t>FS1018-PIN-ZZ-00-D-O-5013          Teaching Resources Store Music 1</t>
  </si>
  <si>
    <t>FS1018-PIN-ZZ-00-D-O-5018</t>
  </si>
  <si>
    <t>Sports Equipment Store, Internal (Sports Hall) 1</t>
  </si>
  <si>
    <t>FS1018-PIN-ZZ-00-D-O-5018          Sports Equipment Store, Internal (Sports Hall) 1</t>
  </si>
  <si>
    <t>Sports Equipment Store, Internal Sports Hall 1</t>
  </si>
  <si>
    <t>FS1018-PIN-ZZ-00-D-O-5018          Sports Equipment Store, Internal Sports Hall 1</t>
  </si>
  <si>
    <t>FS1018-PIN-ZZ-00-D-O-5019</t>
  </si>
  <si>
    <t>Sports Equipment Store, External 1</t>
  </si>
  <si>
    <t>FS1018-PIN-ZZ-00-D-O-5019          Sports Equipment Store, External 1</t>
  </si>
  <si>
    <t>FS1018-PIN-ZZ-00-D-O-5021</t>
  </si>
  <si>
    <t>DT STUDIO (GRAPHIC PRODUCTS) OPTION 2</t>
  </si>
  <si>
    <t>FS1018-PIN-ZZ-00-D-O-5021          DT STUDIO (GRAPHIC PRODUCTS) OPTION 2</t>
  </si>
  <si>
    <t>FS1018-PIN-ZZ-00-D-O-5103</t>
  </si>
  <si>
    <t>Secure Storeroom 1</t>
  </si>
  <si>
    <t>FS1018-PIN-ZZ-00-D-O-5103          Secure Storeroom 1</t>
  </si>
  <si>
    <t>FS1018-PIN-ZZ-00-D-O-5109</t>
  </si>
  <si>
    <t>Coats And Bag Store (Lockers) 1</t>
  </si>
  <si>
    <t>FS1018-PIN-ZZ-00-D-O-5109          Coats And Bag Store (Lockers) 1</t>
  </si>
  <si>
    <t>Coats And Bag Store Lockers 1</t>
  </si>
  <si>
    <t>FS1018-PIN-ZZ-00-D-O-5109          Coats And Bag Store Lockers 1</t>
  </si>
  <si>
    <t>FS1018-PIN-ZZ-00-D-O-5114</t>
  </si>
  <si>
    <t>Cleaners Store</t>
  </si>
  <si>
    <t>FS1018-PIN-ZZ-00-D-O-5114          Cleaners Store</t>
  </si>
  <si>
    <t>FS1018-PIN-ZZ-00-D-O-5117</t>
  </si>
  <si>
    <t>FS1018-PIN-ZZ-00-D-O-5117          Cleaners Store</t>
  </si>
  <si>
    <t>FS1018-PIN-ZZ-00-D-O-6001</t>
  </si>
  <si>
    <t>DINING AND CATERING</t>
  </si>
  <si>
    <t>See comments on drawing. "Many observations on Kitchen layout:
•Can a walk in freezer be accessed from a cold store under Healthy &amp; Safety legislation? 
•How does door to walk in freezer open if racking is in the way&gt;?
•How does the user gain access to the rear of racking in Dry Store?
•Are there some power sockets on top of the central prep area?
•Is there an additional fridge under a worktop?
•Is there sufficient work surface for preparation? 
•Do distances between eqipment satisfy requirement for safe working? 
•Toilet and changing area not resolved - all shown in one space, but toilet and lockers need to be separate.
•Are there any chemicals being used? Is there an external chemical store? Do these satisfy COSSH requirements? ; Can further dining seating be provided, if required? 
"</t>
  </si>
  <si>
    <t>FS1018-PIN-ZZ-00-D-O-6001          DINING AND CATERING</t>
  </si>
  <si>
    <t>Dining And Catering</t>
  </si>
  <si>
    <t>FS1018-PIN-ZZ-00-D-O-6001          Dining And Catering</t>
  </si>
  <si>
    <t>FS1018-PIN-ZZ-00-D-O-6002</t>
  </si>
  <si>
    <t>Office, Kitchen 1</t>
  </si>
  <si>
    <t>FS1018-PIN-ZZ-00-D-O-6002          Office, Kitchen 1</t>
  </si>
  <si>
    <t>FS1018-PIN-ZZ-00-D-O-6003</t>
  </si>
  <si>
    <t>Food Store, Kitchen (Dry) 1</t>
  </si>
  <si>
    <t>FS1018-PIN-ZZ-00-D-O-6003          Food Store, Kitchen (Dry) 1</t>
  </si>
  <si>
    <t>Food Store, Kitchen Dry 1</t>
  </si>
  <si>
    <t>FS1018-PIN-ZZ-00-D-O-6003          Food Store, Kitchen Dry 1</t>
  </si>
  <si>
    <t>FS1018-PIN-ZZ-00-D-O-6004</t>
  </si>
  <si>
    <t>Cold Store, Kitchen 1</t>
  </si>
  <si>
    <t>FS1018-PIN-ZZ-00-D-O-6004          Cold Store, Kitchen 1</t>
  </si>
  <si>
    <t>FS1018-PIN-ZZ-00-D-O-6005</t>
  </si>
  <si>
    <t>Cold Store, Kithen (Freezer) 1</t>
  </si>
  <si>
    <t>FS1018-PIN-ZZ-00-D-O-6005          Cold Store, Kithen (Freezer) 1</t>
  </si>
  <si>
    <t>Cold Store, Kitchen Freezer 1</t>
  </si>
  <si>
    <t>FS1018-PIN-ZZ-00-D-O-6005          Cold Store, Kitchen Freezer 1</t>
  </si>
  <si>
    <t>FS1018-PIN-ZZ-00-D-O-6006</t>
  </si>
  <si>
    <t>Toilet, Kitchen (With Changing Area) 1</t>
  </si>
  <si>
    <t>FS1018-PIN-ZZ-00-D-O-6006          Toilet, Kitchen (With Changing Area) 1</t>
  </si>
  <si>
    <t>Toilet (With Changing Area) 1</t>
  </si>
  <si>
    <t>FS1018-PIN-ZZ-00-D-O-6006          Toilet (With Changing Area) 1</t>
  </si>
  <si>
    <t>FS1018-PIN-ZZ-00-D-O-6007</t>
  </si>
  <si>
    <t>Changing Room, With Showers (Pupils) 1 And Toilets, Suite (Pupils, Other) 1</t>
  </si>
  <si>
    <t>FS1018-PIN-ZZ-00-D-O-6007          Changing Room, With Showers (Pupils) 1 And Toilets, Suite (Pupils, Other) 1</t>
  </si>
  <si>
    <t>Changing Room, With Showers Pupils 1 And Toilets, Suite Pupils, Other 1</t>
  </si>
  <si>
    <t>FS1018-PIN-ZZ-00-D-O-6007          Changing Room, With Showers Pupils 1 And Toilets, Suite Pupils, Other 1</t>
  </si>
  <si>
    <t>FS1018-PIN-ZZ-00-D-O-6008</t>
  </si>
  <si>
    <t>Changing Room, With Showers (Pupils) 2 And Toilets, Suite (Pupils, Other) 2</t>
  </si>
  <si>
    <t>FS1018-PIN-ZZ-00-D-O-6008          Changing Room, With Showers (Pupils) 2 And Toilets, Suite (Pupils, Other) 2</t>
  </si>
  <si>
    <t>Changing Room, With Showers Pupils 2 And Toilets, Suite Pupils, Other 2</t>
  </si>
  <si>
    <t>FS1018-PIN-ZZ-00-D-O-6008          Changing Room, With Showers Pupils 2 And Toilets, Suite Pupils, Other 2</t>
  </si>
  <si>
    <t>FS1018-PIN-ZZ-00-D-O-6009</t>
  </si>
  <si>
    <t>Music Practice Room 2</t>
  </si>
  <si>
    <t>FS1018-PIN-ZZ-00-D-O-6009          Music Practice Room 2</t>
  </si>
  <si>
    <t>FS1018-PIN-ZZ-00-D-O-6011</t>
  </si>
  <si>
    <t>Hygiene Room 1</t>
  </si>
  <si>
    <t>FS1018-PIN-ZZ-00-D-O-6011          Hygiene Room 1</t>
  </si>
  <si>
    <t>FS1018-PIN-ZZ-00-D-O-6042</t>
  </si>
  <si>
    <t>First Aid Post (Sick Bay) 1 And Stairway 7</t>
  </si>
  <si>
    <t>FS1018-PIN-ZZ-00-D-O-6042          First Aid Post (Sick Bay) 1 And Stairway 7</t>
  </si>
  <si>
    <t>First Aid Post Sick Bay 1 And Stairway 7</t>
  </si>
  <si>
    <t>FS1018-PIN-ZZ-00-D-O-6042          First Aid Post Sick Bay 1 And Stairway 7</t>
  </si>
  <si>
    <t>FS1018-PIN-ZZ-00-D-O-6069</t>
  </si>
  <si>
    <t>Circulation Space (Horizontal) On And Coats And Bag Store (Lockers) 1</t>
  </si>
  <si>
    <t>FS1018-PIN-ZZ-00-D-O-6069          Circulation Space (Horizontal) On And Coats And Bag Store (Lockers) 1</t>
  </si>
  <si>
    <t>Circulation Space Horizontal On And Coats And Bag Store Lockers 1</t>
  </si>
  <si>
    <t>FS1018-PIN-ZZ-00-D-O-6069          Circulation Space Horizontal On And Coats And Bag Store Lockers 1</t>
  </si>
  <si>
    <t>FS1018-PIN-ZZ-00-D-O-7001</t>
  </si>
  <si>
    <t>DINING AND CATERING 3D</t>
  </si>
  <si>
    <t>FS1018-PIN-ZZ-00-D-O-7001          DINING AND CATERING 3D</t>
  </si>
  <si>
    <t>Dining And Catering 3D</t>
  </si>
  <si>
    <t>FS1018-PIN-ZZ-00-D-O-7001          Dining And Catering 3D</t>
  </si>
  <si>
    <t>FS1018-PIN-ZZ-00-D-O-7003</t>
  </si>
  <si>
    <t>Dishwashing</t>
  </si>
  <si>
    <t>FS1018-PIN-ZZ-00-D-O-7003          Dishwashing</t>
  </si>
  <si>
    <t>FS1018-PIN-ZZ-00-D-O-7101</t>
  </si>
  <si>
    <t>Food Prep Area, Kitchen Servery And Wash Up 1 Electrical Plan</t>
  </si>
  <si>
    <t>FS1018-PIN-ZZ-00-D-O-7101          Food Prep Area, Kitchen Servery And Wash Up 1 Electrical Plan</t>
  </si>
  <si>
    <t>FS1018-PIN-ZZ-00-D-O-7201</t>
  </si>
  <si>
    <t>Food Prep Area, Kitchen Servery And Wash Up 1 Electrical Elevations</t>
  </si>
  <si>
    <t>FS1018-PIN-ZZ-00-D-O-7201          Food Prep Area, Kitchen Servery And Wash Up 1 Electrical Elevations</t>
  </si>
  <si>
    <t>FS1018-PIN-ZZ-00-D-O-7301</t>
  </si>
  <si>
    <t>Food Prep Area, Kitchen Servery And Wash Up 1 Mechanical Plan</t>
  </si>
  <si>
    <t>FS1018-PIN-ZZ-00-D-O-7301          Food Prep Area, Kitchen Servery And Wash Up 1 Mechanical Plan</t>
  </si>
  <si>
    <t>FS1018-PIN-ZZ-00-D-O-7401</t>
  </si>
  <si>
    <t>Food Prep Area, Kitchen Servery And Wash Up 1 Mechanical Elevations</t>
  </si>
  <si>
    <t>FS1018-PIN-ZZ-00-D-O-7401          Food Prep Area, Kitchen Servery And Wash Up 1 Mechanical Elevations</t>
  </si>
  <si>
    <t>FS1018-PIN-ZZ-00-D-O-7501</t>
  </si>
  <si>
    <t>Dishwash Services Requirements</t>
  </si>
  <si>
    <t>FS1018-PIN-ZZ-00-D-O-7501          Dishwash Services Requirements</t>
  </si>
  <si>
    <t>FS1018-PIN-ZZ-00-D-O-8001</t>
  </si>
  <si>
    <t>Music Practice Room 1</t>
  </si>
  <si>
    <t>FS1018-PIN-ZZ-00-D-O-8001          Music Practice Room 1</t>
  </si>
  <si>
    <t>FS1018-PIN-ZZ-00-D-O-8003</t>
  </si>
  <si>
    <t>Music Practice Room (Extensive) 1</t>
  </si>
  <si>
    <t>FS1018-PIN-ZZ-00-D-O-8003          Music Practice Room (Extensive) 1</t>
  </si>
  <si>
    <t>Music Practice Room Extensive 1</t>
  </si>
  <si>
    <t>FS1018-PIN-ZZ-00-D-O-8003          Music Practice Room Extensive 1</t>
  </si>
  <si>
    <t>FS1018-PIN-ZZ-00-D-O-9001</t>
  </si>
  <si>
    <t>Classroom Store, Room (Off Sen Room) 1</t>
  </si>
  <si>
    <t>FS1018-PIN-ZZ-00-D-O-9001          Classroom Store, Room (Off Sen Room) 1</t>
  </si>
  <si>
    <t>Classroom Store, Room Off Sen Room 1</t>
  </si>
  <si>
    <t>FS1018-PIN-ZZ-00-D-O-9001          Classroom Store, Room Off Sen Room 1</t>
  </si>
  <si>
    <t>FS1018-PIN-ZZ-00-D-O-9003</t>
  </si>
  <si>
    <t>Teaching Resources Store (Music) 2</t>
  </si>
  <si>
    <t>FS1018-PIN-ZZ-00-D-O-9003          Teaching Resources Store (Music) 2</t>
  </si>
  <si>
    <t>Teaching Resources Store Music 2</t>
  </si>
  <si>
    <t>FS1018-PIN-ZZ-00-D-O-9003          Teaching Resources Store Music 2</t>
  </si>
  <si>
    <t>FS1018-PIN-ZZ-01-D-O-1000</t>
  </si>
  <si>
    <t>FIRST FLOOR GA (1 OF 2)</t>
  </si>
  <si>
    <t>FS1018-PIN-ZZ-01-D-O-1000          FIRST FLOOR GA (1 OF 2)</t>
  </si>
  <si>
    <t>First Floor GA (1 Of 2)</t>
  </si>
  <si>
    <t>FS1018-PIN-ZZ-01-D-O-1000          First Floor GA (1 Of 2)</t>
  </si>
  <si>
    <t>First Floor GA 1 Of 2</t>
  </si>
  <si>
    <t>FS1018-PIN-ZZ-01-D-O-1000          First Floor GA 1 Of 2</t>
  </si>
  <si>
    <t>FS1018-PIN-ZZ-01-D-O-1001</t>
  </si>
  <si>
    <t>FIRST FLOOR GA (2 OF 2)</t>
  </si>
  <si>
    <t>FS1018-PIN-ZZ-01-D-O-1001          FIRST FLOOR GA (2 OF 2)</t>
  </si>
  <si>
    <t>First Floor GA (2 Of 2)</t>
  </si>
  <si>
    <t>FS1018-PIN-ZZ-01-D-O-1001          First Floor GA (2 Of 2)</t>
  </si>
  <si>
    <t>First Floor GA 2 Of 2</t>
  </si>
  <si>
    <t>FS1018-PIN-ZZ-01-D-O-1001          First Floor GA 2 Of 2</t>
  </si>
  <si>
    <t>FS1018-PIN-ZZ-01-D-O-1002</t>
  </si>
  <si>
    <t>Classroom (General) 2</t>
  </si>
  <si>
    <t>FS1018-PIN-ZZ-01-D-O-1002          Classroom (General) 2</t>
  </si>
  <si>
    <t>Classroom General 2</t>
  </si>
  <si>
    <t>FS1018-PIN-ZZ-01-D-O-1002          Classroom General 2</t>
  </si>
  <si>
    <t>FS1018-PIN-ZZ-01-D-O-1003</t>
  </si>
  <si>
    <t>Classroom (General) 3</t>
  </si>
  <si>
    <t>FS1018-PIN-ZZ-01-D-O-1003          Classroom (General) 3</t>
  </si>
  <si>
    <t>Classroom General 3</t>
  </si>
  <si>
    <t>FS1018-PIN-ZZ-01-D-O-1003          Classroom General 3</t>
  </si>
  <si>
    <t>FS1018-PIN-ZZ-01-D-O-1004</t>
  </si>
  <si>
    <t>Classroom (General) 4</t>
  </si>
  <si>
    <t>FS1018-PIN-ZZ-01-D-O-1004          Classroom (General) 4</t>
  </si>
  <si>
    <t>Classroom General 4</t>
  </si>
  <si>
    <t>FS1018-PIN-ZZ-01-D-O-1004          Classroom General 4</t>
  </si>
  <si>
    <t>FS1018-PIN-ZZ-01-D-O-1005</t>
  </si>
  <si>
    <t>Classroom (General) 5</t>
  </si>
  <si>
    <t>FS1018-PIN-ZZ-01-D-O-1005          Classroom (General) 5</t>
  </si>
  <si>
    <t>Classroom General 5</t>
  </si>
  <si>
    <t>FS1018-PIN-ZZ-01-D-O-1005          Classroom General 5</t>
  </si>
  <si>
    <t>FS1018-PIN-ZZ-01-D-O-1006</t>
  </si>
  <si>
    <t>Classroom (General) 6</t>
  </si>
  <si>
    <t>FS1018-PIN-ZZ-01-D-O-1006          Classroom (General) 6</t>
  </si>
  <si>
    <t>Classroom General 6</t>
  </si>
  <si>
    <t>FS1018-PIN-ZZ-01-D-O-1006          Classroom General 6</t>
  </si>
  <si>
    <t>FS1018-PIN-ZZ-01-D-O-1007</t>
  </si>
  <si>
    <t>GENERAL CLASSROOM</t>
  </si>
  <si>
    <t>FS1018-PIN-ZZ-01-D-O-1007          GENERAL CLASSROOM</t>
  </si>
  <si>
    <t>Classroom (General) 7</t>
  </si>
  <si>
    <t>FS1018-PIN-ZZ-01-D-O-1007          Classroom (General) 7</t>
  </si>
  <si>
    <t>Classroom General 7</t>
  </si>
  <si>
    <t>FS1018-PIN-ZZ-01-D-O-1007          Classroom General 7</t>
  </si>
  <si>
    <t>FS1018-PIN-ZZ-01-D-O-1008</t>
  </si>
  <si>
    <t>Classroom (General) 8</t>
  </si>
  <si>
    <t>FS1018-PIN-ZZ-01-D-O-1008          Classroom (General) 8</t>
  </si>
  <si>
    <t>Classroom General 8</t>
  </si>
  <si>
    <t>FS1018-PIN-ZZ-01-D-O-1008          Classroom General 8</t>
  </si>
  <si>
    <t>FS1018-PIN-ZZ-01-D-O-1009</t>
  </si>
  <si>
    <t>Classroom (General) 9</t>
  </si>
  <si>
    <t>FS1018-PIN-ZZ-01-D-O-1009          Classroom (General) 9</t>
  </si>
  <si>
    <t>Classroom General 9</t>
  </si>
  <si>
    <t>FS1018-PIN-ZZ-01-D-O-1009          Classroom General 9</t>
  </si>
  <si>
    <t>FS1018-PIN-ZZ-01-D-O-1021</t>
  </si>
  <si>
    <t>CLASSROOM (GENERAL) 1</t>
  </si>
  <si>
    <t>FS1018-PIN-ZZ-01-D-O-1021          CLASSROOM (GENERAL) 1</t>
  </si>
  <si>
    <t>Classroom General 1</t>
  </si>
  <si>
    <t>FS1018-PIN-ZZ-01-D-O-1021          Classroom General 1</t>
  </si>
  <si>
    <t>FS1018-PIN-ZZ-01-D-O-1101</t>
  </si>
  <si>
    <t>ICT RICH CLASSROOM 1</t>
  </si>
  <si>
    <t>FS1018-PIN-ZZ-01-D-O-1101          ICT RICH CLASSROOM 1</t>
  </si>
  <si>
    <t>Ict Rich Classroom 1</t>
  </si>
  <si>
    <t>FS1018-PIN-ZZ-01-D-O-1101          Ict Rich Classroom 1</t>
  </si>
  <si>
    <t>ICT Rich Classroom 1</t>
  </si>
  <si>
    <t>FS1018-PIN-ZZ-01-D-O-1101          ICT Rich Classroom 1</t>
  </si>
  <si>
    <t>FS1018-PIN-ZZ-01-D-O-1102</t>
  </si>
  <si>
    <t>ICT RICH CLASSROOM 2</t>
  </si>
  <si>
    <t>FS1018-PIN-ZZ-01-D-O-1102          ICT RICH CLASSROOM 2</t>
  </si>
  <si>
    <t>Ict Rich Classroom 2</t>
  </si>
  <si>
    <t>FS1018-PIN-ZZ-01-D-O-1102          Ict Rich Classroom 2</t>
  </si>
  <si>
    <t>ICT Rich Classroom 2</t>
  </si>
  <si>
    <t>FS1018-PIN-ZZ-01-D-O-1102          ICT Rich Classroom 2</t>
  </si>
  <si>
    <t>FS1018-PIN-ZZ-01-D-O-1108</t>
  </si>
  <si>
    <t>ART ROOM (GENERAL)</t>
  </si>
  <si>
    <t>FS1018-PIN-ZZ-01-D-O-1108          ART ROOM (GENERAL)</t>
  </si>
  <si>
    <t>Art Room (General)</t>
  </si>
  <si>
    <t>FS1018-PIN-ZZ-01-D-O-1108          Art Room (General)</t>
  </si>
  <si>
    <t>Art Room General</t>
  </si>
  <si>
    <t>FS1018-PIN-ZZ-01-D-O-1108          Art Room General</t>
  </si>
  <si>
    <t>FS1018-PIN-ZZ-01-D-O-3006</t>
  </si>
  <si>
    <t>Medical Treatment (Mi) Room 1 &amp; 3007 Sen Resource Space 1</t>
  </si>
  <si>
    <t>FS1018-PIN-ZZ-01-D-O-3006          Medical Treatment (Mi) Room 1 &amp; 3007 Sen Resource Space 1</t>
  </si>
  <si>
    <t>Medical Treatment Mi Room 1 And 3007 Sen Resource Space 1</t>
  </si>
  <si>
    <t>FS1018-PIN-ZZ-01-D-O-3006          Medical Treatment Mi Room 1 And 3007 Sen Resource Space 1</t>
  </si>
  <si>
    <t>FS1018-PIN-ZZ-01-D-O-3009</t>
  </si>
  <si>
    <t>Small Group Room (Large Sen Etc.) 1</t>
  </si>
  <si>
    <t>FS1018-PIN-ZZ-01-D-O-3009          Small Group Room (Large Sen Etc.) 1</t>
  </si>
  <si>
    <t>Small Group Room Large Sen Etc. 1</t>
  </si>
  <si>
    <t>FS1018-PIN-ZZ-01-D-O-3009          Small Group Room Large Sen Etc. 1</t>
  </si>
  <si>
    <t>FS1018-PIN-ZZ-01-D-O-4002</t>
  </si>
  <si>
    <t>Meeting Room (Conference) 1</t>
  </si>
  <si>
    <t>FS1018-PIN-ZZ-01-D-O-4002          Meeting Room (Conference) 1</t>
  </si>
  <si>
    <t>Meeting Room Conference 1</t>
  </si>
  <si>
    <t>FS1018-PIN-ZZ-01-D-O-4002          Meeting Room Conference 1</t>
  </si>
  <si>
    <t>FS1018-PIN-ZZ-01-D-O-4007</t>
  </si>
  <si>
    <t>Office (Pastoral) 1 And 5002 Teaching Resources Store (Itgt Off Corridor) 2</t>
  </si>
  <si>
    <t>FS1018-PIN-ZZ-01-D-O-4007          Office (Pastoral) 1 And 5002 Teaching Resources Store (Itgt Off Corridor) 2</t>
  </si>
  <si>
    <t>Office Pastoral 1 And 5002 Teaching Resources Store It Gt Off Corridor 2</t>
  </si>
  <si>
    <t>FS1018-PIN-ZZ-01-D-O-4007          Office Pastoral 1 And 5002 Teaching Resources Store It Gt Off Corridor 2</t>
  </si>
  <si>
    <t>FS1018-PIN-ZZ-01-D-O-4012</t>
  </si>
  <si>
    <t>Office (With Meeting Area, 2 Person) 1</t>
  </si>
  <si>
    <t>FS1018-PIN-ZZ-01-D-O-4012          Office (With Meeting Area, 2 Person) 1</t>
  </si>
  <si>
    <t>Office With Meeting Area, 2 Person 1</t>
  </si>
  <si>
    <t>FS1018-PIN-ZZ-01-D-O-4012          Office With Meeting Area, 2 Person 1</t>
  </si>
  <si>
    <t>FS1018-PIN-ZZ-01-D-O-4013</t>
  </si>
  <si>
    <t>Office (With Meeting Area, 2 Person) 2</t>
  </si>
  <si>
    <t>FS1018-PIN-ZZ-01-D-O-4013          Office (With Meeting Area, 2 Person) 2</t>
  </si>
  <si>
    <t>Office With Meeting Area, 2 Person 2</t>
  </si>
  <si>
    <t>FS1018-PIN-ZZ-01-D-O-4013          Office With Meeting Area, 2 Person 2</t>
  </si>
  <si>
    <t>FS1018-PIN-ZZ-01-D-O-4016</t>
  </si>
  <si>
    <t>Office (Senco, Learning Support) 1</t>
  </si>
  <si>
    <t>FS1018-PIN-ZZ-01-D-O-4016          Office (Senco, Learning Support) 1</t>
  </si>
  <si>
    <t>Office Senco, Learning Support 1</t>
  </si>
  <si>
    <t>FS1018-PIN-ZZ-01-D-O-4016          Office Senco, Learning Support 1</t>
  </si>
  <si>
    <t>FS1018-PIN-ZZ-01-D-O-4017</t>
  </si>
  <si>
    <t>Staff Workroom (Ict Technicians) 1</t>
  </si>
  <si>
    <t>FS1018-PIN-ZZ-01-D-O-4017          Staff Workroom (Ict Technicians) 1</t>
  </si>
  <si>
    <t>Staff Workroom ICT Technicians 1</t>
  </si>
  <si>
    <t>FS1018-PIN-ZZ-01-D-O-4017          Staff Workroom ICT Technicians 1</t>
  </si>
  <si>
    <t>FS1018-PIN-ZZ-01-D-O-5006</t>
  </si>
  <si>
    <t>Teaching Resources Store (Off Art Room) 1</t>
  </si>
  <si>
    <t>FS1018-PIN-ZZ-01-D-O-5006          Teaching Resources Store (Off Art Room) 1</t>
  </si>
  <si>
    <t>Teaching Resources Store Off Art Room 1</t>
  </si>
  <si>
    <t>FS1018-PIN-ZZ-01-D-O-5006          Teaching Resources Store Off Art Room 1</t>
  </si>
  <si>
    <t>FS1018-PIN-ZZ-01-D-O-5017</t>
  </si>
  <si>
    <t>FS1018-PIN-ZZ-01-D-O-5017          Classroom Store, Room (Off Sen Room) 1</t>
  </si>
  <si>
    <t>FS1018-PIN-ZZ-01-D-O-5017          Classroom Store, Room Off Sen Room 1</t>
  </si>
  <si>
    <t>FS1018-PIN-ZZ-01-D-O-5042</t>
  </si>
  <si>
    <t>66042K Stairway 7 And 5112 Coats And Bag Store (Lockers) 4</t>
  </si>
  <si>
    <t>FS1018-PIN-ZZ-01-D-O-5042          66042K Stairway 7 And 5112 Coats And Bag Store (Lockers) 4</t>
  </si>
  <si>
    <t>FS1018-PIN-ZZ-01-D-O-5104</t>
  </si>
  <si>
    <t>Secure Storeroom 2</t>
  </si>
  <si>
    <t>FS1018-PIN-ZZ-01-D-O-5104          Secure Storeroom 2</t>
  </si>
  <si>
    <t>FS1018-PIN-ZZ-01-D-O-5110</t>
  </si>
  <si>
    <t>Coats And Bag Store (Lockers) 2</t>
  </si>
  <si>
    <t>FS1018-PIN-ZZ-01-D-O-5110          Coats And Bag Store (Lockers) 2</t>
  </si>
  <si>
    <t>Coats And Bag Store Lockers 2</t>
  </si>
  <si>
    <t>FS1018-PIN-ZZ-01-D-O-5110          Coats And Bag Store Lockers 2</t>
  </si>
  <si>
    <t>FS1018-PIN-ZZ-01-D-O-5111</t>
  </si>
  <si>
    <t>Coats And Bag Store (Lockers) 3</t>
  </si>
  <si>
    <t>FS1018-PIN-ZZ-01-D-O-5111          Coats And Bag Store (Lockers) 3</t>
  </si>
  <si>
    <t>Coats And Bag Store Lockers 3</t>
  </si>
  <si>
    <t>FS1018-PIN-ZZ-01-D-O-5111          Coats And Bag Store Lockers 3</t>
  </si>
  <si>
    <t>FS1018-PIN-ZZ-01-D-O-5112</t>
  </si>
  <si>
    <t>Coats And Bag Store (Lockers) 4</t>
  </si>
  <si>
    <t>FS1018-PIN-ZZ-01-D-O-5112          Coats And Bag Store (Lockers) 4</t>
  </si>
  <si>
    <t>Coats And Bag Store Lockers 4</t>
  </si>
  <si>
    <t>FS1018-PIN-ZZ-01-D-O-5112          Coats And Bag Store Lockers 4</t>
  </si>
  <si>
    <t>FS1018-PIN-ZZ-01-D-O-5113</t>
  </si>
  <si>
    <t>Coats And Bag Store (Lockers) 5</t>
  </si>
  <si>
    <t>FS1018-PIN-ZZ-01-D-O-5113          Coats And Bag Store (Lockers) 5</t>
  </si>
  <si>
    <t>Coats And Bag Store Lockers 5</t>
  </si>
  <si>
    <t>FS1018-PIN-ZZ-01-D-O-5113          Coats And Bag Store Lockers 5</t>
  </si>
  <si>
    <t>FS1018-PIN-ZZ-01-D-O-5116</t>
  </si>
  <si>
    <t>Cleaners' Store 3</t>
  </si>
  <si>
    <t>FS1018-PIN-ZZ-01-D-O-5116          Cleaners' Store 3</t>
  </si>
  <si>
    <t>FS1018-PIN-ZZ-01-D-O-7042</t>
  </si>
  <si>
    <t>66042L Stairway 7 And 5113 Coats And Bag Store (Lockers) 5</t>
  </si>
  <si>
    <t>FS1018-PIN-ZZ-01-D-O-7042          66042L Stairway 7 And 5113 Coats And Bag Store (Lockers) 5</t>
  </si>
  <si>
    <t>FS1018-PIN-ZZ-01-D-O-8042</t>
  </si>
  <si>
    <t>66042I Stairway 7 And 5110 Coats And Bag Store (Lockers) 2</t>
  </si>
  <si>
    <t>FS1018-PIN-ZZ-01-D-O-8042          66042I Stairway 7 And 5110 Coats And Bag Store (Lockers) 2</t>
  </si>
  <si>
    <t>FS1018-PIN-ZZ-01-D-O-9042</t>
  </si>
  <si>
    <t>66042J Circulation Space (Horizontal) On And 5111 Coats And Bag Store (Lockers) 3</t>
  </si>
  <si>
    <t>FS1018-PIN-ZZ-01-D-O-9042          66042J Circulation Space (Horizontal) On And 5111 Coats And Bag Store (Lockers) 3</t>
  </si>
  <si>
    <t>FS1018-PIN-ZZ-02-D-O-1010</t>
  </si>
  <si>
    <t>Classroom (General) 10</t>
  </si>
  <si>
    <t>FS1018-PIN-ZZ-02-D-O-1010          Classroom (General) 10</t>
  </si>
  <si>
    <t>Classroom General 10</t>
  </si>
  <si>
    <t>FS1018-PIN-ZZ-02-D-O-1010          Classroom General 10</t>
  </si>
  <si>
    <t>FS1018-PIN-ZZ-02-D-O-1011</t>
  </si>
  <si>
    <t>Classroom (General) 11</t>
  </si>
  <si>
    <t>FS1018-PIN-ZZ-02-D-O-1011          Classroom (General) 11</t>
  </si>
  <si>
    <t>Classroom General 11</t>
  </si>
  <si>
    <t>FS1018-PIN-ZZ-02-D-O-1011          Classroom General 11</t>
  </si>
  <si>
    <t>FS1018-PIN-ZZ-02-D-O-1012</t>
  </si>
  <si>
    <t>Classroom (General) 12</t>
  </si>
  <si>
    <t>FS1018-PIN-ZZ-02-D-O-1012          Classroom (General) 12</t>
  </si>
  <si>
    <t>Classroom General 12</t>
  </si>
  <si>
    <t>FS1018-PIN-ZZ-02-D-O-1012          Classroom General 12</t>
  </si>
  <si>
    <t>FS1018-PIN-ZZ-02-D-O-1013</t>
  </si>
  <si>
    <t>Classroom (General) 13</t>
  </si>
  <si>
    <t>FS1018-PIN-ZZ-02-D-O-1013          Classroom (General) 13</t>
  </si>
  <si>
    <t>Classroom General 13</t>
  </si>
  <si>
    <t>FS1018-PIN-ZZ-02-D-O-1013          Classroom General 13</t>
  </si>
  <si>
    <t>FS1018-PIN-ZZ-02-D-O-1014</t>
  </si>
  <si>
    <t>Classroom (General) 14</t>
  </si>
  <si>
    <t>FS1018-PIN-ZZ-02-D-O-1014          Classroom (General) 14</t>
  </si>
  <si>
    <t>Classroom General 14</t>
  </si>
  <si>
    <t>FS1018-PIN-ZZ-02-D-O-1014          Classroom General 14</t>
  </si>
  <si>
    <t>FS1018-PIN-ZZ-02-D-O-1015</t>
  </si>
  <si>
    <t>Classroom (General) 15</t>
  </si>
  <si>
    <t>FS1018-PIN-ZZ-02-D-O-1015          Classroom (General) 15</t>
  </si>
  <si>
    <t>Classroom General 15</t>
  </si>
  <si>
    <t>FS1018-PIN-ZZ-02-D-O-1015          Classroom General 15</t>
  </si>
  <si>
    <t>FS1018-PIN-ZZ-02-D-O-1016</t>
  </si>
  <si>
    <t>Classroom (General) 16</t>
  </si>
  <si>
    <t>FS1018-PIN-ZZ-02-D-O-1016          Classroom (General) 16</t>
  </si>
  <si>
    <t>Classroom General 16</t>
  </si>
  <si>
    <t>FS1018-PIN-ZZ-02-D-O-1016          Classroom General 16</t>
  </si>
  <si>
    <t>FS1018-PIN-ZZ-02-D-O-1042</t>
  </si>
  <si>
    <t>66042P Stairway 7 &amp; 5113A Coats And Bag Store (Lockers) 5</t>
  </si>
  <si>
    <t>FS1018-PIN-ZZ-02-D-O-1042          66042P Stairway 7 &amp; 5113A Coats And Bag Store (Lockers) 5</t>
  </si>
  <si>
    <t>6042P Stairway 7 And 5113A Coats And Bag Store Lockers 5</t>
  </si>
  <si>
    <t>FS1018-PIN-ZZ-02-D-O-1042          6042P Stairway 7 And 5113A Coats And Bag Store Lockers 5</t>
  </si>
  <si>
    <t>FS1018-PIN-ZZ-02-D-O-1103</t>
  </si>
  <si>
    <t>SCIENCE LABORATORIES (RESTRICTIVE, EXTG) 1</t>
  </si>
  <si>
    <t>FS1018-PIN-ZZ-02-D-O-1103          SCIENCE LABORATORIES (RESTRICTIVE, EXTG) 1</t>
  </si>
  <si>
    <t>Science Laboratories Restrictive, Extg 1</t>
  </si>
  <si>
    <t>FS1018-PIN-ZZ-02-D-O-1103          Science Laboratories Restrictive, Extg 1</t>
  </si>
  <si>
    <t>FS1018-PIN-ZZ-02-D-O-1104</t>
  </si>
  <si>
    <t>Science Laboratories (Restrictive, Extg) 2</t>
  </si>
  <si>
    <t>FS1018-PIN-ZZ-02-D-O-1104          Science Laboratories (Restrictive, Extg) 2</t>
  </si>
  <si>
    <t>Science Laboratories Restrictive, Extg 2</t>
  </si>
  <si>
    <t>FS1018-PIN-ZZ-02-D-O-1104          Science Laboratories Restrictive, Extg 2</t>
  </si>
  <si>
    <t>FS1018-PIN-ZZ-02-D-O-1105</t>
  </si>
  <si>
    <t>Science Laboratories (Restrictive, Extg) 3</t>
  </si>
  <si>
    <t>FS1018-PIN-ZZ-02-D-O-1105          Science Laboratories (Restrictive, Extg) 3</t>
  </si>
  <si>
    <t>Science Laboratories Restrictive, Extg 3</t>
  </si>
  <si>
    <t>FS1018-PIN-ZZ-02-D-O-1105          Science Laboratories Restrictive, Extg 3</t>
  </si>
  <si>
    <t>FS1018-PIN-ZZ-02-D-O-1106</t>
  </si>
  <si>
    <t>SCIENCE LAB</t>
  </si>
  <si>
    <t>FS1018-PIN-ZZ-02-D-O-1106          SCIENCE LAB</t>
  </si>
  <si>
    <t>Science Laboratories (Restrictive, Extg) 4</t>
  </si>
  <si>
    <t>FS1018-PIN-ZZ-02-D-O-1106          Science Laboratories (Restrictive, Extg) 4</t>
  </si>
  <si>
    <t>Science Laboratories Restrictive, Extg 4</t>
  </si>
  <si>
    <t>FS1018-PIN-ZZ-02-D-O-1106          Science Laboratories Restrictive, Extg 4</t>
  </si>
  <si>
    <t>FS1018-PIN-ZZ-02-D-O-1107</t>
  </si>
  <si>
    <t>Science Laboratories (Restrictive, Extg) 5</t>
  </si>
  <si>
    <t>FS1018-PIN-ZZ-02-D-O-1107          Science Laboratories (Restrictive, Extg) 5</t>
  </si>
  <si>
    <t>Science Laboratories Restrictive, Extg 5</t>
  </si>
  <si>
    <t>FS1018-PIN-ZZ-02-D-O-1107          Science Laboratories Restrictive, Extg 5</t>
  </si>
  <si>
    <t>FS1018-PIN-ZZ-02-D-O-2000</t>
  </si>
  <si>
    <t>SECOND FLOOR GA</t>
  </si>
  <si>
    <t>FS1018-PIN-ZZ-02-D-O-2000          SECOND FLOOR GA</t>
  </si>
  <si>
    <t>Second Floor GA</t>
  </si>
  <si>
    <t>FS1018-PIN-ZZ-02-D-O-2000          Second Floor GA</t>
  </si>
  <si>
    <t>FS1018-PIN-ZZ-02-D-O-2042</t>
  </si>
  <si>
    <t>6042O Stairway 7 &amp; 5113B Coats And Bag Store (Lockers) 5</t>
  </si>
  <si>
    <t>FS1018-PIN-ZZ-02-D-O-2042          6042O Stairway 7 &amp; 5113B Coats And Bag Store (Lockers) 5</t>
  </si>
  <si>
    <t>6042O Stairway 7 And 5113B Coats And Bag Store Lockers 5</t>
  </si>
  <si>
    <t>FS1018-PIN-ZZ-02-D-O-2042          6042O Stairway 7 And 5113B Coats And Bag Store Lockers 5</t>
  </si>
  <si>
    <t>FS1018-PIN-ZZ-02-D-O-3008</t>
  </si>
  <si>
    <t>Small Group Room (Medium) 1 and 6042T Stairway 7</t>
  </si>
  <si>
    <t>FS1018-PIN-ZZ-02-D-O-3008          Small Group Room (Medium) 1 and 6042T Stairway 7</t>
  </si>
  <si>
    <t>Small Group Room Medium 1 And 6042T Stairway 7</t>
  </si>
  <si>
    <t>FS1018-PIN-ZZ-02-D-O-3008          Small Group Room Medium 1 And 6042T Stairway 7</t>
  </si>
  <si>
    <t>FS1018-PIN-ZZ-02-D-O-3042</t>
  </si>
  <si>
    <t>6042N Stairway 7, 5113C and 5113D Coats And Bag Store (Lockers) 5</t>
  </si>
  <si>
    <t>FS1018-PIN-ZZ-02-D-O-3042          6042N Stairway 7, 5113C and 5113D Coats And Bag Store (Lockers) 5</t>
  </si>
  <si>
    <t>6042N Stairway 7, 5113C And 5113D Coats And Bag Store Lockers 5</t>
  </si>
  <si>
    <t>FS1018-PIN-ZZ-02-D-O-3042          6042N Stairway 7, 5113C And 5113D Coats And Bag Store Lockers 5</t>
  </si>
  <si>
    <t>FS1018-PIN-ZZ-02-D-O-4001</t>
  </si>
  <si>
    <t>STAFF WORKROOM</t>
  </si>
  <si>
    <t>FS1018-PIN-ZZ-02-D-O-4001          STAFF WORKROOM</t>
  </si>
  <si>
    <t>Staff Workroom (Teaching Staff) 1 And Teaching Resources Store (Itgt Off Corridor) 3</t>
  </si>
  <si>
    <t>FS1018-PIN-ZZ-02-D-O-4001          Staff Workroom (Teaching Staff) 1 And Teaching Resources Store (Itgt Off Corridor) 3</t>
  </si>
  <si>
    <t>Staff Workroom Teaching Staff 1 And Teaching Resources Store It Gt Off Corridor 3</t>
  </si>
  <si>
    <t>FS1018-PIN-ZZ-02-D-O-4001          Staff Workroom Teaching Staff 1 And Teaching Resources Store It Gt Off Corridor 3</t>
  </si>
  <si>
    <t>FS1018-PIN-ZZ-02-D-O-4011</t>
  </si>
  <si>
    <t>Office (2 Person) 1</t>
  </si>
  <si>
    <t>FS1018-PIN-ZZ-02-D-O-4011          Office (2 Person) 1</t>
  </si>
  <si>
    <t>FS1018-PIN-ZZ-02-D-O-4014</t>
  </si>
  <si>
    <t>Office (With Meeting Area, 2 Person) 3</t>
  </si>
  <si>
    <t>FS1018-PIN-ZZ-02-D-O-4014          Office (With Meeting Area, 2 Person) 3</t>
  </si>
  <si>
    <t>Office With Meeting Area, 2 Person 3</t>
  </si>
  <si>
    <t>FS1018-PIN-ZZ-02-D-O-4014          Office With Meeting Area, 2 Person 3</t>
  </si>
  <si>
    <t>FS1018-PIN-ZZ-02-D-O-5004</t>
  </si>
  <si>
    <t>SCIENCE PREP</t>
  </si>
  <si>
    <t>FS1018-PIN-ZZ-02-D-O-5004          SCIENCE PREP</t>
  </si>
  <si>
    <t>Science Prep Option 1</t>
  </si>
  <si>
    <t>FS1018-PIN-ZZ-02-D-O-5004          Science Prep Option 1</t>
  </si>
  <si>
    <t>FS1018-PIN-ZZ-02-D-O-5005</t>
  </si>
  <si>
    <t>Chemical Store 1</t>
  </si>
  <si>
    <t>FS1018-PIN-ZZ-02-D-O-5005          Chemical Store 1</t>
  </si>
  <si>
    <t>FS1018-PIN-ZZ-02-D-O-5020</t>
  </si>
  <si>
    <t>Science Prep Option 2</t>
  </si>
  <si>
    <t>FS1018-PIN-ZZ-02-D-O-5020          Science Prep Option 2</t>
  </si>
  <si>
    <t>Science Prep</t>
  </si>
  <si>
    <t>FS1018-PIN-ZZ-02-D-O-5020          Science Prep</t>
  </si>
  <si>
    <t>FS1018-PIN-ZZ-02-D-O-5102</t>
  </si>
  <si>
    <t>General Storeroom (Central Stock) 1</t>
  </si>
  <si>
    <t>FS1018-PIN-ZZ-02-D-O-5102          General Storeroom (Central Stock) 1</t>
  </si>
  <si>
    <t>General Storeroom Central Stock 1</t>
  </si>
  <si>
    <t>FS1018-PIN-ZZ-02-D-O-5102          General Storeroom Central Stock 1</t>
  </si>
  <si>
    <t>FS1018-PIN-ZZ-02-D-O-5115</t>
  </si>
  <si>
    <t>Cleaners' Store 2</t>
  </si>
  <si>
    <t>FS1018-PIN-ZZ-02-D-O-5115          Cleaners' Store 2</t>
  </si>
  <si>
    <t>FS1018-PIN-ZZ-02-D-O-6113</t>
  </si>
  <si>
    <t>Coats And Bags Store (Lockers) 5</t>
  </si>
  <si>
    <t>FS1018-PIN-ZZ-02-D-O-6113          Coats And Bags Store (Lockers) 5</t>
  </si>
  <si>
    <t>Coats And Bags Store Lockers 5</t>
  </si>
  <si>
    <t>FS1018-PIN-ZZ-02-D-O-6113          Coats And Bags Store Lockers 5</t>
  </si>
  <si>
    <t>FS1018-PIN-ZZ-02-D-O-7113</t>
  </si>
  <si>
    <t>FS1018-PIN-ZZ-02-D-O-7113          Coats And Bags Store (Lockers) 5</t>
  </si>
  <si>
    <t>FS1018-PIN-ZZ-02-D-O-7113          Coats And Bags Store Lockers 5</t>
  </si>
  <si>
    <t>FS1018-PIN-ZZ-02-D-O-8113</t>
  </si>
  <si>
    <t>FS1018-PIN-ZZ-02-D-O-8113          Coats And Bags Store (Lockers) 5</t>
  </si>
  <si>
    <t>FS1018-PIN-ZZ-02-D-O-8113          Coats And Bags Store Lockers 5</t>
  </si>
  <si>
    <t>FS1018-PIN-ZZ-02-D-O-9113</t>
  </si>
  <si>
    <t>FS1018-PIN-ZZ-02-D-O-9113          Coats And Bags Store (Lockers) 5</t>
  </si>
  <si>
    <t>FS1018-PIN-ZZ-02-D-O-9113          Coats And Bags Store Lockers 5</t>
  </si>
  <si>
    <t>FS1018-PIN-ZZ-ZZ-L-O-0005</t>
  </si>
  <si>
    <t>Wisbech Secondary School Occupancy Schedule</t>
  </si>
  <si>
    <t>FS1018-PIN-ZZ-ZZ-L-O-0005          Wisbech Secondary School Occupancy Schedule</t>
  </si>
  <si>
    <t>FFE Gap Analysis and Occupancy Schedule</t>
  </si>
  <si>
    <t>FS1018-PIN-ZZ-ZZ-L-O-0005          FFE Gap Analysis and Occupancy Schedule</t>
  </si>
  <si>
    <t>FS1018-PIN-ZZ-ZZ-L-O-0006</t>
  </si>
  <si>
    <t>Catering Equipment Schedule</t>
  </si>
  <si>
    <t>FS1018-PIN-ZZ-ZZ-L-O-0006          Catering Equipment Schedule</t>
  </si>
  <si>
    <t>FS1018-PIN-ZZ-ZZ-L-O-0007</t>
  </si>
  <si>
    <t>FFE Cost Plan</t>
  </si>
  <si>
    <t>FS1018-PIN-ZZ-ZZ-L-O-0007          FFE Cost Plan</t>
  </si>
  <si>
    <t>FS1018-PIN-ZZ-ZZ-M-O-0001</t>
  </si>
  <si>
    <t>FFE REVIT MODEL</t>
  </si>
  <si>
    <t>Model reference on starting sheet not aligned to file name. Only typical rooms appear to be modelled with many spaces on upper levels empty. Space objects to be modelled to align with room extents (Ie space should be contained between surrounding walls, floor and ceiling). Esp. Space height must be paid attention to. Space objects should not be clashing with each other.  Object assignment to correct levels requires review (in Level 01 there are objects that should be assigned to Level 02), naming of levels should align to Project Information Standard.</t>
  </si>
  <si>
    <t>FS1018-PIN-ZZ-ZZ-M-O-0001          FFE REVIT MODEL</t>
  </si>
  <si>
    <t>FFE Revit Model</t>
  </si>
  <si>
    <t>FS1018-PIN-ZZ-ZZ-M-O-0001          FFE Revit Model</t>
  </si>
  <si>
    <t>FS1018-PIN-ZZ-ZZ-M-O-0002</t>
  </si>
  <si>
    <t>FFE IFC MODEL</t>
  </si>
  <si>
    <t>Only typical rooms appear to be modelled with many spaces on upper levels empty. Space objects to be modelled to align with room extents (Ie space should be contained between surrounding walls, floor and ceiling). Esp. Space height must be paid attention to. Space objects should not be clashing with each other. None of the modelled elements have IFC predefined types assigned (2485 elements). Object assignment to correct levels requires review (in Level 01 there are objects that should be assigned to Level 02), naming of levels should align to Project Information Standard.</t>
  </si>
  <si>
    <t>FS1018-PIN-ZZ-ZZ-M-O-0002          FFE IFC MODEL</t>
  </si>
  <si>
    <t>FFE IFC Model</t>
  </si>
  <si>
    <t>FS1018-PIN-ZZ-ZZ-M-O-0002          FFE IFC Model</t>
  </si>
  <si>
    <t>FS1018-PIN-ZZ-ZZ-M-O-0003</t>
  </si>
  <si>
    <t>FFE NAVIS MODEL</t>
  </si>
  <si>
    <t>nly typical rooms appear to be modelled with many spaces on upper levels empty. Space objects to be modelled to align with room extents (Ie space should be contained between surrounding walls, floor and ceiling). Esp. Space height must be paid attention to. Space objects should not be clashing with each other. Object assignment to correct levels requires review (in Level 01 there are objects that should be assigned to Level 02), naming of levels should align to Project Information Standard.</t>
  </si>
  <si>
    <t>FS1018-PIN-ZZ-ZZ-M-O-0003          FFE NAVIS MODEL</t>
  </si>
  <si>
    <t>FFE Navis Model</t>
  </si>
  <si>
    <t>FS1018-PIN-ZZ-ZZ-M-O-0003          FFE Navis Model</t>
  </si>
  <si>
    <t>FS1018-PIN-ZZ-ZZ-M-O-0004</t>
  </si>
  <si>
    <t>CATERING IFC MODEL</t>
  </si>
  <si>
    <t>The whole model is duplicated within FS1018-PIN-ZZ-ZZ-M-O-0002 FFE IFC MODEL. This either requires omitting this model and mapping the DEIR deliverables of both to this file. Or splitting the model into two - one with catering and one with FFE</t>
  </si>
  <si>
    <t>FS1018-PIN-ZZ-ZZ-M-O-0004          CATERING IFC MODEL</t>
  </si>
  <si>
    <t>Catering IFC Model</t>
  </si>
  <si>
    <t>FS1018-PIN-ZZ-ZZ-M-O-0004          Catering IFC Model</t>
  </si>
  <si>
    <t>FS1018-PIN-ZZ-ZZ-M-O-0005</t>
  </si>
  <si>
    <t>CATERING REVIT MODEL</t>
  </si>
  <si>
    <t>FS1018-PIN-ZZ-ZZ-M-O-0005          CATERING REVIT MODEL</t>
  </si>
  <si>
    <t>Catering Revit Model</t>
  </si>
  <si>
    <t>FS1018-PIN-ZZ-ZZ-M-O-0005          Catering Revit Model</t>
  </si>
  <si>
    <t>FS1018-PIN-ZZ-ZZ-M-O-0006</t>
  </si>
  <si>
    <t>CATERING NWC MODEL</t>
  </si>
  <si>
    <t>FS1018-PIN-ZZ-ZZ-M-O-0006          CATERING NWC MODEL</t>
  </si>
  <si>
    <t>FS1018 DfE Wisbech Free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</si>
</sst>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sz val="11"/>
      <color theme="1"/>
      <name val="Aptos Narrow"/>
      <family val="2"/>
      <scheme val="minor"/>
    </font>
    <font>
      <b/>
      <sz val="13"/>
      <color theme="3"/>
      <name val="Aptos Narrow"/>
      <family val="2"/>
      <scheme val="minor"/>
    </font>
    <font>
      <b/>
      <sz val="12"/>
      <color theme="1" tint="0.1498764000366222"/>
      <name val="Aptos Narrow"/>
      <family val="2"/>
      <scheme val="minor"/>
    </font>
    <font>
      <b/>
      <sz val="18"/>
      <color theme="1" tint="0.24994659260841701"/>
      <name val="Aptos Display"/>
      <family val="2"/>
      <scheme val="major"/>
    </font>
    <font>
      <u/>
      <sz val="11"/>
      <color theme="10"/>
      <name val="Aptos Narrow"/>
      <family val="2"/>
      <scheme val="minor"/>
    </font>
    <font>
      <b/>
      <sz val="13"/>
      <color theme="4"/>
      <name val="Aptos Narrow"/>
      <family val="2"/>
      <scheme val="minor"/>
    </font>
  </fonts>
  <fills count="2">
    <fill>
      <patternFill patternType="none"/>
    </fill>
    <fill>
      <patternFill patternType="gray125"/>
    </fill>
  </fills>
  <borders count="7">
    <border>
      <left/>
      <right/>
      <top/>
      <bottom/>
      <diagonal/>
    </border>
    <border>
      <left/>
      <right/>
      <top style="thin">
        <color indexed="64"/>
      </top>
      <bottom style="thin">
        <color indexed="64"/>
      </bottom>
      <diagonal/>
    </border>
    <border>
      <left/>
      <right/>
      <top/>
      <bottom style="thin">
        <color indexed="6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right/>
      <top style="medium">
        <color theme="1" tint="0.499984740745262"/>
      </top>
      <bottom/>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6">
    <xf numFmtId="0" fontId="0" fillId="0" borderId="0"/>
    <xf numFmtId="0" fontId="4" fillId="0" borderId="0"/>
    <xf numFmtId="0" fontId="2" fillId="0" borderId="3"/>
    <xf numFmtId="0" fontId="3" fillId="0" borderId="4"/>
    <xf numFmtId="0" fontId="5" fillId="0" borderId="0"/>
    <xf numFmtId="0" fontId="1" fillId="0" borderId="6">
      <alignment horizontal="left" vertical="center" wrapText="1"/>
    </xf>
  </cellStyleXfs>
  <cellXfs count="21">
    <xf numFmtId="0" fontId="0" fillId="0" borderId="0" xfId="0"/>
    <xf numFmtId="0" fontId="0" fillId="0" borderId="0" xfId="0" applyAlignment="1">
      <alignment wrapText="1"/>
    </xf>
    <xf numFmtId="0" fontId="0" fillId="0" borderId="0" xfId="0" pivotButton="1"/>
    <xf numFmtId="0" fontId="0" fillId="0" borderId="2" xfId="0" applyBorder="1" applyAlignment="1">
      <alignment wrapText="1"/>
    </xf>
    <xf numFmtId="0" fontId="0" fillId="0" borderId="0" xfId="0" applyAlignment="1">
      <alignment horizontal="left"/>
    </xf>
    <xf numFmtId="0" fontId="3" fillId="0" borderId="0" xfId="3" applyBorder="1"/>
    <xf numFmtId="0" fontId="4" fillId="0" borderId="0" xfId="1"/>
    <xf numFmtId="0" fontId="5" fillId="0" borderId="0" xfId="4" applyAlignment="1">
      <alignment horizontal="right"/>
    </xf>
    <xf numFmtId="14" fontId="0" fillId="0" borderId="0" xfId="0" applyNumberFormat="1"/>
    <xf numFmtId="14" fontId="3" fillId="0" borderId="0" xfId="3" applyNumberFormat="1" applyBorder="1"/>
    <xf numFmtId="0" fontId="6" fillId="0" borderId="0" xfId="2" applyFont="1" applyBorder="1" applyAlignment="1">
      <alignment horizontal="left"/>
    </xf>
    <xf numFmtId="0" fontId="0" fillId="0" borderId="0" xfId="0"/>
    <xf numFmtId="0" fontId="0" fillId="0" borderId="0" xfId="0" applyAlignment="1">
      <alignment horizontal="left" indent="1"/>
    </xf>
    <xf numFmtId="14" fontId="0" fillId="0" borderId="0" xfId="0" applyNumberFormat="1" applyAlignment="1">
      <alignment horizontal="left"/>
    </xf>
    <xf numFmtId="0" fontId="0" fillId="0" borderId="0" xfId="0" applyFill="1" applyBorder="1"/>
    <xf numFmtId="0" fontId="0" fillId="0" borderId="0" xfId="0" applyNumberFormat="1"/>
    <xf numFmtId="0" fontId="0" fillId="0" borderId="0" xfId="0" applyNumberFormat="1" applyAlignment="1">
      <alignment wrapText="1"/>
    </xf>
    <xf numFmtId="0" fontId="0" fillId="0" borderId="1" xfId="0" applyNumberFormat="1" applyBorder="1" applyAlignment="1">
      <alignment wrapText="1"/>
    </xf>
    <xf numFmtId="0" fontId="5" fillId="0" borderId="0" xfId="4" applyNumberFormat="1"/>
    <xf numFmtId="0" fontId="0" fillId="0" borderId="5" xfId="0" applyFill="1" applyBorder="1" applyAlignment="1">
      <alignment horizontal="left"/>
    </xf>
    <xf numFmtId="0" fontId="0" fillId="0" borderId="5" xfId="0" applyFill="1" applyBorder="1"/>
  </cellXfs>
  <cellStyles count="6">
    <cellStyle name="EachRow" xfId="5" xr:uid="{00000000-0005-0000-0000-000005000000}"/>
    <cellStyle name="Heading 2" xfId="2" builtinId="17"/>
    <cellStyle name="Hyperlink" xfId="4" builtinId="8"/>
    <cellStyle name="Input" xfId="3" builtinId="20"/>
    <cellStyle name="Normal" xfId="0" builtinId="0"/>
    <cellStyle name="Title" xfId="1" builtinId="15"/>
  </cellStyles>
  <dxfs count="314">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b/>
        <sz val="14"/>
        <color theme="1" tint="0.24994659260841701"/>
      </font>
    </dxf>
    <dxf>
      <font>
        <b/>
        <sz val="14"/>
        <color theme="1" tint="0.24994659260841701"/>
      </font>
    </dxf>
    <dxf>
      <border>
        <top style="medium">
          <color theme="1" tint="0.499984740745262"/>
        </top>
      </border>
    </dxf>
    <dxf>
      <border>
        <vertic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top style="medium">
          <color theme="1" tint="0.499984740745262"/>
        </top>
      </bord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b/>
        <sz val="14"/>
        <color theme="1" tint="0.24994659260841701"/>
      </font>
    </dxf>
    <dxf>
      <font>
        <b/>
        <sz val="14"/>
        <color theme="1" tint="0.24994659260841701"/>
      </font>
    </dxf>
    <dxf>
      <border>
        <top style="medium">
          <color theme="1" tint="0.499984740745262"/>
        </top>
      </border>
    </dxf>
    <dxf>
      <border>
        <vertic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top style="medium">
          <color theme="1" tint="0.499984740745262"/>
        </top>
      </bord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b/>
        <sz val="14"/>
        <color theme="1" tint="0.24994659260841701"/>
      </font>
    </dxf>
    <dxf>
      <font>
        <b/>
        <sz val="14"/>
        <color theme="1" tint="0.24994659260841701"/>
      </font>
    </dxf>
    <dxf>
      <border>
        <top style="medium">
          <color theme="1" tint="0.499984740745262"/>
        </top>
      </border>
    </dxf>
    <dxf>
      <border>
        <vertic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top style="medium">
          <color theme="1" tint="0.499984740745262"/>
        </top>
      </border>
    </dxf>
    <dxf>
      <numFmt numFmtId="19" formatCode="dd/mm/yyyy"/>
    </dxf>
    <dxf>
      <numFmt numFmtId="0" formatCode="General"/>
    </dxf>
    <dxf>
      <numFmt numFmtId="0" formatCode="General"/>
    </dxf>
    <dxf>
      <numFmt numFmtId="0" formatCode="General"/>
      <alignment horizontal="general" vertical="bottom" textRotation="0" wrapText="1" indent="0" justifyLastLine="0" shrinkToFit="0" readingOrder="0"/>
    </dxf>
    <dxf>
      <numFmt numFmtId="19" formatCode="dd/mm/yyyy"/>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19" formatCode="dd/mm/yyyy"/>
    </dxf>
    <dxf>
      <numFmt numFmtId="0" formatCode="General"/>
    </dxf>
    <dxf>
      <numFmt numFmtId="0" formatCode="General"/>
    </dxf>
    <dxf>
      <numFmt numFmtId="0" formatCode="General"/>
    </dxf>
    <dxf>
      <numFmt numFmtId="0" formatCode="General"/>
    </dxf>
    <dxf>
      <font>
        <color theme="8" tint="-0.499984740745262"/>
      </font>
      <fill>
        <patternFill>
          <bgColor theme="8" tint="0.79998168889431442"/>
        </patternFill>
      </fill>
    </dxf>
    <dxf>
      <font>
        <color rgb="FF006100"/>
      </font>
      <fill>
        <patternFill>
          <bgColor rgb="FFC6EFCE"/>
        </patternFill>
      </fill>
    </dxf>
    <dxf>
      <font>
        <color theme="9" tint="-0.499984740745262"/>
      </font>
      <fill>
        <patternFill>
          <bgColor theme="9" tint="0.79998168889431442"/>
        </patternFill>
      </fill>
    </dxf>
    <dxf>
      <font>
        <i/>
        <color theme="1" tint="0.499984740745262"/>
      </font>
      <fill>
        <patternFill>
          <bgColor auto="1"/>
        </patternFill>
      </fill>
    </dxf>
    <dxf>
      <font>
        <color theme="8" tint="-0.499984740745262"/>
      </font>
      <fill>
        <patternFill>
          <bgColor theme="8" tint="0.79998168889431442"/>
        </patternFill>
      </fill>
    </dxf>
    <dxf>
      <font>
        <color rgb="FF006100"/>
      </font>
      <fill>
        <patternFill>
          <bgColor rgb="FFC6EFCE"/>
        </patternFill>
      </fill>
    </dxf>
    <dxf>
      <font>
        <color theme="9" tint="-0.499984740745262"/>
      </font>
      <fill>
        <patternFill>
          <bgColor theme="9" tint="0.79998168889431442"/>
        </patternFill>
      </fill>
    </dxf>
    <dxf>
      <font>
        <i/>
        <color theme="1" tint="0.499984740745262"/>
      </font>
      <fill>
        <patternFill>
          <bgColor auto="1"/>
        </patternFill>
      </fill>
    </dxf>
    <dxf>
      <numFmt numFmtId="0" formatCode="General"/>
    </dxf>
    <dxf>
      <border>
        <top style="medium">
          <color theme="1" tint="0.499984740745262"/>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vertical/>
      </border>
    </dxf>
    <dxf>
      <border>
        <top style="medium">
          <color theme="1" tint="0.499984740745262"/>
        </top>
      </border>
    </dxf>
    <dxf>
      <font>
        <b/>
        <sz val="14"/>
        <color theme="1" tint="0.24994659260841701"/>
      </font>
    </dxf>
    <dxf>
      <font>
        <b/>
        <sz val="14"/>
        <color theme="1" tint="0.24994659260841701"/>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b/>
        <i val="0"/>
        <color theme="1" tint="0.14996795556505021"/>
      </font>
      <fill>
        <patternFill>
          <bgColor theme="0" tint="-0.14996795556505021"/>
        </patternFill>
      </fill>
      <border diagonalUp="0" diagonalDown="0">
        <left/>
        <right/>
        <top/>
        <bottom/>
        <vertical/>
        <horizontal/>
      </border>
    </dxf>
    <dxf>
      <font>
        <color theme="1"/>
      </font>
      <border diagonalUp="0" diagonalDown="0">
        <left/>
        <right/>
        <top/>
        <bottom/>
        <vertical/>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i/>
        <color theme="0" tint="-0.499984740745262"/>
      </font>
      <fill>
        <patternFill>
          <bgColor theme="0" tint="-4.9989318521683403E-2"/>
        </patternFill>
      </fill>
    </dxf>
    <dxf>
      <font>
        <b/>
        <color theme="1"/>
      </font>
    </dxf>
    <dxf>
      <font>
        <b/>
        <color theme="1"/>
      </font>
      <border>
        <top style="double">
          <color theme="1"/>
        </top>
      </border>
    </dxf>
    <dxf>
      <font>
        <b/>
        <color theme="1"/>
      </font>
      <border>
        <bottom style="medium">
          <color theme="1"/>
        </bottom>
      </border>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2" defaultTableStyle="TableStyleMedium2" defaultPivotStyle="PivotStyleLight16">
    <tableStyle name="TableStyleLight15 2" pivot="0" count="7" xr9:uid="{00000000-0011-0000-FFFF-FFFF00000000}">
      <tableStyleElement type="wholeTable" dxfId="313"/>
      <tableStyleElement type="headerRow" dxfId="312"/>
      <tableStyleElement type="totalRow" dxfId="311"/>
      <tableStyleElement type="firstColumn" dxfId="310"/>
      <tableStyleElement type="lastColumn" dxfId="309"/>
      <tableStyleElement type="firstRowStripe" dxfId="308"/>
      <tableStyleElement type="firstColumnStripe" dxfId="307"/>
    </tableStyle>
    <tableStyle name="Workflow Tracker" table="0" count="2" xr9:uid="{88AE39F0-1EF6-4053-8645-DEA133DFABCF}">
      <tableStyleElement type="wholeTable" dxfId="306"/>
      <tableStyleElement type="headerRow" dxfId="30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[Workflow Tracker.xlsx]Summary!PivotTable2</c:name>
    <c:fmtId val="21"/>
  </c:pivotSource>
  <c:chart>
    <c:title>
      <c:tx>
        <c:rich>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r>
              <a:rPr lang="en-US" sz="1400" cap="none" baseline="0"/>
              <a:t>Current status of documents</a:t>
            </a:r>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pivotFmt>
      <c:pivotFmt>
        <c:idx val="16"/>
        <c:spPr>
          <a:solidFill>
            <a:schemeClr val="bg1">
              <a:lumMod val="85000"/>
            </a:schemeClr>
          </a:solidFill>
          <a:ln w="19050">
            <a:solidFill>
              <a:schemeClr val="accent1"/>
            </a:solidFill>
          </a:ln>
          <a:effectLst/>
        </c:spPr>
      </c:pivotFmt>
      <c:pivotFmt>
        <c:idx val="17"/>
        <c:spPr>
          <a:solidFill>
            <a:schemeClr val="lt1"/>
          </a:solidFill>
          <a:ln w="19050">
            <a:solidFill>
              <a:schemeClr val="accent1"/>
            </a:solidFill>
          </a:ln>
          <a:effectLst/>
        </c:spPr>
      </c:pivotFmt>
      <c:pivotFmt>
        <c:idx val="18"/>
        <c:spPr>
          <a:solidFill>
            <a:schemeClr val="accent6">
              <a:lumMod val="60000"/>
              <a:lumOff val="40000"/>
            </a:schemeClr>
          </a:solidFill>
          <a:ln w="19050">
            <a:solidFill>
              <a:schemeClr val="accent1"/>
            </a:solidFill>
          </a:ln>
          <a:effectLst/>
        </c:spPr>
      </c:pivotFmt>
      <c:pivotFmt>
        <c:idx val="19"/>
        <c:spPr>
          <a:solidFill>
            <a:schemeClr val="accent3"/>
          </a:solidFill>
          <a:ln w="19050">
            <a:solidFill>
              <a:schemeClr val="accent1"/>
            </a:solidFill>
          </a:ln>
          <a:effectLst/>
        </c:spPr>
      </c:pivotFmt>
      <c:pivotFmt>
        <c:idx val="20"/>
        <c:spPr>
          <a:solidFill>
            <a:schemeClr val="lt1"/>
          </a:solidFill>
          <a:ln w="19050">
            <a:solidFill>
              <a:schemeClr val="accent1"/>
            </a:solidFill>
          </a:ln>
          <a:effectLst/>
        </c:spPr>
      </c:pivotFmt>
      <c:pivotFmt>
        <c:idx val="21"/>
        <c:spPr>
          <a:solidFill>
            <a:schemeClr val="lt1"/>
          </a:solidFill>
          <a:ln w="19050">
            <a:solidFill>
              <a:schemeClr val="accent1"/>
            </a:solidFill>
          </a:ln>
          <a:effectLst/>
        </c:spPr>
      </c:pivotFmt>
      <c:pivotFmt>
        <c:idx val="2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3"/>
          </a:solidFill>
          <a:ln w="19050">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4"/>
        <c:spPr>
          <a:solidFill>
            <a:schemeClr val="accent3"/>
          </a:solidFill>
          <a:ln w="19050">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5"/>
        <c:spPr>
          <a:solidFill>
            <a:schemeClr val="bg1">
              <a:lumMod val="95000"/>
            </a:schemeClr>
          </a:solidFill>
          <a:ln w="19050">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452071237526658"/>
          <c:y val="0.13906615377140211"/>
          <c:w val="0.56254885538482979"/>
          <c:h val="0.83404482609716224"/>
        </c:manualLayout>
      </c:layout>
      <c:pieChart>
        <c:varyColors val="1"/>
        <c:ser>
          <c:idx val="0"/>
          <c:order val="0"/>
          <c:tx>
            <c:strRef>
              <c:f>Summary!$B$2</c:f>
              <c:strCache>
                <c:ptCount val="1"/>
                <c:pt idx="0">
                  <c:v>Total</c:v>
                </c:pt>
              </c:strCache>
            </c:strRef>
          </c:tx>
          <c:spPr>
            <a:solidFill>
              <a:schemeClr val="lt1"/>
            </a:solidFill>
            <a:ln w="19050">
              <a:solidFill>
                <a:schemeClr val="accent1"/>
              </a:solidFill>
            </a:ln>
            <a:effectLst/>
          </c:spPr>
          <c:dPt>
            <c:idx val="0"/>
            <c:bubble3D val="0"/>
            <c:spPr>
              <a:solidFill>
                <a:schemeClr val="accent3"/>
              </a:solidFill>
              <a:ln w="19050">
                <a:solidFill>
                  <a:schemeClr val="accent1"/>
                </a:solidFill>
              </a:ln>
              <a:effectLst/>
            </c:spPr>
            <c:extLst>
              <c:ext xmlns:c16="http://schemas.microsoft.com/office/drawing/2014/chart" uri="{C3380CC4-5D6E-409C-BE32-E72D297353CC}">
                <c16:uniqueId val="{00000016-A594-4D3D-A985-E206C710C2AB}"/>
              </c:ext>
            </c:extLst>
          </c:dPt>
          <c:dPt>
            <c:idx val="1"/>
            <c:bubble3D val="0"/>
            <c:spPr>
              <a:solidFill>
                <a:schemeClr val="bg1">
                  <a:lumMod val="95000"/>
                </a:schemeClr>
              </a:solidFill>
              <a:ln w="19050">
                <a:solidFill>
                  <a:schemeClr val="accent1"/>
                </a:solidFill>
              </a:ln>
              <a:effectLst/>
            </c:spPr>
            <c:extLst>
              <c:ext xmlns:c16="http://schemas.microsoft.com/office/drawing/2014/chart" uri="{C3380CC4-5D6E-409C-BE32-E72D297353CC}">
                <c16:uniqueId val="{00000015-A594-4D3D-A985-E206C710C2AB}"/>
              </c:ext>
            </c:extLst>
          </c:dPt>
          <c:dPt>
            <c:idx val="2"/>
            <c:bubble3D val="0"/>
            <c:spPr>
              <a:solidFill>
                <a:schemeClr val="lt1"/>
              </a:solidFill>
              <a:ln w="19050">
                <a:solidFill>
                  <a:schemeClr val="accent1"/>
                </a:solidFill>
              </a:ln>
              <a:effectLst/>
            </c:spPr>
          </c:dPt>
          <c:dPt>
            <c:idx val="3"/>
            <c:bubble3D val="0"/>
            <c:spPr>
              <a:solidFill>
                <a:schemeClr val="lt1"/>
              </a:solidFill>
              <a:ln w="19050">
                <a:solidFill>
                  <a:schemeClr val="accent1"/>
                </a:solidFill>
              </a:ln>
              <a:effectLst/>
            </c:spPr>
          </c:dPt>
          <c:dPt>
            <c:idx val="4"/>
            <c:bubble3D val="0"/>
            <c:spPr>
              <a:solidFill>
                <a:schemeClr val="lt1"/>
              </a:solidFill>
              <a:ln w="19050">
                <a:solidFill>
                  <a:schemeClr val="accent1"/>
                </a:solidFill>
              </a:ln>
              <a:effectLst/>
            </c:spPr>
          </c:dPt>
          <c:dLbls>
            <c:dLbl>
              <c:idx val="0"/>
              <c:dLblPos val="inEnd"/>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6-A594-4D3D-A985-E206C710C2AB}"/>
                </c:ext>
              </c:extLst>
            </c:dLbl>
            <c:dLbl>
              <c:idx val="1"/>
              <c:dLblPos val="inEnd"/>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A594-4D3D-A985-E206C710C2A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Summary!$A$3:$A$8</c:f>
              <c:strCache>
                <c:ptCount val="5"/>
                <c:pt idx="0">
                  <c:v>Pending</c:v>
                </c:pt>
                <c:pt idx="1">
                  <c:v>B3 - Partially Accepted with Comments</c:v>
                </c:pt>
                <c:pt idx="2">
                  <c:v>C - Rejected</c:v>
                </c:pt>
                <c:pt idx="3">
                  <c:v>B - Approved with Comments</c:v>
                </c:pt>
                <c:pt idx="4">
                  <c:v>A3 - Accepted</c:v>
                </c:pt>
              </c:strCache>
            </c:strRef>
          </c:cat>
          <c:val>
            <c:numRef>
              <c:f>Summary!$B$3:$B$8</c:f>
              <c:numCache>
                <c:formatCode>General</c:formatCode>
                <c:ptCount val="5"/>
                <c:pt idx="0">
                  <c:v>123</c:v>
                </c:pt>
                <c:pt idx="1">
                  <c:v>72</c:v>
                </c:pt>
                <c:pt idx="2">
                  <c:v>4</c:v>
                </c:pt>
                <c:pt idx="3">
                  <c:v>1</c:v>
                </c:pt>
                <c:pt idx="4">
                  <c:v>11</c:v>
                </c:pt>
              </c:numCache>
            </c:numRef>
          </c:val>
          <c:extLst>
            <c:ext xmlns:c16="http://schemas.microsoft.com/office/drawing/2014/chart" uri="{C3380CC4-5D6E-409C-BE32-E72D297353CC}">
              <c16:uniqueId val="{00000012-A594-4D3D-A985-E206C710C2AB}"/>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5863</xdr:colOff>
      <xdr:row>4</xdr:row>
      <xdr:rowOff>168852</xdr:rowOff>
    </xdr:from>
    <xdr:to>
      <xdr:col>7</xdr:col>
      <xdr:colOff>44695</xdr:colOff>
      <xdr:row>22</xdr:row>
      <xdr:rowOff>39772</xdr:rowOff>
    </xdr:to>
    <xdr:grpSp>
      <xdr:nvGrpSpPr>
        <xdr:cNvPr id="4" name="Group 3">
          <a:extLst>
            <a:ext uri="{FF2B5EF4-FFF2-40B4-BE49-F238E27FC236}">
              <a16:creationId xmlns:a16="http://schemas.microsoft.com/office/drawing/2014/main" id="{FE8F1AF8-C2B0-4034-8045-B112B0266439}"/>
            </a:ext>
          </a:extLst>
        </xdr:cNvPr>
        <xdr:cNvGrpSpPr/>
      </xdr:nvGrpSpPr>
      <xdr:grpSpPr>
        <a:xfrm>
          <a:off x="5173249" y="1110508"/>
          <a:ext cx="4383697" cy="3164226"/>
          <a:chOff x="4060112" y="1075733"/>
          <a:chExt cx="4281879" cy="3681329"/>
        </a:xfrm>
      </xdr:grpSpPr>
      <xdr:graphicFrame macro="">
        <xdr:nvGraphicFramePr>
          <xdr:cNvPr id="5" name="Chart 4">
            <a:extLst>
              <a:ext uri="{FF2B5EF4-FFF2-40B4-BE49-F238E27FC236}">
                <a16:creationId xmlns:a16="http://schemas.microsoft.com/office/drawing/2014/main" id="{CEB387B6-50CF-7E2D-08E9-5858CD3AE4A6}"/>
              </a:ext>
            </a:extLst>
          </xdr:cNvPr>
          <xdr:cNvGraphicFramePr/>
        </xdr:nvGraphicFramePr>
        <xdr:xfrm>
          <a:off x="4065729" y="1075733"/>
          <a:ext cx="4269386" cy="3345578"/>
        </xdr:xfrm>
        <a:graphic>
          <a:graphicData uri="http://schemas.openxmlformats.org/drawingml/2006/chart">
            <c:chart xmlns:c="http://schemas.openxmlformats.org/drawingml/2006/chart" xmlns:r="http://schemas.openxmlformats.org/officeDocument/2006/relationships" r:id="rId1"/>
          </a:graphicData>
        </a:graphic>
      </xdr:graphicFrame>
      <xdr:sp macro="" textlink="$I$2">
        <xdr:nvSpPr>
          <xdr:cNvPr id="6" name="TextBox 5">
            <a:extLst>
              <a:ext uri="{FF2B5EF4-FFF2-40B4-BE49-F238E27FC236}">
                <a16:creationId xmlns:a16="http://schemas.microsoft.com/office/drawing/2014/main" id="{5C8F6573-322C-1F0D-A366-FD1915D8A7C2}"/>
              </a:ext>
            </a:extLst>
          </xdr:cNvPr>
          <xdr:cNvSpPr txBox="1"/>
        </xdr:nvSpPr>
        <xdr:spPr>
          <a:xfrm>
            <a:off x="4060112" y="4383382"/>
            <a:ext cx="4281879" cy="373680"/>
          </a:xfrm>
          <a:prstGeom prst="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pPr algn="r"/>
            <a:fld id="{DA70FFAE-508E-4AD6-AD23-EA1B0649018F}" type="TxLink">
              <a:rPr lang="en-US" sz="1300" b="0" i="0" u="none" strike="noStrike" cap="none" spc="50">
                <a:ln w="9525" cmpd="sng">
                  <a:noFill/>
                  <a:prstDash val="solid"/>
                </a:ln>
                <a:solidFill>
                  <a:schemeClr val="bg1"/>
                </a:solidFill>
                <a:effectLst>
                  <a:glow rad="38100">
                    <a:schemeClr val="accent1">
                      <a:alpha val="40000"/>
                    </a:schemeClr>
                  </a:glow>
                </a:effectLst>
                <a:latin typeface="Aptos Narrow"/>
              </a:rPr>
              <a:pPr algn="r"/>
              <a:t>Total number of documents: 211</a:t>
            </a:fld>
            <a:endParaRPr lang="en-GB" sz="1300" b="0" i="0" cap="none" spc="50">
              <a:ln w="9525" cmpd="sng">
                <a:noFill/>
                <a:prstDash val="solid"/>
              </a:ln>
              <a:solidFill>
                <a:schemeClr val="bg1"/>
              </a:solidFill>
              <a:effectLst>
                <a:glow rad="38100">
                  <a:schemeClr val="accent1">
                    <a:alpha val="40000"/>
                  </a:schemeClr>
                </a:glow>
              </a:effectLst>
              <a:latin typeface="+mn-lt"/>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ole Millinship" refreshedDate="45739.847827314814" backgroundQuery="1" createdVersion="8" refreshedVersion="8" minRefreshableVersion="3" recordCount="211" xr:uid="{245A0A9C-4754-4E94-821C-C79E85ECD199}">
  <cacheSource type="external" connectionId="1"/>
  <cacheFields count="5">
    <cacheField name="Document Number" numFmtId="0">
      <sharedItems/>
    </cacheField>
    <cacheField name="Count.Workflow Status" numFmtId="0">
      <sharedItems count="2">
        <s v="In Progress"/>
        <s v="Completed"/>
      </sharedItems>
    </cacheField>
    <cacheField name="Count.Step Outcome" numFmtId="0">
      <sharedItems count="5">
        <s v="Pending"/>
        <s v="B3 - Partially Accepted with Comments"/>
        <s v="C - Rejected"/>
        <s v="B - Approved with Comments"/>
        <s v="A3 - Accepted"/>
      </sharedItems>
    </cacheField>
    <cacheField name="Count.Latest revision?" numFmtId="0">
      <sharedItems count="1">
        <b v="1"/>
      </sharedItems>
    </cacheField>
    <cacheField name="(Helper) Doc Status" numFmtId="0">
      <sharedItems count="6">
        <s v="Pending"/>
        <s v="B3 - Partially Accepted with Comments"/>
        <s v="C - Rejected"/>
        <s v="B - Approved with Comments"/>
        <s v="A3 - Accepted"/>
        <s v="A - Accepted"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icole Millinship" refreshedDate="45739.848201388886" createdVersion="8" refreshedVersion="8" minRefreshableVersion="3" recordCount="1074" xr:uid="{76EEEB75-3404-476A-84D4-0CD32F5AFB48}">
  <cacheSource type="worksheet">
    <worksheetSource name="RawData"/>
  </cacheSource>
  <cacheFields count="12">
    <cacheField name="Document Number" numFmtId="0">
      <sharedItems/>
    </cacheField>
    <cacheField name="Title" numFmtId="0">
      <sharedItems/>
    </cacheField>
    <cacheField name="Revision" numFmtId="0">
      <sharedItems count="19">
        <s v="P01"/>
        <s v="P02"/>
        <s v="P04"/>
        <s v="P03"/>
        <s v="P15"/>
        <s v="P06"/>
        <s v="P08"/>
        <s v="P09"/>
        <s v="P12"/>
        <s v="P25"/>
        <s v="P17"/>
        <s v="P11"/>
        <s v="P16"/>
        <s v="P07"/>
        <s v="P05"/>
        <s v="P10"/>
        <s v="P14"/>
        <s v="S5-P01"/>
        <s v="-" u="1"/>
      </sharedItems>
    </cacheField>
    <cacheField name="Workflow Status" numFmtId="0">
      <sharedItems/>
    </cacheField>
    <cacheField name="Date In" numFmtId="14">
      <sharedItems containsSemiMixedTypes="0" containsNonDate="0" containsDate="1" containsString="0" minDate="2023-08-29T00:00:00" maxDate="2025-03-24T00:00:00" count="32">
        <d v="2023-09-06T00:00:00"/>
        <d v="2025-03-13T00:00:00"/>
        <d v="2024-08-28T00:00:00"/>
        <d v="2024-08-08T00:00:00"/>
        <d v="2024-12-12T00:00:00"/>
        <d v="2025-03-14T00:00:00"/>
        <d v="2024-08-29T00:00:00"/>
        <d v="2023-09-08T00:00:00"/>
        <d v="2023-10-18T00:00:00"/>
        <d v="2024-08-01T00:00:00"/>
        <d v="2023-09-22T00:00:00"/>
        <d v="2024-09-10T00:00:00"/>
        <d v="2023-09-12T00:00:00"/>
        <d v="2023-08-29T00:00:00"/>
        <d v="2023-08-30T00:00:00"/>
        <d v="2025-03-19T00:00:00"/>
        <d v="2023-10-02T00:00:00"/>
        <d v="2023-10-03T00:00:00"/>
        <d v="2024-08-30T00:00:00"/>
        <d v="2023-10-11T00:00:00"/>
        <d v="2025-03-21T00:00:00"/>
        <d v="2023-09-21T00:00:00"/>
        <d v="2023-09-07T00:00:00"/>
        <d v="2024-09-09T00:00:00"/>
        <d v="2024-09-06T00:00:00"/>
        <d v="2023-09-15T00:00:00"/>
        <d v="2023-11-08T00:00:00"/>
        <d v="2024-11-25T00:00:00" u="1"/>
        <d v="2025-03-22T00:00:00" u="1"/>
        <d v="2025-03-23T00:00:00" u="1"/>
        <d v="2024-12-09T00:00:00" u="1"/>
        <d v="2024-12-05T00:00:00" u="1"/>
      </sharedItems>
    </cacheField>
    <cacheField name="Step Name" numFmtId="0">
      <sharedItems count="20">
        <s v="Architectural Review"/>
        <s v="DFE Review"/>
        <s v="Client Review"/>
        <s v="Electrical Review"/>
        <s v="Mechanical Review"/>
        <s v="Multiple Discipline Review"/>
        <s v="CDM Review"/>
        <s v="Client / Contractor / BIM Review"/>
        <s v="Civil Review"/>
        <s v="ICT Review"/>
        <s v="TEST Review"/>
        <s v="Designer Response"/>
        <s v="Sustainability Review"/>
        <s v="Structural Review"/>
        <s v="Landscape Review"/>
        <s v="FFE Review"/>
        <s v="Step 1" u="1"/>
        <s v="DFE Review of Responses" u="1"/>
        <s v="Step 2" u="1"/>
        <s v="Step 3" u="1"/>
      </sharedItems>
    </cacheField>
    <cacheField name="Step Outcome" numFmtId="0">
      <sharedItems count="13">
        <s v="A3 - Accepted"/>
        <s v="Pending"/>
        <s v="B3 - Partially Accepted with Comments"/>
        <s v="C - Rejected"/>
        <s v="A - Approved"/>
        <s v="B - Approved with Comments"/>
        <s v="A - Accepted"/>
        <s v="B - Partially Accepted with Comments"/>
        <s v="Approved with Comments" u="1"/>
        <s v="Rejected" u="1"/>
        <s v="None" u="1"/>
        <s v="Approved" u="1"/>
        <s v="No Comments" u="1"/>
      </sharedItems>
    </cacheField>
    <cacheField name="Date of Comments" numFmtId="14">
      <sharedItems containsNonDate="0" containsDate="1" containsString="0" containsBlank="1" minDate="2023-08-30T00:00:00" maxDate="2025-03-24T00:00:00" count="20">
        <d v="2023-09-21T00:00:00"/>
        <m/>
        <d v="2025-01-12T00:00:00"/>
        <d v="2023-10-02T00:00:00"/>
        <d v="2023-09-29T00:00:00"/>
        <d v="2023-10-06T00:00:00"/>
        <d v="2023-09-25T00:00:00"/>
        <d v="2023-10-18T00:00:00"/>
        <d v="2023-09-26T00:00:00"/>
        <d v="2023-10-09T00:00:00"/>
        <d v="2023-08-30T00:00:00"/>
        <d v="2025-03-19T00:00:00"/>
        <d v="2023-10-20T00:00:00"/>
        <d v="2024-09-09T00:00:00"/>
        <d v="2023-10-17T00:00:00"/>
        <d v="2025-03-21T00:00:00"/>
        <d v="2024-08-12T00:00:00"/>
        <d v="2024-12-05T00:00:00" u="1"/>
        <d v="2025-03-23T00:00:00" u="1"/>
        <d v="2024-12-09T00:00:00" u="1"/>
      </sharedItems>
    </cacheField>
    <cacheField name="Comments" numFmtId="0">
      <sharedItems containsBlank="1" count="161" longText="1">
        <m/>
        <s v="Have the internal wall types been developed to take into account the minimum wall thicknesses to satisfy the acoustic requirements, which vary from 250 - 600mm studs?"/>
        <s v="See comments on FS1018-ADT-ZZ-00-D-J-0004"/>
        <s v="Refer to comment on document"/>
        <s v="To be closed out in Stage 4 review - added to  Clarifications log to ensure review is complete in Stage 4"/>
        <s v="Cables or other electrical equipment shall not be installed in a protected escape route unless part of an essential fire safety or related safety system, general needs lighting, socket- outlets provided for cleaning or maintenance. please refer to the latest BS 7671 18th edition (regulation 422.2). _x000d__x000a__x000d__x000a_Data containment shall be installed at 300mm away from LV submain tray inorder to migitate the electromagnetic interference issue._x000d__x000a__x000d__x000a_Fire alarm cables should have been installed independently of the other cables._x000d__x000a__x000d__x000a_Separate partition required in the services shaft to protect the fire alarm and data tray_x000d__x000a__x000d__x000a_Confirm which DB supply serves the furniture store, plantroom (heat source and water heater)"/>
        <s v="200lux level to be achived in front of lift._x000d__x000a__x000d__x000a_Confirm the lux level requirements of cold store, food store, kicthe office areas near to food prep area_x000d__x000a__x000d__x000a_Confirm why two lux requirements for music practice rooms?_x000d__x000a__x000d__x000a_It appears that in various areas, the same rooms have different lux requirements (Eg. Confidential Meeting rooms near entrance)"/>
        <s v="Confirm the location of fire alarm panel._x000d__x000a__x000d__x000a_Confirm the fire alarm detection location of triple height spaces such as assembly halls, sports halls. "/>
        <s v="Confirm that the door access control is linked to the fire alarm panel for fail-safe operation during emergency evacuation."/>
        <s v="BS5839-1 says fire alarm sounder should not be used for purposes other than warning of fire, unless the response required is identical to that required in the event of fire (i.e immediate evacuation by use of all escape routes). However, as an established exception, the fire alarm signal may be used in schools to indicate start or finish of predetermined periods. The duration of such signal should not exceed 5s. Please confirm if the PA system and  the class change system are independent of the fire alarm system._x000d__x000a__x000d__x000a_"/>
        <s v="Would have expected to see PH major routes/ proposed sizes and riser locations. Currently no pipework shown within drawings for review"/>
        <s v="Would have expected to see major gas routes/ proposed sizes and riser locations in stage 3 design. Currently no pipework shown within drawings for review."/>
        <s v="Would have expected to see major heating and cooling routes/ proposed sizes and riser locations in stage 3 design. Currently no pipework shown within drawings for review."/>
        <s v="Would have expected to see major ventilation routes/ proposed sizes and riser locations in stage 3 design. Currently no pipework shown within drawings for review."/>
        <s v="'- Would have expected to see critical maintenance information including maintenance space requirements, delivery path, etc. Currently only showing “access required” in the drawing._x000d__x000a_- Please confirm the access, maintenance, and replacement strategy for lighting and smoke detection systems in the assembly halls and sports hall."/>
        <s v="Data containment shall be installed at 300mm away from LV submain tray inorder to migitate the electromagnetic interference issue._x000d__x000a__x000d__x000a_Fire alarm cables should have been installed independently of the other cables._x000d__x000a__x000d__x000a_Separate partition required in the services shaft to protect the fire alarm and data tray"/>
        <s v="200lux level to be achived in front of lift."/>
        <s v="Confirm the fire alarm detection location of triple height spaces such as assembly halls, sports halls. "/>
        <s v="200lux level to be achived in front of lift._x000d__x000a__x000d__x000a_It is noted that the proposed lux level in the stairway is 100 lux, while lower levels have 150 lux. Lux levels should be the same throughout the stairways."/>
        <s v="Missing major airduct route and attenuator information for Kitchen AHU and extract fan._x000d__x000a_Any electrostatic precipitator for kitchen extract fan?"/>
        <s v="Label for PV is incorrect. Not clear what initial proposed solar PV array layout looks like. Needs further detail to show this and confirm how it is accommodated with green roof."/>
        <s v="Please confirm if external emergency lighting is in place along every exit route of the building in line with BS5266-2016"/>
        <s v="Please confirm if minimum 10 lux level has been achieved on car parks and pathways._x000d__x000a__x000d__x000a_Please confirm if external emergency lighting is in place along every exit route of the building in line with BS5266-2016"/>
        <s v="Any electrostatic precipitator for kitchen extract fan?"/>
        <s v="Peak water demand to be reviewed upon final layouts and finalisation of fixtures and fittings. (i.e showers area)"/>
        <s v="KB Comments: _x0009_have these been provided to the Principal Designer for comment?  _x000d__x000a__x0009_Have the Designers been provided with Pre-Construction Information to inform their Design and DRA’s? _x000d__x000a__x0009_Is the Principal Designer satisfied that the Designers have used the general principles of prevention to eliminate/reduce risk in their design?  _x000d__x000a__x0009_Confusing as comments in the “Action already taken during design process” seem to apply to future actions required by others e.g contractor.  _x000d__x000a__x0009_How has risk been eliminated/reduced through Stage 3 design?  _x000d__x000a__x0009_Confirm/Identify appropriate information from the design that the Principal Designer will need to include in the H&amp;S file for completion._x000d__x000a_"/>
        <s v="We need one derogation schedule to pick up all derogations across the project. Could this please be resubmitted as a Henry Brothers document, incorporating other disciplines?"/>
        <s v="Mechanical: Any design development on kitchen ventilation requirement and control strategy?"/>
        <s v="Please confirm that the total power requirement for electric vehicle charging corresponds to the number of parking bays available on site. Check SoA for GIFA."/>
        <s v="Gas strategy includes both LPG tank and mains gas as options to supply for science teaching. This is inconsistent with FS1018-AGL-ZZ-00-D-M-5401-Level 00 Gas Strategy-S5-P01 and stated requirement for LPG tank. It is consistent with FS1018-AGL-ZZ-ZZ-G-M-5401-Gas Strategy Schematic-S5-P01. Should have agreed position on this by this stage of design."/>
        <s v="'- delivery path for large equipment replacement like ASHP and AHU should be provide._x000d__x000a_- Please confirm the access, maintenance, and replacement strategy for lighting and smoke detection systems in the assembly halls and sports hall."/>
        <s v="Need to remove reference to Newcastle City Council in Section 6. This is not the relevant planning authority. Check any additional planning guidance as issued by the relevant authority."/>
        <s v="Please confirm if there will be any light switch controls in the teaching wall area."/>
        <s v="All control valve is missing."/>
        <s v="Confirm emergency fire man PV isolation switch location._x000d__x000a__x000d__x000a_Lift supply is not shown in the LV schematic. Please confirm._x000d__x000a_"/>
        <s v="Confirm if PV isolation is controlled through the main fire alarm panel._x000d__x000a__x000d__x000a_Confirm the location of fire man's PV isolation switches_x000d__x000a__x000d__x000a_Define and segregate the areas with Smoke/heat/sounder/detector/beacon locations."/>
        <s v="See comments against Gateway M and E Proposal Report"/>
        <s v="Please update with relevant main sizing of plant (cold water storage tank / hot water heaters / CAT 5 / Boosted water pump)"/>
        <s v="Please confirm the split between roof mounted and canopy mounted panels._x000d__x000a_The canopies proposed do not appear to comply with the DfE specification."/>
        <s v="Lack of model geometry. Would have expected to see ME and PH major routes, Plumbing fixtures, Electrical fixtures. Only cable tray primary routes and plant room equipment present in model. Empty levels present in the model and incorrect level assignments."/>
        <s v="Mechanical equipment should be assigned appropriate IFC Type and not remain generic Building Element Proxy type. 133 elements have USERDEFINED or NOTDEFINED predefined type. Empty levels present in the model and incorrect level assignments."/>
        <s v="Superseded by P02"/>
        <s v="Superceded by P03"/>
        <s v="This information should be incorporated into the Asset Register, in this case this was not done because the IFC was not provided to Majenta. COBie sheet populated with Sheets required for Stage 3 . Majority of Facility COBie fields are not compliant with Standardised Values set out in the Project Information Standards. Nor Space name field. External spaces missing from COBie. Zone Sheet not compliant to COBie standard, Name field must be unique and grouped according to the Zones in the PIS. Contact sheet has supplier that is not referenced in other sheets."/>
        <s v="Refer to comments in TA notes section on SoA._x000a_Note that proposed GIFA is 5009 sq m ie 179 sqm more than the SoA at ITT of 4830 sqm. _x000a_ Note Thermal modelling currently based on GIFA of 4973 sq m"/>
        <s v="1.0 Please state at the top how proposals satisfy the overall ER's  with respect to Minimum Life Expectancy, U-value requirements etc; 1.1 Please also describe recessed and hit &amp; miss condition. Do these also achieve stated required u-values? ; 1.2 Fibre cement rainscreen described as 'Mechanical fixing with colour-matched screw heads; ' yet drawing describes secret fix' - which is it?; 1.3 does not mentioned top hung opening lights in hall and whether they are automated ; 3.1 BIO-SOLAR ROOF ARRANGEMENT ON HOT MELT ROOFING SYSTEM - ensure proposed roof buildup satisifies ER's TA 2C: 3.2.13 The system shall incorporate, as a minimum, the following (for a flat roof green roof build up): a lightweight growing material tested to BS8616, a filtration layer, drainage board for water storage, a protection layer to the top surface of the underlying waterproofing membrane comprising a bituminous/Hot Melt/Single Ply or Cold Applied liquid waterproofing layer to top of insulation. [Ss_45_40_47_28]; 3.5 MAINTENANCE ACCESS EQUIPMENT: - galvanised stairs described - see comments elsewhere, galvanised finishes not acceptable, see TA 2C 3.5.2 g) Galvanised mild steel balustrades are permitted in non-visually obvious situations [PM_80_60_50] ; 3.6 SYPHONIC RAINWATER DRAINAGE SYSTEM: see comments elsewhere, please draw this for our review; 4.1 FAIR-FACED BLOCKWORK WALLS: identified 'to plant rooms, lift shaft and risers' -  Is Blockwork in lift shafts typical? Also, how does it satisfy fire rating requirements?; 4.0 INTERNAL PARTITION WALLS AND FINISHES - please include additional wall linings required to meet acoustic requiements; 7.1 ENCLOSED STAIRCASES: and 7.3 BALUSTRADING TO STACK VENTILATION VOIDS - how does structural glass balustrading satisfy BWT's requirements for privacy?; What are the internal finishes on the lanterns? ; 10.3 Furniture: Do proposals satisfy requirements of ER's?; 10.4 Fencing: Discrepancies between what is proposed here and proposed on FS1018-ONE-XX-ZZ-D-L-0009-Access Security Strategy-S5-P04; 10.5 Soft Landscaping: How do these satisfy BNG requirements?"/>
        <s v="1.4 - blinds - confirm blinds comply with dim out and black out in relevant locations in accordance with Annex 3 and Annex 2D. 1.5 Confirm doors external doors are PAS 24 compliant in accordance with Annex 2C 5.1.3.  7.3 Confirm balustrade height is acceptable to Trust based on risk assessment in accordance with Annex 2D 6.1.1c. 10.4 is 4.5m high fence for sprinkler tank achievable/practical? are the gates to be 4.5m high too? how easy will these be to open for the users?"/>
        <s v="Would like to have seen more of a narrative on how the SSB has evolved through the CEMs, how this has been captured and how it has been addressed;  Would also like to see Next Steps and timescale itemised_x000d__x000a_"/>
        <s v="See comments on document, and, Schedule does not totalise the Brief / Proposed area though I count the proposed design to be +35 sqm on the brief area. Please compare and contrast with FS1018-CPM-XX-XX-L-A-0001-ScheduleOfAccommodation-S5-P01 as well as GIFA as contained in Revit model and clarify."/>
        <s v="Refer to comments on attached drawings and the below. _x000a_**--General notes for all GA plans deliverables: I really appreciate Room tag showing both SOA area and Proposed area - note however that some room tags are not legible eg DT Studio (electronics / control), please review; Have all rooms been allocated? What is total GIFA from Revit model? See comments on SoA discrepancies between FS1018-CPM-XX-XX-L-A-0001-ScheduleOfAccommodation-S5-P01 and FS1018-CPM-XX-XX-T-A-5002-DesignDevelopmentReport-S5-P01 ; No dimensions shown to gridlines, rooms, corridors, lifts, or stairs--**External staircase from L00 service yard to L01 roof not permissible under ER's - needs to ascend for internal secured space. See GDB: 2.6.5.2 External staircases are not permitted except when refurbishing Existing Buildings, if there is no alternative, and between changes in roof level for maintenance. [PM_10_20_82]; Ensure all externally opening doors have door guards inline with ER's and Statutory Requirements - ref  TA 2C: 5.1.3 External door hardware, ironmongery or control mechanism provided shall be robust and heavy duty and the following requirements shall be met: i) Door guards shall be installed to opening outward doors. [Ss_25_30_20_25] and Building Regs Part K Diagram 10.2; Noting provision of 'Coat and bag store (lockers)' yet Trust previously advised they did not want these - please clarify your understanding that these are being shown for futureproofing? ; Confirm purpose of cupboard adjacent to Dining Hall doors? Note clash of outward opening doors. ; Please indicate access hatch between 00-2003 | DIN11 and 00-6001 | KIT01; Review appropriateness of proposed kitchen layout and 4 spaces within. Locating them all to the north reduces the usable wall area for the kitchen layout. Also consider environmental health requirements for access to toilets an clean/dirty workstreams. Is it worth trying to cluster these uses either side of the external door?; Confirm use of room located between 00-6041 | TOC12 and 00-4003 | ADM11?; Confirm reason for angled walls between 00-6001c | RES12 and 00-6001d | RES12. Not mentioned in FS1018-ADT-ZZ-ZZ-T-J-0001-AcousticStrategy-S5-P01; Confirm all proposed pupil toilet numbers satisfy ER's. Comment applies to all levels; Confirm all proposed staff toilet numbers satisfy ER's. Comment applies to all levels. ; Confirm dimensions to all toilets meet the ER's and Statutory requirements. Are they consistently sized? Comment applies to all levels.; Please show toilet layouts for 00-6012 | TOC14 and 00-6013 | TOC14 ; Please show shower and changing layouts for 00-6007 | TOC01 and 00-6008 | TOC01; Confirm how separate pupil and staff toilet use will be maintained when they are located alongside one another? ; Delineate clear zone in front of lift; Confirm proposed Lift dimensions satisfy ER's? See GDB 2.14.3.11: In mainstream schools the provision shall be related to the number of pupils and storeys served: [PM_80_50_30] b) for larger school"/>
        <s v="Refer to comments on the drawings and the below._x000a_Lightwells showing inconsistently - sometimes as void (white) sometimes as circulation (grey) - please clarify as will impact SoA; Are Lightwells coordinated between L00 and L01? Lightwell 1 at G-H/5 seems to offer a view into a riser cupboard below, while Lightwell 3 at N-P1/ 5 offers a view into 00-6010 | TOC02; Please show a coordinated L01 Roof layout, with access routes, actual quantum of PV's indicated, along with syphonic drainage inlets (which need to be located away from access routes to prevent damage), proposed finishes codes to the Roof/Canopies to classrooms annotated, all roof levels, parapet levels ; How does 01-3006 | SEN02 MI Medical treatment room provide hygienic setting as required of GDB 2.3.18.5 d) a medical treatment (nurse’s room) which provides a hygienic environment and provides secure and appropriate storage for medicines if it is used to access 01-4016 | OFF23?; How does access to Services riser shaft from 01-4013 | OFF12 satisfy GDB 2.3.3.2 Access to service risers within small rooms such as offices or stores shall not limit the required occupancy or furniture layout. [PM_10_80] ; Is it appropriate for 01-6062 | PLA13 Server room to be located on the façade line with a window when Server Rooms need to be kept cool and other spaces could benefit from having this window? Is it worth considering swapping with 01-4013 | OFF12 ?"/>
        <s v="Refer to comments on drawings and the below. _x000a_Please show a coordinated L02 Roof layout, with access routes, actual quantum of PV's indicated, along with syphonic drainage inlets (which need to be located away from access routes to prevent damage), proposed finishes codes to the Roof/Canopies to classrooms annotated, all roof levels, parapet levels ; Check that all area showing in 02-3008 | RES03 is attributed to the room and not circulation; Represent two halls at this level consistently - the Dining Hall is shown as a void, the Sports hall is shown as green fill with rooflights.; How is access from L02 up to Roof level via Stairway 2 restricted? Should route of Northern Stair be flipped and a door added? ; Omit shadows cast by Revit model on GA's"/>
        <s v="Refer to comments on the drawing and the below._x000a_Review clash of gridlines; Please show a coordinated Main Roof layout, with access routes, actual quantum of PV's indicated, along with syphonic drainage inlets (which need to be located away from access routes to prevent damage), proposed finishes codes to the Roof/Canopies to classrooms annotated, all roof levels, parapet levels, etc; Is proposed quantum of PV's sufficient? As commented elsewhere, this needs to be shown to justify provision of canopies elsewhere.; Is this a BioSolar Green roof in accordance with ER's?  ; Are all rooflights required? See comments elsewhere about appropriate placement of rooms needing/not needing daylight.; Clarify discrepancy between Access Hatch at gridlines E/5 which is shown rectangular at Roof level, but serves a square-shaped space at L02. Is this coordinated?; Need more detail on railing to Secondary Means of Escape Hatch - does it comply with ER's? Note TA 2C: 3.5.4 Non-permanent or collapsible type barriers shall not be acceptable. The provision of free-standing systems which rely on their dead weight only and are not physically fixed to the building structure for stability and strength, shall be acceptable only where there are limitations forming connections through the roof deck to the structure e.g., in modular construction. [PM_10_20_82]"/>
        <s v="KB Comments: _x0009_Would comment that its more of a RAG list status more than a risk assessment that identifies hazards and the actions taken at design stage to eliminate or reduce and at what stage it applies i.e. construction, operation/maintenance, demolition._x000d__x000a__x0009_would be expecting to see the Principal Designer accumulate project designers’ significant risks into a single CDM Risk Register; _x000d__x000a__x0009_Confirm/Identify appropriate information at design that the Principal Designer will need to include in the H&amp;S file for completion_x000d__x000a_"/>
        <s v="See comments on the drawing. Circulation widths to wc's is not consistent between L00 (1.5m) and upper floors (1.8m) - all need to be in accordance with ER's ; Clarify annotations of 'principal entrance' and 'pupil entrance' - is this pupil entrance just from the Hard/Soft play or is this their entrance upon arrival to school? Please see comments on Landscape drawing FS1018-ONE-XX-ZZ-D-L-0009-Access Security Strategy-S5-P04 Please indicate Entrances for Staff / Pupils / Public / Community"/>
        <s v="See comments on the drawing and, Are 00-6009 | TOC02 and 00-6010 | TOC02 intended for community use also? Otherwise, where can accessible changing and changing places activities take place?; Are all aspects of ER's satisfied with regards to Passive Supervision? GDB 1.8.4.1 d) toilets that are positioned for easy access and to facilitate passive supervision. [Ac_25_90_60])."/>
        <s v="See comments on drawing and, 7 toilets denoted at eastern cluster - contrast with GA's which show 8.; 5M &amp; 5F showers denoted - does this satisfy ER's? Ref BB103: Normally in secondary schools it is sufficient to provide changing facilities for half a year group with equal and separate facilities for boys and girls in co-educational schools. Showers should generally be in the form of separate cubicles, with about one for every seven pupils changing. At least one accessible changing area (with a sanitary fitting, wash basin and shower) should be provided, although this may be also be used by staff. See point made elsewhere - please show layout"/>
        <s v="See comments on drawing and, &quot;Access &amp; Maintenance Strategy Legend lists Building Fabric elements - but Access and Maintenance Strategy ought to also highlight the major risks represented and steps taken to design out / reduce / mitigate said risks. Some immediate specific risks that stand out: _x000a_1/ access from L00 up to L01 roof (covered elsewhere here) _x000a_2/ area under stairs posing collision risk _x000a_3/ open voids to L01 / L02 with respect to falling, fire, throwing things down to L00 etc&quot;"/>
        <s v="See comments on drawings and, How are smaller areas of roof proposed to be accessed, cleaned and maintained? Roofs to: LRC, Sports stores, entrance canopy; Zone for polewashing for windows indicated but how are areas at L01 and above accessed for maintenance? Can you get a MEWP along the entire perimeter of the façade?; Show how MEWPS gain access to large internal hall spaces?; Need to indicate access and clearances around roof plant / PV's, as well as travel distances"/>
        <s v="See comments on drawing and, Key plan denotes Sections AA-EE, yet only sections AA-DD shown. Section EE missing and rather important. Also section through LRC and entrance is key. Please provide.; Please show floor levels to AOD, not AFFL (on the basis that your NGL may vary) - and then dim between floors; Please show proposed parapet levels to AOD; Section BB: What are the internal finishes on the lanterns? They look dark - could be oppressive at the top of a building.; Section CC: Please show stair tread numbers, rise/going, levels at half landings, clear heights; Section CC: How is area under stair at L00 to be dealt with, noting it is unusable and a hazard if left open?; Section CC: Consider relationship of openings/glazing/louvres to stair flights in both stair cores in relation to user experience, guarding as outlined in B Regs AD Part K Diagram 3.1 and elevation composition.; Sections CC and DD: Confirm all parapet heights are 1100mm for safe access"/>
        <s v="See comments on drawing and, &quot;**---General notes for all GA elevation deliverables: Please omit shadows/rendered trees/bins/other fencing in front etc, we would like to see the full building elevations rather than a rendered Revit model cut line; Legend note 1 - 5: Please provide further information on selection of Buff and Dark Grey brickwork; Legend note 1 - 5: Please further detail on proposed wall depths/build ups to show head/jamb/cill details of recessed and hit &amp; miss scenarios ; Legend note 6: Please provide further detail on proposed rainscreen system; Legend note 12: Galvanised - see ER's TA 2C 3.5.2 g) Galvanised mild steel balustrades are permitted in non-visually obvious _x000a_situations [PM_80_60_50] - the proposed locations would be considered visually obvious; Please provide Sample board showing all proposed finishes; See previous comments about fencing heights - look low on these elevations--**; Please show External doors accurately - Doors to L00 Kitchen and Roof Plant shown as glazed (Note does say 'PPC Aluminium Doors (Louvred/Solid/Glazed)' but it should be drawn accurately)&quot;"/>
        <s v="See comments on drawing and, At stair cores: consider relationship of openings/glazing/louvres to stair flights in elevation and in section; What are the various finishes to curtain walling at stair cores? Legend says 'PPC Aluminium Curtain Walling System (Dark Grey)' but elevation indicates light glazing and spandrel at L001, and dark glazing and spandrel at L01 and L02 - can you provide more detail? ; Consider terminating curtain walling at half landing instead of running down to L00 level if this area under stair will be out of sight and inaccessible? Not best use of £ also consider robustness requirements of ER's (GDB and TA 2C); Consider terminating Curtain walling at underside of Roof slab level? Currently shown running up past the Roof FFL to form part of the parapet? Improbable and not best use of £. Please review composition of elevations if maintaining a common datum between both stair cores is important to you."/>
        <s v="See comments on drawing and, Please confirm what the main entrance doors will be made from? Proposal looks like internal double doors, but presume this is a function of Revit modelling view range.; Is signage on canopy sufficiently sized and contrasting for the person on the ground looking upwards?"/>
        <s v="Can you tabulate the risks to show: Risk rating (based on Probability x Impact) and proposed steps to eliminate, reduce, mitigate."/>
        <s v="See comments on drawing and Ceilings in LRC look low - are they? GA Sections do not cover this area."/>
        <s v="See comments on drawing and, Is proposed roof a Bio Solar Green Roof in line with DfE ER's? TA 2C 3.2.1 All roofs shall comprise a bio-solar green roofing system, maximised with photovoltaics (PVs) to meet the requirements in Technical Annex 2G, Technical Annex 2H  and Technical Annex 2J. [PM_10_20_90]; Parapet detail annotates a 'Recessed feature brickwork' - yet the elevation shows hit and miss brickwork. Is it recessed or is it hit and miss? ; Detail 2: Is there barrier matting here? ; Are 2 x Top hung opening light's automated? ; Please provide more details of fibre cement rainscreen cladding; Confirm Thermal / Fire / Acoustic requirements have been achieved - provide all systems testing and certification"/>
        <s v="See comments on drawings and, Can I ask for these strategy drawings to show L00 at the bottom of the page and go up the page L01 L02, as your other strategy drawings? Mix of methods is inconsistent. Comment applies also to FS1018-CPM-ZZ-ZZ-D-A-4004-GAFloorFinishesStrategy-S5-P01 and FS1018-CPM-ZZ-ZZ-D-A-4007-GACeilingFinishesStrategy-S5-P01; Note that room fills denoting wall finishes missing from L00, please show.; How does your code W2.2 map to Internal Wall Finishes Table 2 in TA 2D? Do you mean 2.2h? ; Showers are shown as W2.2 but shouldn't they be W3.3 as per Table 2 in TA 2D? Ie Wet areas not humid areas? ; Please provide further detail on W6.1h proposed finish to Sports Hall. ; How are acoustic requirements outlined in FS1018-ADT-ZZ-ZZ-T-J-0001-AcousticStrategy-S5-P01 satisfied in proposals for both Main Hall and Sports Hall? Eg in Sports Hall acoustic strategy says 'The current proposal is to have plywood wall finishes including perforated panels at low level, on a sub frame with mineral wool backing.'"/>
        <s v="See comments on drawing and, Note that room fills denoting floor finishes missing from L00, please show.; F1.1 Carpet is proposed for Stairs - is this correct?; F2.1 Vinyl to Server room - is this correct; Are F3.2i and F3.4 the same floor finish, with the only difference being in the skirting?; F3.4 for 'Light practical' in Art and Science? Wouldn't these be Heavy practical as outlined in TA 2D Table 5a?; Is there any F5 for Heavy practical? Not on legend besides F5.4 in Plantrooms; Do codes F6.1 (activity studio) and F6.2h (multi purpose hall) match the plans? ; No finish to cupboard from secondary access; Acoustic underlay denoted on legend but not shown on plans."/>
        <s v="See comments on drawings and, Need to see proposed FCL's for each room; Do External Stores require a ceiling C1.1? ; Please clarify note in Ceiling 1.1 (600x600 grid ceiling) and Ceiling 1.2 (600x600 hygienic grid ceiling)  'in classrooms ceiling C3.2 provided to area outside of raft' - what does this mean, given that C3.2 is described as an emulsion painted concrete soffit to humid areas. Are you saying that the substrate is emulsion painted concrete soffit with raft ceilings? ; Ceiling type C1.1e described as 'PPC perforated profiled structural metal deck' - how does this satisfy acoustic requirements contained in Acoustic Strategy FS1018-ADT-ZZ-ZZ-T-J-0001-AcousticStrategy-S5-P01 'In the sports hall there will be a perforated liner tray to the roof, overlaid with mineral wool insulation and with insulation to the troughs, to achieve minimum absorption Class C.'; You have multiple ceiling codes for 2.2, 2.2/2.3, 2.3. Is Ceiling code 2.2/2.3 confusing things? ER's clear on what is needed where. This is why you need to draw your shower layouts - typically these are classed as wet areas (C2.3), with the changing space classed as a humid area (C2.2)"/>
        <s v="Report identifies 2400 clashes. Report does not evidence sufficient issue/clash resolution progress during the stage.  Report should be presented in a more actionable format.  All images are corrupt in the report."/>
        <s v="Better spatial coordination would be expected by Stage 3, 2,400 clashes is impracticle and not acceptable. Structural elements not well coordinated with architecture (especially doors and structural elements. Internal walls not aligned with column and bracing positions. Instances of furniture interfering with architectural doorways and structural elements. Library entrance, threshold between outside and inside missing geometry."/>
        <s v="Object assignment to correct levels requires review as a_x000d__x000a_it appears there are objects which should be on different levels."/>
        <s v="modelling erros apparent (ie. ceiling passing through wall, gaps in external walls). 92 elements have USERDEFINED or NOTDEFINED predefined type and 341 with empty field. Object assignment to correct levels requires review. COBie Facility information not consistently available in the IFC properties, COBie Zones missing from architectural IFC."/>
        <s v="Model not detatched from central. Status on Flysheet is at S1."/>
        <s v="Video does not play."/>
        <s v="TR Comments:- Need to revisit proposed server and hub room location taking into account comments in lines 8, 9, 11, 12_x000d__x000a_- Is there a window in the server room _x000d__x000a_"/>
        <s v="TR Comments:- Need to revisit proposed server and hub room location taking into account comments in lines 8, 9, 11, 12"/>
        <s v="TR Comments:- Need to revisit in line with changes that need to be made   _x000d__x000a_"/>
        <s v="See attached Comment sheet from Tony Roman - DfE ICT Advisor. Comments are logged against specific sections of the report which together ghave generated a Rejected vote."/>
        <s v="Test Approval"/>
        <s v="Test "/>
        <s v="Please provide a plan showing the site set-up during Phase 2 of the project."/>
        <s v="1. this drawing  shows the phase 1 construction area but uses the phase 3 car park layout (final configuration). HB need to show 2 construction phases and the different car park layouts as presented in the logistics CEM."/>
        <s v="Wtihin the phasing plan, we would expect to see the following:_x000d__x000a_Details of the logistics for the different phases (compound, materials storage, hoarding, traffic management, etc.)_x000d__x000a_Access points for staff, pupils, visitors, emergency services, contractors and deliveries._x000d__x000a_Generally, there are three different phases of the project:_x000d__x000a_1: Phase 1 only, pre-Phase 2_x000d__x000a_2: Phase 1 and 2 taking place in tandem_x000d__x000a_3: Phase 1 only, post-Phase 2"/>
        <s v="this document shows the correct car park layouts for this phase. therefore can FS1018-HBC-XX-XX-D-X-0001 be removed?"/>
        <s v="1. as this is summer works are the notes regarding pedestrian access to be maintained necessary?_x000a_2. re the note about a decision needs to eb made regadring use if link road - Can the link road be released for use from Sept 2026 to improve the bus and pedestrian and vehicle access? 3. what arrangements will be made for Teaching staff parking during this phase of works as the new building will be open. This was raised at CEM meeting"/>
        <s v="1. more detailed proposals will be needed for phasing of access into staff car park as drawing indicates that this may be blocked. 2. Staff car parking will be needed in the interim period following portacabin decant and reinstatement of portakabin area to provide parking"/>
        <s v="1. should this drawing be named final layout post handover not site set up phase 3?"/>
        <s v="See email sent 20/10/23 - files in MIDP not matching CDE - 2 DEIR Items missing - 103 &amp; 180."/>
        <s v="the following items are either not matching CDE or not submitted - see email sent FS1018-AGL-ZZ-XX-T-Z-0003_x000d__x000a_FS1018-AGL-ZZ-XX-T-Z-0003_x000d__x000a_FS1018-AGL-ZZ-XX-T-Z-0003_x000d__x000a_FS1018-AGL-ZZ-ZZ-D-Z-5801_x000d__x000a_FS1018-CPM-ZZ-ZZ-D-A-2141_x000d__x000a_FS1018-CPM-XX-XX-T-A-5002_x000d__x000a_FS1018-DSI-XX-XX-T-G-0001_x000d__x000a_FS1018-EVR-XX-XX-D-O-0001_x000d__x000a_FS1018-EVR-XX-XX-T-O-0003_x000d__x000a_FS1018-HEX-ZZ-ZZ-M-C-0003_x000d__x000a_FS1018-HEX-ZZ-ZZ-D-C-5200_x000d__x000a_FS1018-HEX-ZZ-ZZ-D-C-5201_x000d__x000a_FS1018-HEX-ZZ-ZZ-D-C-5205_x000d__x000a_FS1018-HEX-ZZ-ZZ-D-C-5210_x000d__x000a_FS1018-HEX-ZZ-ZZ-D-C-5211_x000d__x000a_FS1018-ONE-ZZ-ZZ-M-L-0001_x000d__x000a_FS1018-PIN-ZZ-00-D-O-5021_x000d__x000a_"/>
        <s v="Programme needs updating following late issue of Stage 3 information to DfE._x000d__x000a_Additional comments on mark-up."/>
        <s v="1. Line 47 Judicial review and line 49 Discharge of pre commencement conditions can these be run concurrently? 2. line 51 is this a duplicate of line 49 but does suggest condition discharge is running concurrently? 3. line 68 Delivery of  CPS was only partial MEP 17th March and costs etc not received as of 19/3/2025 4. Should CP review evaluation line 69 should be 8 weeks from receipt of full CPS.  5. line 80 should also include a note .. Contract finalisation including any increased DFE budget submissions (CCF)"/>
        <s v="Review required following late issue of Stage 3 information and to assess potential routes to allow the school to open in September 2025."/>
        <s v="1. Line 56 - please clarify this task - is this place order or install the substation - NB noted line 224 Legal process for easements and S77 disposal of land has been planned into programme 2. Line 74 power and water on 2a. power on does the activity need more details see my comments re line 56? 2b, this is planned for early in school term - can the service interruptions be planned outside school term ie summer or half term or weekends? 3 ICT fit out needs to be planned with School ICT contractor, also will need the main hall AV as a planned activity as well as the drama rooms etc. 4. Lines 297 and line 310 phase 2 section and 1 and 2 handover are both after school term starts can these be planned for completion prior to school term starts to avoid disruption ie before 1st September 2026 and 2027?"/>
        <s v="As comments on design and construction programmes. Additional comments on mark-up."/>
        <s v="1. see comments regarding Design programme and construction programme. Master programme to eb updated to reflect these comments"/>
        <s v="We would expect to see risks for:_x000d__x000a_Local incinerator and how this could impact on the design_x000d__x000a_Objections to the planning application from locals or Cambridgeshire, or others_x000d__x000a_Delay to securing the land from the existing PFI agreement"/>
        <s v="1. line 3 - existing drainage culvert - need to update this risk following IDB planning objection 2. Line 11 Sport England response has been received removing objection - needs updating 3. Planning  delay - needs updating / re evaluating due to delays in statutory consultee responses and risk of not making April committee"/>
        <s v="Separate review meetings ongoing."/>
        <s v="This document needs to provide proposed sub-contractors for each package of work, typically three per package."/>
        <s v="This needs to focus more on the management of the different sub-contractors, not so much the design and DfE teams."/>
        <s v="This is a lift companies sale literature (which is non compliant for a new lift going into a new build building) and is not a lift specification as WSP VT would expect. Front page of document says 29 pages and 12 are submitted. Please provide full lift specification for review. WSP VT can not offer comment as document is incomplete"/>
        <s v="rejected Pending conclusion of the planning submission"/>
        <s v="Test"/>
        <s v="Refer to mark-up."/>
        <s v="ENCs are unclear at present as the land transaction has yet to be completed with CCC and also the planning  approval has yet to be concluded which may result in s278 or other legal agreements. As these processes are concluded ENCs may arise and this document will need to be updated"/>
        <s v="KB Comments: _x0009_have these been provided to the Principal Designer for comment?  _x000d__x000a__x0009_Have the Designers been provided with Pre-Construction Information to inform their Design and DRA’s? _x000d__x000a__x0009_Is the Principal Designer satisfied that the Designers have used the general principles of prevention to eliminate/reduce risk in their design?  _x000d__x000a__x0009_Confusing as some of the potential hazards identified aren’t “hazards” e.g. Additional Site Investigation; _x000d__x000a__x0009_Have the Designers been provided with Pre-Construction Information to inform their Design and DRA’s?_x000d__x000a__x0009_What actions has been taken by Design at Stage 3 level to eliminate/reduce risk_x000d__x000a__x0009_Identify appropriate information from the design that the Principal Designer will need to include in the H&amp;S file for completion._x000d__x000a_"/>
        <s v="MT Comments: PV loading on roof mentioned but no description how fixing is achieved or lefection tollerance for cells"/>
        <s v="MT Comments: What is the purpose of the internal slab thickenings over the GB'S?"/>
        <s v="MT Comments: uplift seams high on all piles will this exist? "/>
        <s v="Flow arrows on pipelines would make it easier to read the drawing and understand the philosophy"/>
        <s v="Foul network gradients are very slack, 1:100-1:150. The connection to the sewer in Weasenham Lane should be investigated."/>
        <s v="MT/IH Comments: Add drawing showing 3D views of the building frame including the the bracing system "/>
        <s v="MT /IHComments: Add drawing showing 3D views of the building frame including the the bracing system "/>
        <s v="MT/IH Comments: Confirm the detail showing cranked rebar welded on the top flange of the UC Beam is adequate and in the zone  the shear plane of the UC section- the rebar appears high and cracked further back from the shear plane. Tie beam can also be slim flor by being grounted in parralel to PCC units "/>
        <s v="Status on Flysheet is at S1 Work in Progress and revision 1. Should be updated to match requirements set out in  Project Information Standard. File name reference on splash screen does not match file name. Unnecessary site floor plan view."/>
        <s v="Model reference on flysheet not aligned to file name."/>
        <s v="COBie &amp; IFC Issues evident. 783 elements have USERDEFINED or NOTDEFINED predefined type and 392 elements with empty field. Object assignment to correct levels requires review (in level 00 there are objects that should be assigned to other levels)."/>
        <s v="Objects not assigned to correct levels - requires review (eg. level 00 there are objects that should be assigned to other levels), naming of levels should align to Project Information Standard."/>
        <s v="Asset Register only contains contact information for STR &amp; CVL engineer, no architectural. No other Contact, No Facility, Floor, Space or Zone data. Architectural was submitted separately but should be included in this file."/>
        <s v="Rejected on the basis of quality of COBie data in the submission in the Federated Model and Asset Register."/>
        <s v="File is in WIP word format with WIP Comments from HBC contained within the file. Requires correcting all document refs - remnants of SRP1062 which is not this project. Project Directory incomplete. 5.5 CDE Configuration section is incomplete. 5.7 Security section is incomplete. 5.8 Federation Strategy incomplete. 7.5 Capability &amp; Capacity references Willmott Dixon?. 8.1 Software Requirements references solibri/Navisworks for federation - but Federation strategy also mentions Dalux? 8.5 Coordinates - all tbc. 8.7 L.O.I Need - incomplete. 9.7 Role Codes - I is spare but has been used for Interior Architecture in the P.I.S. 10.2 Management of OBie section and 10.3 Asset Register are incomplete. 3.1 Project Details require review to align with Project Information Standard. 5.6 PM Uniclass Table Version for file metadata should be specified in BEP. 6.6 Clash management and resolution progress should detail clash detection identification process; issue management process,_x000d__x000a_clash resolution workshops. 6.8 Native model files for each discipline should be identified in BEP to confirm software compatibility. 8.6 PM Uniclass Table Version for file metadata should be specified in BEP to align with Project Information Standard. 9.5 Level elevations should be confirmed in the BEP."/>
        <s v="Report footer block contains wrong document number."/>
        <s v="Model contains no classifications, COBie settings or checking rules to evidence checks."/>
        <s v="See comments on drawings. Significant strategy requirements from fire engineer have not been addressed in layouts. Layouts to be updated as a matter of priority."/>
        <s v="See comments on document."/>
        <s v="Please provide detail re Canopies finishes, if they are required for PV's; More detail needed on Sprinkler tank: '4.5m high close board timber cladding attached to galvanised steel frame with matching manually lockable gates. Concrete base.'; More detail needed on Bin Store: 1.8m high close board timber cladding attached to galvanised steel frame with matching manually lockable gates. Concrete base'; Please show Bin Store gate detail ; Please show detail of proposed Door Guard"/>
        <s v="Confirm retention of existing fences is acceptable for Trust."/>
        <s v="See comments on drawing"/>
        <s v="Please show an overall legend plan and a box call out to indicate this part drawings relative location. Comment Applies to all 5 part drawings; Confirm heights of all existing Fencing and denote on drawing. Comment Applies to all 5 part drawings; How does 2m high security fencing satisfy ER's? Annex 2C 8.1.2 Secure Line fencing shall be designed to meet the security requirements in the SSB. Secure line fencing shall: a) be a minimum of 2.4m in height in Mainstream Schools and Special Schools unless specified otherwise in the SSB [Ss_25_14]"/>
        <s v="See comments on drawing. Please indicate Entrances for Staff / Pupils / Public / Community; Can Sports Hall be used by Community Use as a standalone facility after hours? If so, how does access strategy help this? Is gate to North East to be used or do users have to use the Main Building Entrance? ; Is a continuous clear access width to rear of school achievable from within school grounds? eg gate to north east of school provides the primary point of entry to the back of the school (secondary double gate access from Weasenham lane), yet is by means of a single gate - however gates within this secure area are double. How does this narrowing satisfy access / egress requirements for fire / maintenance etc? Can a MEWP get through the outer single secure gate?"/>
        <s v="Subject to updates to base drawing following action of comments on overall site plan."/>
        <s v="See comments on drawing. _x000a_How do proposals satisfy the BNG requirements contained in the ER's and/or those of the statutory guidance required from Nov 2023?_x000a_No Green Roof contribution included in UGF calculations. Extensive green roof entry needs including. No evidence of how proposed approach meets BNG requirements in comparison with baseline (i.e. what UGF baseline is). Where are any  solar PV canopies (if required) going to be accommodated?"/>
        <s v="Confirm how stated proposals of 24073 sq m satisfy BB103 minimum requirement of 35000 sq m?"/>
        <s v="&quot;Are the hazards mentioned specific to this site? _x000a_Eg 2.2 Risk: Pedestrians at risk from moving vehicles, Mitigation:  Pedestrian routes set back from carriageways - as mentioned previously, wouldn't another mitigation be to provide pedestrian crossings from all car spaces? _x000a_Eg 2.3 Pupils (injury), Contact with Dogs (aggressive) - is contact with dogs a specific risk on this site? &quot;"/>
        <s v="See comments on existing trees, car spaces, fencing and proposed bin store"/>
        <s v="TA Civil engineer to review levels for suitability for drainage"/>
        <s v="To be updated following overall landscape revisions"/>
        <s v="To be updated with overall landscape revisions"/>
        <s v="To be updated along with overall landscape revisions"/>
        <s v="Some surfacing missing at Library entrance. "/>
        <s v="Some surfacing missing at Library entrance. Some planting is visible in the Nwc model but not in the Ifc model. 348 elements have USERDEFINED or NOTDEFINED predefined type and 20 elements with empty field. Model should only contain 1 site instance."/>
        <s v="Model reference on flysheet not aligned to file name. Status code missing and splash screen sheet is missing. Unnecessary views not removed from model. Some surfacing missing at Library entrance. Some planting is visible in the Nwc model but not in the Ifc model. "/>
        <s v="See comments on drawing."/>
        <s v="See comments on drawing. &quot;Many observations on Kitchen layout:_x000a_•Can a walk in freezer be accessed from a cold store under Healthy &amp; Safety legislation? _x000a_•How does door to walk in freezer open if racking is in the way&gt;?_x000a_•How does the user gain access to the rear of racking in Dry Store?_x000a_•Are there some power sockets on top of the central prep area?_x000a_•Is there an additional fridge under a worktop?_x000a_•Is there sufficient work surface for preparation? _x000a_•Do distances between eqipment satisfy requirement for safe working? _x000a_•Toilet and changing area not resolved - all shown in one space, but toilet and lockers need to be separate._x000a_•Are there any chemicals being used? Is there an external chemical store? Do these satisfy COSSH requirements? ; Can further dining seating be provided, if required? _x000a_&quot;"/>
        <s v="Model reference on starting sheet not aligned to file name. Only typical rooms appear to be modelled with many spaces on upper levels empty. Space objects to be modelled to align with room extents (Ie space should be contained between surrounding walls, floor and ceiling). Esp. Space height must be paid attention to. Space objects should not be clashing with each other.  Object assignment to correct levels requires review (in Level 01 there are objects that should be assigned to Level 02), naming of levels should align to Project Information Standard."/>
        <s v="Only typical rooms appear to be modelled with many spaces on upper levels empty. Space objects to be modelled to align with room extents (Ie space should be contained between surrounding walls, floor and ceiling). Esp. Space height must be paid attention to. Space objects should not be clashing with each other. None of the modelled elements have IFC predefined types assigned (2485 elements). Object assignment to correct levels requires review (in Level 01 there are objects that should be assigned to Level 02), naming of levels should align to Project Information Standard."/>
        <s v="nly typical rooms appear to be modelled with many spaces on upper levels empty. Space objects to be modelled to align with room extents (Ie space should be contained between surrounding walls, floor and ceiling). Esp. Space height must be paid attention to. Space objects should not be clashing with each other. Object assignment to correct levels requires review (in Level 01 there are objects that should be assigned to Level 02), naming of levels should align to Project Information Standard."/>
        <s v="The whole model is duplicated within FS1018-PIN-ZZ-ZZ-M-O-0002 FFE IFC MODEL. This either requires omitting this model and mapping the DEIR deliverables of both to this file. Or splitting the model into two - one with catering and one with FFE"/>
        <s v="Please can the drawing be updated to show the man writing in his left hand as this would be more exciting" u="1"/>
        <s v="1. this drawing shows the phase 1 construction area but uses the phase 3 car park layout (final configuration). HB need to show 2 construction phases and the different car park layouts as presented in the logistics CEM." u="1"/>
        <s v="The cow is brown and suspicious-looking" u="1"/>
        <s v="Black and white is very pretentious, please add colour." u="1"/>
        <s v="1. as this is summer works are the notes regarding pedestrian access to be maintained necessary? _x000d__x000a_2. re the note about a decision needs to eb made regadring use if link road - Can the link road be released for use from Sept 2026 to improve the bus and pedestrian and vehicle access? _x000d__x000a_3. what arrangements will be made for Teaching staff parking during this phase of works as the new building will be open. This was raised at CEM meeting" u="1"/>
        <s v="Really cute cat, looks peaceful and content with life" u="1"/>
        <s v="1. more detailed proposals will be needed for phasing of access into staff car park as drawing indicates that this may be blocked. _x000d__x000a_2. Staff car parking will be needed in the interim period following portacabin decant and reinstatement of portakabin area to provide parking" u="1"/>
        <s v="Most shifty-eyed looking monkey I've ever seen. Hate it, frightening." u="1"/>
        <s v="I do like carrots however can we have them washed? I'm not going to eat those muddy carrots" u="1"/>
        <s v="Yes they are clean now but now there's too many of them. What am I, a rabbit?" u="1"/>
        <s v="Actuallly, you are wrong. It is better value for money to get this many." u="1"/>
        <s v="Nope, the number of carrots must be halved otherwise I will turn orange. Source: https://en.wikipedia.org/wiki/Carotenosis" u="1"/>
      </sharedItems>
    </cacheField>
    <cacheField name="Latest revision?" numFmtId="0">
      <sharedItems/>
    </cacheField>
    <cacheField name="(Helper) Num + Title" numFmtId="0">
      <sharedItems count="857">
        <s v="FS1018-ADT-ZZ-00-D-J-0001          Acoustic criteria - ground floor"/>
        <s v="FS1018-ADT-ZZ-00-D-J-0001          BB93 Acoustic Criteria Ground Floor"/>
        <s v="FS1018-ADT-ZZ-00-D-J-0004          Acoustic  wall types - ground floor"/>
        <s v="FS1018-ADT-ZZ-00-D-J-0004          Acoustic Wall Types Ground Floor"/>
        <s v="FS1018-ADT-ZZ-01-D-J-0002          Acoustic criteria - first floor"/>
        <s v="FS1018-ADT-ZZ-01-D-J-0002          BB93 Acoustic Criteria First Floor"/>
        <s v="FS1018-ADT-ZZ-01-D-J-0005          Acoustic wall types - first floor"/>
        <s v="FS1018-ADT-ZZ-01-D-J-0005          Acoustic Wall Types First Floor"/>
        <s v="FS1018-ADT-ZZ-02-D-J-0003          Acoustic criteria - second floor"/>
        <s v="FS1018-ADT-ZZ-02-D-J-0003          BB93 Acoustic Criteria Second Floor"/>
        <s v="FS1018-ADT-ZZ-02-D-J-0006          Acoustic wall types - second floor"/>
        <s v="FS1018-ADT-ZZ-02-D-J-0006          Acoustic Wall Types Second Floor"/>
        <s v="FS1018-ADT-ZZ-ZZ-T-J-0001          Stage 3 acoustic strategy"/>
        <s v="FS1018-ADT-ZZ-ZZ-T-J-0001          Acoustic Strategy"/>
        <s v="FS1018-ADT-ZZ-ZZ-T-Y-0002          Environmental Noise Impact Assessment"/>
        <s v="FS1018-AGL-XX-XX-L-X-0007          Risk Register"/>
        <s v="FS1018-AGL-ZZ-00-D-E-6101          Level 00 Distribution Strategy"/>
        <s v="FS1018-AGL-ZZ-00-D-E-6110          Level 00 Containment Sheet 1"/>
        <s v="FS1018-AGL-ZZ-00-D-E-6111          Level 00 Containment Sheet 2"/>
        <s v="FS1018-AGL-ZZ-00-D-E-6112          Level 00 Containment Sheet 3"/>
        <s v="FS1018-AGL-ZZ-00-D-E-6114          Building Electrical Switchroom Details"/>
        <s v="FS1018-AGL-ZZ-00-D-E-6210          Level 00 Small Power And Data Sheet 1"/>
        <s v="FS1018-AGL-ZZ-00-D-E-6211          Level 00 Small Power And Data Sheet 2"/>
        <s v="FS1018-AGL-ZZ-00-D-E-6212          Level 00 Small Power And Data Sheet 3"/>
        <s v="FS1018-AGL-ZZ-00-D-E-6213          Level 00 MSER Sheet 1"/>
        <s v="FS1018-AGL-ZZ-00-D-E-6214          Level 00 MSER Sheet 2"/>
        <s v="FS1018-AGL-ZZ-00-D-E-6215          Level 00 MSER Sheet 3"/>
        <s v="FS1018-AGL-ZZ-00-D-E-6301          Level 00 Lighting Lux Levels Strategy"/>
        <s v="FS1018-AGL-ZZ-00-D-E-6302          Level 00 Lighting Controls Strategy"/>
        <s v="FS1018-AGL-ZZ-00-D-E-6310          Level 00 Lighting Sheet 1"/>
        <s v="FS1018-AGL-ZZ-00-D-E-6311          Level 00 Lighting Sheet 2"/>
        <s v="FS1018-AGL-ZZ-00-D-E-6312          Level 00 Lighting Sheet 3"/>
        <s v="FS1018-AGL-ZZ-00-D-E-6801          Level 00 Fire Alarm Strategy"/>
        <s v="FS1018-AGL-ZZ-00-D-E-6802          Level 00 CCTV and Access Control Strategy"/>
        <s v="FS1018-AGL-ZZ-00-D-E-6803          Level 00 PA Strategy"/>
        <s v="FS1018-AGL-ZZ-00-D-E-6810          Level 00 Fire Alarm Sheet 1"/>
        <s v="FS1018-AGL-ZZ-00-D-E-6811          Level 00 Fire Alarm Sheet 2"/>
        <s v="FS1018-AGL-ZZ-00-D-E-6812          Level 00 Fire Alarm Sheet 3"/>
        <s v="FS1018-AGL-ZZ-00-D-E-6820          Level 00 Fire Alarm Zoning Sheet 1"/>
        <s v="FS1018-AGL-ZZ-00-D-E-6821          Level 00 Fire Alarm Zoning Sheet 2"/>
        <s v="FS1018-AGL-ZZ-00-D-E-6822          Level 00 Fire Alarm Zoning Sheet 3"/>
        <s v="FS1018-AGL-ZZ-00-D-E-6840          Level 00 Security Sheet 1"/>
        <s v="FS1018-AGL-ZZ-00-D-E-6841          Level 00 Security Sheet 2"/>
        <s v="FS1018-AGL-ZZ-00-D-E-6842          Level 00 Security Sheet 3"/>
        <s v="FS1018-AGL-ZZ-00-D-E-9001          Photovoltaic Canopies"/>
        <s v="FS1018-AGL-ZZ-00-D-M-5201          Level 00 Above Ground Drainage Strategy"/>
        <s v="FS1018-AGL-ZZ-00-D-M-5210          Level 00 Above Ground Drainage Sheet 1"/>
        <s v="FS1018-AGL-ZZ-00-D-M-5211          Level 00 Above Ground Drainage Sheet 2"/>
        <s v="FS1018-AGL-ZZ-00-D-M-5212          Level 00 Above Ground Drainage Sheet 3"/>
        <s v="FS1018-AGL-ZZ-00-D-M-5301          Level 00 Domestic Water Services Strategy"/>
        <s v="FS1018-AGL-ZZ-00-D-M-5310          Level 00 Domestic Water Services Sheet 1"/>
        <s v="FS1018-AGL-ZZ-00-D-M-5311          Level 00 Domestic Water Services Sheet 2"/>
        <s v="FS1018-AGL-ZZ-00-D-M-5312          Level 00 Domestic Water Services Sheet 3"/>
        <s v="FS1018-AGL-ZZ-00-D-M-5401          Level 00 Gas Strategy"/>
        <s v="FS1018-AGL-ZZ-00-D-M-5410          Level 00 Gas"/>
        <s v="FS1018-AGL-ZZ-00-D-M-5601          Level 00 Heating and Cooling Strategy"/>
        <s v="FS1018-AGL-ZZ-00-D-M-5610          Level 00 Heating and Cooling Sheet 1"/>
        <s v="FS1018-AGL-ZZ-00-D-M-5611          Level 00 Heating and Cooling Sheet 2"/>
        <s v="FS1018-AGL-ZZ-00-D-M-5612          Level 00 Heating and Cooling Sheet 3"/>
        <s v="FS1018-AGL-ZZ-00-D-M-5701          Level 00 Ventilation Strategy"/>
        <s v="FS1018-AGL-ZZ-00-D-M-5710          Level 00 Ventilation Sheet 1"/>
        <s v="FS1018-AGL-ZZ-00-D-M-5711          Level 00 Ventilation Sheet 2"/>
        <s v="FS1018-AGL-ZZ-00-D-M-5712          Level 00 Ventilation Sheet 3"/>
        <s v="FS1018-AGL-ZZ-00-D-M-5810          Level 00 Plantroom Sheet 1"/>
        <s v="FS1018-AGL-ZZ-00-D-M-5811          Level 00 Plantroom Sheet 2"/>
        <s v="FS1018-AGL-ZZ-00-D-Z-6010          Level 00 Builderswork Sheet 1"/>
        <s v="FS1018-AGL-ZZ-00-D-Z-6011          Level 00 Builderswork Sheet 2"/>
        <s v="FS1018-AGL-ZZ-00-D-Z-6012          Level 00 Builderswork Sheet 3"/>
        <s v="FS1018-AGL-ZZ-00-D-Z-9501          Level 00 Plant Access and Maintenance Strategy"/>
        <s v="FS1018-AGL-ZZ-00-D-Z-9610          Level 00 Reflected Ceiling Plan Sheet 1"/>
        <s v="FS1018-AGL-ZZ-00-D-Z-9611          Level 00 Reflected Ceiling Plan Sheet 2"/>
        <s v="FS1018-AGL-ZZ-00-D-Z-9612          Level 00 Reflected Ceiling Plan Sheet 3"/>
        <s v="FS1018-AGL-ZZ-01-D-E-6101          Level 01 Distribution Strategy"/>
        <s v="FS1018-AGL-ZZ-01-D-E-6110          Level 01 Containment Sheet 1"/>
        <s v="FS1018-AGL-ZZ-01-D-E-6111          Level 01 Containment Sheet 2"/>
        <s v="FS1018-AGL-ZZ-01-D-E-6210          Level 01 Small Power And Data Sheet 1"/>
        <s v="FS1018-AGL-ZZ-01-D-E-6211          Level 01 Small Power And Data Sheet 2"/>
        <s v="FS1018-AGL-ZZ-01-D-E-6212          Level 01 MSER Sheet 1"/>
        <s v="FS1018-AGL-ZZ-01-D-E-6213          Level 01 MSER Sheet 2"/>
        <s v="FS1018-AGL-ZZ-01-D-E-6301          Level 01 Lighting Lux Levels Strategy"/>
        <s v="FS1018-AGL-ZZ-01-D-E-6302          Level 01 Lighting Controls Strategy"/>
        <s v="FS1018-AGL-ZZ-01-D-E-6310          Level 01 Lighting Sheet 1"/>
        <s v="FS1018-AGL-ZZ-01-D-E-6311          Level 01 Lighting Sheet 2"/>
        <s v="FS1018-AGL-ZZ-01-D-E-6801          Level 01 Fire Alarm Strategy"/>
        <s v="FS1018-AGL-ZZ-01-D-E-6802          Level 01 CCTV and Access Control Strategy"/>
        <s v="FS1018-AGL-ZZ-01-D-E-6803          Level 01 PA Strategy"/>
        <s v="FS1018-AGL-ZZ-01-D-E-6810          Level 01 Fire Alarm Sheet 1"/>
        <s v="FS1018-AGL-ZZ-01-D-E-6811          Level 01 Fire Alarm Sheet 2"/>
        <s v="FS1018-AGL-ZZ-01-D-E-6820          Level 01 Fire Alarm Zoning Sheet 1"/>
        <s v="FS1018-AGL-ZZ-01-D-E-6821          Level 01 Fire Alarm Zoning Sheet 2"/>
        <s v="FS1018-AGL-ZZ-01-D-E-6840          Level 01 Security Sheet 1"/>
        <s v="FS1018-AGL-ZZ-01-D-E-6841          Level 01 Security Sheet 2"/>
        <s v="FS1018-AGL-ZZ-01-D-M-5201          Level 01 Above Ground Drainage Strategy"/>
        <s v="FS1018-AGL-ZZ-01-D-M-5210          Level 01 Above Ground Drainage Sheet 1"/>
        <s v="FS1018-AGL-ZZ-01-D-M-5211          Level 01 Above Ground Drainage Sheet 2"/>
        <s v="FS1018-AGL-ZZ-01-D-M-5301          Level 01 Domestic Water Services Strategy"/>
        <s v="FS1018-AGL-ZZ-01-D-M-5310          Level 01 Domestic Water Services Sheet 1"/>
        <s v="FS1018-AGL-ZZ-01-D-M-5311          Level 01 Domestic Water Services Sheet 2"/>
        <s v="FS1018-AGL-ZZ-01-D-M-5401          Level 01 Gas Strategy"/>
        <s v="FS1018-AGL-ZZ-01-D-M-5410          Level 01 Gas"/>
        <s v="FS1018-AGL-ZZ-01-D-M-5601          Level 01 Heating and Cooling Strategy"/>
        <s v="FS1018-AGL-ZZ-01-D-M-5610          Level 01 Heating and Cooling Sheet 1"/>
        <s v="FS1018-AGL-ZZ-01-D-M-5611          Level 01 Heating and Cooling Sheet 2"/>
        <s v="FS1018-AGL-ZZ-01-D-M-5701          Level 01 Ventilation Strategy"/>
        <s v="FS1018-AGL-ZZ-01-D-M-5710          Level 01 Ventilation Sheet 1"/>
        <s v="FS1018-AGL-ZZ-01-D-M-5711          Level 01 Ventilation Sheet 2"/>
        <s v="FS1018-AGL-ZZ-01-D-Z-6010          Level 01 Builderswork Sheet 1"/>
        <s v="FS1018-AGL-ZZ-01-D-Z-6011          Level 01 Builderswork Sheet 2"/>
        <s v="FS1018-AGL-ZZ-01-D-Z-9501          Level 01 Plant Access and Maintenance Strategy"/>
        <s v="FS1018-AGL-ZZ-01-D-Z-9610          Level 01 Reflected Ceiling Plan Sheet 1"/>
        <s v="FS1018-AGL-ZZ-01-D-Z-9611          Level 01 Reflected Ceiling Plan Sheet 2"/>
        <s v="FS1018-AGL-ZZ-02-D-E-6101          Level 02 Distribution Strategy"/>
        <s v="FS1018-AGL-ZZ-02-D-E-6110          Level 02 Containment Sheet 1"/>
        <s v="FS1018-AGL-ZZ-02-D-E-6111          Level 02 Containment Sheet 2"/>
        <s v="FS1018-AGL-ZZ-02-D-E-6210          Level 02 Small Power And Data Sheet 1"/>
        <s v="FS1018-AGL-ZZ-02-D-E-6211          Level 02 Small Power And Data Sheet 2"/>
        <s v="FS1018-AGL-ZZ-02-D-E-6212          Level 02 MSER Sheet 1"/>
        <s v="FS1018-AGL-ZZ-02-D-E-6213          Level 02 MSER Sheet 2"/>
        <s v="FS1018-AGL-ZZ-02-D-E-6301          Level 02 Lighting Lux Levels Strategy"/>
        <s v="FS1018-AGL-ZZ-02-D-E-6302          Level 02 Lighting Controls Strategy"/>
        <s v="FS1018-AGL-ZZ-02-D-E-6310          Level 02 Lighting Sheet 1"/>
        <s v="FS1018-AGL-ZZ-02-D-E-6311          Level 02 Lighting Sheet 2"/>
        <s v="FS1018-AGL-ZZ-02-D-E-6801          Level 02 Fire Alarm Strategy"/>
        <s v="FS1018-AGL-ZZ-02-D-E-6802          Level 02 CCTV and Access Control Strategy"/>
        <s v="FS1018-AGL-ZZ-02-D-E-6803          Level 02 PA Strategy"/>
        <s v="FS1018-AGL-ZZ-02-D-E-6810          Level 02 Fire Alarm Sheet 1"/>
        <s v="FS1018-AGL-ZZ-02-D-E-6811          Level 02 Fire Alarm Sheet 2"/>
        <s v="FS1018-AGL-ZZ-02-D-E-6820          Level 02 Fire Alarm Zoning Sheet 1"/>
        <s v="FS1018-AGL-ZZ-02-D-E-6821          Level 02 Fire Alarm Zoning Sheet 2"/>
        <s v="FS1018-AGL-ZZ-02-D-E-6840          Level 02 Security Sheet 1"/>
        <s v="FS1018-AGL-ZZ-02-D-E-6841          Level 02 Security Sheet 2"/>
        <s v="FS1018-AGL-ZZ-02-D-M-5201          Level 02 Above Ground Drainage Strategy"/>
        <s v="FS1018-AGL-ZZ-02-D-M-5210          Level 02 Above Ground Drainage Sheet 1"/>
        <s v="FS1018-AGL-ZZ-02-D-M-5211          Level 02 Above Ground Drainage Sheet 2"/>
        <s v="FS1018-AGL-ZZ-02-D-M-5301          Level 02 Domestic Water Services Strategy"/>
        <s v="FS1018-AGL-ZZ-02-D-M-5310          Level 02 Domestic Water Services Sheet 1"/>
        <s v="FS1018-AGL-ZZ-02-D-M-5311          Level 02 Domestic Water Services Sheet 2"/>
        <s v="FS1018-AGL-ZZ-02-D-M-5401          Level 02 Gas Strategy"/>
        <s v="FS1018-AGL-ZZ-02-D-M-5410          Level 02 Gas"/>
        <s v="FS1018-AGL-ZZ-02-D-M-5601          Level 02 Heating and Cooling Strategy"/>
        <s v="FS1018-AGL-ZZ-02-D-M-5610          Level 02 Heating and Cooling Sheet 1"/>
        <s v="FS1018-AGL-ZZ-02-D-M-5611          Level 02 Heating and Cooling Sheet 2"/>
        <s v="FS1018-AGL-ZZ-02-D-M-5701          Level 02 Ventilation Strategy"/>
        <s v="FS1018-AGL-ZZ-02-D-M-5710          Level 02 Ventilation Sheet 1"/>
        <s v="FS1018-AGL-ZZ-02-D-M-5711          Level 02 Ventilation Sheet 2"/>
        <s v="FS1018-AGL-ZZ-02-D-Z-6010          Level 02 Builderswork Sheet 1"/>
        <s v="FS1018-AGL-ZZ-02-D-Z-6011          Level 02 Builderswork Sheet 2"/>
        <s v="FS1018-AGL-ZZ-02-D-Z-9501          Level 02 Plant Access and Maintenance Strategy"/>
        <s v="FS1018-AGL-ZZ-02-D-Z-9610          Level 02 Reflected Ceiling Plan Sheet 1"/>
        <s v="FS1018-AGL-ZZ-02-D-Z-9611          Level 02 Reflected Ceiling Plan Sheet 2"/>
        <s v="FS1018-AGL-ZZ-RF-D-E-6213          Roof Level MSER"/>
        <s v="FS1018-AGL-ZZ-RF-D-E-6810          Roof Level Fire Alarm Sheet 1"/>
        <s v="FS1018-AGL-ZZ-RF-D-E-6811          Roof Level Fire Alarm Sheet 2"/>
        <s v="FS1018-AGL-ZZ-RF-D-E-6840          Roof Level Security Sheet 1"/>
        <s v="FS1018-AGL-ZZ-RF-D-E-6841          Roof Level Security Sheet 2"/>
        <s v="FS1018-AGL-ZZ-RF-D-E-6842          Roof Level Security Sheet 3"/>
        <s v="FS1018-AGL-ZZ-RF-D-E-9001          Photovoltaic"/>
        <s v="FS1018-AGL-ZZ-RF-D-M-5210          Roof Level Above Ground Drainage Sheet 1"/>
        <s v="FS1018-AGL-ZZ-RF-D-M-5211          Roof Level Above Ground Drainage Sheet 2"/>
        <s v="FS1018-AGL-ZZ-RF-D-M-5212          Roof Level Above Ground Drainage Sheet 3"/>
        <s v="FS1018-AGL-ZZ-RF-D-M-5301          Roof Level Domestic Water Services Strategy"/>
        <s v="FS1018-AGL-ZZ-RF-D-M-5310          Roof Level Domestic Water Services Sheet 1"/>
        <s v="FS1018-AGL-ZZ-RF-D-M-5311          Roof Level Domestic Water Services Sheet 2"/>
        <s v="FS1018-AGL-ZZ-RF-D-M-5312          Roof Level Domestic Water Services Sheet 3"/>
        <s v="FS1018-AGL-ZZ-RF-D-M-5710          Roof Level Ventilation Sheet 1"/>
        <s v="FS1018-AGL-ZZ-RF-D-M-5711          Roof Level Ventilation Sheet 2"/>
        <s v="FS1018-AGL-ZZ-RF-D-M-5712          Roof Level Ventilation Sheet 3"/>
        <s v="FS1018-AGL-ZZ-RF-D-M-5801          Roof Level Plantroom Strategy"/>
        <s v="FS1018-AGL-ZZ-RF-D-Z-5810          Roof Level Plantroom Sheet 1"/>
        <s v="FS1018-AGL-ZZ-RF-D-Z-5811          Roof Level Plantroom Sheet 2"/>
        <s v="FS1018-AGL-ZZ-RF-D-Z-5812          Roof Level Plantroom Sheet 3"/>
        <s v="FS1018-AGL-ZZ-RF-D-Z-6010          Roof Level Builderswork Sheet 1"/>
        <s v="FS1018-AGL-ZZ-RF-D-Z-6011          Roof Level Builderswork Sheet 2"/>
        <s v="FS1018-AGL-ZZ-RF-D-Z-6012          Roof Level Builderswork Sheet 3"/>
        <s v="FS1018-AGL-ZZ-RF-D-Z-6101          Roof Level Mechanical and Electrical Strategy"/>
        <s v="FS1018-AGL-ZZ-XX-D-E-6802          External Access Control Strategy"/>
        <s v="FS1018-AGL-ZZ-XX-D-E-9001          External Lighting"/>
        <s v="FS1018-AGL-ZZ-XX-D-E-9002          External Lighting Lux Levels"/>
        <s v="FS1018-AGL-ZZ-XX-D-E-9511          DNO Services Drawing and Proposal"/>
        <s v="FS1018-AGL-ZZ-XX-D-Z-5810          External Compound"/>
        <s v="FS1018-AGL-ZZ-XX-D-Z-9510          External Services"/>
        <s v="FS1018-AGL-ZZ-XX-L-E-0001          Proposed Manufacturers Electrical Schedule"/>
        <s v="FS1018-AGL-ZZ-XX-L-E-0002          Cable Calculation &amp; Schedule Report"/>
        <s v="FS1018-AGL-ZZ-XX-L-E-0003          Containment Calculations"/>
        <s v="FS1018-AGL-ZZ-XX-L-E-0004          Lighting Calculations"/>
        <s v="FS1018-AGL-ZZ-XX-L-E-0005          Exit Signage Calculation"/>
        <s v="FS1018-AGL-ZZ-XX-L-E-9602          Luminaire Schedule"/>
        <s v="FS1018-AGL-ZZ-XX-L-M-0001          Proposed Manufacturers Mechanical Schedule"/>
        <s v="FS1018-AGL-ZZ-XX-L-M-0002          Peak Water Demand BS EN 806"/>
        <s v="FS1018-AGL-ZZ-XX-L-M-0003          Domestic Water Services Calculations"/>
        <s v="FS1018-AGL-ZZ-XX-L-M-0004          Ventilation Calculations"/>
        <s v="FS1018-AGL-ZZ-XX-L-M-0005          Gas Calculations"/>
        <s v="FS1018-AGL-ZZ-XX-L-M-0006          Above Ground Drainage Calculations"/>
        <s v="FS1018-AGL-ZZ-XX-L-M-0007          Heating Calculations"/>
        <s v="FS1018-AGL-ZZ-XX-L-M-0008          Heat Source Calculations"/>
        <s v="FS1018-AGL-ZZ-XX-L-M-9604          Heat Pump Schedule"/>
        <s v="FS1018-AGL-ZZ-XX-L-M-9605          Buffer Vessel Schedule"/>
        <s v="FS1018-AGL-ZZ-XX-L-M-9607          Plate Heat Exchanger Schedule"/>
        <s v="FS1018-AGL-ZZ-XX-L-M-9608          Water Heater Schedule"/>
        <s v="FS1018-AGL-ZZ-XX-L-M-9609          Air &amp; Dirt Separator Schedule"/>
        <s v="FS1018-AGL-ZZ-XX-L-M-9610          Dosing Pot Schedule"/>
        <s v="FS1018-AGL-ZZ-XX-L-M-9613          Water Filter Schedule"/>
        <s v="FS1018-AGL-ZZ-XX-L-M-9614          Water Softener Schedule"/>
        <s v="FS1018-AGL-ZZ-XX-L-M-9617          Leak Detection Schedule"/>
        <s v="FS1018-AGL-ZZ-XX-L-M-9619          Gas Meter Schedule"/>
        <s v="FS1018-AGL-ZZ-XX-L-M-9620          Water Meter Schedule"/>
        <s v="FS1018-AGL-ZZ-XX-L-M-9621          Heat Meter Schedule"/>
        <s v="FS1018-AGL-ZZ-XX-L-M-9623          Gas Solenoid Valve Schedule"/>
        <s v="FS1018-AGL-ZZ-XX-L-M-9624          Gas Detection &amp; Proving Panel Schedule"/>
        <s v="FS1018-AGL-ZZ-XX-L-M-9625          Pressurisation Unit Schedule"/>
        <s v="FS1018-AGL-ZZ-XX-L-M-9627          Storage Tank Schedule"/>
        <s v="FS1018-AGL-ZZ-XX-L-M-9628          Booster Set Schedule"/>
        <s v="FS1018-AGL-ZZ-XX-L-M-9630          Pump Schedule"/>
        <s v="FS1018-AGL-ZZ-XX-L-M-9634          Local Water Heater Schedule"/>
        <s v="FS1018-AGL-ZZ-XX-L-M-9637          Radiator Schedule"/>
        <s v="FS1018-AGL-ZZ-XX-L-M-9641          Underfloor Heating Schedule"/>
        <s v="FS1018-AGL-ZZ-XX-L-M-9642          Underfloor Heating Manifold Schedule"/>
        <s v="FS1018-AGL-ZZ-XX-L-M-9644          Overdoor Heater Schedule"/>
        <s v="FS1018-AGL-ZZ-XX-L-M-9647          Electric Heater Schedule"/>
        <s v="FS1018-AGL-ZZ-XX-L-M-9649          Fan Convector Schedule"/>
        <s v="FS1018-AGL-ZZ-XX-L-M-9652          Air Handling Unit Schedule"/>
        <s v="FS1018-AGL-ZZ-XX-L-M-9653          Heat Recovery Unit Schedule"/>
        <s v="FS1018-AGL-ZZ-XX-L-M-9654          Hybrid Ventilation Unit Schedule"/>
        <s v="FS1018-AGL-ZZ-XX-L-M-9655          Fan Schedule"/>
        <s v="FS1018-AGL-ZZ-XX-L-M-9658          Louvre Schedule"/>
        <s v="FS1018-AGL-ZZ-XX-L-M-9659          Supply Diffuser Schedule"/>
        <s v="FS1018-AGL-ZZ-XX-L-M-9660          Extract Grille Schedule"/>
        <s v="FS1018-AGL-ZZ-XX-L-M-9661          Attenuator Schedule"/>
        <s v="FS1018-AGL-ZZ-XX-L-M-9662          Transfer Grille Schedule"/>
        <s v="FS1018-AGL-ZZ-XX-L-M-9671          Heating Coil Schedule (LTHW)"/>
        <s v="FS1018-AGL-ZZ-XX-L-M-9675          Smoke-activated Fire Damper Schedule"/>
        <s v="FS1018-AGL-ZZ-XX-L-M-9678          Passive Stack Ventilator Schedule"/>
        <s v="FS1018-AGL-ZZ-XX-L-M-9681          DX Indoor Unit Schedule"/>
        <s v="FS1018-AGL-ZZ-XX-L-M-9682          DX Outdoor Unit Schedule"/>
        <s v="FS1018-AGL-ZZ-XX-L-Z-0001          Designers MEP Risk Assessment"/>
        <s v="FS1018-AGL-ZZ-XX-L-Z-0002          Derogation Schedule"/>
        <s v="FS1018-AGL-ZZ-XX-L-Z-0003          M and E Design Development Report"/>
        <s v="FS1018-AGL-ZZ-XX-L-Z-0004          Heat Loss Calculations"/>
        <s v="FS1018-AGL-ZZ-XX-T-E-0001          Electrical Specification"/>
        <s v="FS1018-AGL-ZZ-XX-T-E-0003          Electrical Maximum Demand"/>
        <s v="FS1018-AGL-ZZ-XX-T-M-0001          Mechanical Specification"/>
        <s v="FS1018-AGL-ZZ-XX-T-Z-0001          Gateway M and E Proposal Report"/>
        <s v="FS1018-AGL-ZZ-XX-T-Z-0002          M and E Plant Access Maintenance and Replacement Strategy"/>
        <s v="FS1018-AGL-ZZ-XX-T-Z-0002          Plant Access Maintenance And Replacement Strategy"/>
        <s v="FS1018-AGL-ZZ-XX-T-Z-0003          Thermal Modelling and Compliance Report"/>
        <s v="FS1018-AGL-ZZ-XX-T-Z-0006          NBS Project Description"/>
        <s v="FS1018-AGL-ZZ-XX-T-Z-0007          Thermal Modelling, Compliance &amp; Sustainability Report"/>
        <s v="FS1018-AGL-ZZ-ZZ-D-E-7205          Typical Teachers Wall Detail"/>
        <s v="FS1018-AGL-ZZ-ZZ-D-E-9001          Lightning Protection"/>
        <s v="FS1018-AGL-ZZ-ZZ-D-Z-5002          Typical Riser and Corridor Details"/>
        <s v="FS1018-AGL-ZZ-ZZ-D-Z-5801          Level 00 Plantroom and Server Room Strategy"/>
        <s v="FS1018-AGL-ZZ-ZZ-D-Z-6115          Server and Hub Room"/>
        <s v="FS1018-AGL-ZZ-ZZ-D-Z-7201          Typical Classroom Strategy"/>
        <s v="FS1018-AGL-ZZ-ZZ-D-Z-7202          Typical Science Room Strategy"/>
        <s v="FS1018-AGL-ZZ-ZZ-D-Z-7203          Typical ICT Classroom Strategy"/>
        <s v="FS1018-AGL-ZZ-ZZ-D-Z-7204          Typical DT Classroom Strategy"/>
        <s v="FS1018-AGL-ZZ-ZZ-D-Z-9610          Typical D&amp;T Classroom"/>
        <s v="FS1018-AGL-ZZ-ZZ-D-Z-9611          Typical Food Room"/>
        <s v="FS1018-AGL-ZZ-ZZ-D-Z-9612          Typical ICT Classroom"/>
        <s v="FS1018-AGL-ZZ-ZZ-D-Z-9613          Typical Riser"/>
        <s v="FS1018-AGL-ZZ-ZZ-D-Z-9614          Typical Science Room"/>
        <s v="FS1018-AGL-ZZ-ZZ-G-E-6001          LV Schematic"/>
        <s v="FS1018-AGL-ZZ-ZZ-G-E-6010          LV Schematic Sheet 1"/>
        <s v="FS1018-AGL-ZZ-ZZ-G-E-6011          LV Schematic Sheet 2"/>
        <s v="FS1018-AGL-ZZ-ZZ-G-E-6801          Fire Alarm Strategy Schematic"/>
        <s v="FS1018-AGL-ZZ-ZZ-G-E-6811          Fire Alarm Schematic"/>
        <s v="FS1018-AGL-ZZ-ZZ-G-M-5001          Controls Strategy Schematic"/>
        <s v="FS1018-AGL-ZZ-ZZ-G-M-5010          Controls Schematic"/>
        <s v="FS1018-AGL-ZZ-ZZ-G-M-5210          Above Ground Drainage Schematic Sheet 1"/>
        <s v="FS1018-AGL-ZZ-ZZ-G-M-5211          Above Ground Drainage Schematic Sheet 2"/>
        <s v="FS1018-AGL-ZZ-ZZ-G-M-5310          Domestic Water Services Schematic"/>
        <s v="FS1018-AGL-ZZ-ZZ-G-M-5401          Gas Strategy Schematic"/>
        <s v="FS1018-AGL-ZZ-ZZ-G-M-5410          Gas Schematic"/>
        <s v="FS1018-AGL-ZZ-ZZ-G-M-5610          Heating &amp; Cooling Schematic Sheet 1"/>
        <s v="FS1018-AGL-ZZ-ZZ-G-M-5611          Heating &amp; Cooling Schematic Sheet 2"/>
        <s v="FS1018-AGL-ZZ-ZZ-G-M-5612          Heating &amp; Cooling Schematic Sheet 3"/>
        <s v="FS1018-AGL-ZZ-ZZ-G-M-5613          Heating &amp; Cooling Schematic Sheet 4"/>
        <s v="FS1018-AGL-ZZ-ZZ-G-M-5701          Ventilation Strategy Schematic"/>
        <s v="FS1018-AGL-ZZ-ZZ-G-M-5710          Ventilation Schematic Sheet 1"/>
        <s v="FS1018-AGL-ZZ-ZZ-G-M-5711          Ventilation Schematic Sheet 2"/>
        <s v="FS1018-AGL-ZZ-ZZ-G-M-5801          Heating and Domestic Water Plant Strategy Schematic"/>
        <s v="FS1018-AGL-ZZ-ZZ-G-M-5812          Plantroom Schematic"/>
        <s v="FS1018-AGL-ZZ-ZZ-G-M-9600          PV Proposal"/>
        <s v="FS1018-AGL-ZZ-ZZ-M-Z-0001          MEPModel Revit"/>
        <s v="FS1018-AGL-ZZ-ZZ-M-Z-0001          MEP Model Revit"/>
        <s v="FS1018-AGL-ZZ-ZZ-M-Z-0002          MEPModel IFC"/>
        <s v="FS1018-AGL-ZZ-ZZ-M-Z-0002          MEP Model IFC"/>
        <s v="FS1018-AGL-ZZ-ZZ-M-Z-0003          MEPModel NWC"/>
        <s v="FS1018-AGL-ZZ-ZZ-M-Z-0003          MEP Model NWC"/>
        <s v="FS1018-AMT-XX-XX-L-O-0001          Preliminary Ecological Appraisal"/>
        <s v="FS1018-AMT-XX-XX-L-O-0002          Tree Survey and Constraints Report"/>
        <s v="FS1018-CPM-01-XX-T-A-0005          Teaching Block Finishes"/>
        <s v="FS1018-CPM-01-XX-T-A-0010          Outline Specification"/>
        <s v="FS1018-CPM-01-ZZ-L-A-0000          Building Model COBie"/>
        <s v="FS1018-CPM-XX-XX-L-A-0001          Schedule Of Accommodation"/>
        <s v="FS1018-CPM-XX-XX-T-A-0005          Teaching Block Finishes"/>
        <s v="FS1018-CPM-XX-XX-T-A-0010          OutlineSpecification"/>
        <s v="FS1018-CPM-XX-XX-T-A-0010          Outline Specification"/>
        <s v="FS1018-CPM-XX-XX-T-A-0020          Design and Access Statement"/>
        <s v="FS1018-CPM-XX-XX-T-A-5001          Stage 3 Report"/>
        <s v="FS1018-CPM-XX-XX-T-A-5001          Stage 4 Report"/>
        <s v="FS1018-CPM-XX-XX-T-A-5002          Design Development Report"/>
        <s v="FS1018-CPM-XX-XX-T-A-5003          Pre-Construction Information"/>
        <s v="FS1018-CPM-XX-ZZ-L-A-0000          Building Model COBie"/>
        <s v="FS1018-CPM-XX-ZZ-L-A-0000          Building Model COBie Report"/>
        <s v="FS1018-CPM-ZZ-00-D-A-0001          Reflected Ceiling Plan L00"/>
        <s v="FS1018-CPM-ZZ-00-D-A-2001          GA Proposed Floor Plan L00"/>
        <s v="FS1018-CPM-ZZ-00-D-A-2001          GA Proposed L00 Floor Plan"/>
        <s v="FS1018-CPM-ZZ-00-D-A-2142          Ground Edge Details"/>
        <s v="FS1018-CPM-ZZ-00-D-A-2200          Wall And Partition Types L00"/>
        <s v="FS1018-CPM-ZZ-00-D-A-2900          Fire Strategy L00"/>
        <s v="FS1018-CPM-ZZ-00-D-A-3001          External Door Schedules Sheet 01"/>
        <s v="FS1018-CPM-ZZ-00-D-A-3050          Internal Doors Level 00 Sheet 01"/>
        <s v="FS1018-CPM-ZZ-00-D-A-3051          Internal Doors Level 00 Sheet 02"/>
        <s v="FS1018-CPM-ZZ-00-D-A-3052          Internal Doors Level 00 Sheet 03"/>
        <s v="FS1018-CPM-ZZ-00-D-A-3053          Internal Doors Level 00 Sheet 04"/>
        <s v="FS1018-CPM-ZZ-00-D-A-3054          Internal Doors Level 00 Sheet 05"/>
        <s v="FS1018-CPM-ZZ-00-D-A-3500          Reflected Ceiling L00"/>
        <s v="FS1018-CPM-ZZ-00-D-A-6807          Room Elevations Hygiene Room"/>
        <s v="FS1018-CPM-ZZ-00-D-A-6808          Room Elecations Pupil WC'S"/>
        <s v="FS1018-CPM-ZZ-00-D-A-6809          Room Elevations Pupils And Staff WC"/>
        <s v="FS1018-CPM-ZZ-00-D-A-6810          Room Elevations Accessible WC"/>
        <s v="FS1018-CPM-ZZ-00-D-A-6811          Room Elevations Changing Room"/>
        <s v="FS1018-CPM-ZZ-00-D-A-6812          Room Elevations Accessible Changing Room"/>
        <s v="FS1018-CPM-ZZ-01-D-A-0001          Reflected CeilingPlan L01"/>
        <s v="FS1018-CPM-ZZ-01-D-A-2002          GA Proposed Floor Plan L01"/>
        <s v="FS1018-CPM-ZZ-01-D-A-2002          GA Proposed L01 Floor Plan"/>
        <s v="FS1018-CPM-ZZ-01-D-A-2201          Wall And Partition Types L01"/>
        <s v="FS1018-CPM-ZZ-01-D-A-2250          Patressing Plan For Typical Classroom"/>
        <s v="FS1018-CPM-ZZ-01-D-A-2251          Patressing Plan For Art Room"/>
        <s v="FS1018-CPM-ZZ-01-D-A-2901          Fire Strategy L01"/>
        <s v="FS1018-CPM-ZZ-01-D-A-3501          Reflected Ceiling L01"/>
        <s v="FS1018-CPM-ZZ-01-D-A-6800          Room Elevations Classroom"/>
        <s v="FS1018-CPM-ZZ-02-D-A-0001          Reflected Ceiling Plan L02"/>
        <s v="FS1018-CPM-ZZ-02-D-A-2003          GA Proposed Floor Plan L02"/>
        <s v="FS1018-CPM-ZZ-02-D-A-2003          GA Proposed L02 Floor Plan"/>
        <s v="FS1018-CPM-ZZ-02-D-A-2202          Wall And Partition Types L02"/>
        <s v="FS1018-CPM-ZZ-02-D-A-2902          Fire Strategy L02"/>
        <s v="FS1018-CPM-ZZ-02-D-A-3502          Reflected Ceiling L02"/>
        <s v="FS1018-CPM-ZZ-RF-D-A-2023          GA Proposed Roof Plan"/>
        <s v="FS1018-CPM-ZZ-RF-D-A-2144          Roof Details Sheet 1"/>
        <s v="FS1018-CPM-ZZ-RF-D-A-2145          Roof Details Sheet 2"/>
        <s v="FS1018-CPM-ZZ-RF-D-A-2903          Fire Strategy Rf"/>
        <s v="FS1018-CPM-ZZ-RF-D-A-3100          Rooflight Elevations Sheet 1"/>
        <s v="FS1018-CPM-ZZ-RF-D-A-3101          Rooflights And Hatch Plan"/>
        <s v="FS1018-CPM-ZZ-XX-D-A-2146          3D Section"/>
        <s v="FS1018-CPM-ZZ-XX-D-A-2210          Partition Detail Plans"/>
        <s v="FS1018-CPM-ZZ-XX-L-A-0020          CDM Design Risk Assessment"/>
        <s v="FS1018-CPM-ZZ-ZZ-D-A-0050          Circulation Strategy"/>
        <s v="FS1018-CPM-ZZ-ZZ-D-A-0051          Zoning &amp; Security Strategy"/>
        <s v="FS1018-CPM-ZZ-ZZ-D-A-0051          Zoning and Security Strategy"/>
        <s v="FS1018-CPM-ZZ-ZZ-D-A-0052          Sanitary &amp; Hygiene Strategy"/>
        <s v="FS1018-CPM-ZZ-ZZ-D-A-0052          Sanitary and Hygiene Strategy"/>
        <s v="FS1018-CPM-ZZ-ZZ-D-A-0053          Access &amp; Maintenance Strategy"/>
        <s v="FS1018-CPM-ZZ-ZZ-D-A-0053          Access and Maintenance Strategy"/>
        <s v="FS1018-CPM-ZZ-ZZ-D-A-0054          Cleaning &amp; Maintenance Strategy"/>
        <s v="FS1018-CPM-ZZ-ZZ-D-A-0054          Cleaning and Maintenance Strategy"/>
        <s v="FS1018-CPM-ZZ-ZZ-D-A-0060          Proposed Room Cluster Diagram"/>
        <s v="FS1018-CPM-ZZ-ZZ-D-A-2001          GA Proposed Sections AABBCCDD"/>
        <s v="FS1018-CPM-ZZ-ZZ-D-A-2001          GA Proposed Section AA, BB, CC, DD"/>
        <s v="FS1018-CPM-ZZ-ZZ-D-A-2002          GA Proposed Section EE 1 To 125"/>
        <s v="FS1018-CPM-ZZ-ZZ-D-A-2002          GA Proposed Section EE"/>
        <s v="FS1018-CPM-ZZ-ZZ-D-A-2005          GA Proposed Section EE"/>
        <s v="FS1018-CPM-ZZ-ZZ-D-A-2010          GA Proposed Elevations Sheet 01"/>
        <s v="FS1018-CPM-ZZ-ZZ-D-A-2010          GA Proposed Elevations Sheet 1"/>
        <s v="FS1018-CPM-ZZ-ZZ-D-A-2011          GA Proposed Elevations Sheet 02"/>
        <s v="FS1018-CPM-ZZ-ZZ-D-A-2011          GA Proposed Elevations Sheet 2"/>
        <s v="FS1018-CPM-ZZ-ZZ-D-A-2012          GA Proposed Elevations Sheet 03"/>
        <s v="FS1018-CPM-ZZ-ZZ-D-A-2013          GA Proposed Elevations SE 1 To 125"/>
        <s v="FS1018-CPM-ZZ-ZZ-D-A-2014          GA Proposed Elevations NW 1 to 125"/>
        <s v="FS1018-CPM-ZZ-ZZ-D-A-2025          Hazard Identification Plan"/>
        <s v="FS1018-CPM-ZZ-ZZ-D-A-2031          Visuals Sheet 01 External"/>
        <s v="FS1018-CPM-ZZ-ZZ-D-A-2031          Internal Views"/>
        <s v="FS1018-CPM-ZZ-ZZ-D-A-2032          Visuals Sheet 02 Internal"/>
        <s v="FS1018-CPM-ZZ-ZZ-D-A-2032          External Views"/>
        <s v="FS1018-CPM-ZZ-ZZ-D-A-2040          Lock Suiting Strategy"/>
        <s v="FS1018-CPM-ZZ-ZZ-D-A-2140          Construction Building Sections Sheet 1"/>
        <s v="FS1018-CPM-ZZ-ZZ-D-A-2141          Construction Building Sections"/>
        <s v="FS1018-CPM-ZZ-ZZ-D-A-2141          Construction Building Sections Sheet 2"/>
        <s v="FS1018-CPM-ZZ-ZZ-D-A-2143          External Wall Details Sheet 1"/>
        <s v="FS1018-CPM-ZZ-ZZ-D-A-2144          External Wall Details Sheet 2"/>
        <s v="FS1018-CPM-ZZ-ZZ-D-A-2401          Typical Staircase Sheet 01"/>
        <s v="FS1018-CPM-ZZ-ZZ-D-A-2402          Typical Staircase Sheet 02"/>
        <s v="FS1018-CPM-ZZ-ZZ-D-A-2403          Typical Staircase Sheet 03"/>
        <s v="FS1018-CPM-ZZ-ZZ-D-A-2404          Typical Staircase Sheet 04"/>
        <s v="FS1018-CPM-ZZ-ZZ-D-A-2405          Typical Staircase Sheet 05"/>
        <s v="FS1018-CPM-ZZ-ZZ-D-A-3002          External Door Schedues Sheet 02"/>
        <s v="FS1018-CPM-ZZ-ZZ-D-A-3010          Curtain Wall Panelling Elevations Sheet 01"/>
        <s v="FS1018-CPM-ZZ-ZZ-D-A-3011          Curtain Wall Panelling Elevations Sheet 02"/>
        <s v="FS1018-CPM-ZZ-ZZ-D-A-3020          External Windows Elevation And Schedule"/>
        <s v="FS1018-CPM-ZZ-ZZ-D-A-3021          Internal Glazed Panel Elevations And Schedule"/>
        <s v="FS1018-CPM-ZZ-ZZ-D-A-3055          Internal Doors Level 00 Sheet 06"/>
        <s v="FS1018-CPM-ZZ-ZZ-D-A-3062          Window Schedule"/>
        <s v="FS1018-CPM-ZZ-ZZ-D-A-4001          GA Wall Finishes Strategy"/>
        <s v="FS1018-CPM-ZZ-ZZ-D-A-4004          GA Floor Finishes Strategy"/>
        <s v="FS1018-CPM-ZZ-ZZ-D-A-4007          GA Ceiling Finishes Strategy"/>
        <s v="FS1018-CPM-ZZ-ZZ-D-A-6601          Lift Pit Details"/>
        <s v="FS1018-CPM-ZZ-ZZ-D-A-6801          Room Elevations Assembly Dining Sheet 1"/>
        <s v="FS1018-CPM-ZZ-ZZ-D-A-6802          Room Elevations Assembly Dining Sheet 2"/>
        <s v="FS1018-CPM-ZZ-ZZ-D-A-6803          Room Elevations Sports Hall Sheet 1"/>
        <s v="FS1018-CPM-ZZ-ZZ-D-A-6804          Room Elevations Sports Hall Sheet 2"/>
        <s v="FS1018-CPM-ZZ-ZZ-D-A-6805          Room Elevations Sports Hall Sheet 3"/>
        <s v="FS1018-CPM-ZZ-ZZ-D-A-6806          Room Elevations Sports Hall Acoustic Panel Set Out"/>
        <s v="FS1018-CPM-ZZ-ZZ-D-A-6813          Room Elevations Pupil WC'S L01 And L02"/>
        <s v="FS1018-CPM-ZZ-ZZ-L-A-0001          Clash Report"/>
        <s v="FS1018-CPM-ZZ-ZZ-L-A-3060          Internal Door Schedule"/>
        <s v="FS1018-CPM-ZZ-ZZ-L-A-3061          External Door Schedule"/>
        <s v="FS1018-CPM-ZZ-ZZ-M-A-0002          Federated Model"/>
        <s v="FS1018-CPM-ZZ-ZZ-M-A-0003          Building Model Navisworks"/>
        <s v="FS1018-CPM-ZZ-ZZ-M-A-0003          Architectural Model NWC"/>
        <s v="FS1018-CPM-ZZ-ZZ-M-A-0004          Building Model IFC"/>
        <s v="FS1018-CPM-ZZ-ZZ-M-A-0004          Architectural Model IFC"/>
        <s v="FS1018-CPM-ZZ-ZZ-M-A-0005          Building Model Revit"/>
        <s v="FS1018-CPM-ZZ-ZZ-M-A-0005          Architectural Model Revit"/>
        <s v="FS1018-CPM-ZZ-ZZ-V-A-0001          Flythrough Video"/>
        <s v="FS1018-CPM-ZZ-ZZ-V-A-0001          External Flythrough Video"/>
        <s v="FS1018-CPM-ZZ-ZZ-V-A-0002          Internal Flythrough Video"/>
        <s v="FS1018-DSI-XX-XX-T-G-0001          GI Geo Environmental Assesment"/>
        <s v="FS1018-EVR-XX-XX-D-O-0001          Server Room Location"/>
        <s v="FS1018-EVR-XX-XX-D-O-0002          ICT Plans"/>
        <s v="FS1018-EVR-XX-XX-D-O-0003          Wireless Heat Maps"/>
        <s v="FS1018-EVR-XX-XX-D-O-0004          Server Cabinet Layout"/>
        <s v="FS1018-EVR-XX-XX-G-O-0001          ICT Network Diagrams"/>
        <s v="FS1018-EVR-XX-XX-L-O-0001          ICT Equipment List"/>
        <s v="FS1018-EVR-XX-XX-L-O-0002          ICT Cost Matrix"/>
        <s v="FS1018-EVR-XX-XX-L-O-0003          ICT Small Power and Data Schedule"/>
        <s v="FS1018-EVR-XX-XX-L-O-0004          ICT Construction Programme"/>
        <s v="FS1018-EVR-XX-XX-T-O-0001          ICT Decant Plan"/>
        <s v="FS1018-EVR-XX-XX-T-O-0002          ICT Calculations"/>
        <s v="FS1018-EVR-XX-XX-T-O-0003          Draft ICT CPs"/>
        <s v="FS1018-EVR-XX-XX-T-O-0004          ICT Contractor's Proposals"/>
        <s v="FS1018-EVR-XX-XX-T-O-0005          Post Award ICT Meetings (PAM) Agendas"/>
        <s v="FS1018-EVR-XX-XX-T-O-0006          User Acceptance Testing (UAT) Schedule"/>
        <s v="FS1018-EVR-XX-XX-T-O-0007          Post Award ICT Meetings (PAM) Minutes"/>
        <s v="FS1018-GLE-XX-XX-T-Z-0001          PV System Calculation"/>
        <s v="FS1018-HBC-XX-XX-D-R-9999          DfE Wisbech - Blank TEST Document"/>
        <s v="FS1018-HBC-XX-XX-D-X-0001          Site Set Up Plan"/>
        <s v="FS1018-HBC-XX-XX-D-X-0001          Site Construction Plan"/>
        <s v="FS1018-HBC-XX-XX-D-X-0002          Site Phasing Plan"/>
        <s v="FS1018-HBC-XX-XX-D-X-0003          Site Set Up Plan Phase 1"/>
        <s v="FS1018-HBC-XX-XX-D-X-0003          Phase1"/>
        <s v="FS1018-HBC-XX-XX-D-X-0004          Site Set Up Plan Phase 2"/>
        <s v="FS1018-HBC-XX-XX-D-X-0004          Phase2"/>
        <s v="FS1018-HBC-XX-XX-D-X-0004          Site Set Up Plan Phase 2 Section 1"/>
        <s v="FS1018-HBC-XX-XX-D-X-0005          Roof Plan PV Annotations Mark up"/>
        <s v="FS1018-HBC-XX-XX-D-X-0005          Site Set Up Plan Phase 2 Section 2"/>
        <s v="FS1018-HBC-XX-XX-D-X-0006          Site Set Up Plan Phase 3"/>
        <s v="FS1018-HBC-XX-XX-L-X-0001          MIDP"/>
        <s v="FS1018-HBC-XX-XX-L-X-0003          Design Programme"/>
        <s v="FS1018-HBC-XX-XX-L-X-0004          Construction Programme"/>
        <s v="FS1018-HBC-XX-XX-L-X-0005          Master Programme"/>
        <s v="FS1018-HBC-XX-XX-L-X-0006          Work Package Procurement Plan"/>
        <s v="FS1018-HBC-XX-XX-L-X-0006          Works Package Procurement Programme"/>
        <s v="FS1018-HBC-XX-XX-L-X-0007          Risk Register"/>
        <s v="FS1018-HBC-XX-XX-L-X-0008          PCSA"/>
        <s v="FS1018-HBC-XX-XX-L-X-0009          PCSA Milestone Schedule"/>
        <s v="FS1018-HBC-XX-XX-L-X-0010          PCSA Certificate Of Completion"/>
        <s v="FS1018-HBC-XX-XX-L-X-0011          Cashflow Forecast"/>
        <s v="FS1018-HBC-XX-XX-L-X-0012          Framewok Pricing Schedule"/>
        <s v="FS1018-HBC-XX-XX-L-X-0013          KPI Key Performance Indicator"/>
        <s v="FS1018-HBC-XX-XX-L-X-0013          DFE KPIs"/>
        <s v="FS1018-HBC-XX-XX-L-X-0014          Supplier Directory CV"/>
        <s v="FS1018-HBC-XX-XX-L-X-0015          Supplier Directory Organisation Chart"/>
        <s v="FS1018-HBC-XX-XX-L-X-0016          Handover Training Plan"/>
        <s v="FS1018-HBC-XX-XX-L-X-0017          Supplier Chain Directory"/>
        <s v="FS1018-HBC-XX-XX-L-X-0018          HB Social Value KPIs"/>
        <s v="FS1018-HBC-XX-XX-L-X-0019          Site Organisation Chart"/>
        <s v="FS1018-HBC-XX-XX-L-X-0020          Commissioning Programme"/>
        <s v="FS1018-HBC-XX-XX-L-X-1001          Quality Management Plan"/>
        <s v="FS1018-HBC-XX-XX-L-X-1002          Sustainable Estate Strategy"/>
        <s v="FS1018-HBC-XX-XX-L-X-1003          Lift Specification"/>
        <s v="FS1018-HBC-XX-XX-L-X-1004          Project Execution Plan"/>
        <s v="FS1018-HBC-XX-XX-L-X-2003          HB Workflow Comment Tracker"/>
        <s v="FS1018-HBC-XX-XX-L-X-3000          Derogations Schedule"/>
        <s v="FS1018-HBC-XX-XX-L-X-4000          Planning Condition Tracker"/>
        <s v="FS1018-HBC-XX-XX-T-R-0001          CDE Guide - Aconex"/>
        <s v="FS1018-HBC-XX-XX-T-X-0001          Construction Phasing Plan"/>
        <s v="FS1018-HBC-XX-XX-T-X-0017          CEM1 Meeting Minutes"/>
        <s v="FS1018-HBC-XX-XX-T-X-0018          CEM2 Meeting Minutes"/>
        <s v="FS1018-HBC-XX-XX-T-X-0019          CEM3 Meeting Minutes"/>
        <s v="FS1018-HBC-XX-XX-T-X-0020          CEM4 Meeting Minutes"/>
        <s v="FS1018-HBC-XX-XX-T-X-0021          CEM5 Meeting Minutes"/>
        <s v="FS1018-HBC-XX-XX-T-X-0022          CEM6 Meeting Minutes"/>
        <s v="FS1018-HBC-XX-XX-T-X-0023          ICT Meeting Minutes"/>
        <s v="FS1018-HBC-XX-XX-T-X-0024          CEM7 Meeting Minutes"/>
        <s v="FS1018-HBC-XX-XX-T-X-0025          CEM8 Meeting Minutes"/>
        <s v="FS1018-HBC-XX-XX-T-X-0026          CEM8-9A Meeting Minutes"/>
        <s v="FS1018-HBC-XX-XX-T-X-0027          CEM09 Meeting Minutes"/>
        <s v="FS1018-HBC-XX-XX-T-X-0028          CEM10 Meeting Minutes"/>
        <s v="FS1018-HBC-XX-XX-T-X-0029          CEM10A Meeting Minutes"/>
        <s v="FS1018-HBC-XX-XX-T-X-0030          CEM11 Meeting Minutes"/>
        <s v="FS1018-HBC-XX-XX-T-X-0031          CEM12 Meeting Minutes"/>
        <s v="FS1018-HBC-XX-XX-T-X-0033          CEM07 Agenda"/>
        <s v="FS1018-HBC-XX-XX-T-X-0034          CEM08 Agenda"/>
        <s v="FS1018-HBC-XX-XX-T-X-0035          CEM09 Agenda"/>
        <s v="FS1018-HBC-XX-XX-T-X-0036          CEM08-9A Agenda"/>
        <s v="FS1018-HBC-XX-XX-T-X-0037          CEM10 Meeting Agenda"/>
        <s v="FS1018-HBC-XX-XX-T-X-0038          CEM10A Agenda"/>
        <s v="FS1018-HBC-XX-XX-T-X-0039          CEM11 Agenda"/>
        <s v="FS1018-HBC-XX-XX-T-X-0040          CEM12 Agenda"/>
        <s v="FS1018-HBC-XX-XX-T-X-0042          Employer Necessary Consents"/>
        <s v="FS1018-HBC-XX-XX-T-X-0043          Construction Method Statement"/>
        <s v="FS1018-HBC-XX-XX-T-X-0044          Handover Strategy"/>
        <s v="FS1018-HBC-XX-XX-T-X-0045          Thermal Assessment"/>
        <s v="FS1018-HEX-XX-00-T-H-0002          Framework School Travel Plan"/>
        <s v="FS1018-HEX-XX-XX-T-C-0001          Flood Risk Assessment"/>
        <s v="FS1018-HEX-XX-XX-T-C-0002          SuDS Operations and Maintenance Manual"/>
        <s v="FS1018-HEX-XX-XX-T-C-0004          CIVIL DESIGN PHILOSOPHY"/>
        <s v="FS1018-HEX-XX-XX-T-C-0010          Risk Register"/>
        <s v="FS1018-HEX-XX-XX-T-C-0011          Drainage Specification"/>
        <s v="FS1018-HEX-XX-XX-T-C-0012          Earthworks Specification"/>
        <s v="FS1018-HEX-XX-XX-T-H-0001          Transport Assessment"/>
        <s v="FS1018-HEX-XX-XX-T-S-0003          Structural Design Philosophy"/>
        <s v="FS1018-HEX-XX-XX-T-S-0004          Concrete Specification"/>
        <s v="FS1018-HEX-XX-XX-T-S-0005          Steelwork Specification"/>
        <s v="FS1018-HEX-XX-XX-T-S-0006          Piling Specification"/>
        <s v="FS1018-HEX-ZZ-00-D-S-0101          FOUNDATION LAYOUT"/>
        <s v="FS1018-HEX-ZZ-00-D-S-0102          Foundation Details"/>
        <s v="FS1018-HEX-ZZ-00-D-S-0200          GROUND FLOOR COLUMN PLAN"/>
        <s v="FS1018-HEX-ZZ-01-D-S-0201          FIRST FLOOR STEELWORK LAYOUT"/>
        <s v="FS1018-HEX-ZZ-02-D-S-0202          SECOND FLOOR STEELWORK LAYOUT"/>
        <s v="FS1018-HEX-ZZ-RF-D-S-0203          MAIN ROOF STEELWORK LAYOUT"/>
        <s v="FS1018-HEX-ZZ-RF-D-S-0204          HALL ROOF STEELWORK LAYOUTS"/>
        <s v="FS1018-HEX-ZZ-RF-D-S-0205          PARAPET STEELWORK LAYOUT"/>
        <s v="FS1018-HEX-ZZ-XX-D-S-0001          PROJECT NOTES"/>
        <s v="FS1018-HEX-ZZ-ZZ-D-C-5200          SURFACE WATER DRAINAGE LAYOUT SHEET 1"/>
        <s v="FS1018-HEX-ZZ-ZZ-D-C-5201          SURFACE WATER DRAINAGE LAYOUT SHEET 2"/>
        <s v="FS1018-HEX-ZZ-ZZ-D-C-5205          FOUL WATER DRAINAGE LAYOUT"/>
        <s v="FS1018-HEX-ZZ-ZZ-D-C-5210          DRAINAGE CONSTRUCTION DETAILS SHEET 1"/>
        <s v="FS1018-HEX-ZZ-ZZ-D-C-5211          DRAINAGE CONSTRUCTION DETAILS SHEET 2"/>
        <s v="FS1018-HEX-ZZ-ZZ-D-C-9000          Earthworks Analysis"/>
        <s v="FS1018-HEX-ZZ-ZZ-D-C-9020          EXTERNAL WORKS LAYOUT SHEET 1"/>
        <s v="FS1018-HEX-ZZ-ZZ-D-C-9021          EXTERNAL WORKS LAYOUT SHEET 2"/>
        <s v="FS1018-HEX-ZZ-ZZ-D-C-9025          EXTERNAL WORKS CONSTRUCTION DETAILS"/>
        <s v="FS1018-HEX-ZZ-ZZ-D-S-0501          BUILDING ELEVATIONS SHEET 01 OF 02"/>
        <s v="FS1018-HEX-ZZ-ZZ-D-S-0502          BUILDING ELEVATIONS SHEET 02 OF 02"/>
        <s v="FS1018-HEX-ZZ-ZZ-D-S-0503          BRACING ELEVATIONS"/>
        <s v="FS1018-HEX-ZZ-ZZ-D-S-0601          BUILDING SECTIONS"/>
        <s v="FS1018-HEX-ZZ-ZZ-D-S-0602          STRUCTURAL SECTIONS &amp; DETAILS"/>
        <s v="FS1018-HEX-ZZ-ZZ-D-S-0602          Structural Sections and Details"/>
        <s v="FS1018-HEX-ZZ-ZZ-D-S-0801          3D Views"/>
        <s v="FS1018-HEX-ZZ-ZZ-M-C-0001          Native Civil Model"/>
        <s v="FS1018-HEX-ZZ-ZZ-M-C-0002          IFC SPF Civil Model"/>
        <s v="FS1018-HEX-ZZ-ZZ-M-C-0003          Navisowrks Civil Model"/>
        <s v="FS1018-HEX-ZZ-ZZ-M-C-0003          Navisworks Civil Model"/>
        <s v="FS1018-HEX-ZZ-ZZ-M-S-0001          Native Structural Model"/>
        <s v="FS1018-HEX-ZZ-ZZ-M-S-0002          IFC SPF Structural Model"/>
        <s v="FS1018-HEX-ZZ-ZZ-M-S-0003          Navis Structural Model"/>
        <s v="FS1018-HEX-ZZ-ZZ-T-C-0001          GENERAL NOTES"/>
        <s v="FS1018-MAJ-XX-XX-L-X-0090          DetailedResponsibilityMatrix"/>
        <s v="FS1018-MAJ-XX-XX-L-X-0090          Detailed Responsibility Matrix"/>
        <s v="FS1018-MAJ-XX-XX-L-X-8001          AssetRegister"/>
        <s v="FS1018-MAJ-XX-XX-L-X-8001          Asset Register"/>
        <s v="FS1018-MAJ-XX-XX-L-X-8002          COBieQCReport"/>
        <s v="FS1018-MAJ-XX-XX-L-X-8002          COBie QC Report"/>
        <s v="FS1018-MAJ-XX-XX-T-X-0001          BIM Execution Plan"/>
        <s v="FS1018-MAJ-XX-XX-T-X-1001          InformationManagersReport"/>
        <s v="FS1018-MAJ-XX-XX-T-X-1001          Information Managers Report"/>
        <s v="FS1018-MAJ-ZZ-ZZ-M-X-0001          FederatedInformationModel"/>
        <s v="FS1018-MAJ-ZZ-ZZ-M-X-0001          Federated Information Model"/>
        <s v="FS1018-OFR-XX-00-D-K-0001          Fire Safety Mark"/>
        <s v="FS1018-OFR-XX-00-D-K-0001          Fire Strategy Markup"/>
        <s v="FS1018-OFR-XX-01-D-K-0001          Fire Safety Mark"/>
        <s v="FS1018-OFR-XX-01-D-K-0001          Fire Strategy Markup"/>
        <s v="FS1018-OFR-XX-02-D-K-0001          Fire Safety Mark"/>
        <s v="FS1018-OFR-XX-02-D-K-0001          Fire Strategy Markup"/>
        <s v="FS1018-OFR-XX-RF-D-K-0001          Fire Strategy Markup"/>
        <s v="FS1018-OFR-XX-XX-D-K-0001          Fire Safety Mark"/>
        <s v="FS1018-OFR-XX-XX-D-K-0001          Fire Strategy Markup"/>
        <s v="FS1018-OFR-XX-ZZ-G-K-0001          Fire Strategy Report"/>
        <s v="FS1018-ONE-00-XX-T-L-0001          OutlineSpecification"/>
        <s v="FS1018-ONE-XX-XX-T-L-0001          Outline Specification"/>
        <s v="FS1018-ONE-XX-XX-T-L-0002          Design Development Schedule"/>
        <s v="FS1018-ONE-XX-XX-T-L-0003          Risk Register"/>
        <s v="FS1018-ONE-XX-ZZ-D-L-0001          Location Plan"/>
        <s v="FS1018-ONE-XX-ZZ-D-L-0002          Existing Site Plan"/>
        <s v="FS1018-ONE-XX-ZZ-D-L-0003          Whole Site Plan"/>
        <s v="FS1018-ONE-XX-ZZ-D-L-0004          Site Landscaping Plan 1 of 5"/>
        <s v="FS1018-ONE-XX-ZZ-D-L-0005          Site Landscaping Plan 2 of 5"/>
        <s v="FS1018-ONE-XX-ZZ-D-L-0006          Site Landscaping Plan 3 of 5"/>
        <s v="FS1018-ONE-XX-ZZ-D-L-0007          Site Landscaping Plan 4 of 5"/>
        <s v="FS1018-ONE-XX-ZZ-D-L-0008          Site Landscaping Plan 5 of 5"/>
        <s v="FS1018-ONE-XX-ZZ-D-L-0009          Access Security Strategy"/>
        <s v="FS1018-ONE-XX-ZZ-D-L-0009          Access and Security Strategy (with external fences)"/>
        <s v="FS1018-ONE-XX-ZZ-D-L-0009          Access and Security Strategy"/>
        <s v="FS1018-ONE-XX-ZZ-D-L-0010          Circulation Strategy"/>
        <s v="FS1018-ONE-XX-ZZ-D-L-0011          External Sports Provision"/>
        <s v="FS1018-ONE-XX-ZZ-D-L-0012          Green Infrastructure Plan"/>
        <s v="FS1018-ONE-XX-ZZ-D-L-0013          BB103 Guidance"/>
        <s v="FS1018-ONE-XX-ZZ-D-L-0014          Hazard Identification Plan"/>
        <s v="FS1018-ONE-XX-ZZ-D-L-0015          Refurbishment Remodelling Strategy"/>
        <s v="FS1018-ONE-XX-ZZ-D-L-0017          Site Sections"/>
        <s v="FS1018-ONE-XX-ZZ-D-L-0021          Existing Site Plan 1 of 5"/>
        <s v="FS1018-ONE-XX-ZZ-D-L-0022          Existing Site Plan 2 of 5"/>
        <s v="FS1018-ONE-XX-ZZ-D-L-0023          Existing Site Plan 3 of 5"/>
        <s v="FS1018-ONE-XX-ZZ-D-L-0024          Existing Site Plan 4 of 5"/>
        <s v="FS1018-ONE-XX-ZZ-D-L-0025          Existing Site Plan 5 of 5"/>
        <s v="FS1018-ONE-XX-ZZ-D-L-0201          Detailed Planting Plan Sheet 1of 5"/>
        <s v="FS1018-ONE-XX-ZZ-D-L-0201          Detailed Planting Plan Sheet 1 of 5"/>
        <s v="FS1018-ONE-XX-ZZ-D-L-0202          Detailed Planting Plan Sheet 2of 5"/>
        <s v="FS1018-ONE-XX-ZZ-D-L-0202          Detailed Planting Plan Sheet 2 of 5"/>
        <s v="FS1018-ONE-XX-ZZ-D-L-0203          Detailed Planting Plan Sheet 3of 5"/>
        <s v="FS1018-ONE-XX-ZZ-D-L-0203          Detailed Planting Plan Sheet 3 of 5"/>
        <s v="FS1018-ONE-XX-ZZ-D-L-0204          Detailed Planting Plan Sheet 4of 5"/>
        <s v="FS1018-ONE-XX-ZZ-D-L-0204          Detailed Planting Plan Sheet 4 of 5"/>
        <s v="FS1018-ONE-XX-ZZ-D-L-0205          Detailed Planting Plan Sheet 5of 5"/>
        <s v="FS1018-ONE-XX-ZZ-D-L-0205          Detailed Planting Plan Sheet 5 of 5"/>
        <s v="FS1018-ONE-XX-ZZ-D-L-0401          Outline Levels Plan 1 of 5"/>
        <s v="FS1018-ONE-XX-ZZ-D-L-0401          Outline Levels Plan 1of 5"/>
        <s v="FS1018-ONE-XX-ZZ-D-L-0402          Outline Levels Plan 2 of 5"/>
        <s v="FS1018-ONE-XX-ZZ-D-L-0402          Outline Levels Plan 2of 5"/>
        <s v="FS1018-ONE-XX-ZZ-D-L-0403          Outline Levels Plan 3 of 5"/>
        <s v="FS1018-ONE-XX-ZZ-D-L-0403          Outline Levels Plan 3of 5"/>
        <s v="FS1018-ONE-XX-ZZ-D-L-0404          Outline Levels Plan 4 of 5"/>
        <s v="FS1018-ONE-XX-ZZ-D-L-0404          Outline Levels Plan 4of 5"/>
        <s v="FS1018-ONE-XX-ZZ-D-L-0405          Outline Levels Plan 5 of 5"/>
        <s v="FS1018-ONE-XX-ZZ-D-L-0405          Outline Levels Plan 5of 5"/>
        <s v="FS1018-ONE-XX-ZZ-D-L-0601          Landscape Details Sheet 1"/>
        <s v="FS1018-ONE-XX-ZZ-D-L-0602          Landscape Details Sheet 2"/>
        <s v="FS1018-ONE-XX-ZZ-D-L-0603          Landscape Details Sheet 3"/>
        <s v="FS1018-ONE-ZZ-XX-T-L-0004          Security Statement"/>
        <s v="FS1018-ONE-ZZ-ZZ-M-L-0001          Landscape ModelLandscapeModel"/>
        <s v="FS1018-ONE-ZZ-ZZ-M-L-0001          Landscape Model"/>
        <s v="FS1018-ONE-ZZ-ZZ-M-L-0002          LandscapeModel"/>
        <s v="FS1018-ONE-ZZ-ZZ-M-L-0002          Landscape Model"/>
        <s v="FS1018-ONE-ZZ-ZZ-M-L-0003          LandscapeModel"/>
        <s v="FS1018-ONE-ZZ-ZZ-M-L-0003          Landscape Model"/>
        <s v="FS1018-PIN-XX-XX-L-O-0003          Task Team Risk Register"/>
        <s v="FS1018-PIN-ZZ-00-D-O-0001          GROUND FLOOR GA (1 OF 2)"/>
        <s v="FS1018-PIN-ZZ-00-D-O-0001          Ground Floor GA 1 Of 2"/>
        <s v="FS1018-PIN-ZZ-00-D-O-0002          GROUND FLOOR GA (2 OF 2)"/>
        <s v="FS1018-PIN-ZZ-00-D-O-0002          Ground Floor GA 2 Of 2"/>
        <s v="FS1018-PIN-ZZ-00-D-O-0006          Lobby 1"/>
        <s v="FS1018-PIN-ZZ-00-D-O-0601          Food Prep Area, Kitchen (Servery And Wash Up) 1"/>
        <s v="FS1018-PIN-ZZ-00-D-O-0601          Food Prep Area, Kitchen Servery And Wash Up 1"/>
        <s v="FS1018-PIN-ZZ-00-D-O-1109          MUSIC ROOM"/>
        <s v="FS1018-PIN-ZZ-00-D-O-1110          DT WORKSHOP 1"/>
        <s v="FS1018-PIN-ZZ-00-D-O-1111          FOOD ROOM 1"/>
        <s v="FS1018-PIN-ZZ-00-D-O-1111          Food Room 1 Option 1"/>
        <s v="FS1018-PIN-ZZ-00-D-O-1112          DT STUDIO (GRAPHIC PRODUCTS)"/>
        <s v="FS1018-PIN-ZZ-00-D-O-1112          DT Studio Graphic Products"/>
        <s v="FS1018-PIN-ZZ-00-D-O-1113          DT STUDIO (ELECTRONICS &amp; CONTROL)"/>
        <s v="FS1018-PIN-ZZ-00-D-O-1113          DT Studio Electronics And Control"/>
        <s v="FS1018-PIN-ZZ-00-D-O-1211          FOOD ROOM 1"/>
        <s v="FS1018-PIN-ZZ-00-D-O-2001          ASSEMBLY HALL, SECONDARY"/>
        <s v="FS1018-PIN-ZZ-00-D-O-2001          Assembly Hall, Dining Layout"/>
        <s v="FS1018-PIN-ZZ-00-D-O-2002          SPORTS HALL (EXAM LAYOUT)"/>
        <s v="FS1018-PIN-ZZ-00-D-O-2002          Sports Hall Exam Layout"/>
        <s v="FS1018-PIN-ZZ-00-D-O-2003          ASSEMBLY HALL, SECONDARY LAYOUT 2"/>
        <s v="FS1018-PIN-ZZ-00-D-O-2003          Assembly Hall, Assembly Layout"/>
        <s v="FS1018-PIN-ZZ-00-D-O-3001          LRC OPTION 1"/>
        <s v="FS1018-PIN-ZZ-00-D-O-3002          Sports Hall (Sport Layout)"/>
        <s v="FS1018-PIN-ZZ-00-D-O-3002          Sports Hall Sport Layout"/>
        <s v="FS1018-PIN-ZZ-00-D-O-3004          LRC"/>
        <s v="FS1018-PIN-ZZ-00-D-O-4003          Enclosed Office, Admin (Head) 1"/>
        <s v="FS1018-PIN-ZZ-00-D-O-4003          Enclosed Office, Admin Head 1"/>
        <s v="FS1018-PIN-ZZ-00-D-O-4004          Enclosed Office, Admin (Pa)1"/>
        <s v="FS1018-PIN-ZZ-00-D-O-4004          Enclosed Office, Admin PA 1"/>
        <s v="FS1018-PIN-ZZ-00-D-O-4005          Reprographics Room 1"/>
        <s v="FS1018-PIN-ZZ-00-D-O-4006          Enclosed Office, With Recep Desk (And Window) 1"/>
        <s v="FS1018-PIN-ZZ-00-D-O-4006          Enclosed Office, With Recep Desk And Window 1"/>
        <s v="FS1018-PIN-ZZ-00-D-O-4008          Reception Area, Entrance (50% Circulation)"/>
        <s v="FS1018-PIN-ZZ-00-D-O-4008          Reception Area, Entrance 50% Circulation"/>
        <s v="FS1018-PIN-ZZ-00-D-O-4009          Confidential Meeting Room (Interview) 1"/>
        <s v="FS1018-PIN-ZZ-00-D-O-4009          Confidential Meeting Room Interview 1"/>
        <s v="FS1018-PIN-ZZ-00-D-O-4015          Office (With Meeting Area, 2 Person) 4"/>
        <s v="FS1018-PIN-ZZ-00-D-O-4015          Office With Meeting Area, 2 Person 4"/>
        <s v="FS1018-PIN-ZZ-00-D-O-4018          Staff Workroom (Premises) 1 And Equipment Store, Maintenance 1"/>
        <s v="FS1018-PIN-ZZ-00-D-O-4018          Staff Workroom Premises 1 And Equipment Store, Maintenance 1"/>
        <s v="FS1018-PIN-ZZ-00-D-O-5001          Assembly Hall, Secondary Option 2"/>
        <s v="FS1018-PIN-ZZ-00-D-O-5003          Confidential Meeting Room (Interview) 1"/>
        <s v="FS1018-PIN-ZZ-00-D-O-5003          Confidential Meeting Room Interview 1"/>
        <s v="FS1018-PIN-ZZ-00-D-O-5007          Dt Prep Room 1"/>
        <s v="FS1018-PIN-ZZ-00-D-O-5008          Food Prep Room 1"/>
        <s v="FS1018-PIN-ZZ-00-D-O-5009          Teaching Resources Store (Off Dt Studio)"/>
        <s v="FS1018-PIN-ZZ-00-D-O-5009          Teaching Resources Store Off DT Studio"/>
        <s v="FS1018-PIN-ZZ-00-D-O-5011          Teaching Resources Store (Off Dt Studio)"/>
        <s v="FS1018-PIN-ZZ-00-D-O-5011          Teaching Resources Store Off DT Studio"/>
        <s v="FS1018-PIN-ZZ-00-D-O-5013          Teaching Resources Store (Music) 1"/>
        <s v="FS1018-PIN-ZZ-00-D-O-5013          Teaching Resources Store Music 1"/>
        <s v="FS1018-PIN-ZZ-00-D-O-5018          Sports Equipment Store, Internal (Sports Hall) 1"/>
        <s v="FS1018-PIN-ZZ-00-D-O-5018          Sports Equipment Store, Internal Sports Hall 1"/>
        <s v="FS1018-PIN-ZZ-00-D-O-5019          Sports Equipment Store, External 1"/>
        <s v="FS1018-PIN-ZZ-00-D-O-5021          DT STUDIO (GRAPHIC PRODUCTS) OPTION 2"/>
        <s v="FS1018-PIN-ZZ-00-D-O-5103          Secure Storeroom 1"/>
        <s v="FS1018-PIN-ZZ-00-D-O-5109          Coats And Bag Store (Lockers) 1"/>
        <s v="FS1018-PIN-ZZ-00-D-O-5109          Coats And Bag Store Lockers 1"/>
        <s v="FS1018-PIN-ZZ-00-D-O-5114          Cleaners Store"/>
        <s v="FS1018-PIN-ZZ-00-D-O-5117          Cleaners Store"/>
        <s v="FS1018-PIN-ZZ-00-D-O-6001          DINING AND CATERING"/>
        <s v="FS1018-PIN-ZZ-00-D-O-6002          Office, Kitchen 1"/>
        <s v="FS1018-PIN-ZZ-00-D-O-6003          Food Store, Kitchen (Dry) 1"/>
        <s v="FS1018-PIN-ZZ-00-D-O-6003          Food Store, Kitchen Dry 1"/>
        <s v="FS1018-PIN-ZZ-00-D-O-6004          Cold Store, Kitchen 1"/>
        <s v="FS1018-PIN-ZZ-00-D-O-6005          Cold Store, Kithen (Freezer) 1"/>
        <s v="FS1018-PIN-ZZ-00-D-O-6005          Cold Store, Kitchen Freezer 1"/>
        <s v="FS1018-PIN-ZZ-00-D-O-6006          Toilet, Kitchen (With Changing Area) 1"/>
        <s v="FS1018-PIN-ZZ-00-D-O-6006          Toilet (With Changing Area) 1"/>
        <s v="FS1018-PIN-ZZ-00-D-O-6007          Changing Room, With Showers (Pupils) 1 And Toilets, Suite (Pupils, Other) 1"/>
        <s v="FS1018-PIN-ZZ-00-D-O-6007          Changing Room, With Showers Pupils 1 And Toilets, Suite Pupils, Other 1"/>
        <s v="FS1018-PIN-ZZ-00-D-O-6008          Changing Room, With Showers (Pupils) 2 And Toilets, Suite (Pupils, Other) 2"/>
        <s v="FS1018-PIN-ZZ-00-D-O-6008          Changing Room, With Showers Pupils 2 And Toilets, Suite Pupils, Other 2"/>
        <s v="FS1018-PIN-ZZ-00-D-O-6009          Music Practice Room 2"/>
        <s v="FS1018-PIN-ZZ-00-D-O-6011          Hygiene Room 1"/>
        <s v="FS1018-PIN-ZZ-00-D-O-6042          First Aid Post (Sick Bay) 1 And Stairway 7"/>
        <s v="FS1018-PIN-ZZ-00-D-O-6042          First Aid Post Sick Bay 1 And Stairway 7"/>
        <s v="FS1018-PIN-ZZ-00-D-O-6069          Circulation Space (Horizontal) On And Coats And Bag Store (Lockers) 1"/>
        <s v="FS1018-PIN-ZZ-00-D-O-6069          Circulation Space Horizontal On And Coats And Bag Store Lockers 1"/>
        <s v="FS1018-PIN-ZZ-00-D-O-7001          DINING AND CATERING 3D"/>
        <s v="FS1018-PIN-ZZ-00-D-O-7003          Dishwashing"/>
        <s v="FS1018-PIN-ZZ-00-D-O-7101          Food Prep Area, Kitchen Servery And Wash Up 1 Electrical Plan"/>
        <s v="FS1018-PIN-ZZ-00-D-O-7201          Food Prep Area, Kitchen Servery And Wash Up 1 Electrical Elevations"/>
        <s v="FS1018-PIN-ZZ-00-D-O-7301          Food Prep Area, Kitchen Servery And Wash Up 1 Mechanical Plan"/>
        <s v="FS1018-PIN-ZZ-00-D-O-7401          Food Prep Area, Kitchen Servery And Wash Up 1 Mechanical Elevations"/>
        <s v="FS1018-PIN-ZZ-00-D-O-7501          Dishwash Services Requirements"/>
        <s v="FS1018-PIN-ZZ-00-D-O-8001          Music Practice Room 1"/>
        <s v="FS1018-PIN-ZZ-00-D-O-8003          Music Practice Room (Extensive) 1"/>
        <s v="FS1018-PIN-ZZ-00-D-O-8003          Music Practice Room Extensive 1"/>
        <s v="FS1018-PIN-ZZ-00-D-O-9001          Classroom Store, Room (Off Sen Room) 1"/>
        <s v="FS1018-PIN-ZZ-00-D-O-9001          Classroom Store, Room Off Sen Room 1"/>
        <s v="FS1018-PIN-ZZ-00-D-O-9003          Teaching Resources Store (Music) 2"/>
        <s v="FS1018-PIN-ZZ-00-D-O-9003          Teaching Resources Store Music 2"/>
        <s v="FS1018-PIN-ZZ-01-D-O-1000          FIRST FLOOR GA (1 OF 2)"/>
        <s v="FS1018-PIN-ZZ-01-D-O-1000          First Floor GA 1 Of 2"/>
        <s v="FS1018-PIN-ZZ-01-D-O-1001          FIRST FLOOR GA (2 OF 2)"/>
        <s v="FS1018-PIN-ZZ-01-D-O-1001          First Floor GA 2 Of 2"/>
        <s v="FS1018-PIN-ZZ-01-D-O-1002          Classroom (General) 2"/>
        <s v="FS1018-PIN-ZZ-01-D-O-1002          Classroom General 2"/>
        <s v="FS1018-PIN-ZZ-01-D-O-1003          Classroom (General) 3"/>
        <s v="FS1018-PIN-ZZ-01-D-O-1003          Classroom General 3"/>
        <s v="FS1018-PIN-ZZ-01-D-O-1004          Classroom (General) 4"/>
        <s v="FS1018-PIN-ZZ-01-D-O-1004          Classroom General 4"/>
        <s v="FS1018-PIN-ZZ-01-D-O-1005          Classroom (General) 5"/>
        <s v="FS1018-PIN-ZZ-01-D-O-1005          Classroom General 5"/>
        <s v="FS1018-PIN-ZZ-01-D-O-1006          Classroom (General) 6"/>
        <s v="FS1018-PIN-ZZ-01-D-O-1006          Classroom General 6"/>
        <s v="FS1018-PIN-ZZ-01-D-O-1007          GENERAL CLASSROOM"/>
        <s v="FS1018-PIN-ZZ-01-D-O-1007          Classroom (General) 7"/>
        <s v="FS1018-PIN-ZZ-01-D-O-1007          Classroom General 7"/>
        <s v="FS1018-PIN-ZZ-01-D-O-1008          Classroom (General) 8"/>
        <s v="FS1018-PIN-ZZ-01-D-O-1008          Classroom General 8"/>
        <s v="FS1018-PIN-ZZ-01-D-O-1009          Classroom (General) 9"/>
        <s v="FS1018-PIN-ZZ-01-D-O-1009          Classroom General 9"/>
        <s v="FS1018-PIN-ZZ-01-D-O-1021          CLASSROOM (GENERAL) 1"/>
        <s v="FS1018-PIN-ZZ-01-D-O-1021          Classroom General 1"/>
        <s v="FS1018-PIN-ZZ-01-D-O-1101          ICT RICH CLASSROOM 1"/>
        <s v="FS1018-PIN-ZZ-01-D-O-1102          ICT RICH CLASSROOM 2"/>
        <s v="FS1018-PIN-ZZ-01-D-O-1108          ART ROOM (GENERAL)"/>
        <s v="FS1018-PIN-ZZ-01-D-O-1108          Art Room General"/>
        <s v="FS1018-PIN-ZZ-01-D-O-3006          Medical Treatment (Mi) Room 1 &amp; 3007 Sen Resource Space 1"/>
        <s v="FS1018-PIN-ZZ-01-D-O-3006          Medical Treatment Mi Room 1 And 3007 Sen Resource Space 1"/>
        <s v="FS1018-PIN-ZZ-01-D-O-3009          Small Group Room (Large Sen Etc.) 1"/>
        <s v="FS1018-PIN-ZZ-01-D-O-3009          Small Group Room Large Sen Etc. 1"/>
        <s v="FS1018-PIN-ZZ-01-D-O-4002          Meeting Room (Conference) 1"/>
        <s v="FS1018-PIN-ZZ-01-D-O-4002          Meeting Room Conference 1"/>
        <s v="FS1018-PIN-ZZ-01-D-O-4007          Office (Pastoral) 1 And 5002 Teaching Resources Store (Itgt Off Corridor) 2"/>
        <s v="FS1018-PIN-ZZ-01-D-O-4007          Office Pastoral 1 And 5002 Teaching Resources Store It Gt Off Corridor 2"/>
        <s v="FS1018-PIN-ZZ-01-D-O-4012          Office (With Meeting Area, 2 Person) 1"/>
        <s v="FS1018-PIN-ZZ-01-D-O-4012          Office With Meeting Area, 2 Person 1"/>
        <s v="FS1018-PIN-ZZ-01-D-O-4013          Office (With Meeting Area, 2 Person) 2"/>
        <s v="FS1018-PIN-ZZ-01-D-O-4013          Office With Meeting Area, 2 Person 2"/>
        <s v="FS1018-PIN-ZZ-01-D-O-4016          Office (Senco, Learning Support) 1"/>
        <s v="FS1018-PIN-ZZ-01-D-O-4016          Office Senco, Learning Support 1"/>
        <s v="FS1018-PIN-ZZ-01-D-O-4017          Staff Workroom (Ict Technicians) 1"/>
        <s v="FS1018-PIN-ZZ-01-D-O-4017          Staff Workroom ICT Technicians 1"/>
        <s v="FS1018-PIN-ZZ-01-D-O-5006          Teaching Resources Store (Off Art Room) 1"/>
        <s v="FS1018-PIN-ZZ-01-D-O-5006          Teaching Resources Store Off Art Room 1"/>
        <s v="FS1018-PIN-ZZ-01-D-O-5017          Classroom Store, Room (Off Sen Room) 1"/>
        <s v="FS1018-PIN-ZZ-01-D-O-5017          Classroom Store, Room Off Sen Room 1"/>
        <s v="FS1018-PIN-ZZ-01-D-O-5042          66042K Stairway 7 And 5112 Coats And Bag Store (Lockers) 4"/>
        <s v="FS1018-PIN-ZZ-01-D-O-5104          Secure Storeroom 2"/>
        <s v="FS1018-PIN-ZZ-01-D-O-5110          Coats And Bag Store (Lockers) 2"/>
        <s v="FS1018-PIN-ZZ-01-D-O-5110          Coats And Bag Store Lockers 2"/>
        <s v="FS1018-PIN-ZZ-01-D-O-5111          Coats And Bag Store (Lockers) 3"/>
        <s v="FS1018-PIN-ZZ-01-D-O-5111          Coats And Bag Store Lockers 3"/>
        <s v="FS1018-PIN-ZZ-01-D-O-5112          Coats And Bag Store (Lockers) 4"/>
        <s v="FS1018-PIN-ZZ-01-D-O-5112          Coats And Bag Store Lockers 4"/>
        <s v="FS1018-PIN-ZZ-01-D-O-5113          Coats And Bag Store (Lockers) 5"/>
        <s v="FS1018-PIN-ZZ-01-D-O-5113          Coats And Bag Store Lockers 5"/>
        <s v="FS1018-PIN-ZZ-01-D-O-5116          Cleaners' Store 3"/>
        <s v="FS1018-PIN-ZZ-01-D-O-7042          66042L Stairway 7 And 5113 Coats And Bag Store (Lockers) 5"/>
        <s v="FS1018-PIN-ZZ-01-D-O-8042          66042I Stairway 7 And 5110 Coats And Bag Store (Lockers) 2"/>
        <s v="FS1018-PIN-ZZ-01-D-O-9042          66042J Circulation Space (Horizontal) On And 5111 Coats And Bag Store (Lockers) 3"/>
        <s v="FS1018-PIN-ZZ-02-D-O-1010          Classroom (General) 10"/>
        <s v="FS1018-PIN-ZZ-02-D-O-1010          Classroom General 10"/>
        <s v="FS1018-PIN-ZZ-02-D-O-1011          Classroom (General) 11"/>
        <s v="FS1018-PIN-ZZ-02-D-O-1011          Classroom General 11"/>
        <s v="FS1018-PIN-ZZ-02-D-O-1012          Classroom (General) 12"/>
        <s v="FS1018-PIN-ZZ-02-D-O-1012          Classroom General 12"/>
        <s v="FS1018-PIN-ZZ-02-D-O-1013          Classroom (General) 13"/>
        <s v="FS1018-PIN-ZZ-02-D-O-1013          Classroom General 13"/>
        <s v="FS1018-PIN-ZZ-02-D-O-1014          Classroom (General) 14"/>
        <s v="FS1018-PIN-ZZ-02-D-O-1014          Classroom General 14"/>
        <s v="FS1018-PIN-ZZ-02-D-O-1015          Classroom (General) 15"/>
        <s v="FS1018-PIN-ZZ-02-D-O-1015          Classroom General 15"/>
        <s v="FS1018-PIN-ZZ-02-D-O-1016          Classroom (General) 16"/>
        <s v="FS1018-PIN-ZZ-02-D-O-1016          Classroom General 16"/>
        <s v="FS1018-PIN-ZZ-02-D-O-1042          66042P Stairway 7 &amp; 5113A Coats And Bag Store (Lockers) 5"/>
        <s v="FS1018-PIN-ZZ-02-D-O-1042          6042P Stairway 7 And 5113A Coats And Bag Store Lockers 5"/>
        <s v="FS1018-PIN-ZZ-02-D-O-1103          SCIENCE LABORATORIES (RESTRICTIVE, EXTG) 1"/>
        <s v="FS1018-PIN-ZZ-02-D-O-1103          Science Laboratories Restrictive, Extg 1"/>
        <s v="FS1018-PIN-ZZ-02-D-O-1104          Science Laboratories (Restrictive, Extg) 2"/>
        <s v="FS1018-PIN-ZZ-02-D-O-1104          Science Laboratories Restrictive, Extg 2"/>
        <s v="FS1018-PIN-ZZ-02-D-O-1105          Science Laboratories (Restrictive, Extg) 3"/>
        <s v="FS1018-PIN-ZZ-02-D-O-1105          Science Laboratories Restrictive, Extg 3"/>
        <s v="FS1018-PIN-ZZ-02-D-O-1106          SCIENCE LAB"/>
        <s v="FS1018-PIN-ZZ-02-D-O-1106          Science Laboratories (Restrictive, Extg) 4"/>
        <s v="FS1018-PIN-ZZ-02-D-O-1106          Science Laboratories Restrictive, Extg 4"/>
        <s v="FS1018-PIN-ZZ-02-D-O-1107          Science Laboratories (Restrictive, Extg) 5"/>
        <s v="FS1018-PIN-ZZ-02-D-O-1107          Science Laboratories Restrictive, Extg 5"/>
        <s v="FS1018-PIN-ZZ-02-D-O-2000          SECOND FLOOR GA"/>
        <s v="FS1018-PIN-ZZ-02-D-O-2042          6042O Stairway 7 &amp; 5113B Coats And Bag Store (Lockers) 5"/>
        <s v="FS1018-PIN-ZZ-02-D-O-2042          6042O Stairway 7 And 5113B Coats And Bag Store Lockers 5"/>
        <s v="FS1018-PIN-ZZ-02-D-O-3008          Small Group Room (Medium) 1 and 6042T Stairway 7"/>
        <s v="FS1018-PIN-ZZ-02-D-O-3008          Small Group Room Medium 1 And 6042T Stairway 7"/>
        <s v="FS1018-PIN-ZZ-02-D-O-3042          6042N Stairway 7, 5113C and 5113D Coats And Bag Store (Lockers) 5"/>
        <s v="FS1018-PIN-ZZ-02-D-O-3042          6042N Stairway 7, 5113C And 5113D Coats And Bag Store Lockers 5"/>
        <s v="FS1018-PIN-ZZ-02-D-O-4001          STAFF WORKROOM"/>
        <s v="FS1018-PIN-ZZ-02-D-O-4001          Staff Workroom (Teaching Staff) 1 And Teaching Resources Store (Itgt Off Corridor) 3"/>
        <s v="FS1018-PIN-ZZ-02-D-O-4001          Staff Workroom Teaching Staff 1 And Teaching Resources Store It Gt Off Corridor 3"/>
        <s v="FS1018-PIN-ZZ-02-D-O-4011          Office (2 Person) 1"/>
        <s v="FS1018-PIN-ZZ-02-D-O-4014          Office (With Meeting Area, 2 Person) 3"/>
        <s v="FS1018-PIN-ZZ-02-D-O-4014          Office With Meeting Area, 2 Person 3"/>
        <s v="FS1018-PIN-ZZ-02-D-O-5004          SCIENCE PREP"/>
        <s v="FS1018-PIN-ZZ-02-D-O-5004          Science Prep Option 1"/>
        <s v="FS1018-PIN-ZZ-02-D-O-5005          Chemical Store 1"/>
        <s v="FS1018-PIN-ZZ-02-D-O-5020          Science Prep Option 2"/>
        <s v="FS1018-PIN-ZZ-02-D-O-5020          Science Prep"/>
        <s v="FS1018-PIN-ZZ-02-D-O-5102          General Storeroom (Central Stock) 1"/>
        <s v="FS1018-PIN-ZZ-02-D-O-5102          General Storeroom Central Stock 1"/>
        <s v="FS1018-PIN-ZZ-02-D-O-5115          Cleaners' Store 2"/>
        <s v="FS1018-PIN-ZZ-02-D-O-6113          Coats And Bags Store (Lockers) 5"/>
        <s v="FS1018-PIN-ZZ-02-D-O-6113          Coats And Bags Store Lockers 5"/>
        <s v="FS1018-PIN-ZZ-02-D-O-7113          Coats And Bags Store (Lockers) 5"/>
        <s v="FS1018-PIN-ZZ-02-D-O-7113          Coats And Bags Store Lockers 5"/>
        <s v="FS1018-PIN-ZZ-02-D-O-8113          Coats And Bags Store (Lockers) 5"/>
        <s v="FS1018-PIN-ZZ-02-D-O-8113          Coats And Bags Store Lockers 5"/>
        <s v="FS1018-PIN-ZZ-02-D-O-9113          Coats And Bags Store (Lockers) 5"/>
        <s v="FS1018-PIN-ZZ-02-D-O-9113          Coats And Bags Store Lockers 5"/>
        <s v="FS1018-PIN-ZZ-ZZ-L-O-0005          Wisbech Secondary School Occupancy Schedule"/>
        <s v="FS1018-PIN-ZZ-ZZ-L-O-0005          FFE Gap Analysis and Occupancy Schedule"/>
        <s v="FS1018-PIN-ZZ-ZZ-L-O-0006          Catering Equipment Schedule"/>
        <s v="FS1018-PIN-ZZ-ZZ-L-O-0007          FFE Cost Plan"/>
        <s v="FS1018-PIN-ZZ-ZZ-M-O-0001          FFE REVIT MODEL"/>
        <s v="FS1018-PIN-ZZ-ZZ-M-O-0002          FFE IFC MODEL"/>
        <s v="FS1018-PIN-ZZ-ZZ-M-O-0003          FFE NAVIS MODEL"/>
        <s v="FS1018-PIN-ZZ-ZZ-M-O-0004          CATERING IFC MODEL"/>
        <s v="FS1018-PIN-ZZ-ZZ-M-O-0005          CATERING REVIT MODEL"/>
        <s v="FS1018-PIN-ZZ-ZZ-M-O-0006          CATERING NWC MODEL"/>
        <s v="DRW-000001          Dummy 1" u="1"/>
        <s v="DRW-000002          Dummy 2 New Title" u="1"/>
        <s v="DRW-000003          Dummy 3" u="1"/>
        <s v="DRW-000004          Dummy 4" u="1"/>
        <s v="DRW-000005          Dummy 5" u="1"/>
        <s v="DRW-000006          Dummy 6" u="1"/>
        <s v="DRW-000007          Dummy 8 - Superseded" u="1"/>
        <s v="PLN-000001          Dummy 7" u="1"/>
      </sharedItems>
    </cacheField>
    <cacheField name="(Helper) Hyperlink"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1">
  <r>
    <s v="FS1018-ADT-ZZ-00-D-J-0001"/>
    <x v="0"/>
    <x v="0"/>
    <x v="0"/>
    <x v="0"/>
  </r>
  <r>
    <s v="FS1018-ADT-ZZ-00-D-J-0004"/>
    <x v="0"/>
    <x v="0"/>
    <x v="0"/>
    <x v="0"/>
  </r>
  <r>
    <s v="FS1018-ADT-ZZ-01-D-J-0002"/>
    <x v="0"/>
    <x v="0"/>
    <x v="0"/>
    <x v="0"/>
  </r>
  <r>
    <s v="FS1018-ADT-ZZ-01-D-J-0005"/>
    <x v="0"/>
    <x v="0"/>
    <x v="0"/>
    <x v="0"/>
  </r>
  <r>
    <s v="FS1018-ADT-ZZ-02-D-J-0003"/>
    <x v="0"/>
    <x v="0"/>
    <x v="0"/>
    <x v="0"/>
  </r>
  <r>
    <s v="FS1018-ADT-ZZ-02-D-J-0006"/>
    <x v="0"/>
    <x v="0"/>
    <x v="0"/>
    <x v="0"/>
  </r>
  <r>
    <s v="FS1018-ADT-ZZ-ZZ-T-J-0001"/>
    <x v="0"/>
    <x v="0"/>
    <x v="0"/>
    <x v="0"/>
  </r>
  <r>
    <s v="FS1018-ADT-ZZ-ZZ-T-Y-0002"/>
    <x v="0"/>
    <x v="0"/>
    <x v="0"/>
    <x v="0"/>
  </r>
  <r>
    <s v="FS1018-AGL-ZZ-00-D-M-5210"/>
    <x v="0"/>
    <x v="0"/>
    <x v="0"/>
    <x v="0"/>
  </r>
  <r>
    <s v="FS1018-AGL-ZZ-00-D-M-5211"/>
    <x v="0"/>
    <x v="0"/>
    <x v="0"/>
    <x v="0"/>
  </r>
  <r>
    <s v="FS1018-AGL-ZZ-00-D-M-5212"/>
    <x v="0"/>
    <x v="0"/>
    <x v="0"/>
    <x v="0"/>
  </r>
  <r>
    <s v="FS1018-AGL-ZZ-00-D-M-5310"/>
    <x v="0"/>
    <x v="0"/>
    <x v="0"/>
    <x v="0"/>
  </r>
  <r>
    <s v="FS1018-AGL-ZZ-00-D-M-5311"/>
    <x v="0"/>
    <x v="0"/>
    <x v="0"/>
    <x v="0"/>
  </r>
  <r>
    <s v="FS1018-AGL-ZZ-00-D-M-5312"/>
    <x v="0"/>
    <x v="0"/>
    <x v="0"/>
    <x v="0"/>
  </r>
  <r>
    <s v="FS1018-AGL-ZZ-00-D-M-5410"/>
    <x v="0"/>
    <x v="0"/>
    <x v="0"/>
    <x v="0"/>
  </r>
  <r>
    <s v="FS1018-AGL-ZZ-00-D-M-5710"/>
    <x v="0"/>
    <x v="0"/>
    <x v="0"/>
    <x v="0"/>
  </r>
  <r>
    <s v="FS1018-AGL-ZZ-00-D-M-5711"/>
    <x v="0"/>
    <x v="0"/>
    <x v="0"/>
    <x v="0"/>
  </r>
  <r>
    <s v="FS1018-AGL-ZZ-00-D-M-5712"/>
    <x v="0"/>
    <x v="0"/>
    <x v="0"/>
    <x v="0"/>
  </r>
  <r>
    <s v="FS1018-AGL-ZZ-01-D-M-5210"/>
    <x v="0"/>
    <x v="0"/>
    <x v="0"/>
    <x v="0"/>
  </r>
  <r>
    <s v="FS1018-AGL-ZZ-01-D-M-5211"/>
    <x v="0"/>
    <x v="0"/>
    <x v="0"/>
    <x v="0"/>
  </r>
  <r>
    <s v="FS1018-AGL-ZZ-01-D-M-5310"/>
    <x v="0"/>
    <x v="0"/>
    <x v="0"/>
    <x v="0"/>
  </r>
  <r>
    <s v="FS1018-AGL-ZZ-01-D-M-5311"/>
    <x v="0"/>
    <x v="0"/>
    <x v="0"/>
    <x v="0"/>
  </r>
  <r>
    <s v="FS1018-AGL-ZZ-01-D-M-5410"/>
    <x v="0"/>
    <x v="0"/>
    <x v="0"/>
    <x v="0"/>
  </r>
  <r>
    <s v="FS1018-AGL-ZZ-01-D-M-5710"/>
    <x v="0"/>
    <x v="0"/>
    <x v="0"/>
    <x v="0"/>
  </r>
  <r>
    <s v="FS1018-AGL-ZZ-01-D-M-5711"/>
    <x v="0"/>
    <x v="0"/>
    <x v="0"/>
    <x v="0"/>
  </r>
  <r>
    <s v="FS1018-AGL-ZZ-02-D-M-5210"/>
    <x v="0"/>
    <x v="0"/>
    <x v="0"/>
    <x v="0"/>
  </r>
  <r>
    <s v="FS1018-AGL-ZZ-02-D-M-5211"/>
    <x v="0"/>
    <x v="0"/>
    <x v="0"/>
    <x v="0"/>
  </r>
  <r>
    <s v="FS1018-AGL-ZZ-02-D-M-5310"/>
    <x v="0"/>
    <x v="0"/>
    <x v="0"/>
    <x v="0"/>
  </r>
  <r>
    <s v="FS1018-AGL-ZZ-02-D-M-5311"/>
    <x v="0"/>
    <x v="0"/>
    <x v="0"/>
    <x v="0"/>
  </r>
  <r>
    <s v="FS1018-AGL-ZZ-02-D-M-5410"/>
    <x v="0"/>
    <x v="0"/>
    <x v="0"/>
    <x v="0"/>
  </r>
  <r>
    <s v="FS1018-AGL-ZZ-02-D-M-5710"/>
    <x v="0"/>
    <x v="0"/>
    <x v="0"/>
    <x v="0"/>
  </r>
  <r>
    <s v="FS1018-AGL-ZZ-02-D-M-5711"/>
    <x v="0"/>
    <x v="0"/>
    <x v="0"/>
    <x v="0"/>
  </r>
  <r>
    <s v="FS1018-AGL-ZZ-RF-D-E-9001"/>
    <x v="0"/>
    <x v="0"/>
    <x v="0"/>
    <x v="0"/>
  </r>
  <r>
    <s v="FS1018-AGL-ZZ-RF-D-M-5210"/>
    <x v="0"/>
    <x v="0"/>
    <x v="0"/>
    <x v="0"/>
  </r>
  <r>
    <s v="FS1018-AGL-ZZ-RF-D-M-5211"/>
    <x v="0"/>
    <x v="0"/>
    <x v="0"/>
    <x v="0"/>
  </r>
  <r>
    <s v="FS1018-AGL-ZZ-RF-D-M-5212"/>
    <x v="0"/>
    <x v="0"/>
    <x v="0"/>
    <x v="0"/>
  </r>
  <r>
    <s v="FS1018-AGL-ZZ-RF-D-M-5310"/>
    <x v="0"/>
    <x v="0"/>
    <x v="0"/>
    <x v="0"/>
  </r>
  <r>
    <s v="FS1018-AGL-ZZ-RF-D-M-5311"/>
    <x v="0"/>
    <x v="0"/>
    <x v="0"/>
    <x v="0"/>
  </r>
  <r>
    <s v="FS1018-AGL-ZZ-RF-D-M-5312"/>
    <x v="0"/>
    <x v="0"/>
    <x v="0"/>
    <x v="0"/>
  </r>
  <r>
    <s v="FS1018-AGL-ZZ-RF-D-Z-5810"/>
    <x v="0"/>
    <x v="0"/>
    <x v="0"/>
    <x v="0"/>
  </r>
  <r>
    <s v="FS1018-AGL-ZZ-RF-D-Z-5811"/>
    <x v="0"/>
    <x v="0"/>
    <x v="0"/>
    <x v="0"/>
  </r>
  <r>
    <s v="FS1018-AGL-ZZ-RF-D-Z-5812"/>
    <x v="0"/>
    <x v="0"/>
    <x v="0"/>
    <x v="0"/>
  </r>
  <r>
    <s v="FS1018-AGL-ZZ-XX-D-E-9001"/>
    <x v="1"/>
    <x v="1"/>
    <x v="0"/>
    <x v="1"/>
  </r>
  <r>
    <s v="FS1018-AGL-ZZ-XX-D-E-9002"/>
    <x v="0"/>
    <x v="0"/>
    <x v="0"/>
    <x v="0"/>
  </r>
  <r>
    <s v="FS1018-AGL-ZZ-XX-D-Z-9510"/>
    <x v="1"/>
    <x v="1"/>
    <x v="0"/>
    <x v="1"/>
  </r>
  <r>
    <s v="FS1018-AGL-ZZ-XX-L-Z-0001"/>
    <x v="0"/>
    <x v="0"/>
    <x v="0"/>
    <x v="0"/>
  </r>
  <r>
    <s v="FS1018-AGL-ZZ-XX-T-E-0003"/>
    <x v="0"/>
    <x v="0"/>
    <x v="0"/>
    <x v="0"/>
  </r>
  <r>
    <s v="FS1018-AGL-ZZ-XX-T-Z-0002"/>
    <x v="0"/>
    <x v="0"/>
    <x v="0"/>
    <x v="0"/>
  </r>
  <r>
    <s v="FS1018-AGL-ZZ-XX-T-Z-0003"/>
    <x v="1"/>
    <x v="1"/>
    <x v="0"/>
    <x v="1"/>
  </r>
  <r>
    <s v="FS1018-AGL-ZZ-ZZ-M-Z-0001"/>
    <x v="1"/>
    <x v="1"/>
    <x v="0"/>
    <x v="1"/>
  </r>
  <r>
    <s v="FS1018-CPM-01-XX-T-A-0010"/>
    <x v="1"/>
    <x v="2"/>
    <x v="0"/>
    <x v="2"/>
  </r>
  <r>
    <s v="FS1018-CPM-XX-XX-T-A-0020"/>
    <x v="1"/>
    <x v="1"/>
    <x v="0"/>
    <x v="1"/>
  </r>
  <r>
    <s v="FS1018-CPM-XX-XX-T-A-5002"/>
    <x v="0"/>
    <x v="0"/>
    <x v="0"/>
    <x v="0"/>
  </r>
  <r>
    <s v="FS1018-CPM-ZZ-00-D-A-2142"/>
    <x v="0"/>
    <x v="0"/>
    <x v="0"/>
    <x v="0"/>
  </r>
  <r>
    <s v="FS1018-CPM-ZZ-00-D-A-3050"/>
    <x v="0"/>
    <x v="0"/>
    <x v="0"/>
    <x v="0"/>
  </r>
  <r>
    <s v="FS1018-CPM-ZZ-00-D-A-3051"/>
    <x v="0"/>
    <x v="0"/>
    <x v="0"/>
    <x v="0"/>
  </r>
  <r>
    <s v="FS1018-CPM-ZZ-00-D-A-3500"/>
    <x v="0"/>
    <x v="0"/>
    <x v="0"/>
    <x v="0"/>
  </r>
  <r>
    <s v="FS1018-CPM-ZZ-00-D-A-6811"/>
    <x v="0"/>
    <x v="0"/>
    <x v="0"/>
    <x v="0"/>
  </r>
  <r>
    <s v="FS1018-CPM-ZZ-01-D-A-3501"/>
    <x v="0"/>
    <x v="0"/>
    <x v="0"/>
    <x v="0"/>
  </r>
  <r>
    <s v="FS1018-CPM-ZZ-02-D-A-3502"/>
    <x v="0"/>
    <x v="0"/>
    <x v="0"/>
    <x v="0"/>
  </r>
  <r>
    <s v="FS1018-CPM-ZZ-RF-D-A-2144"/>
    <x v="0"/>
    <x v="0"/>
    <x v="0"/>
    <x v="0"/>
  </r>
  <r>
    <s v="FS1018-CPM-ZZ-RF-D-A-2145"/>
    <x v="0"/>
    <x v="0"/>
    <x v="0"/>
    <x v="0"/>
  </r>
  <r>
    <s v="FS1018-CPM-ZZ-XX-L-A-0020"/>
    <x v="1"/>
    <x v="1"/>
    <x v="0"/>
    <x v="1"/>
  </r>
  <r>
    <s v="FS1018-CPM-ZZ-ZZ-D-A-0050"/>
    <x v="1"/>
    <x v="1"/>
    <x v="0"/>
    <x v="1"/>
  </r>
  <r>
    <s v="FS1018-CPM-ZZ-ZZ-D-A-0051"/>
    <x v="1"/>
    <x v="1"/>
    <x v="0"/>
    <x v="1"/>
  </r>
  <r>
    <s v="FS1018-CPM-ZZ-ZZ-D-A-0052"/>
    <x v="1"/>
    <x v="1"/>
    <x v="0"/>
    <x v="1"/>
  </r>
  <r>
    <s v="FS1018-CPM-ZZ-ZZ-D-A-0054"/>
    <x v="1"/>
    <x v="1"/>
    <x v="0"/>
    <x v="1"/>
  </r>
  <r>
    <s v="FS1018-CPM-ZZ-ZZ-D-A-2005"/>
    <x v="1"/>
    <x v="1"/>
    <x v="0"/>
    <x v="1"/>
  </r>
  <r>
    <s v="FS1018-CPM-ZZ-ZZ-D-A-2025"/>
    <x v="0"/>
    <x v="0"/>
    <x v="0"/>
    <x v="0"/>
  </r>
  <r>
    <s v="FS1018-CPM-ZZ-ZZ-D-A-2032"/>
    <x v="1"/>
    <x v="1"/>
    <x v="0"/>
    <x v="1"/>
  </r>
  <r>
    <s v="FS1018-CPM-ZZ-ZZ-D-A-2141"/>
    <x v="1"/>
    <x v="1"/>
    <x v="0"/>
    <x v="1"/>
  </r>
  <r>
    <s v="FS1018-CPM-ZZ-ZZ-D-A-2144"/>
    <x v="0"/>
    <x v="0"/>
    <x v="0"/>
    <x v="0"/>
  </r>
  <r>
    <s v="FS1018-CPM-ZZ-ZZ-D-A-6801"/>
    <x v="0"/>
    <x v="0"/>
    <x v="0"/>
    <x v="0"/>
  </r>
  <r>
    <s v="FS1018-CPM-ZZ-ZZ-D-A-6803"/>
    <x v="0"/>
    <x v="0"/>
    <x v="0"/>
    <x v="0"/>
  </r>
  <r>
    <s v="FS1018-CPM-ZZ-ZZ-L-A-0001"/>
    <x v="1"/>
    <x v="2"/>
    <x v="0"/>
    <x v="2"/>
  </r>
  <r>
    <s v="FS1018-CPM-ZZ-ZZ-M-A-0002"/>
    <x v="1"/>
    <x v="2"/>
    <x v="0"/>
    <x v="2"/>
  </r>
  <r>
    <s v="FS1018-CPM-ZZ-ZZ-V-A-0001"/>
    <x v="1"/>
    <x v="1"/>
    <x v="0"/>
    <x v="1"/>
  </r>
  <r>
    <s v="FS1018-EVR-XX-XX-D-O-0001"/>
    <x v="1"/>
    <x v="1"/>
    <x v="0"/>
    <x v="1"/>
  </r>
  <r>
    <s v="FS1018-EVR-XX-XX-D-O-0002"/>
    <x v="1"/>
    <x v="1"/>
    <x v="0"/>
    <x v="1"/>
  </r>
  <r>
    <s v="FS1018-EVR-XX-XX-G-O-0001"/>
    <x v="0"/>
    <x v="0"/>
    <x v="0"/>
    <x v="0"/>
  </r>
  <r>
    <s v="FS1018-EVR-XX-XX-L-O-0001"/>
    <x v="0"/>
    <x v="0"/>
    <x v="0"/>
    <x v="0"/>
  </r>
  <r>
    <s v="FS1018-EVR-XX-XX-L-O-0002"/>
    <x v="0"/>
    <x v="0"/>
    <x v="0"/>
    <x v="0"/>
  </r>
  <r>
    <s v="FS1018-EVR-XX-XX-L-O-0004"/>
    <x v="0"/>
    <x v="0"/>
    <x v="0"/>
    <x v="0"/>
  </r>
  <r>
    <s v="FS1018-HBC-XX-XX-D-R-9999"/>
    <x v="1"/>
    <x v="3"/>
    <x v="0"/>
    <x v="3"/>
  </r>
  <r>
    <s v="FS1018-HBC-XX-XX-D-X-0002"/>
    <x v="1"/>
    <x v="1"/>
    <x v="0"/>
    <x v="1"/>
  </r>
  <r>
    <s v="FS1018-HBC-XX-XX-D-X-0003"/>
    <x v="1"/>
    <x v="1"/>
    <x v="0"/>
    <x v="1"/>
  </r>
  <r>
    <s v="FS1018-HBC-XX-XX-D-X-0004"/>
    <x v="1"/>
    <x v="1"/>
    <x v="0"/>
    <x v="1"/>
  </r>
  <r>
    <s v="FS1018-HBC-XX-XX-L-X-0003"/>
    <x v="1"/>
    <x v="1"/>
    <x v="0"/>
    <x v="1"/>
  </r>
  <r>
    <s v="FS1018-HBC-XX-XX-L-X-0004"/>
    <x v="1"/>
    <x v="1"/>
    <x v="0"/>
    <x v="1"/>
  </r>
  <r>
    <s v="FS1018-HBC-XX-XX-L-X-0005"/>
    <x v="1"/>
    <x v="1"/>
    <x v="0"/>
    <x v="1"/>
  </r>
  <r>
    <s v="FS1018-HBC-XX-XX-L-X-0006"/>
    <x v="1"/>
    <x v="4"/>
    <x v="0"/>
    <x v="4"/>
  </r>
  <r>
    <s v="FS1018-HBC-XX-XX-L-X-0007"/>
    <x v="1"/>
    <x v="1"/>
    <x v="0"/>
    <x v="1"/>
  </r>
  <r>
    <s v="FS1018-HBC-XX-XX-L-X-0013"/>
    <x v="0"/>
    <x v="0"/>
    <x v="0"/>
    <x v="0"/>
  </r>
  <r>
    <s v="FS1018-HBC-XX-XX-L-X-0016"/>
    <x v="0"/>
    <x v="0"/>
    <x v="0"/>
    <x v="0"/>
  </r>
  <r>
    <s v="FS1018-HBC-XX-XX-L-X-0018"/>
    <x v="0"/>
    <x v="0"/>
    <x v="0"/>
    <x v="0"/>
  </r>
  <r>
    <s v="FS1018-HBC-XX-XX-L-X-1001"/>
    <x v="0"/>
    <x v="0"/>
    <x v="0"/>
    <x v="0"/>
  </r>
  <r>
    <s v="FS1018-HBC-XX-XX-L-X-1002"/>
    <x v="1"/>
    <x v="4"/>
    <x v="0"/>
    <x v="4"/>
  </r>
  <r>
    <s v="FS1018-HBC-XX-XX-L-X-1004"/>
    <x v="0"/>
    <x v="0"/>
    <x v="0"/>
    <x v="0"/>
  </r>
  <r>
    <s v="FS1018-HBC-XX-XX-T-X-0001"/>
    <x v="1"/>
    <x v="4"/>
    <x v="0"/>
    <x v="4"/>
  </r>
  <r>
    <s v="FS1018-HEX-XX-XX-T-C-0001"/>
    <x v="1"/>
    <x v="1"/>
    <x v="0"/>
    <x v="1"/>
  </r>
  <r>
    <s v="FS1018-HEX-XX-XX-T-C-0004"/>
    <x v="0"/>
    <x v="0"/>
    <x v="0"/>
    <x v="0"/>
  </r>
  <r>
    <s v="FS1018-HEX-XX-XX-T-C-0010"/>
    <x v="1"/>
    <x v="1"/>
    <x v="0"/>
    <x v="1"/>
  </r>
  <r>
    <s v="FS1018-HEX-XX-XX-T-H-0001"/>
    <x v="0"/>
    <x v="0"/>
    <x v="0"/>
    <x v="0"/>
  </r>
  <r>
    <s v="FS1018-HEX-XX-XX-T-S-0003"/>
    <x v="0"/>
    <x v="0"/>
    <x v="0"/>
    <x v="0"/>
  </r>
  <r>
    <s v="FS1018-HEX-ZZ-00-D-S-0101"/>
    <x v="1"/>
    <x v="1"/>
    <x v="0"/>
    <x v="1"/>
  </r>
  <r>
    <s v="FS1018-HEX-ZZ-00-D-S-0200"/>
    <x v="1"/>
    <x v="4"/>
    <x v="0"/>
    <x v="4"/>
  </r>
  <r>
    <s v="FS1018-HEX-ZZ-01-D-S-0201"/>
    <x v="1"/>
    <x v="4"/>
    <x v="0"/>
    <x v="4"/>
  </r>
  <r>
    <s v="FS1018-HEX-ZZ-02-D-S-0202"/>
    <x v="1"/>
    <x v="4"/>
    <x v="0"/>
    <x v="4"/>
  </r>
  <r>
    <s v="FS1018-HEX-ZZ-RF-D-S-0203"/>
    <x v="1"/>
    <x v="4"/>
    <x v="0"/>
    <x v="4"/>
  </r>
  <r>
    <s v="FS1018-HEX-ZZ-RF-D-S-0204"/>
    <x v="1"/>
    <x v="4"/>
    <x v="0"/>
    <x v="4"/>
  </r>
  <r>
    <s v="FS1018-HEX-ZZ-RF-D-S-0205"/>
    <x v="1"/>
    <x v="4"/>
    <x v="0"/>
    <x v="4"/>
  </r>
  <r>
    <s v="FS1018-HEX-ZZ-XX-D-S-0001"/>
    <x v="0"/>
    <x v="0"/>
    <x v="0"/>
    <x v="0"/>
  </r>
  <r>
    <s v="FS1018-HEX-ZZ-ZZ-D-C-9020"/>
    <x v="0"/>
    <x v="0"/>
    <x v="0"/>
    <x v="0"/>
  </r>
  <r>
    <s v="FS1018-HEX-ZZ-ZZ-D-C-9021"/>
    <x v="0"/>
    <x v="0"/>
    <x v="0"/>
    <x v="0"/>
  </r>
  <r>
    <s v="FS1018-HEX-ZZ-ZZ-D-C-9025"/>
    <x v="0"/>
    <x v="0"/>
    <x v="0"/>
    <x v="0"/>
  </r>
  <r>
    <s v="FS1018-HEX-ZZ-ZZ-D-S-0501"/>
    <x v="1"/>
    <x v="1"/>
    <x v="0"/>
    <x v="1"/>
  </r>
  <r>
    <s v="FS1018-HEX-ZZ-ZZ-D-S-0502"/>
    <x v="1"/>
    <x v="1"/>
    <x v="0"/>
    <x v="1"/>
  </r>
  <r>
    <s v="FS1018-HEX-ZZ-ZZ-D-S-0503"/>
    <x v="1"/>
    <x v="1"/>
    <x v="0"/>
    <x v="1"/>
  </r>
  <r>
    <s v="FS1018-HEX-ZZ-ZZ-D-S-0601"/>
    <x v="1"/>
    <x v="4"/>
    <x v="0"/>
    <x v="4"/>
  </r>
  <r>
    <s v="FS1018-HEX-ZZ-ZZ-D-S-0602"/>
    <x v="1"/>
    <x v="1"/>
    <x v="0"/>
    <x v="1"/>
  </r>
  <r>
    <s v="FS1018-HEX-ZZ-ZZ-M-C-0001"/>
    <x v="0"/>
    <x v="0"/>
    <x v="0"/>
    <x v="0"/>
  </r>
  <r>
    <s v="FS1018-HEX-ZZ-ZZ-M-C-0002"/>
    <x v="0"/>
    <x v="0"/>
    <x v="0"/>
    <x v="0"/>
  </r>
  <r>
    <s v="FS1018-HEX-ZZ-ZZ-M-C-0003"/>
    <x v="0"/>
    <x v="0"/>
    <x v="0"/>
    <x v="0"/>
  </r>
  <r>
    <s v="FS1018-HEX-ZZ-ZZ-T-C-0001"/>
    <x v="0"/>
    <x v="0"/>
    <x v="0"/>
    <x v="0"/>
  </r>
  <r>
    <s v="FS1018-MAJ-XX-XX-L-X-0090"/>
    <x v="0"/>
    <x v="0"/>
    <x v="0"/>
    <x v="0"/>
  </r>
  <r>
    <s v="FS1018-MAJ-XX-XX-L-X-8001"/>
    <x v="0"/>
    <x v="0"/>
    <x v="0"/>
    <x v="0"/>
  </r>
  <r>
    <s v="FS1018-MAJ-XX-XX-L-X-8002"/>
    <x v="0"/>
    <x v="0"/>
    <x v="0"/>
    <x v="0"/>
  </r>
  <r>
    <s v="FS1018-MAJ-XX-XX-T-X-0001"/>
    <x v="1"/>
    <x v="2"/>
    <x v="0"/>
    <x v="2"/>
  </r>
  <r>
    <s v="FS1018-OFR-XX-00-D-K-0001"/>
    <x v="1"/>
    <x v="1"/>
    <x v="0"/>
    <x v="1"/>
  </r>
  <r>
    <s v="FS1018-OFR-XX-01-D-K-0001"/>
    <x v="1"/>
    <x v="1"/>
    <x v="0"/>
    <x v="1"/>
  </r>
  <r>
    <s v="FS1018-OFR-XX-02-D-K-0001"/>
    <x v="1"/>
    <x v="1"/>
    <x v="0"/>
    <x v="1"/>
  </r>
  <r>
    <s v="FS1018-OFR-XX-XX-D-K-0001"/>
    <x v="1"/>
    <x v="1"/>
    <x v="0"/>
    <x v="1"/>
  </r>
  <r>
    <s v="FS1018-OFR-XX-ZZ-G-K-0001"/>
    <x v="1"/>
    <x v="1"/>
    <x v="0"/>
    <x v="1"/>
  </r>
  <r>
    <s v="FS1018-ONE-XX-XX-T-L-0001"/>
    <x v="1"/>
    <x v="1"/>
    <x v="0"/>
    <x v="1"/>
  </r>
  <r>
    <s v="FS1018-ONE-XX-XX-T-L-0002"/>
    <x v="0"/>
    <x v="0"/>
    <x v="0"/>
    <x v="0"/>
  </r>
  <r>
    <s v="FS1018-ONE-XX-ZZ-D-L-0001"/>
    <x v="1"/>
    <x v="4"/>
    <x v="0"/>
    <x v="4"/>
  </r>
  <r>
    <s v="FS1018-ONE-XX-ZZ-D-L-0004"/>
    <x v="1"/>
    <x v="1"/>
    <x v="0"/>
    <x v="1"/>
  </r>
  <r>
    <s v="FS1018-ONE-XX-ZZ-D-L-0005"/>
    <x v="1"/>
    <x v="1"/>
    <x v="0"/>
    <x v="1"/>
  </r>
  <r>
    <s v="FS1018-ONE-XX-ZZ-D-L-0006"/>
    <x v="1"/>
    <x v="1"/>
    <x v="0"/>
    <x v="1"/>
  </r>
  <r>
    <s v="FS1018-ONE-XX-ZZ-D-L-0007"/>
    <x v="1"/>
    <x v="1"/>
    <x v="0"/>
    <x v="1"/>
  </r>
  <r>
    <s v="FS1018-ONE-XX-ZZ-D-L-0008"/>
    <x v="1"/>
    <x v="1"/>
    <x v="0"/>
    <x v="1"/>
  </r>
  <r>
    <s v="FS1018-ONE-XX-ZZ-D-L-0013"/>
    <x v="1"/>
    <x v="1"/>
    <x v="0"/>
    <x v="1"/>
  </r>
  <r>
    <s v="FS1018-ONE-XX-ZZ-D-L-0014"/>
    <x v="1"/>
    <x v="1"/>
    <x v="0"/>
    <x v="1"/>
  </r>
  <r>
    <s v="FS1018-ONE-XX-ZZ-D-L-0021"/>
    <x v="0"/>
    <x v="0"/>
    <x v="0"/>
    <x v="0"/>
  </r>
  <r>
    <s v="FS1018-ONE-XX-ZZ-D-L-0022"/>
    <x v="0"/>
    <x v="0"/>
    <x v="0"/>
    <x v="0"/>
  </r>
  <r>
    <s v="FS1018-ONE-XX-ZZ-D-L-0023"/>
    <x v="0"/>
    <x v="0"/>
    <x v="0"/>
    <x v="0"/>
  </r>
  <r>
    <s v="FS1018-ONE-XX-ZZ-D-L-0024"/>
    <x v="0"/>
    <x v="0"/>
    <x v="0"/>
    <x v="0"/>
  </r>
  <r>
    <s v="FS1018-ONE-XX-ZZ-D-L-0025"/>
    <x v="0"/>
    <x v="0"/>
    <x v="0"/>
    <x v="0"/>
  </r>
  <r>
    <s v="FS1018-ONE-XX-ZZ-D-L-0205"/>
    <x v="1"/>
    <x v="1"/>
    <x v="0"/>
    <x v="1"/>
  </r>
  <r>
    <s v="FS1018-ONE-XX-ZZ-D-L-0401"/>
    <x v="1"/>
    <x v="1"/>
    <x v="0"/>
    <x v="1"/>
  </r>
  <r>
    <s v="FS1018-ONE-XX-ZZ-D-L-0402"/>
    <x v="1"/>
    <x v="1"/>
    <x v="0"/>
    <x v="1"/>
  </r>
  <r>
    <s v="FS1018-ONE-XX-ZZ-D-L-0403"/>
    <x v="1"/>
    <x v="1"/>
    <x v="0"/>
    <x v="1"/>
  </r>
  <r>
    <s v="FS1018-ONE-XX-ZZ-D-L-0404"/>
    <x v="1"/>
    <x v="1"/>
    <x v="0"/>
    <x v="1"/>
  </r>
  <r>
    <s v="FS1018-ONE-XX-ZZ-D-L-0405"/>
    <x v="1"/>
    <x v="1"/>
    <x v="0"/>
    <x v="1"/>
  </r>
  <r>
    <s v="FS1018-ONE-ZZ-XX-T-L-0004"/>
    <x v="0"/>
    <x v="0"/>
    <x v="0"/>
    <x v="0"/>
  </r>
  <r>
    <s v="FS1018-ONE-ZZ-ZZ-M-L-0002"/>
    <x v="1"/>
    <x v="1"/>
    <x v="0"/>
    <x v="1"/>
  </r>
  <r>
    <s v="FS1018-ONE-ZZ-ZZ-M-L-0003"/>
    <x v="1"/>
    <x v="1"/>
    <x v="0"/>
    <x v="1"/>
  </r>
  <r>
    <s v="FS1018-PIN-XX-XX-L-O-0003"/>
    <x v="0"/>
    <x v="0"/>
    <x v="0"/>
    <x v="0"/>
  </r>
  <r>
    <s v="FS1018-PIN-ZZ-00-D-O-0001"/>
    <x v="1"/>
    <x v="1"/>
    <x v="0"/>
    <x v="1"/>
  </r>
  <r>
    <s v="FS1018-PIN-ZZ-00-D-O-0002"/>
    <x v="1"/>
    <x v="1"/>
    <x v="0"/>
    <x v="1"/>
  </r>
  <r>
    <s v="FS1018-PIN-ZZ-00-D-O-1109"/>
    <x v="1"/>
    <x v="1"/>
    <x v="0"/>
    <x v="1"/>
  </r>
  <r>
    <s v="FS1018-PIN-ZZ-00-D-O-1111"/>
    <x v="1"/>
    <x v="1"/>
    <x v="0"/>
    <x v="1"/>
  </r>
  <r>
    <s v="FS1018-PIN-ZZ-00-D-O-2002"/>
    <x v="1"/>
    <x v="1"/>
    <x v="0"/>
    <x v="1"/>
  </r>
  <r>
    <s v="FS1018-PIN-ZZ-00-D-O-3001"/>
    <x v="1"/>
    <x v="1"/>
    <x v="0"/>
    <x v="1"/>
  </r>
  <r>
    <s v="FS1018-PIN-ZZ-00-D-O-4003"/>
    <x v="0"/>
    <x v="0"/>
    <x v="0"/>
    <x v="0"/>
  </r>
  <r>
    <s v="FS1018-PIN-ZZ-00-D-O-4004"/>
    <x v="0"/>
    <x v="0"/>
    <x v="0"/>
    <x v="0"/>
  </r>
  <r>
    <s v="FS1018-PIN-ZZ-00-D-O-4005"/>
    <x v="0"/>
    <x v="0"/>
    <x v="0"/>
    <x v="0"/>
  </r>
  <r>
    <s v="FS1018-PIN-ZZ-00-D-O-4006"/>
    <x v="0"/>
    <x v="0"/>
    <x v="0"/>
    <x v="0"/>
  </r>
  <r>
    <s v="FS1018-PIN-ZZ-00-D-O-4015"/>
    <x v="0"/>
    <x v="0"/>
    <x v="0"/>
    <x v="0"/>
  </r>
  <r>
    <s v="FS1018-PIN-ZZ-00-D-O-4018"/>
    <x v="0"/>
    <x v="0"/>
    <x v="0"/>
    <x v="0"/>
  </r>
  <r>
    <s v="FS1018-PIN-ZZ-00-D-O-5007"/>
    <x v="0"/>
    <x v="0"/>
    <x v="0"/>
    <x v="0"/>
  </r>
  <r>
    <s v="FS1018-PIN-ZZ-00-D-O-5008"/>
    <x v="0"/>
    <x v="0"/>
    <x v="0"/>
    <x v="0"/>
  </r>
  <r>
    <s v="FS1018-PIN-ZZ-00-D-O-5018"/>
    <x v="0"/>
    <x v="0"/>
    <x v="0"/>
    <x v="0"/>
  </r>
  <r>
    <s v="FS1018-PIN-ZZ-00-D-O-5019"/>
    <x v="0"/>
    <x v="0"/>
    <x v="0"/>
    <x v="0"/>
  </r>
  <r>
    <s v="FS1018-PIN-ZZ-00-D-O-5103"/>
    <x v="0"/>
    <x v="0"/>
    <x v="0"/>
    <x v="0"/>
  </r>
  <r>
    <s v="FS1018-PIN-ZZ-00-D-O-6001"/>
    <x v="1"/>
    <x v="1"/>
    <x v="0"/>
    <x v="1"/>
  </r>
  <r>
    <s v="FS1018-PIN-ZZ-00-D-O-6002"/>
    <x v="0"/>
    <x v="0"/>
    <x v="0"/>
    <x v="0"/>
  </r>
  <r>
    <s v="FS1018-PIN-ZZ-00-D-O-6003"/>
    <x v="0"/>
    <x v="0"/>
    <x v="0"/>
    <x v="0"/>
  </r>
  <r>
    <s v="FS1018-PIN-ZZ-00-D-O-6004"/>
    <x v="0"/>
    <x v="0"/>
    <x v="0"/>
    <x v="0"/>
  </r>
  <r>
    <s v="FS1018-PIN-ZZ-00-D-O-6006"/>
    <x v="0"/>
    <x v="0"/>
    <x v="0"/>
    <x v="0"/>
  </r>
  <r>
    <s v="FS1018-PIN-ZZ-00-D-O-6011"/>
    <x v="0"/>
    <x v="0"/>
    <x v="0"/>
    <x v="0"/>
  </r>
  <r>
    <s v="FS1018-PIN-ZZ-00-D-O-6042"/>
    <x v="0"/>
    <x v="0"/>
    <x v="0"/>
    <x v="0"/>
  </r>
  <r>
    <s v="FS1018-PIN-ZZ-00-D-O-6069"/>
    <x v="0"/>
    <x v="0"/>
    <x v="0"/>
    <x v="0"/>
  </r>
  <r>
    <s v="FS1018-PIN-ZZ-00-D-O-7001"/>
    <x v="1"/>
    <x v="1"/>
    <x v="0"/>
    <x v="1"/>
  </r>
  <r>
    <s v="FS1018-PIN-ZZ-01-D-O-1000"/>
    <x v="1"/>
    <x v="1"/>
    <x v="0"/>
    <x v="1"/>
  </r>
  <r>
    <s v="FS1018-PIN-ZZ-01-D-O-1001"/>
    <x v="1"/>
    <x v="1"/>
    <x v="0"/>
    <x v="1"/>
  </r>
  <r>
    <s v="FS1018-PIN-ZZ-01-D-O-1007"/>
    <x v="1"/>
    <x v="1"/>
    <x v="0"/>
    <x v="1"/>
  </r>
  <r>
    <s v="FS1018-PIN-ZZ-01-D-O-1021"/>
    <x v="1"/>
    <x v="1"/>
    <x v="0"/>
    <x v="1"/>
  </r>
  <r>
    <s v="FS1018-PIN-ZZ-01-D-O-1101"/>
    <x v="1"/>
    <x v="1"/>
    <x v="0"/>
    <x v="1"/>
  </r>
  <r>
    <s v="FS1018-PIN-ZZ-01-D-O-1102"/>
    <x v="1"/>
    <x v="1"/>
    <x v="0"/>
    <x v="1"/>
  </r>
  <r>
    <s v="FS1018-PIN-ZZ-01-D-O-1108"/>
    <x v="1"/>
    <x v="1"/>
    <x v="0"/>
    <x v="1"/>
  </r>
  <r>
    <s v="FS1018-PIN-ZZ-01-D-O-4017"/>
    <x v="0"/>
    <x v="0"/>
    <x v="0"/>
    <x v="0"/>
  </r>
  <r>
    <s v="FS1018-PIN-ZZ-01-D-O-5006"/>
    <x v="0"/>
    <x v="0"/>
    <x v="0"/>
    <x v="0"/>
  </r>
  <r>
    <s v="FS1018-PIN-ZZ-01-D-O-5116"/>
    <x v="0"/>
    <x v="0"/>
    <x v="0"/>
    <x v="0"/>
  </r>
  <r>
    <s v="FS1018-PIN-ZZ-02-D-O-1106"/>
    <x v="1"/>
    <x v="1"/>
    <x v="0"/>
    <x v="1"/>
  </r>
  <r>
    <s v="FS1018-PIN-ZZ-02-D-O-2000"/>
    <x v="1"/>
    <x v="1"/>
    <x v="0"/>
    <x v="1"/>
  </r>
  <r>
    <s v="FS1018-PIN-ZZ-02-D-O-3008"/>
    <x v="0"/>
    <x v="0"/>
    <x v="0"/>
    <x v="0"/>
  </r>
  <r>
    <s v="FS1018-PIN-ZZ-02-D-O-4001"/>
    <x v="1"/>
    <x v="1"/>
    <x v="0"/>
    <x v="1"/>
  </r>
  <r>
    <s v="FS1018-PIN-ZZ-02-D-O-4014"/>
    <x v="0"/>
    <x v="0"/>
    <x v="0"/>
    <x v="0"/>
  </r>
  <r>
    <s v="FS1018-PIN-ZZ-02-D-O-5004"/>
    <x v="1"/>
    <x v="1"/>
    <x v="0"/>
    <x v="1"/>
  </r>
  <r>
    <s v="FS1018-PIN-ZZ-02-D-O-5005"/>
    <x v="0"/>
    <x v="0"/>
    <x v="0"/>
    <x v="0"/>
  </r>
  <r>
    <s v="FS1018-PIN-ZZ-02-D-O-5102"/>
    <x v="0"/>
    <x v="0"/>
    <x v="0"/>
    <x v="0"/>
  </r>
  <r>
    <s v="FS1018-PIN-ZZ-02-D-O-5115"/>
    <x v="0"/>
    <x v="0"/>
    <x v="0"/>
    <x v="0"/>
  </r>
  <r>
    <s v="FS1018-PIN-ZZ-02-D-O-6113"/>
    <x v="0"/>
    <x v="0"/>
    <x v="0"/>
    <x v="0"/>
  </r>
  <r>
    <s v="FS1018-PIN-ZZ-02-D-O-7113"/>
    <x v="0"/>
    <x v="0"/>
    <x v="0"/>
    <x v="0"/>
  </r>
  <r>
    <s v="FS1018-PIN-ZZ-02-D-O-8113"/>
    <x v="0"/>
    <x v="0"/>
    <x v="0"/>
    <x v="0"/>
  </r>
  <r>
    <s v="FS1018-PIN-ZZ-02-D-O-9113"/>
    <x v="0"/>
    <x v="0"/>
    <x v="0"/>
    <x v="0"/>
  </r>
  <r>
    <s v="FS1018-PIN-ZZ-ZZ-L-O-0005"/>
    <x v="0"/>
    <x v="0"/>
    <x v="0"/>
    <x v="0"/>
  </r>
  <r>
    <s v="FS1018-PIN-ZZ-ZZ-M-O-0004"/>
    <x v="1"/>
    <x v="1"/>
    <x v="0"/>
    <x v="1"/>
  </r>
  <r>
    <s v="FS1018-PIN-ZZ-ZZ-M-O-0005"/>
    <x v="1"/>
    <x v="1"/>
    <x v="0"/>
    <x v="1"/>
  </r>
  <r>
    <s v="FS1018-PIN-ZZ-ZZ-M-O-0006"/>
    <x v="0"/>
    <x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s v="FS1018-ADT-ZZ-00-D-J-0001"/>
    <s v="Acoustic criteria - ground floor"/>
    <x v="0"/>
    <s v="Completed"/>
    <x v="0"/>
    <x v="0"/>
    <x v="0"/>
    <x v="0"/>
    <x v="0"/>
    <b v="0"/>
    <x v="0"/>
    <s v="FS1018-ADT-ZZ-00-D-J-0001"/>
  </r>
  <r>
    <s v="FS1018-ADT-ZZ-00-D-J-0001"/>
    <s v="BB93 Acoustic Criteria Ground Floor"/>
    <x v="1"/>
    <s v="In Progress"/>
    <x v="1"/>
    <x v="1"/>
    <x v="1"/>
    <x v="1"/>
    <x v="0"/>
    <b v="1"/>
    <x v="1"/>
    <s v="FS1018-ADT-ZZ-00-D-J-0001"/>
  </r>
  <r>
    <s v="FS1018-ADT-ZZ-00-D-J-0004"/>
    <s v="Acoustic  wall types - ground floor"/>
    <x v="0"/>
    <s v="Completed"/>
    <x v="0"/>
    <x v="0"/>
    <x v="2"/>
    <x v="0"/>
    <x v="1"/>
    <b v="0"/>
    <x v="2"/>
    <s v="FS1018-ADT-ZZ-00-D-J-0004"/>
  </r>
  <r>
    <s v="FS1018-ADT-ZZ-00-D-J-0004"/>
    <s v="Acoustic Wall Types Ground Floor"/>
    <x v="1"/>
    <s v="In Progress"/>
    <x v="1"/>
    <x v="1"/>
    <x v="1"/>
    <x v="1"/>
    <x v="0"/>
    <b v="1"/>
    <x v="3"/>
    <s v="FS1018-ADT-ZZ-00-D-J-0004"/>
  </r>
  <r>
    <s v="FS1018-ADT-ZZ-01-D-J-0002"/>
    <s v="Acoustic criteria - first floor"/>
    <x v="0"/>
    <s v="Completed"/>
    <x v="0"/>
    <x v="0"/>
    <x v="0"/>
    <x v="0"/>
    <x v="0"/>
    <b v="0"/>
    <x v="4"/>
    <s v="FS1018-ADT-ZZ-01-D-J-0002"/>
  </r>
  <r>
    <s v="FS1018-ADT-ZZ-01-D-J-0002"/>
    <s v="BB93 Acoustic Criteria First Floor"/>
    <x v="1"/>
    <s v="In Progress"/>
    <x v="1"/>
    <x v="1"/>
    <x v="1"/>
    <x v="1"/>
    <x v="0"/>
    <b v="1"/>
    <x v="5"/>
    <s v="FS1018-ADT-ZZ-01-D-J-0002"/>
  </r>
  <r>
    <s v="FS1018-ADT-ZZ-01-D-J-0005"/>
    <s v="Acoustic wall types - first floor"/>
    <x v="0"/>
    <s v="Completed"/>
    <x v="0"/>
    <x v="0"/>
    <x v="2"/>
    <x v="0"/>
    <x v="2"/>
    <b v="0"/>
    <x v="6"/>
    <s v="FS1018-ADT-ZZ-01-D-J-0005"/>
  </r>
  <r>
    <s v="FS1018-ADT-ZZ-01-D-J-0005"/>
    <s v="Acoustic Wall Types First Floor"/>
    <x v="1"/>
    <s v="In Progress"/>
    <x v="1"/>
    <x v="1"/>
    <x v="1"/>
    <x v="1"/>
    <x v="0"/>
    <b v="1"/>
    <x v="7"/>
    <s v="FS1018-ADT-ZZ-01-D-J-0005"/>
  </r>
  <r>
    <s v="FS1018-ADT-ZZ-02-D-J-0003"/>
    <s v="Acoustic criteria - second floor"/>
    <x v="0"/>
    <s v="Completed"/>
    <x v="0"/>
    <x v="0"/>
    <x v="0"/>
    <x v="0"/>
    <x v="0"/>
    <b v="0"/>
    <x v="8"/>
    <s v="FS1018-ADT-ZZ-02-D-J-0003"/>
  </r>
  <r>
    <s v="FS1018-ADT-ZZ-02-D-J-0003"/>
    <s v="BB93 Acoustic Criteria Second Floor"/>
    <x v="1"/>
    <s v="In Progress"/>
    <x v="1"/>
    <x v="1"/>
    <x v="1"/>
    <x v="1"/>
    <x v="0"/>
    <b v="1"/>
    <x v="9"/>
    <s v="FS1018-ADT-ZZ-02-D-J-0003"/>
  </r>
  <r>
    <s v="FS1018-ADT-ZZ-02-D-J-0006"/>
    <s v="Acoustic wall types - second floor"/>
    <x v="0"/>
    <s v="Completed"/>
    <x v="0"/>
    <x v="0"/>
    <x v="2"/>
    <x v="0"/>
    <x v="2"/>
    <b v="0"/>
    <x v="10"/>
    <s v="FS1018-ADT-ZZ-02-D-J-0006"/>
  </r>
  <r>
    <s v="FS1018-ADT-ZZ-02-D-J-0006"/>
    <s v="Acoustic Wall Types Second Floor"/>
    <x v="1"/>
    <s v="In Progress"/>
    <x v="1"/>
    <x v="1"/>
    <x v="1"/>
    <x v="1"/>
    <x v="0"/>
    <b v="1"/>
    <x v="11"/>
    <s v="FS1018-ADT-ZZ-02-D-J-0006"/>
  </r>
  <r>
    <s v="FS1018-ADT-ZZ-ZZ-T-J-0001"/>
    <s v="Stage 3 acoustic strategy"/>
    <x v="0"/>
    <s v="Completed"/>
    <x v="0"/>
    <x v="0"/>
    <x v="2"/>
    <x v="0"/>
    <x v="3"/>
    <b v="0"/>
    <x v="12"/>
    <s v="FS1018-ADT-ZZ-ZZ-T-J-0001"/>
  </r>
  <r>
    <s v="FS1018-ADT-ZZ-ZZ-T-J-0001"/>
    <s v="Acoustic Strategy"/>
    <x v="0"/>
    <s v="Completed"/>
    <x v="2"/>
    <x v="0"/>
    <x v="2"/>
    <x v="2"/>
    <x v="4"/>
    <b v="0"/>
    <x v="13"/>
    <s v="FS1018-ADT-ZZ-ZZ-T-J-0001"/>
  </r>
  <r>
    <s v="FS1018-ADT-ZZ-ZZ-T-J-0001"/>
    <s v="Acoustic Strategy"/>
    <x v="1"/>
    <s v="In Progress"/>
    <x v="1"/>
    <x v="1"/>
    <x v="1"/>
    <x v="1"/>
    <x v="0"/>
    <b v="1"/>
    <x v="13"/>
    <s v="FS1018-ADT-ZZ-ZZ-T-J-0001"/>
  </r>
  <r>
    <s v="FS1018-ADT-ZZ-ZZ-T-Y-0002"/>
    <s v="Environmental Noise Impact Assessment"/>
    <x v="0"/>
    <s v="Completed"/>
    <x v="3"/>
    <x v="0"/>
    <x v="2"/>
    <x v="2"/>
    <x v="4"/>
    <b v="0"/>
    <x v="14"/>
    <s v="FS1018-ADT-ZZ-ZZ-T-Y-0002"/>
  </r>
  <r>
    <s v="FS1018-ADT-ZZ-ZZ-T-Y-0002"/>
    <s v="Environmental Noise Impact Assessment"/>
    <x v="1"/>
    <s v="In Progress"/>
    <x v="1"/>
    <x v="1"/>
    <x v="1"/>
    <x v="1"/>
    <x v="0"/>
    <b v="1"/>
    <x v="14"/>
    <s v="FS1018-ADT-ZZ-ZZ-T-Y-0002"/>
  </r>
  <r>
    <s v="FS1018-AGL-XX-XX-L-X-0007"/>
    <s v="Risk Register"/>
    <x v="0"/>
    <s v="Completed"/>
    <x v="4"/>
    <x v="2"/>
    <x v="2"/>
    <x v="2"/>
    <x v="4"/>
    <b v="0"/>
    <x v="15"/>
    <s v="FS1018-AGL-XX-XX-L-X-0007"/>
  </r>
  <r>
    <s v="FS1018-AGL-ZZ-00-D-E-6101"/>
    <s v="Level 00 Distribution Strategy"/>
    <x v="0"/>
    <s v="Completed"/>
    <x v="0"/>
    <x v="3"/>
    <x v="2"/>
    <x v="3"/>
    <x v="5"/>
    <b v="0"/>
    <x v="16"/>
    <s v="FS1018-AGL-ZZ-00-D-E-6101"/>
  </r>
  <r>
    <s v="FS1018-AGL-ZZ-00-D-E-6110"/>
    <s v="Level 00 Containment Sheet 1"/>
    <x v="0"/>
    <s v="In Progress"/>
    <x v="5"/>
    <x v="1"/>
    <x v="1"/>
    <x v="1"/>
    <x v="0"/>
    <b v="0"/>
    <x v="17"/>
    <s v="FS1018-AGL-ZZ-00-D-E-6110"/>
  </r>
  <r>
    <s v="FS1018-AGL-ZZ-00-D-E-6111"/>
    <s v="Level 00 Containment Sheet 2"/>
    <x v="0"/>
    <s v="In Progress"/>
    <x v="5"/>
    <x v="1"/>
    <x v="1"/>
    <x v="1"/>
    <x v="0"/>
    <b v="0"/>
    <x v="18"/>
    <s v="FS1018-AGL-ZZ-00-D-E-6111"/>
  </r>
  <r>
    <s v="FS1018-AGL-ZZ-00-D-E-6112"/>
    <s v="Level 00 Containment Sheet 3"/>
    <x v="0"/>
    <s v="In Progress"/>
    <x v="5"/>
    <x v="1"/>
    <x v="1"/>
    <x v="1"/>
    <x v="0"/>
    <b v="0"/>
    <x v="19"/>
    <s v="FS1018-AGL-ZZ-00-D-E-6112"/>
  </r>
  <r>
    <s v="FS1018-AGL-ZZ-00-D-E-6114"/>
    <s v="Building Electrical Switchroom Details"/>
    <x v="0"/>
    <s v="In Progress"/>
    <x v="5"/>
    <x v="1"/>
    <x v="1"/>
    <x v="1"/>
    <x v="0"/>
    <b v="0"/>
    <x v="20"/>
    <s v="FS1018-AGL-ZZ-00-D-E-6114"/>
  </r>
  <r>
    <s v="FS1018-AGL-ZZ-00-D-E-6210"/>
    <s v="Level 00 Small Power And Data Sheet 1"/>
    <x v="0"/>
    <s v="In Progress"/>
    <x v="5"/>
    <x v="1"/>
    <x v="1"/>
    <x v="1"/>
    <x v="0"/>
    <b v="0"/>
    <x v="21"/>
    <s v="FS1018-AGL-ZZ-00-D-E-6210"/>
  </r>
  <r>
    <s v="FS1018-AGL-ZZ-00-D-E-6211"/>
    <s v="Level 00 Small Power And Data Sheet 2"/>
    <x v="0"/>
    <s v="In Progress"/>
    <x v="5"/>
    <x v="1"/>
    <x v="1"/>
    <x v="1"/>
    <x v="0"/>
    <b v="0"/>
    <x v="22"/>
    <s v="FS1018-AGL-ZZ-00-D-E-6211"/>
  </r>
  <r>
    <s v="FS1018-AGL-ZZ-00-D-E-6212"/>
    <s v="Level 00 Small Power And Data Sheet 3"/>
    <x v="0"/>
    <s v="In Progress"/>
    <x v="5"/>
    <x v="1"/>
    <x v="1"/>
    <x v="1"/>
    <x v="0"/>
    <b v="0"/>
    <x v="23"/>
    <s v="FS1018-AGL-ZZ-00-D-E-6212"/>
  </r>
  <r>
    <s v="FS1018-AGL-ZZ-00-D-E-6213"/>
    <s v="Level 00 MSER Sheet 1"/>
    <x v="0"/>
    <s v="In Progress"/>
    <x v="5"/>
    <x v="1"/>
    <x v="1"/>
    <x v="1"/>
    <x v="0"/>
    <b v="0"/>
    <x v="24"/>
    <s v="FS1018-AGL-ZZ-00-D-E-6213"/>
  </r>
  <r>
    <s v="FS1018-AGL-ZZ-00-D-E-6214"/>
    <s v="Level 00 MSER Sheet 2"/>
    <x v="0"/>
    <s v="In Progress"/>
    <x v="5"/>
    <x v="1"/>
    <x v="1"/>
    <x v="1"/>
    <x v="0"/>
    <b v="0"/>
    <x v="25"/>
    <s v="FS1018-AGL-ZZ-00-D-E-6214"/>
  </r>
  <r>
    <s v="FS1018-AGL-ZZ-00-D-E-6215"/>
    <s v="Level 00 MSER Sheet 3"/>
    <x v="0"/>
    <s v="In Progress"/>
    <x v="5"/>
    <x v="1"/>
    <x v="1"/>
    <x v="1"/>
    <x v="0"/>
    <b v="0"/>
    <x v="26"/>
    <s v="FS1018-AGL-ZZ-00-D-E-6215"/>
  </r>
  <r>
    <s v="FS1018-AGL-ZZ-00-D-E-6301"/>
    <s v="Level 00 Lighting Lux Levels Strategy"/>
    <x v="0"/>
    <s v="Completed"/>
    <x v="0"/>
    <x v="3"/>
    <x v="2"/>
    <x v="3"/>
    <x v="6"/>
    <b v="0"/>
    <x v="27"/>
    <s v="FS1018-AGL-ZZ-00-D-E-6301"/>
  </r>
  <r>
    <s v="FS1018-AGL-ZZ-00-D-E-6302"/>
    <s v="Level 00 Lighting Controls Strategy"/>
    <x v="0"/>
    <s v="Completed"/>
    <x v="0"/>
    <x v="3"/>
    <x v="0"/>
    <x v="3"/>
    <x v="0"/>
    <b v="0"/>
    <x v="28"/>
    <s v="FS1018-AGL-ZZ-00-D-E-6302"/>
  </r>
  <r>
    <s v="FS1018-AGL-ZZ-00-D-E-6310"/>
    <s v="Level 00 Lighting Sheet 1"/>
    <x v="0"/>
    <s v="In Progress"/>
    <x v="5"/>
    <x v="1"/>
    <x v="1"/>
    <x v="1"/>
    <x v="0"/>
    <b v="0"/>
    <x v="29"/>
    <s v="FS1018-AGL-ZZ-00-D-E-6310"/>
  </r>
  <r>
    <s v="FS1018-AGL-ZZ-00-D-E-6311"/>
    <s v="Level 00 Lighting Sheet 2"/>
    <x v="0"/>
    <s v="In Progress"/>
    <x v="5"/>
    <x v="1"/>
    <x v="1"/>
    <x v="1"/>
    <x v="0"/>
    <b v="0"/>
    <x v="30"/>
    <s v="FS1018-AGL-ZZ-00-D-E-6311"/>
  </r>
  <r>
    <s v="FS1018-AGL-ZZ-00-D-E-6312"/>
    <s v="Level 00 Lighting Sheet 3"/>
    <x v="0"/>
    <s v="In Progress"/>
    <x v="5"/>
    <x v="1"/>
    <x v="1"/>
    <x v="1"/>
    <x v="0"/>
    <b v="0"/>
    <x v="31"/>
    <s v="FS1018-AGL-ZZ-00-D-E-6312"/>
  </r>
  <r>
    <s v="FS1018-AGL-ZZ-00-D-E-6801"/>
    <s v="Level 00 Fire Alarm Strategy"/>
    <x v="0"/>
    <s v="Completed"/>
    <x v="0"/>
    <x v="3"/>
    <x v="2"/>
    <x v="3"/>
    <x v="7"/>
    <b v="0"/>
    <x v="32"/>
    <s v="FS1018-AGL-ZZ-00-D-E-6801"/>
  </r>
  <r>
    <s v="FS1018-AGL-ZZ-00-D-E-6802"/>
    <s v="Level 00 CCTV and Access Control Strategy"/>
    <x v="0"/>
    <s v="Completed"/>
    <x v="0"/>
    <x v="3"/>
    <x v="2"/>
    <x v="3"/>
    <x v="8"/>
    <b v="0"/>
    <x v="33"/>
    <s v="FS1018-AGL-ZZ-00-D-E-6802"/>
  </r>
  <r>
    <s v="FS1018-AGL-ZZ-00-D-E-6803"/>
    <s v="Level 00 PA Strategy"/>
    <x v="0"/>
    <s v="Completed"/>
    <x v="0"/>
    <x v="3"/>
    <x v="2"/>
    <x v="3"/>
    <x v="9"/>
    <b v="0"/>
    <x v="34"/>
    <s v="FS1018-AGL-ZZ-00-D-E-6803"/>
  </r>
  <r>
    <s v="FS1018-AGL-ZZ-00-D-E-6810"/>
    <s v="Level 00 Fire Alarm Sheet 1"/>
    <x v="0"/>
    <s v="In Progress"/>
    <x v="5"/>
    <x v="1"/>
    <x v="1"/>
    <x v="1"/>
    <x v="0"/>
    <b v="0"/>
    <x v="35"/>
    <s v="FS1018-AGL-ZZ-00-D-E-6810"/>
  </r>
  <r>
    <s v="FS1018-AGL-ZZ-00-D-E-6811"/>
    <s v="Level 00 Fire Alarm Sheet 2"/>
    <x v="0"/>
    <s v="In Progress"/>
    <x v="5"/>
    <x v="1"/>
    <x v="1"/>
    <x v="1"/>
    <x v="0"/>
    <b v="0"/>
    <x v="36"/>
    <s v="FS1018-AGL-ZZ-00-D-E-6811"/>
  </r>
  <r>
    <s v="FS1018-AGL-ZZ-00-D-E-6812"/>
    <s v="Level 00 Fire Alarm Sheet 3"/>
    <x v="0"/>
    <s v="In Progress"/>
    <x v="5"/>
    <x v="1"/>
    <x v="1"/>
    <x v="1"/>
    <x v="0"/>
    <b v="0"/>
    <x v="37"/>
    <s v="FS1018-AGL-ZZ-00-D-E-6812"/>
  </r>
  <r>
    <s v="FS1018-AGL-ZZ-00-D-E-6820"/>
    <s v="Level 00 Fire Alarm Zoning Sheet 1"/>
    <x v="0"/>
    <s v="In Progress"/>
    <x v="5"/>
    <x v="1"/>
    <x v="1"/>
    <x v="1"/>
    <x v="0"/>
    <b v="0"/>
    <x v="38"/>
    <s v="FS1018-AGL-ZZ-00-D-E-6820"/>
  </r>
  <r>
    <s v="FS1018-AGL-ZZ-00-D-E-6821"/>
    <s v="Level 00 Fire Alarm Zoning Sheet 2"/>
    <x v="0"/>
    <s v="In Progress"/>
    <x v="5"/>
    <x v="1"/>
    <x v="1"/>
    <x v="1"/>
    <x v="0"/>
    <b v="0"/>
    <x v="39"/>
    <s v="FS1018-AGL-ZZ-00-D-E-6821"/>
  </r>
  <r>
    <s v="FS1018-AGL-ZZ-00-D-E-6822"/>
    <s v="Level 00 Fire Alarm Zoning Sheet 3"/>
    <x v="0"/>
    <s v="In Progress"/>
    <x v="5"/>
    <x v="1"/>
    <x v="1"/>
    <x v="1"/>
    <x v="0"/>
    <b v="0"/>
    <x v="40"/>
    <s v="FS1018-AGL-ZZ-00-D-E-6822"/>
  </r>
  <r>
    <s v="FS1018-AGL-ZZ-00-D-E-6840"/>
    <s v="Level 00 Security Sheet 1"/>
    <x v="0"/>
    <s v="In Progress"/>
    <x v="5"/>
    <x v="1"/>
    <x v="1"/>
    <x v="1"/>
    <x v="0"/>
    <b v="0"/>
    <x v="41"/>
    <s v="FS1018-AGL-ZZ-00-D-E-6840"/>
  </r>
  <r>
    <s v="FS1018-AGL-ZZ-00-D-E-6841"/>
    <s v="Level 00 Security Sheet 2"/>
    <x v="0"/>
    <s v="In Progress"/>
    <x v="5"/>
    <x v="1"/>
    <x v="1"/>
    <x v="1"/>
    <x v="0"/>
    <b v="0"/>
    <x v="42"/>
    <s v="FS1018-AGL-ZZ-00-D-E-6841"/>
  </r>
  <r>
    <s v="FS1018-AGL-ZZ-00-D-E-6842"/>
    <s v="Level 00 Security Sheet 3"/>
    <x v="0"/>
    <s v="In Progress"/>
    <x v="5"/>
    <x v="1"/>
    <x v="1"/>
    <x v="1"/>
    <x v="0"/>
    <b v="0"/>
    <x v="43"/>
    <s v="FS1018-AGL-ZZ-00-D-E-6842"/>
  </r>
  <r>
    <s v="FS1018-AGL-ZZ-00-D-E-9001"/>
    <s v="Photovoltaic Canopies"/>
    <x v="0"/>
    <s v="In Progress"/>
    <x v="5"/>
    <x v="1"/>
    <x v="1"/>
    <x v="1"/>
    <x v="0"/>
    <b v="0"/>
    <x v="44"/>
    <s v="FS1018-AGL-ZZ-00-D-E-9001"/>
  </r>
  <r>
    <s v="FS1018-AGL-ZZ-00-D-M-5201"/>
    <s v="Level 00 Above Ground Drainage Strategy"/>
    <x v="0"/>
    <s v="Completed"/>
    <x v="0"/>
    <x v="4"/>
    <x v="2"/>
    <x v="4"/>
    <x v="10"/>
    <b v="0"/>
    <x v="45"/>
    <s v="FS1018-AGL-ZZ-00-D-M-5201"/>
  </r>
  <r>
    <s v="FS1018-AGL-ZZ-00-D-M-5210"/>
    <s v="Level 00 Above Ground Drainage Sheet 1"/>
    <x v="1"/>
    <s v="In Progress"/>
    <x v="5"/>
    <x v="1"/>
    <x v="1"/>
    <x v="1"/>
    <x v="0"/>
    <b v="1"/>
    <x v="46"/>
    <s v="FS1018-AGL-ZZ-00-D-M-5210"/>
  </r>
  <r>
    <s v="FS1018-AGL-ZZ-00-D-M-5211"/>
    <s v="Level 00 Above Ground Drainage Sheet 2"/>
    <x v="1"/>
    <s v="In Progress"/>
    <x v="5"/>
    <x v="1"/>
    <x v="1"/>
    <x v="1"/>
    <x v="0"/>
    <b v="1"/>
    <x v="47"/>
    <s v="FS1018-AGL-ZZ-00-D-M-5211"/>
  </r>
  <r>
    <s v="FS1018-AGL-ZZ-00-D-M-5212"/>
    <s v="Level 00 Above Ground Drainage Sheet 3"/>
    <x v="1"/>
    <s v="In Progress"/>
    <x v="5"/>
    <x v="1"/>
    <x v="1"/>
    <x v="1"/>
    <x v="0"/>
    <b v="1"/>
    <x v="48"/>
    <s v="FS1018-AGL-ZZ-00-D-M-5212"/>
  </r>
  <r>
    <s v="FS1018-AGL-ZZ-00-D-M-5301"/>
    <s v="Level 00 Domestic Water Services Strategy"/>
    <x v="0"/>
    <s v="Completed"/>
    <x v="0"/>
    <x v="4"/>
    <x v="2"/>
    <x v="4"/>
    <x v="10"/>
    <b v="0"/>
    <x v="49"/>
    <s v="FS1018-AGL-ZZ-00-D-M-5301"/>
  </r>
  <r>
    <s v="FS1018-AGL-ZZ-00-D-M-5310"/>
    <s v="Level 00 Domestic Water Services Sheet 1"/>
    <x v="1"/>
    <s v="In Progress"/>
    <x v="5"/>
    <x v="1"/>
    <x v="1"/>
    <x v="1"/>
    <x v="0"/>
    <b v="1"/>
    <x v="50"/>
    <s v="FS1018-AGL-ZZ-00-D-M-5310"/>
  </r>
  <r>
    <s v="FS1018-AGL-ZZ-00-D-M-5311"/>
    <s v="Level 00 Domestic Water Services Sheet 2"/>
    <x v="1"/>
    <s v="In Progress"/>
    <x v="5"/>
    <x v="1"/>
    <x v="1"/>
    <x v="1"/>
    <x v="0"/>
    <b v="1"/>
    <x v="51"/>
    <s v="FS1018-AGL-ZZ-00-D-M-5311"/>
  </r>
  <r>
    <s v="FS1018-AGL-ZZ-00-D-M-5312"/>
    <s v="Level 00 Domestic Water Services Sheet 3"/>
    <x v="1"/>
    <s v="In Progress"/>
    <x v="5"/>
    <x v="1"/>
    <x v="1"/>
    <x v="1"/>
    <x v="0"/>
    <b v="1"/>
    <x v="52"/>
    <s v="FS1018-AGL-ZZ-00-D-M-5312"/>
  </r>
  <r>
    <s v="FS1018-AGL-ZZ-00-D-M-5401"/>
    <s v="Level 00 Gas Strategy"/>
    <x v="0"/>
    <s v="Completed"/>
    <x v="0"/>
    <x v="4"/>
    <x v="2"/>
    <x v="5"/>
    <x v="11"/>
    <b v="0"/>
    <x v="53"/>
    <s v="FS1018-AGL-ZZ-00-D-M-5401"/>
  </r>
  <r>
    <s v="FS1018-AGL-ZZ-00-D-M-5410"/>
    <s v="Level 00 Gas"/>
    <x v="1"/>
    <s v="In Progress"/>
    <x v="5"/>
    <x v="1"/>
    <x v="1"/>
    <x v="1"/>
    <x v="0"/>
    <b v="1"/>
    <x v="54"/>
    <s v="FS1018-AGL-ZZ-00-D-M-5410"/>
  </r>
  <r>
    <s v="FS1018-AGL-ZZ-00-D-M-5601"/>
    <s v="Level 00 Heating and Cooling Strategy"/>
    <x v="0"/>
    <s v="Completed"/>
    <x v="0"/>
    <x v="4"/>
    <x v="2"/>
    <x v="5"/>
    <x v="12"/>
    <b v="0"/>
    <x v="55"/>
    <s v="FS1018-AGL-ZZ-00-D-M-5601"/>
  </r>
  <r>
    <s v="FS1018-AGL-ZZ-00-D-M-5610"/>
    <s v="Level 00 Heating and Cooling Sheet 1"/>
    <x v="0"/>
    <s v="In Progress"/>
    <x v="5"/>
    <x v="1"/>
    <x v="1"/>
    <x v="1"/>
    <x v="0"/>
    <b v="0"/>
    <x v="56"/>
    <s v="FS1018-AGL-ZZ-00-D-M-5610"/>
  </r>
  <r>
    <s v="FS1018-AGL-ZZ-00-D-M-5611"/>
    <s v="Level 00 Heating and Cooling Sheet 2"/>
    <x v="0"/>
    <s v="In Progress"/>
    <x v="5"/>
    <x v="1"/>
    <x v="1"/>
    <x v="1"/>
    <x v="0"/>
    <b v="0"/>
    <x v="57"/>
    <s v="FS1018-AGL-ZZ-00-D-M-5611"/>
  </r>
  <r>
    <s v="FS1018-AGL-ZZ-00-D-M-5612"/>
    <s v="Level 00 Heating and Cooling Sheet 3"/>
    <x v="0"/>
    <s v="In Progress"/>
    <x v="5"/>
    <x v="1"/>
    <x v="1"/>
    <x v="1"/>
    <x v="0"/>
    <b v="0"/>
    <x v="58"/>
    <s v="FS1018-AGL-ZZ-00-D-M-5612"/>
  </r>
  <r>
    <s v="FS1018-AGL-ZZ-00-D-M-5701"/>
    <s v="Level 00 Ventilation Strategy"/>
    <x v="0"/>
    <s v="Completed"/>
    <x v="0"/>
    <x v="4"/>
    <x v="2"/>
    <x v="5"/>
    <x v="13"/>
    <b v="0"/>
    <x v="59"/>
    <s v="FS1018-AGL-ZZ-00-D-M-5701"/>
  </r>
  <r>
    <s v="FS1018-AGL-ZZ-00-D-M-5710"/>
    <s v="Level 00 Ventilation Sheet 1"/>
    <x v="1"/>
    <s v="In Progress"/>
    <x v="5"/>
    <x v="1"/>
    <x v="1"/>
    <x v="1"/>
    <x v="0"/>
    <b v="1"/>
    <x v="60"/>
    <s v="FS1018-AGL-ZZ-00-D-M-5710"/>
  </r>
  <r>
    <s v="FS1018-AGL-ZZ-00-D-M-5711"/>
    <s v="Level 00 Ventilation Sheet 2"/>
    <x v="1"/>
    <s v="In Progress"/>
    <x v="5"/>
    <x v="1"/>
    <x v="1"/>
    <x v="1"/>
    <x v="0"/>
    <b v="1"/>
    <x v="61"/>
    <s v="FS1018-AGL-ZZ-00-D-M-5711"/>
  </r>
  <r>
    <s v="FS1018-AGL-ZZ-00-D-M-5712"/>
    <s v="Level 00 Ventilation Sheet 3"/>
    <x v="1"/>
    <s v="In Progress"/>
    <x v="5"/>
    <x v="1"/>
    <x v="1"/>
    <x v="1"/>
    <x v="0"/>
    <b v="1"/>
    <x v="62"/>
    <s v="FS1018-AGL-ZZ-00-D-M-5712"/>
  </r>
  <r>
    <s v="FS1018-AGL-ZZ-00-D-M-5810"/>
    <s v="Level 00 Plantroom Sheet 1"/>
    <x v="0"/>
    <s v="In Progress"/>
    <x v="5"/>
    <x v="1"/>
    <x v="1"/>
    <x v="1"/>
    <x v="0"/>
    <b v="0"/>
    <x v="63"/>
    <s v="FS1018-AGL-ZZ-00-D-M-5810"/>
  </r>
  <r>
    <s v="FS1018-AGL-ZZ-00-D-M-5811"/>
    <s v="Level 00 Plantroom Sheet 2"/>
    <x v="0"/>
    <s v="In Progress"/>
    <x v="5"/>
    <x v="1"/>
    <x v="1"/>
    <x v="1"/>
    <x v="0"/>
    <b v="0"/>
    <x v="64"/>
    <s v="FS1018-AGL-ZZ-00-D-M-5811"/>
  </r>
  <r>
    <s v="FS1018-AGL-ZZ-00-D-Z-6010"/>
    <s v="Level 00 Builderswork Sheet 1"/>
    <x v="0"/>
    <s v="In Progress"/>
    <x v="5"/>
    <x v="1"/>
    <x v="1"/>
    <x v="1"/>
    <x v="0"/>
    <b v="0"/>
    <x v="65"/>
    <s v="FS1018-AGL-ZZ-00-D-Z-6010"/>
  </r>
  <r>
    <s v="FS1018-AGL-ZZ-00-D-Z-6011"/>
    <s v="Level 00 Builderswork Sheet 2"/>
    <x v="0"/>
    <s v="In Progress"/>
    <x v="5"/>
    <x v="1"/>
    <x v="1"/>
    <x v="1"/>
    <x v="0"/>
    <b v="0"/>
    <x v="66"/>
    <s v="FS1018-AGL-ZZ-00-D-Z-6011"/>
  </r>
  <r>
    <s v="FS1018-AGL-ZZ-00-D-Z-6012"/>
    <s v="Level 00 Builderswork Sheet 3"/>
    <x v="0"/>
    <s v="In Progress"/>
    <x v="5"/>
    <x v="1"/>
    <x v="1"/>
    <x v="1"/>
    <x v="0"/>
    <b v="0"/>
    <x v="67"/>
    <s v="FS1018-AGL-ZZ-00-D-Z-6012"/>
  </r>
  <r>
    <s v="FS1018-AGL-ZZ-00-D-Z-9501"/>
    <s v="Level 00 Plant Access and Maintenance Strategy"/>
    <x v="0"/>
    <s v="Completed"/>
    <x v="0"/>
    <x v="5"/>
    <x v="2"/>
    <x v="5"/>
    <x v="14"/>
    <b v="0"/>
    <x v="68"/>
    <s v="FS1018-AGL-ZZ-00-D-Z-9501"/>
  </r>
  <r>
    <s v="FS1018-AGL-ZZ-00-D-Z-9610"/>
    <s v="Level 00 Reflected Ceiling Plan Sheet 1"/>
    <x v="0"/>
    <s v="In Progress"/>
    <x v="5"/>
    <x v="1"/>
    <x v="1"/>
    <x v="1"/>
    <x v="0"/>
    <b v="0"/>
    <x v="69"/>
    <s v="FS1018-AGL-ZZ-00-D-Z-9610"/>
  </r>
  <r>
    <s v="FS1018-AGL-ZZ-00-D-Z-9611"/>
    <s v="Level 00 Reflected Ceiling Plan Sheet 2"/>
    <x v="0"/>
    <s v="In Progress"/>
    <x v="5"/>
    <x v="1"/>
    <x v="1"/>
    <x v="1"/>
    <x v="0"/>
    <b v="0"/>
    <x v="70"/>
    <s v="FS1018-AGL-ZZ-00-D-Z-9611"/>
  </r>
  <r>
    <s v="FS1018-AGL-ZZ-00-D-Z-9612"/>
    <s v="Level 00 Reflected Ceiling Plan Sheet 3"/>
    <x v="0"/>
    <s v="In Progress"/>
    <x v="5"/>
    <x v="1"/>
    <x v="1"/>
    <x v="1"/>
    <x v="0"/>
    <b v="0"/>
    <x v="71"/>
    <s v="FS1018-AGL-ZZ-00-D-Z-9612"/>
  </r>
  <r>
    <s v="FS1018-AGL-ZZ-01-D-E-6101"/>
    <s v="Level 01 Distribution Strategy"/>
    <x v="0"/>
    <s v="Completed"/>
    <x v="0"/>
    <x v="3"/>
    <x v="2"/>
    <x v="3"/>
    <x v="15"/>
    <b v="0"/>
    <x v="72"/>
    <s v="FS1018-AGL-ZZ-01-D-E-6101"/>
  </r>
  <r>
    <s v="FS1018-AGL-ZZ-01-D-E-6110"/>
    <s v="Level 01 Containment Sheet 1"/>
    <x v="0"/>
    <s v="In Progress"/>
    <x v="5"/>
    <x v="1"/>
    <x v="1"/>
    <x v="1"/>
    <x v="0"/>
    <b v="0"/>
    <x v="73"/>
    <s v="FS1018-AGL-ZZ-01-D-E-6110"/>
  </r>
  <r>
    <s v="FS1018-AGL-ZZ-01-D-E-6111"/>
    <s v="Level 01 Containment Sheet 2"/>
    <x v="0"/>
    <s v="In Progress"/>
    <x v="5"/>
    <x v="1"/>
    <x v="1"/>
    <x v="1"/>
    <x v="0"/>
    <b v="0"/>
    <x v="74"/>
    <s v="FS1018-AGL-ZZ-01-D-E-6111"/>
  </r>
  <r>
    <s v="FS1018-AGL-ZZ-01-D-E-6210"/>
    <s v="Level 01 Small Power And Data Sheet 1"/>
    <x v="0"/>
    <s v="In Progress"/>
    <x v="5"/>
    <x v="1"/>
    <x v="1"/>
    <x v="1"/>
    <x v="0"/>
    <b v="0"/>
    <x v="75"/>
    <s v="FS1018-AGL-ZZ-01-D-E-6210"/>
  </r>
  <r>
    <s v="FS1018-AGL-ZZ-01-D-E-6211"/>
    <s v="Level 01 Small Power And Data Sheet 2"/>
    <x v="0"/>
    <s v="In Progress"/>
    <x v="5"/>
    <x v="1"/>
    <x v="1"/>
    <x v="1"/>
    <x v="0"/>
    <b v="0"/>
    <x v="76"/>
    <s v="FS1018-AGL-ZZ-01-D-E-6211"/>
  </r>
  <r>
    <s v="FS1018-AGL-ZZ-01-D-E-6212"/>
    <s v="Level 01 MSER Sheet 1"/>
    <x v="0"/>
    <s v="In Progress"/>
    <x v="5"/>
    <x v="1"/>
    <x v="1"/>
    <x v="1"/>
    <x v="0"/>
    <b v="0"/>
    <x v="77"/>
    <s v="FS1018-AGL-ZZ-01-D-E-6212"/>
  </r>
  <r>
    <s v="FS1018-AGL-ZZ-01-D-E-6213"/>
    <s v="Level 01 MSER Sheet 2"/>
    <x v="0"/>
    <s v="In Progress"/>
    <x v="5"/>
    <x v="1"/>
    <x v="1"/>
    <x v="1"/>
    <x v="0"/>
    <b v="0"/>
    <x v="78"/>
    <s v="FS1018-AGL-ZZ-01-D-E-6213"/>
  </r>
  <r>
    <s v="FS1018-AGL-ZZ-01-D-E-6301"/>
    <s v="Level 01 Lighting Lux Levels Strategy"/>
    <x v="0"/>
    <s v="Completed"/>
    <x v="0"/>
    <x v="3"/>
    <x v="2"/>
    <x v="3"/>
    <x v="16"/>
    <b v="0"/>
    <x v="79"/>
    <s v="FS1018-AGL-ZZ-01-D-E-6301"/>
  </r>
  <r>
    <s v="FS1018-AGL-ZZ-01-D-E-6302"/>
    <s v="Level 01 Lighting Controls Strategy"/>
    <x v="0"/>
    <s v="Completed"/>
    <x v="0"/>
    <x v="3"/>
    <x v="0"/>
    <x v="3"/>
    <x v="0"/>
    <b v="0"/>
    <x v="80"/>
    <s v="FS1018-AGL-ZZ-01-D-E-6302"/>
  </r>
  <r>
    <s v="FS1018-AGL-ZZ-01-D-E-6310"/>
    <s v="Level 01 Lighting Sheet 1"/>
    <x v="0"/>
    <s v="In Progress"/>
    <x v="5"/>
    <x v="1"/>
    <x v="1"/>
    <x v="1"/>
    <x v="0"/>
    <b v="0"/>
    <x v="81"/>
    <s v="FS1018-AGL-ZZ-01-D-E-6310"/>
  </r>
  <r>
    <s v="FS1018-AGL-ZZ-01-D-E-6311"/>
    <s v="Level 01 Lighting Sheet 2"/>
    <x v="0"/>
    <s v="In Progress"/>
    <x v="5"/>
    <x v="1"/>
    <x v="1"/>
    <x v="1"/>
    <x v="0"/>
    <b v="0"/>
    <x v="82"/>
    <s v="FS1018-AGL-ZZ-01-D-E-6311"/>
  </r>
  <r>
    <s v="FS1018-AGL-ZZ-01-D-E-6801"/>
    <s v="Level 01 Fire Alarm Strategy"/>
    <x v="0"/>
    <s v="Completed"/>
    <x v="0"/>
    <x v="3"/>
    <x v="2"/>
    <x v="3"/>
    <x v="17"/>
    <b v="0"/>
    <x v="83"/>
    <s v="FS1018-AGL-ZZ-01-D-E-6801"/>
  </r>
  <r>
    <s v="FS1018-AGL-ZZ-01-D-E-6802"/>
    <s v="Level 01 CCTV and Access Control Strategy"/>
    <x v="0"/>
    <s v="Completed"/>
    <x v="0"/>
    <x v="3"/>
    <x v="0"/>
    <x v="3"/>
    <x v="0"/>
    <b v="0"/>
    <x v="84"/>
    <s v="FS1018-AGL-ZZ-01-D-E-6802"/>
  </r>
  <r>
    <s v="FS1018-AGL-ZZ-01-D-E-6803"/>
    <s v="Level 01 PA Strategy"/>
    <x v="0"/>
    <s v="Completed"/>
    <x v="0"/>
    <x v="3"/>
    <x v="2"/>
    <x v="3"/>
    <x v="9"/>
    <b v="0"/>
    <x v="85"/>
    <s v="FS1018-AGL-ZZ-01-D-E-6803"/>
  </r>
  <r>
    <s v="FS1018-AGL-ZZ-01-D-E-6810"/>
    <s v="Level 01 Fire Alarm Sheet 1"/>
    <x v="0"/>
    <s v="In Progress"/>
    <x v="5"/>
    <x v="1"/>
    <x v="1"/>
    <x v="1"/>
    <x v="0"/>
    <b v="0"/>
    <x v="86"/>
    <s v="FS1018-AGL-ZZ-01-D-E-6810"/>
  </r>
  <r>
    <s v="FS1018-AGL-ZZ-01-D-E-6811"/>
    <s v="Level 01 Fire Alarm Sheet 2"/>
    <x v="0"/>
    <s v="In Progress"/>
    <x v="5"/>
    <x v="1"/>
    <x v="1"/>
    <x v="1"/>
    <x v="0"/>
    <b v="0"/>
    <x v="87"/>
    <s v="FS1018-AGL-ZZ-01-D-E-6811"/>
  </r>
  <r>
    <s v="FS1018-AGL-ZZ-01-D-E-6820"/>
    <s v="Level 01 Fire Alarm Zoning Sheet 1"/>
    <x v="0"/>
    <s v="In Progress"/>
    <x v="5"/>
    <x v="1"/>
    <x v="1"/>
    <x v="1"/>
    <x v="0"/>
    <b v="0"/>
    <x v="88"/>
    <s v="FS1018-AGL-ZZ-01-D-E-6820"/>
  </r>
  <r>
    <s v="FS1018-AGL-ZZ-01-D-E-6821"/>
    <s v="Level 01 Fire Alarm Zoning Sheet 2"/>
    <x v="0"/>
    <s v="In Progress"/>
    <x v="5"/>
    <x v="1"/>
    <x v="1"/>
    <x v="1"/>
    <x v="0"/>
    <b v="0"/>
    <x v="89"/>
    <s v="FS1018-AGL-ZZ-01-D-E-6821"/>
  </r>
  <r>
    <s v="FS1018-AGL-ZZ-01-D-E-6840"/>
    <s v="Level 01 Security Sheet 1"/>
    <x v="0"/>
    <s v="In Progress"/>
    <x v="5"/>
    <x v="1"/>
    <x v="1"/>
    <x v="1"/>
    <x v="0"/>
    <b v="0"/>
    <x v="90"/>
    <s v="FS1018-AGL-ZZ-01-D-E-6840"/>
  </r>
  <r>
    <s v="FS1018-AGL-ZZ-01-D-E-6841"/>
    <s v="Level 01 Security Sheet 2"/>
    <x v="0"/>
    <s v="In Progress"/>
    <x v="5"/>
    <x v="1"/>
    <x v="1"/>
    <x v="1"/>
    <x v="0"/>
    <b v="0"/>
    <x v="91"/>
    <s v="FS1018-AGL-ZZ-01-D-E-6841"/>
  </r>
  <r>
    <s v="FS1018-AGL-ZZ-01-D-M-5201"/>
    <s v="Level 01 Above Ground Drainage Strategy"/>
    <x v="0"/>
    <s v="Completed"/>
    <x v="0"/>
    <x v="4"/>
    <x v="2"/>
    <x v="4"/>
    <x v="10"/>
    <b v="0"/>
    <x v="92"/>
    <s v="FS1018-AGL-ZZ-01-D-M-5201"/>
  </r>
  <r>
    <s v="FS1018-AGL-ZZ-01-D-M-5210"/>
    <s v="Level 01 Above Ground Drainage Sheet 1"/>
    <x v="1"/>
    <s v="In Progress"/>
    <x v="5"/>
    <x v="1"/>
    <x v="1"/>
    <x v="1"/>
    <x v="0"/>
    <b v="1"/>
    <x v="93"/>
    <s v="FS1018-AGL-ZZ-01-D-M-5210"/>
  </r>
  <r>
    <s v="FS1018-AGL-ZZ-01-D-M-5211"/>
    <s v="Level 01 Above Ground Drainage Sheet 2"/>
    <x v="1"/>
    <s v="In Progress"/>
    <x v="5"/>
    <x v="1"/>
    <x v="1"/>
    <x v="1"/>
    <x v="0"/>
    <b v="1"/>
    <x v="94"/>
    <s v="FS1018-AGL-ZZ-01-D-M-5211"/>
  </r>
  <r>
    <s v="FS1018-AGL-ZZ-01-D-M-5301"/>
    <s v="Level 01 Domestic Water Services Strategy"/>
    <x v="0"/>
    <s v="Completed"/>
    <x v="0"/>
    <x v="4"/>
    <x v="2"/>
    <x v="4"/>
    <x v="10"/>
    <b v="0"/>
    <x v="95"/>
    <s v="FS1018-AGL-ZZ-01-D-M-5301"/>
  </r>
  <r>
    <s v="FS1018-AGL-ZZ-01-D-M-5310"/>
    <s v="Level 01 Domestic Water Services Sheet 1"/>
    <x v="1"/>
    <s v="In Progress"/>
    <x v="5"/>
    <x v="1"/>
    <x v="1"/>
    <x v="1"/>
    <x v="0"/>
    <b v="1"/>
    <x v="96"/>
    <s v="FS1018-AGL-ZZ-01-D-M-5310"/>
  </r>
  <r>
    <s v="FS1018-AGL-ZZ-01-D-M-5311"/>
    <s v="Level 01 Domestic Water Services Sheet 2"/>
    <x v="1"/>
    <s v="In Progress"/>
    <x v="5"/>
    <x v="1"/>
    <x v="1"/>
    <x v="1"/>
    <x v="0"/>
    <b v="1"/>
    <x v="97"/>
    <s v="FS1018-AGL-ZZ-01-D-M-5311"/>
  </r>
  <r>
    <s v="FS1018-AGL-ZZ-01-D-M-5401"/>
    <s v="Level 01 Gas Strategy"/>
    <x v="0"/>
    <s v="Completed"/>
    <x v="0"/>
    <x v="4"/>
    <x v="2"/>
    <x v="5"/>
    <x v="11"/>
    <b v="0"/>
    <x v="98"/>
    <s v="FS1018-AGL-ZZ-01-D-M-5401"/>
  </r>
  <r>
    <s v="FS1018-AGL-ZZ-01-D-M-5410"/>
    <s v="Level 01 Gas"/>
    <x v="1"/>
    <s v="In Progress"/>
    <x v="5"/>
    <x v="1"/>
    <x v="1"/>
    <x v="1"/>
    <x v="0"/>
    <b v="1"/>
    <x v="99"/>
    <s v="FS1018-AGL-ZZ-01-D-M-5410"/>
  </r>
  <r>
    <s v="FS1018-AGL-ZZ-01-D-M-5601"/>
    <s v="Level 01 Heating and Cooling Strategy"/>
    <x v="0"/>
    <s v="Completed"/>
    <x v="0"/>
    <x v="4"/>
    <x v="2"/>
    <x v="5"/>
    <x v="12"/>
    <b v="0"/>
    <x v="100"/>
    <s v="FS1018-AGL-ZZ-01-D-M-5601"/>
  </r>
  <r>
    <s v="FS1018-AGL-ZZ-01-D-M-5610"/>
    <s v="Level 01 Heating and Cooling Sheet 1"/>
    <x v="0"/>
    <s v="In Progress"/>
    <x v="5"/>
    <x v="1"/>
    <x v="1"/>
    <x v="1"/>
    <x v="0"/>
    <b v="0"/>
    <x v="101"/>
    <s v="FS1018-AGL-ZZ-01-D-M-5610"/>
  </r>
  <r>
    <s v="FS1018-AGL-ZZ-01-D-M-5611"/>
    <s v="Level 01 Heating and Cooling Sheet 2"/>
    <x v="0"/>
    <s v="In Progress"/>
    <x v="5"/>
    <x v="1"/>
    <x v="1"/>
    <x v="1"/>
    <x v="0"/>
    <b v="0"/>
    <x v="102"/>
    <s v="FS1018-AGL-ZZ-01-D-M-5611"/>
  </r>
  <r>
    <s v="FS1018-AGL-ZZ-01-D-M-5701"/>
    <s v="Level 01 Ventilation Strategy"/>
    <x v="0"/>
    <s v="Completed"/>
    <x v="0"/>
    <x v="4"/>
    <x v="2"/>
    <x v="5"/>
    <x v="13"/>
    <b v="0"/>
    <x v="103"/>
    <s v="FS1018-AGL-ZZ-01-D-M-5701"/>
  </r>
  <r>
    <s v="FS1018-AGL-ZZ-01-D-M-5710"/>
    <s v="Level 01 Ventilation Sheet 1"/>
    <x v="1"/>
    <s v="In Progress"/>
    <x v="5"/>
    <x v="1"/>
    <x v="1"/>
    <x v="1"/>
    <x v="0"/>
    <b v="1"/>
    <x v="104"/>
    <s v="FS1018-AGL-ZZ-01-D-M-5710"/>
  </r>
  <r>
    <s v="FS1018-AGL-ZZ-01-D-M-5711"/>
    <s v="Level 01 Ventilation Sheet 2"/>
    <x v="1"/>
    <s v="In Progress"/>
    <x v="5"/>
    <x v="1"/>
    <x v="1"/>
    <x v="1"/>
    <x v="0"/>
    <b v="1"/>
    <x v="105"/>
    <s v="FS1018-AGL-ZZ-01-D-M-5711"/>
  </r>
  <r>
    <s v="FS1018-AGL-ZZ-01-D-Z-6010"/>
    <s v="Level 01 Builderswork Sheet 1"/>
    <x v="0"/>
    <s v="In Progress"/>
    <x v="5"/>
    <x v="1"/>
    <x v="1"/>
    <x v="1"/>
    <x v="0"/>
    <b v="0"/>
    <x v="106"/>
    <s v="FS1018-AGL-ZZ-01-D-Z-6010"/>
  </r>
  <r>
    <s v="FS1018-AGL-ZZ-01-D-Z-6011"/>
    <s v="Level 01 Builderswork Sheet 2"/>
    <x v="0"/>
    <s v="In Progress"/>
    <x v="5"/>
    <x v="1"/>
    <x v="1"/>
    <x v="1"/>
    <x v="0"/>
    <b v="0"/>
    <x v="107"/>
    <s v="FS1018-AGL-ZZ-01-D-Z-6011"/>
  </r>
  <r>
    <s v="FS1018-AGL-ZZ-01-D-Z-9501"/>
    <s v="Level 01 Plant Access and Maintenance Strategy"/>
    <x v="0"/>
    <s v="Completed"/>
    <x v="0"/>
    <x v="5"/>
    <x v="2"/>
    <x v="5"/>
    <x v="14"/>
    <b v="0"/>
    <x v="108"/>
    <s v="FS1018-AGL-ZZ-01-D-Z-9501"/>
  </r>
  <r>
    <s v="FS1018-AGL-ZZ-01-D-Z-9610"/>
    <s v="Level 01 Reflected Ceiling Plan Sheet 1"/>
    <x v="0"/>
    <s v="In Progress"/>
    <x v="5"/>
    <x v="1"/>
    <x v="1"/>
    <x v="1"/>
    <x v="0"/>
    <b v="0"/>
    <x v="109"/>
    <s v="FS1018-AGL-ZZ-01-D-Z-9610"/>
  </r>
  <r>
    <s v="FS1018-AGL-ZZ-01-D-Z-9611"/>
    <s v="Level 01 Reflected Ceiling Plan Sheet 2"/>
    <x v="0"/>
    <s v="In Progress"/>
    <x v="5"/>
    <x v="1"/>
    <x v="1"/>
    <x v="1"/>
    <x v="0"/>
    <b v="0"/>
    <x v="110"/>
    <s v="FS1018-AGL-ZZ-01-D-Z-9611"/>
  </r>
  <r>
    <s v="FS1018-AGL-ZZ-02-D-E-6101"/>
    <s v="Level 02 Distribution Strategy"/>
    <x v="0"/>
    <s v="Completed"/>
    <x v="0"/>
    <x v="3"/>
    <x v="2"/>
    <x v="3"/>
    <x v="15"/>
    <b v="0"/>
    <x v="111"/>
    <s v="FS1018-AGL-ZZ-02-D-E-6101"/>
  </r>
  <r>
    <s v="FS1018-AGL-ZZ-02-D-E-6110"/>
    <s v="Level 02 Containment Sheet 1"/>
    <x v="0"/>
    <s v="In Progress"/>
    <x v="5"/>
    <x v="1"/>
    <x v="1"/>
    <x v="1"/>
    <x v="0"/>
    <b v="0"/>
    <x v="112"/>
    <s v="FS1018-AGL-ZZ-02-D-E-6110"/>
  </r>
  <r>
    <s v="FS1018-AGL-ZZ-02-D-E-6111"/>
    <s v="Level 02 Containment Sheet 2"/>
    <x v="0"/>
    <s v="In Progress"/>
    <x v="5"/>
    <x v="1"/>
    <x v="1"/>
    <x v="1"/>
    <x v="0"/>
    <b v="0"/>
    <x v="113"/>
    <s v="FS1018-AGL-ZZ-02-D-E-6111"/>
  </r>
  <r>
    <s v="FS1018-AGL-ZZ-02-D-E-6210"/>
    <s v="Level 02 Small Power And Data Sheet 1"/>
    <x v="0"/>
    <s v="In Progress"/>
    <x v="5"/>
    <x v="1"/>
    <x v="1"/>
    <x v="1"/>
    <x v="0"/>
    <b v="0"/>
    <x v="114"/>
    <s v="FS1018-AGL-ZZ-02-D-E-6210"/>
  </r>
  <r>
    <s v="FS1018-AGL-ZZ-02-D-E-6211"/>
    <s v="Level 02 Small Power And Data Sheet 2"/>
    <x v="0"/>
    <s v="In Progress"/>
    <x v="5"/>
    <x v="1"/>
    <x v="1"/>
    <x v="1"/>
    <x v="0"/>
    <b v="0"/>
    <x v="115"/>
    <s v="FS1018-AGL-ZZ-02-D-E-6211"/>
  </r>
  <r>
    <s v="FS1018-AGL-ZZ-02-D-E-6212"/>
    <s v="Level 02 MSER Sheet 1"/>
    <x v="0"/>
    <s v="In Progress"/>
    <x v="5"/>
    <x v="1"/>
    <x v="1"/>
    <x v="1"/>
    <x v="0"/>
    <b v="0"/>
    <x v="116"/>
    <s v="FS1018-AGL-ZZ-02-D-E-6212"/>
  </r>
  <r>
    <s v="FS1018-AGL-ZZ-02-D-E-6213"/>
    <s v="Level 02 MSER Sheet 2"/>
    <x v="0"/>
    <s v="In Progress"/>
    <x v="5"/>
    <x v="1"/>
    <x v="1"/>
    <x v="1"/>
    <x v="0"/>
    <b v="0"/>
    <x v="117"/>
    <s v="FS1018-AGL-ZZ-02-D-E-6213"/>
  </r>
  <r>
    <s v="FS1018-AGL-ZZ-02-D-E-6301"/>
    <s v="Level 02 Lighting Lux Levels Strategy"/>
    <x v="0"/>
    <s v="Completed"/>
    <x v="0"/>
    <x v="3"/>
    <x v="2"/>
    <x v="3"/>
    <x v="18"/>
    <b v="0"/>
    <x v="118"/>
    <s v="FS1018-AGL-ZZ-02-D-E-6301"/>
  </r>
  <r>
    <s v="FS1018-AGL-ZZ-02-D-E-6302"/>
    <s v="Level 02 Lighting Controls Strategy"/>
    <x v="0"/>
    <s v="Completed"/>
    <x v="0"/>
    <x v="3"/>
    <x v="0"/>
    <x v="3"/>
    <x v="0"/>
    <b v="0"/>
    <x v="119"/>
    <s v="FS1018-AGL-ZZ-02-D-E-6302"/>
  </r>
  <r>
    <s v="FS1018-AGL-ZZ-02-D-E-6310"/>
    <s v="Level 02 Lighting Sheet 1"/>
    <x v="0"/>
    <s v="In Progress"/>
    <x v="5"/>
    <x v="1"/>
    <x v="1"/>
    <x v="1"/>
    <x v="0"/>
    <b v="0"/>
    <x v="120"/>
    <s v="FS1018-AGL-ZZ-02-D-E-6310"/>
  </r>
  <r>
    <s v="FS1018-AGL-ZZ-02-D-E-6311"/>
    <s v="Level 02 Lighting Sheet 2"/>
    <x v="0"/>
    <s v="In Progress"/>
    <x v="5"/>
    <x v="1"/>
    <x v="1"/>
    <x v="1"/>
    <x v="0"/>
    <b v="0"/>
    <x v="121"/>
    <s v="FS1018-AGL-ZZ-02-D-E-6311"/>
  </r>
  <r>
    <s v="FS1018-AGL-ZZ-02-D-E-6801"/>
    <s v="Level 02 Fire Alarm Strategy"/>
    <x v="0"/>
    <s v="Completed"/>
    <x v="0"/>
    <x v="3"/>
    <x v="2"/>
    <x v="3"/>
    <x v="17"/>
    <b v="0"/>
    <x v="122"/>
    <s v="FS1018-AGL-ZZ-02-D-E-6801"/>
  </r>
  <r>
    <s v="FS1018-AGL-ZZ-02-D-E-6802"/>
    <s v="Level 02 CCTV and Access Control Strategy"/>
    <x v="0"/>
    <s v="Completed"/>
    <x v="0"/>
    <x v="3"/>
    <x v="0"/>
    <x v="3"/>
    <x v="0"/>
    <b v="0"/>
    <x v="123"/>
    <s v="FS1018-AGL-ZZ-02-D-E-6802"/>
  </r>
  <r>
    <s v="FS1018-AGL-ZZ-02-D-E-6803"/>
    <s v="Level 02 PA Strategy"/>
    <x v="0"/>
    <s v="Completed"/>
    <x v="0"/>
    <x v="3"/>
    <x v="2"/>
    <x v="3"/>
    <x v="9"/>
    <b v="0"/>
    <x v="124"/>
    <s v="FS1018-AGL-ZZ-02-D-E-6803"/>
  </r>
  <r>
    <s v="FS1018-AGL-ZZ-02-D-E-6810"/>
    <s v="Level 02 Fire Alarm Sheet 1"/>
    <x v="0"/>
    <s v="In Progress"/>
    <x v="5"/>
    <x v="1"/>
    <x v="1"/>
    <x v="1"/>
    <x v="0"/>
    <b v="0"/>
    <x v="125"/>
    <s v="FS1018-AGL-ZZ-02-D-E-6810"/>
  </r>
  <r>
    <s v="FS1018-AGL-ZZ-02-D-E-6811"/>
    <s v="Level 02 Fire Alarm Sheet 2"/>
    <x v="0"/>
    <s v="In Progress"/>
    <x v="5"/>
    <x v="1"/>
    <x v="1"/>
    <x v="1"/>
    <x v="0"/>
    <b v="0"/>
    <x v="126"/>
    <s v="FS1018-AGL-ZZ-02-D-E-6811"/>
  </r>
  <r>
    <s v="FS1018-AGL-ZZ-02-D-E-6820"/>
    <s v="Level 02 Fire Alarm Zoning Sheet 1"/>
    <x v="0"/>
    <s v="In Progress"/>
    <x v="5"/>
    <x v="1"/>
    <x v="1"/>
    <x v="1"/>
    <x v="0"/>
    <b v="0"/>
    <x v="127"/>
    <s v="FS1018-AGL-ZZ-02-D-E-6820"/>
  </r>
  <r>
    <s v="FS1018-AGL-ZZ-02-D-E-6821"/>
    <s v="Level 02 Fire Alarm Zoning Sheet 2"/>
    <x v="0"/>
    <s v="In Progress"/>
    <x v="5"/>
    <x v="1"/>
    <x v="1"/>
    <x v="1"/>
    <x v="0"/>
    <b v="0"/>
    <x v="128"/>
    <s v="FS1018-AGL-ZZ-02-D-E-6821"/>
  </r>
  <r>
    <s v="FS1018-AGL-ZZ-02-D-E-6840"/>
    <s v="Level 02 Security Sheet 1"/>
    <x v="0"/>
    <s v="In Progress"/>
    <x v="5"/>
    <x v="1"/>
    <x v="1"/>
    <x v="1"/>
    <x v="0"/>
    <b v="0"/>
    <x v="129"/>
    <s v="FS1018-AGL-ZZ-02-D-E-6840"/>
  </r>
  <r>
    <s v="FS1018-AGL-ZZ-02-D-E-6841"/>
    <s v="Level 02 Security Sheet 2"/>
    <x v="0"/>
    <s v="In Progress"/>
    <x v="5"/>
    <x v="1"/>
    <x v="1"/>
    <x v="1"/>
    <x v="0"/>
    <b v="0"/>
    <x v="130"/>
    <s v="FS1018-AGL-ZZ-02-D-E-6841"/>
  </r>
  <r>
    <s v="FS1018-AGL-ZZ-02-D-M-5201"/>
    <s v="Level 02 Above Ground Drainage Strategy"/>
    <x v="0"/>
    <s v="Completed"/>
    <x v="0"/>
    <x v="4"/>
    <x v="2"/>
    <x v="4"/>
    <x v="10"/>
    <b v="0"/>
    <x v="131"/>
    <s v="FS1018-AGL-ZZ-02-D-M-5201"/>
  </r>
  <r>
    <s v="FS1018-AGL-ZZ-02-D-M-5210"/>
    <s v="Level 02 Above Ground Drainage Sheet 1"/>
    <x v="1"/>
    <s v="In Progress"/>
    <x v="5"/>
    <x v="1"/>
    <x v="1"/>
    <x v="1"/>
    <x v="0"/>
    <b v="1"/>
    <x v="132"/>
    <s v="FS1018-AGL-ZZ-02-D-M-5210"/>
  </r>
  <r>
    <s v="FS1018-AGL-ZZ-02-D-M-5211"/>
    <s v="Level 02 Above Ground Drainage Sheet 2"/>
    <x v="1"/>
    <s v="In Progress"/>
    <x v="5"/>
    <x v="1"/>
    <x v="1"/>
    <x v="1"/>
    <x v="0"/>
    <b v="1"/>
    <x v="133"/>
    <s v="FS1018-AGL-ZZ-02-D-M-5211"/>
  </r>
  <r>
    <s v="FS1018-AGL-ZZ-02-D-M-5301"/>
    <s v="Level 02 Domestic Water Services Strategy"/>
    <x v="0"/>
    <s v="Completed"/>
    <x v="0"/>
    <x v="4"/>
    <x v="2"/>
    <x v="4"/>
    <x v="10"/>
    <b v="0"/>
    <x v="134"/>
    <s v="FS1018-AGL-ZZ-02-D-M-5301"/>
  </r>
  <r>
    <s v="FS1018-AGL-ZZ-02-D-M-5310"/>
    <s v="Level 02 Domestic Water Services Sheet 1"/>
    <x v="1"/>
    <s v="In Progress"/>
    <x v="5"/>
    <x v="1"/>
    <x v="1"/>
    <x v="1"/>
    <x v="0"/>
    <b v="1"/>
    <x v="135"/>
    <s v="FS1018-AGL-ZZ-02-D-M-5310"/>
  </r>
  <r>
    <s v="FS1018-AGL-ZZ-02-D-M-5311"/>
    <s v="Level 02 Domestic Water Services Sheet 2"/>
    <x v="1"/>
    <s v="In Progress"/>
    <x v="5"/>
    <x v="1"/>
    <x v="1"/>
    <x v="1"/>
    <x v="0"/>
    <b v="1"/>
    <x v="136"/>
    <s v="FS1018-AGL-ZZ-02-D-M-5311"/>
  </r>
  <r>
    <s v="FS1018-AGL-ZZ-02-D-M-5401"/>
    <s v="Level 02 Gas Strategy"/>
    <x v="0"/>
    <s v="Completed"/>
    <x v="0"/>
    <x v="4"/>
    <x v="2"/>
    <x v="5"/>
    <x v="11"/>
    <b v="0"/>
    <x v="137"/>
    <s v="FS1018-AGL-ZZ-02-D-M-5401"/>
  </r>
  <r>
    <s v="FS1018-AGL-ZZ-02-D-M-5410"/>
    <s v="Level 02 Gas"/>
    <x v="1"/>
    <s v="In Progress"/>
    <x v="5"/>
    <x v="1"/>
    <x v="1"/>
    <x v="1"/>
    <x v="0"/>
    <b v="1"/>
    <x v="138"/>
    <s v="FS1018-AGL-ZZ-02-D-M-5410"/>
  </r>
  <r>
    <s v="FS1018-AGL-ZZ-02-D-M-5601"/>
    <s v="Level 02 Heating and Cooling Strategy"/>
    <x v="0"/>
    <s v="Completed"/>
    <x v="0"/>
    <x v="4"/>
    <x v="2"/>
    <x v="5"/>
    <x v="12"/>
    <b v="0"/>
    <x v="139"/>
    <s v="FS1018-AGL-ZZ-02-D-M-5601"/>
  </r>
  <r>
    <s v="FS1018-AGL-ZZ-02-D-M-5610"/>
    <s v="Level 02 Heating and Cooling Sheet 1"/>
    <x v="0"/>
    <s v="In Progress"/>
    <x v="5"/>
    <x v="1"/>
    <x v="1"/>
    <x v="1"/>
    <x v="0"/>
    <b v="0"/>
    <x v="140"/>
    <s v="FS1018-AGL-ZZ-02-D-M-5610"/>
  </r>
  <r>
    <s v="FS1018-AGL-ZZ-02-D-M-5611"/>
    <s v="Level 02 Heating and Cooling Sheet 2"/>
    <x v="0"/>
    <s v="In Progress"/>
    <x v="5"/>
    <x v="1"/>
    <x v="1"/>
    <x v="1"/>
    <x v="0"/>
    <b v="0"/>
    <x v="141"/>
    <s v="FS1018-AGL-ZZ-02-D-M-5611"/>
  </r>
  <r>
    <s v="FS1018-AGL-ZZ-02-D-M-5701"/>
    <s v="Level 02 Ventilation Strategy"/>
    <x v="0"/>
    <s v="Completed"/>
    <x v="0"/>
    <x v="4"/>
    <x v="2"/>
    <x v="5"/>
    <x v="13"/>
    <b v="0"/>
    <x v="142"/>
    <s v="FS1018-AGL-ZZ-02-D-M-5701"/>
  </r>
  <r>
    <s v="FS1018-AGL-ZZ-02-D-M-5710"/>
    <s v="Level 02 Ventilation Sheet 1"/>
    <x v="1"/>
    <s v="In Progress"/>
    <x v="5"/>
    <x v="1"/>
    <x v="1"/>
    <x v="1"/>
    <x v="0"/>
    <b v="1"/>
    <x v="143"/>
    <s v="FS1018-AGL-ZZ-02-D-M-5710"/>
  </r>
  <r>
    <s v="FS1018-AGL-ZZ-02-D-M-5711"/>
    <s v="Level 02 Ventilation Sheet 2"/>
    <x v="1"/>
    <s v="In Progress"/>
    <x v="5"/>
    <x v="1"/>
    <x v="1"/>
    <x v="1"/>
    <x v="0"/>
    <b v="1"/>
    <x v="144"/>
    <s v="FS1018-AGL-ZZ-02-D-M-5711"/>
  </r>
  <r>
    <s v="FS1018-AGL-ZZ-02-D-Z-6010"/>
    <s v="Level 02 Builderswork Sheet 1"/>
    <x v="0"/>
    <s v="In Progress"/>
    <x v="5"/>
    <x v="1"/>
    <x v="1"/>
    <x v="1"/>
    <x v="0"/>
    <b v="0"/>
    <x v="145"/>
    <s v="FS1018-AGL-ZZ-02-D-Z-6010"/>
  </r>
  <r>
    <s v="FS1018-AGL-ZZ-02-D-Z-6011"/>
    <s v="Level 02 Builderswork Sheet 2"/>
    <x v="0"/>
    <s v="In Progress"/>
    <x v="5"/>
    <x v="1"/>
    <x v="1"/>
    <x v="1"/>
    <x v="0"/>
    <b v="0"/>
    <x v="146"/>
    <s v="FS1018-AGL-ZZ-02-D-Z-6011"/>
  </r>
  <r>
    <s v="FS1018-AGL-ZZ-02-D-Z-9501"/>
    <s v="Level 02 Plant Access and Maintenance Strategy"/>
    <x v="0"/>
    <s v="Completed"/>
    <x v="0"/>
    <x v="5"/>
    <x v="2"/>
    <x v="5"/>
    <x v="14"/>
    <b v="0"/>
    <x v="147"/>
    <s v="FS1018-AGL-ZZ-02-D-Z-9501"/>
  </r>
  <r>
    <s v="FS1018-AGL-ZZ-02-D-Z-9610"/>
    <s v="Level 02 Reflected Ceiling Plan Sheet 1"/>
    <x v="0"/>
    <s v="In Progress"/>
    <x v="5"/>
    <x v="1"/>
    <x v="1"/>
    <x v="1"/>
    <x v="0"/>
    <b v="0"/>
    <x v="148"/>
    <s v="FS1018-AGL-ZZ-02-D-Z-9610"/>
  </r>
  <r>
    <s v="FS1018-AGL-ZZ-02-D-Z-9611"/>
    <s v="Level 02 Reflected Ceiling Plan Sheet 2"/>
    <x v="0"/>
    <s v="In Progress"/>
    <x v="5"/>
    <x v="1"/>
    <x v="1"/>
    <x v="1"/>
    <x v="0"/>
    <b v="0"/>
    <x v="149"/>
    <s v="FS1018-AGL-ZZ-02-D-Z-9611"/>
  </r>
  <r>
    <s v="FS1018-AGL-ZZ-RF-D-E-6213"/>
    <s v="Roof Level MSER"/>
    <x v="0"/>
    <s v="In Progress"/>
    <x v="5"/>
    <x v="1"/>
    <x v="1"/>
    <x v="1"/>
    <x v="0"/>
    <b v="0"/>
    <x v="150"/>
    <s v="FS1018-AGL-ZZ-RF-D-E-6213"/>
  </r>
  <r>
    <s v="FS1018-AGL-ZZ-RF-D-E-6810"/>
    <s v="Roof Level Fire Alarm Sheet 1"/>
    <x v="0"/>
    <s v="In Progress"/>
    <x v="5"/>
    <x v="1"/>
    <x v="1"/>
    <x v="1"/>
    <x v="0"/>
    <b v="0"/>
    <x v="151"/>
    <s v="FS1018-AGL-ZZ-RF-D-E-6810"/>
  </r>
  <r>
    <s v="FS1018-AGL-ZZ-RF-D-E-6811"/>
    <s v="Roof Level Fire Alarm Sheet 2"/>
    <x v="0"/>
    <s v="In Progress"/>
    <x v="5"/>
    <x v="1"/>
    <x v="1"/>
    <x v="1"/>
    <x v="0"/>
    <b v="0"/>
    <x v="152"/>
    <s v="FS1018-AGL-ZZ-RF-D-E-6811"/>
  </r>
  <r>
    <s v="FS1018-AGL-ZZ-RF-D-E-6840"/>
    <s v="Roof Level Security Sheet 1"/>
    <x v="0"/>
    <s v="In Progress"/>
    <x v="5"/>
    <x v="1"/>
    <x v="1"/>
    <x v="1"/>
    <x v="0"/>
    <b v="0"/>
    <x v="153"/>
    <s v="FS1018-AGL-ZZ-RF-D-E-6840"/>
  </r>
  <r>
    <s v="FS1018-AGL-ZZ-RF-D-E-6841"/>
    <s v="Roof Level Security Sheet 2"/>
    <x v="0"/>
    <s v="In Progress"/>
    <x v="5"/>
    <x v="1"/>
    <x v="1"/>
    <x v="1"/>
    <x v="0"/>
    <b v="0"/>
    <x v="154"/>
    <s v="FS1018-AGL-ZZ-RF-D-E-6841"/>
  </r>
  <r>
    <s v="FS1018-AGL-ZZ-RF-D-E-6842"/>
    <s v="Roof Level Security Sheet 3"/>
    <x v="0"/>
    <s v="In Progress"/>
    <x v="5"/>
    <x v="1"/>
    <x v="1"/>
    <x v="1"/>
    <x v="0"/>
    <b v="0"/>
    <x v="155"/>
    <s v="FS1018-AGL-ZZ-RF-D-E-6842"/>
  </r>
  <r>
    <s v="FS1018-AGL-ZZ-RF-D-E-9001"/>
    <s v="Photovoltaic"/>
    <x v="0"/>
    <s v="Completed"/>
    <x v="4"/>
    <x v="2"/>
    <x v="2"/>
    <x v="2"/>
    <x v="4"/>
    <b v="0"/>
    <x v="156"/>
    <s v="FS1018-AGL-ZZ-RF-D-E-9001"/>
  </r>
  <r>
    <s v="FS1018-AGL-ZZ-RF-D-E-9001"/>
    <s v="Photovoltaic"/>
    <x v="1"/>
    <s v="In Progress"/>
    <x v="5"/>
    <x v="1"/>
    <x v="1"/>
    <x v="1"/>
    <x v="0"/>
    <b v="1"/>
    <x v="156"/>
    <s v="FS1018-AGL-ZZ-RF-D-E-9001"/>
  </r>
  <r>
    <s v="FS1018-AGL-ZZ-RF-D-M-5210"/>
    <s v="Roof Level Above Ground Drainage Sheet 1"/>
    <x v="1"/>
    <s v="In Progress"/>
    <x v="5"/>
    <x v="1"/>
    <x v="1"/>
    <x v="1"/>
    <x v="0"/>
    <b v="1"/>
    <x v="157"/>
    <s v="FS1018-AGL-ZZ-RF-D-M-5210"/>
  </r>
  <r>
    <s v="FS1018-AGL-ZZ-RF-D-M-5211"/>
    <s v="Roof Level Above Ground Drainage Sheet 2"/>
    <x v="1"/>
    <s v="In Progress"/>
    <x v="5"/>
    <x v="1"/>
    <x v="1"/>
    <x v="1"/>
    <x v="0"/>
    <b v="1"/>
    <x v="158"/>
    <s v="FS1018-AGL-ZZ-RF-D-M-5211"/>
  </r>
  <r>
    <s v="FS1018-AGL-ZZ-RF-D-M-5212"/>
    <s v="Roof Level Above Ground Drainage Sheet 3"/>
    <x v="1"/>
    <s v="In Progress"/>
    <x v="5"/>
    <x v="1"/>
    <x v="1"/>
    <x v="1"/>
    <x v="0"/>
    <b v="1"/>
    <x v="159"/>
    <s v="FS1018-AGL-ZZ-RF-D-M-5212"/>
  </r>
  <r>
    <s v="FS1018-AGL-ZZ-RF-D-M-5301"/>
    <s v="Roof Level Domestic Water Services Strategy"/>
    <x v="0"/>
    <s v="Completed"/>
    <x v="0"/>
    <x v="4"/>
    <x v="2"/>
    <x v="4"/>
    <x v="10"/>
    <b v="0"/>
    <x v="160"/>
    <s v="FS1018-AGL-ZZ-RF-D-M-5301"/>
  </r>
  <r>
    <s v="FS1018-AGL-ZZ-RF-D-M-5310"/>
    <s v="Roof Level Domestic Water Services Sheet 1"/>
    <x v="1"/>
    <s v="In Progress"/>
    <x v="5"/>
    <x v="1"/>
    <x v="1"/>
    <x v="1"/>
    <x v="0"/>
    <b v="1"/>
    <x v="161"/>
    <s v="FS1018-AGL-ZZ-RF-D-M-5310"/>
  </r>
  <r>
    <s v="FS1018-AGL-ZZ-RF-D-M-5311"/>
    <s v="Roof Level Domestic Water Services Sheet 2"/>
    <x v="1"/>
    <s v="In Progress"/>
    <x v="5"/>
    <x v="1"/>
    <x v="1"/>
    <x v="1"/>
    <x v="0"/>
    <b v="1"/>
    <x v="162"/>
    <s v="FS1018-AGL-ZZ-RF-D-M-5311"/>
  </r>
  <r>
    <s v="FS1018-AGL-ZZ-RF-D-M-5312"/>
    <s v="Roof Level Domestic Water Services Sheet 3"/>
    <x v="1"/>
    <s v="In Progress"/>
    <x v="5"/>
    <x v="1"/>
    <x v="1"/>
    <x v="1"/>
    <x v="0"/>
    <b v="1"/>
    <x v="163"/>
    <s v="FS1018-AGL-ZZ-RF-D-M-5312"/>
  </r>
  <r>
    <s v="FS1018-AGL-ZZ-RF-D-M-5710"/>
    <s v="Roof Level Ventilation Sheet 1"/>
    <x v="0"/>
    <s v="In Progress"/>
    <x v="5"/>
    <x v="1"/>
    <x v="1"/>
    <x v="1"/>
    <x v="0"/>
    <b v="0"/>
    <x v="164"/>
    <s v="FS1018-AGL-ZZ-RF-D-M-5710"/>
  </r>
  <r>
    <s v="FS1018-AGL-ZZ-RF-D-M-5711"/>
    <s v="Roof Level Ventilation Sheet 2"/>
    <x v="0"/>
    <s v="In Progress"/>
    <x v="5"/>
    <x v="1"/>
    <x v="1"/>
    <x v="1"/>
    <x v="0"/>
    <b v="0"/>
    <x v="165"/>
    <s v="FS1018-AGL-ZZ-RF-D-M-5711"/>
  </r>
  <r>
    <s v="FS1018-AGL-ZZ-RF-D-M-5712"/>
    <s v="Roof Level Ventilation Sheet 3"/>
    <x v="0"/>
    <s v="In Progress"/>
    <x v="5"/>
    <x v="1"/>
    <x v="1"/>
    <x v="1"/>
    <x v="0"/>
    <b v="0"/>
    <x v="166"/>
    <s v="FS1018-AGL-ZZ-RF-D-M-5712"/>
  </r>
  <r>
    <s v="FS1018-AGL-ZZ-RF-D-M-5801"/>
    <s v="Roof Level Plantroom Strategy"/>
    <x v="0"/>
    <s v="Completed"/>
    <x v="0"/>
    <x v="4"/>
    <x v="2"/>
    <x v="5"/>
    <x v="19"/>
    <b v="0"/>
    <x v="167"/>
    <s v="FS1018-AGL-ZZ-RF-D-M-5801"/>
  </r>
  <r>
    <s v="FS1018-AGL-ZZ-RF-D-Z-5810"/>
    <s v="Roof Level Plantroom Sheet 1"/>
    <x v="0"/>
    <s v="Completed"/>
    <x v="4"/>
    <x v="2"/>
    <x v="2"/>
    <x v="2"/>
    <x v="4"/>
    <b v="0"/>
    <x v="168"/>
    <s v="FS1018-AGL-ZZ-RF-D-Z-5810"/>
  </r>
  <r>
    <s v="FS1018-AGL-ZZ-RF-D-Z-5810"/>
    <s v="Roof Level Plantroom Sheet 1"/>
    <x v="1"/>
    <s v="In Progress"/>
    <x v="5"/>
    <x v="1"/>
    <x v="1"/>
    <x v="1"/>
    <x v="0"/>
    <b v="1"/>
    <x v="168"/>
    <s v="FS1018-AGL-ZZ-RF-D-Z-5810"/>
  </r>
  <r>
    <s v="FS1018-AGL-ZZ-RF-D-Z-5811"/>
    <s v="Roof Level Plantroom Sheet 2"/>
    <x v="0"/>
    <s v="Completed"/>
    <x v="4"/>
    <x v="2"/>
    <x v="2"/>
    <x v="2"/>
    <x v="4"/>
    <b v="0"/>
    <x v="169"/>
    <s v="FS1018-AGL-ZZ-RF-D-Z-5811"/>
  </r>
  <r>
    <s v="FS1018-AGL-ZZ-RF-D-Z-5811"/>
    <s v="Roof Level Plantroom Sheet 2"/>
    <x v="1"/>
    <s v="In Progress"/>
    <x v="5"/>
    <x v="1"/>
    <x v="1"/>
    <x v="1"/>
    <x v="0"/>
    <b v="1"/>
    <x v="169"/>
    <s v="FS1018-AGL-ZZ-RF-D-Z-5811"/>
  </r>
  <r>
    <s v="FS1018-AGL-ZZ-RF-D-Z-5812"/>
    <s v="Roof Level Plantroom Sheet 3"/>
    <x v="0"/>
    <s v="Completed"/>
    <x v="4"/>
    <x v="2"/>
    <x v="2"/>
    <x v="2"/>
    <x v="4"/>
    <b v="0"/>
    <x v="170"/>
    <s v="FS1018-AGL-ZZ-RF-D-Z-5812"/>
  </r>
  <r>
    <s v="FS1018-AGL-ZZ-RF-D-Z-5812"/>
    <s v="Roof Level Plantroom Sheet 3"/>
    <x v="1"/>
    <s v="In Progress"/>
    <x v="5"/>
    <x v="1"/>
    <x v="1"/>
    <x v="1"/>
    <x v="0"/>
    <b v="1"/>
    <x v="170"/>
    <s v="FS1018-AGL-ZZ-RF-D-Z-5812"/>
  </r>
  <r>
    <s v="FS1018-AGL-ZZ-RF-D-Z-6010"/>
    <s v="Roof Level Builderswork Sheet 1"/>
    <x v="0"/>
    <s v="In Progress"/>
    <x v="5"/>
    <x v="1"/>
    <x v="1"/>
    <x v="1"/>
    <x v="0"/>
    <b v="0"/>
    <x v="171"/>
    <s v="FS1018-AGL-ZZ-RF-D-Z-6010"/>
  </r>
  <r>
    <s v="FS1018-AGL-ZZ-RF-D-Z-6011"/>
    <s v="Roof Level Builderswork Sheet 2"/>
    <x v="0"/>
    <s v="In Progress"/>
    <x v="5"/>
    <x v="1"/>
    <x v="1"/>
    <x v="1"/>
    <x v="0"/>
    <b v="0"/>
    <x v="172"/>
    <s v="FS1018-AGL-ZZ-RF-D-Z-6011"/>
  </r>
  <r>
    <s v="FS1018-AGL-ZZ-RF-D-Z-6012"/>
    <s v="Roof Level Builderswork Sheet 3"/>
    <x v="0"/>
    <s v="In Progress"/>
    <x v="5"/>
    <x v="1"/>
    <x v="1"/>
    <x v="1"/>
    <x v="0"/>
    <b v="0"/>
    <x v="173"/>
    <s v="FS1018-AGL-ZZ-RF-D-Z-6012"/>
  </r>
  <r>
    <s v="FS1018-AGL-ZZ-RF-D-Z-6101"/>
    <s v="Roof Level Mechanical and Electrical Strategy"/>
    <x v="0"/>
    <s v="Completed"/>
    <x v="0"/>
    <x v="5"/>
    <x v="2"/>
    <x v="5"/>
    <x v="20"/>
    <b v="0"/>
    <x v="174"/>
    <s v="FS1018-AGL-ZZ-RF-D-Z-6101"/>
  </r>
  <r>
    <s v="FS1018-AGL-ZZ-XX-D-E-6802"/>
    <s v="External Access Control Strategy"/>
    <x v="0"/>
    <s v="Completed"/>
    <x v="0"/>
    <x v="3"/>
    <x v="0"/>
    <x v="3"/>
    <x v="0"/>
    <b v="0"/>
    <x v="175"/>
    <s v="FS1018-AGL-ZZ-XX-D-E-6802"/>
  </r>
  <r>
    <s v="FS1018-AGL-ZZ-XX-D-E-9001"/>
    <s v="External Lighting"/>
    <x v="0"/>
    <s v="Completed"/>
    <x v="0"/>
    <x v="3"/>
    <x v="2"/>
    <x v="3"/>
    <x v="21"/>
    <b v="0"/>
    <x v="176"/>
    <s v="FS1018-AGL-ZZ-XX-D-E-9001"/>
  </r>
  <r>
    <s v="FS1018-AGL-ZZ-XX-D-E-9001"/>
    <s v="External Lighting"/>
    <x v="1"/>
    <s v="Completed"/>
    <x v="6"/>
    <x v="4"/>
    <x v="2"/>
    <x v="2"/>
    <x v="4"/>
    <b v="1"/>
    <x v="176"/>
    <s v="FS1018-AGL-ZZ-XX-D-E-9001"/>
  </r>
  <r>
    <s v="FS1018-AGL-ZZ-XX-D-E-9001"/>
    <s v="External Lighting"/>
    <x v="2"/>
    <s v="In Progress"/>
    <x v="5"/>
    <x v="1"/>
    <x v="1"/>
    <x v="1"/>
    <x v="0"/>
    <b v="0"/>
    <x v="176"/>
    <s v="FS1018-AGL-ZZ-XX-D-E-9001"/>
  </r>
  <r>
    <s v="FS1018-AGL-ZZ-XX-D-E-9002"/>
    <s v="External Lighting Lux Levels"/>
    <x v="0"/>
    <s v="Completed"/>
    <x v="0"/>
    <x v="3"/>
    <x v="2"/>
    <x v="3"/>
    <x v="22"/>
    <b v="0"/>
    <x v="177"/>
    <s v="FS1018-AGL-ZZ-XX-D-E-9002"/>
  </r>
  <r>
    <s v="FS1018-AGL-ZZ-XX-D-E-9002"/>
    <s v="External Lighting Lux Levels"/>
    <x v="1"/>
    <s v="In Progress"/>
    <x v="5"/>
    <x v="1"/>
    <x v="1"/>
    <x v="1"/>
    <x v="0"/>
    <b v="1"/>
    <x v="177"/>
    <s v="FS1018-AGL-ZZ-XX-D-E-9002"/>
  </r>
  <r>
    <s v="FS1018-AGL-ZZ-XX-D-E-9511"/>
    <s v="DNO Services Drawing and Proposal"/>
    <x v="0"/>
    <s v="In Progress"/>
    <x v="5"/>
    <x v="1"/>
    <x v="1"/>
    <x v="1"/>
    <x v="0"/>
    <b v="0"/>
    <x v="178"/>
    <s v="FS1018-AGL-ZZ-XX-D-E-9511"/>
  </r>
  <r>
    <s v="FS1018-AGL-ZZ-XX-D-Z-5810"/>
    <s v="External Compound"/>
    <x v="0"/>
    <s v="In Progress"/>
    <x v="5"/>
    <x v="1"/>
    <x v="1"/>
    <x v="1"/>
    <x v="0"/>
    <b v="0"/>
    <x v="179"/>
    <s v="FS1018-AGL-ZZ-XX-D-Z-5810"/>
  </r>
  <r>
    <s v="FS1018-AGL-ZZ-XX-D-Z-9510"/>
    <s v="External Services"/>
    <x v="1"/>
    <s v="Completed"/>
    <x v="4"/>
    <x v="2"/>
    <x v="2"/>
    <x v="2"/>
    <x v="4"/>
    <b v="1"/>
    <x v="180"/>
    <s v="FS1018-AGL-ZZ-XX-D-Z-9510"/>
  </r>
  <r>
    <s v="FS1018-AGL-ZZ-XX-D-Z-9510"/>
    <s v="External Services"/>
    <x v="3"/>
    <s v="In Progress"/>
    <x v="5"/>
    <x v="1"/>
    <x v="1"/>
    <x v="1"/>
    <x v="0"/>
    <b v="0"/>
    <x v="180"/>
    <s v="FS1018-AGL-ZZ-XX-D-Z-9510"/>
  </r>
  <r>
    <s v="FS1018-AGL-ZZ-XX-L-E-0001"/>
    <s v="Proposed Manufacturers Electrical Schedule"/>
    <x v="0"/>
    <s v="Completed"/>
    <x v="0"/>
    <x v="3"/>
    <x v="0"/>
    <x v="3"/>
    <x v="0"/>
    <b v="0"/>
    <x v="181"/>
    <s v="FS1018-AGL-ZZ-XX-L-E-0001"/>
  </r>
  <r>
    <s v="FS1018-AGL-ZZ-XX-L-E-0001"/>
    <s v="Proposed Manufacturers Electrical Schedule"/>
    <x v="0"/>
    <s v="In Progress"/>
    <x v="5"/>
    <x v="1"/>
    <x v="1"/>
    <x v="1"/>
    <x v="0"/>
    <b v="0"/>
    <x v="181"/>
    <s v="FS1018-AGL-ZZ-XX-L-E-0001"/>
  </r>
  <r>
    <s v="FS1018-AGL-ZZ-XX-L-E-0002"/>
    <s v="Cable Calculation &amp; Schedule Report"/>
    <x v="0"/>
    <s v="In Progress"/>
    <x v="5"/>
    <x v="1"/>
    <x v="1"/>
    <x v="1"/>
    <x v="0"/>
    <b v="0"/>
    <x v="182"/>
    <s v="FS1018-AGL-ZZ-XX-L-E-0002"/>
  </r>
  <r>
    <s v="FS1018-AGL-ZZ-XX-L-E-0003"/>
    <s v="Containment Calculations"/>
    <x v="0"/>
    <s v="In Progress"/>
    <x v="5"/>
    <x v="1"/>
    <x v="1"/>
    <x v="1"/>
    <x v="0"/>
    <b v="0"/>
    <x v="183"/>
    <s v="FS1018-AGL-ZZ-XX-L-E-0003"/>
  </r>
  <r>
    <s v="FS1018-AGL-ZZ-XX-L-E-0004"/>
    <s v="Lighting Calculations"/>
    <x v="0"/>
    <s v="In Progress"/>
    <x v="5"/>
    <x v="1"/>
    <x v="1"/>
    <x v="1"/>
    <x v="0"/>
    <b v="0"/>
    <x v="184"/>
    <s v="FS1018-AGL-ZZ-XX-L-E-0004"/>
  </r>
  <r>
    <s v="FS1018-AGL-ZZ-XX-L-E-0005"/>
    <s v="Exit Signage Calculation"/>
    <x v="0"/>
    <s v="In Progress"/>
    <x v="5"/>
    <x v="1"/>
    <x v="1"/>
    <x v="1"/>
    <x v="0"/>
    <b v="0"/>
    <x v="185"/>
    <s v="FS1018-AGL-ZZ-XX-L-E-0005"/>
  </r>
  <r>
    <s v="FS1018-AGL-ZZ-XX-L-E-9602"/>
    <s v="Luminaire Schedule"/>
    <x v="0"/>
    <s v="In Progress"/>
    <x v="5"/>
    <x v="1"/>
    <x v="1"/>
    <x v="1"/>
    <x v="0"/>
    <b v="0"/>
    <x v="186"/>
    <s v="FS1018-AGL-ZZ-XX-L-E-9602"/>
  </r>
  <r>
    <s v="FS1018-AGL-ZZ-XX-L-M-0001"/>
    <s v="Proposed Manufacturers Mechanical Schedule"/>
    <x v="0"/>
    <s v="Completed"/>
    <x v="0"/>
    <x v="4"/>
    <x v="2"/>
    <x v="5"/>
    <x v="23"/>
    <b v="0"/>
    <x v="187"/>
    <s v="FS1018-AGL-ZZ-XX-L-M-0001"/>
  </r>
  <r>
    <s v="FS1018-AGL-ZZ-XX-L-M-0002"/>
    <s v="Peak Water Demand BS EN 806"/>
    <x v="0"/>
    <s v="Completed"/>
    <x v="0"/>
    <x v="4"/>
    <x v="2"/>
    <x v="5"/>
    <x v="24"/>
    <b v="0"/>
    <x v="188"/>
    <s v="FS1018-AGL-ZZ-XX-L-M-0002"/>
  </r>
  <r>
    <s v="FS1018-AGL-ZZ-XX-L-M-0003"/>
    <s v="Domestic Water Services Calculations"/>
    <x v="0"/>
    <s v="In Progress"/>
    <x v="5"/>
    <x v="1"/>
    <x v="1"/>
    <x v="1"/>
    <x v="0"/>
    <b v="0"/>
    <x v="189"/>
    <s v="FS1018-AGL-ZZ-XX-L-M-0003"/>
  </r>
  <r>
    <s v="FS1018-AGL-ZZ-XX-L-M-0004"/>
    <s v="Ventilation Calculations"/>
    <x v="0"/>
    <s v="In Progress"/>
    <x v="5"/>
    <x v="1"/>
    <x v="1"/>
    <x v="1"/>
    <x v="0"/>
    <b v="0"/>
    <x v="190"/>
    <s v="FS1018-AGL-ZZ-XX-L-M-0004"/>
  </r>
  <r>
    <s v="FS1018-AGL-ZZ-XX-L-M-0005"/>
    <s v="Gas Calculations"/>
    <x v="0"/>
    <s v="In Progress"/>
    <x v="5"/>
    <x v="1"/>
    <x v="1"/>
    <x v="1"/>
    <x v="0"/>
    <b v="0"/>
    <x v="191"/>
    <s v="FS1018-AGL-ZZ-XX-L-M-0005"/>
  </r>
  <r>
    <s v="FS1018-AGL-ZZ-XX-L-M-0006"/>
    <s v="Above Ground Drainage Calculations"/>
    <x v="0"/>
    <s v="In Progress"/>
    <x v="5"/>
    <x v="1"/>
    <x v="1"/>
    <x v="1"/>
    <x v="0"/>
    <b v="0"/>
    <x v="192"/>
    <s v="FS1018-AGL-ZZ-XX-L-M-0006"/>
  </r>
  <r>
    <s v="FS1018-AGL-ZZ-XX-L-M-0007"/>
    <s v="Heating Calculations"/>
    <x v="0"/>
    <s v="In Progress"/>
    <x v="5"/>
    <x v="1"/>
    <x v="1"/>
    <x v="1"/>
    <x v="0"/>
    <b v="0"/>
    <x v="193"/>
    <s v="FS1018-AGL-ZZ-XX-L-M-0007"/>
  </r>
  <r>
    <s v="FS1018-AGL-ZZ-XX-L-M-0008"/>
    <s v="Heat Source Calculations"/>
    <x v="0"/>
    <s v="In Progress"/>
    <x v="5"/>
    <x v="1"/>
    <x v="1"/>
    <x v="1"/>
    <x v="0"/>
    <b v="0"/>
    <x v="194"/>
    <s v="FS1018-AGL-ZZ-XX-L-M-0008"/>
  </r>
  <r>
    <s v="FS1018-AGL-ZZ-XX-L-M-9604"/>
    <s v="Heat Pump Schedule"/>
    <x v="0"/>
    <s v="In Progress"/>
    <x v="5"/>
    <x v="1"/>
    <x v="1"/>
    <x v="1"/>
    <x v="0"/>
    <b v="0"/>
    <x v="195"/>
    <s v="FS1018-AGL-ZZ-XX-L-M-9604"/>
  </r>
  <r>
    <s v="FS1018-AGL-ZZ-XX-L-M-9605"/>
    <s v="Buffer Vessel Schedule"/>
    <x v="0"/>
    <s v="In Progress"/>
    <x v="5"/>
    <x v="1"/>
    <x v="1"/>
    <x v="1"/>
    <x v="0"/>
    <b v="0"/>
    <x v="196"/>
    <s v="FS1018-AGL-ZZ-XX-L-M-9605"/>
  </r>
  <r>
    <s v="FS1018-AGL-ZZ-XX-L-M-9607"/>
    <s v="Plate Heat Exchanger Schedule"/>
    <x v="0"/>
    <s v="In Progress"/>
    <x v="5"/>
    <x v="1"/>
    <x v="1"/>
    <x v="1"/>
    <x v="0"/>
    <b v="0"/>
    <x v="197"/>
    <s v="FS1018-AGL-ZZ-XX-L-M-9607"/>
  </r>
  <r>
    <s v="FS1018-AGL-ZZ-XX-L-M-9608"/>
    <s v="Water Heater Schedule"/>
    <x v="0"/>
    <s v="In Progress"/>
    <x v="5"/>
    <x v="1"/>
    <x v="1"/>
    <x v="1"/>
    <x v="0"/>
    <b v="0"/>
    <x v="198"/>
    <s v="FS1018-AGL-ZZ-XX-L-M-9608"/>
  </r>
  <r>
    <s v="FS1018-AGL-ZZ-XX-L-M-9609"/>
    <s v="Air &amp; Dirt Separator Schedule"/>
    <x v="0"/>
    <s v="In Progress"/>
    <x v="5"/>
    <x v="1"/>
    <x v="1"/>
    <x v="1"/>
    <x v="0"/>
    <b v="0"/>
    <x v="199"/>
    <s v="FS1018-AGL-ZZ-XX-L-M-9609"/>
  </r>
  <r>
    <s v="FS1018-AGL-ZZ-XX-L-M-9610"/>
    <s v="Dosing Pot Schedule"/>
    <x v="0"/>
    <s v="In Progress"/>
    <x v="5"/>
    <x v="1"/>
    <x v="1"/>
    <x v="1"/>
    <x v="0"/>
    <b v="0"/>
    <x v="200"/>
    <s v="FS1018-AGL-ZZ-XX-L-M-9610"/>
  </r>
  <r>
    <s v="FS1018-AGL-ZZ-XX-L-M-9613"/>
    <s v="Water Filter Schedule"/>
    <x v="0"/>
    <s v="In Progress"/>
    <x v="5"/>
    <x v="1"/>
    <x v="1"/>
    <x v="1"/>
    <x v="0"/>
    <b v="0"/>
    <x v="201"/>
    <s v="FS1018-AGL-ZZ-XX-L-M-9613"/>
  </r>
  <r>
    <s v="FS1018-AGL-ZZ-XX-L-M-9614"/>
    <s v="Water Softener Schedule"/>
    <x v="0"/>
    <s v="In Progress"/>
    <x v="5"/>
    <x v="1"/>
    <x v="1"/>
    <x v="1"/>
    <x v="0"/>
    <b v="0"/>
    <x v="202"/>
    <s v="FS1018-AGL-ZZ-XX-L-M-9614"/>
  </r>
  <r>
    <s v="FS1018-AGL-ZZ-XX-L-M-9617"/>
    <s v="Leak Detection Schedule"/>
    <x v="0"/>
    <s v="In Progress"/>
    <x v="5"/>
    <x v="1"/>
    <x v="1"/>
    <x v="1"/>
    <x v="0"/>
    <b v="0"/>
    <x v="203"/>
    <s v="FS1018-AGL-ZZ-XX-L-M-9617"/>
  </r>
  <r>
    <s v="FS1018-AGL-ZZ-XX-L-M-9619"/>
    <s v="Gas Meter Schedule"/>
    <x v="0"/>
    <s v="In Progress"/>
    <x v="5"/>
    <x v="1"/>
    <x v="1"/>
    <x v="1"/>
    <x v="0"/>
    <b v="0"/>
    <x v="204"/>
    <s v="FS1018-AGL-ZZ-XX-L-M-9619"/>
  </r>
  <r>
    <s v="FS1018-AGL-ZZ-XX-L-M-9620"/>
    <s v="Water Meter Schedule"/>
    <x v="0"/>
    <s v="In Progress"/>
    <x v="5"/>
    <x v="1"/>
    <x v="1"/>
    <x v="1"/>
    <x v="0"/>
    <b v="0"/>
    <x v="205"/>
    <s v="FS1018-AGL-ZZ-XX-L-M-9620"/>
  </r>
  <r>
    <s v="FS1018-AGL-ZZ-XX-L-M-9621"/>
    <s v="Heat Meter Schedule"/>
    <x v="0"/>
    <s v="In Progress"/>
    <x v="5"/>
    <x v="1"/>
    <x v="1"/>
    <x v="1"/>
    <x v="0"/>
    <b v="0"/>
    <x v="206"/>
    <s v="FS1018-AGL-ZZ-XX-L-M-9621"/>
  </r>
  <r>
    <s v="FS1018-AGL-ZZ-XX-L-M-9623"/>
    <s v="Gas Solenoid Valve Schedule"/>
    <x v="0"/>
    <s v="In Progress"/>
    <x v="5"/>
    <x v="1"/>
    <x v="1"/>
    <x v="1"/>
    <x v="0"/>
    <b v="0"/>
    <x v="207"/>
    <s v="FS1018-AGL-ZZ-XX-L-M-9623"/>
  </r>
  <r>
    <s v="FS1018-AGL-ZZ-XX-L-M-9624"/>
    <s v="Gas Detection &amp; Proving Panel Schedule"/>
    <x v="0"/>
    <s v="In Progress"/>
    <x v="5"/>
    <x v="1"/>
    <x v="1"/>
    <x v="1"/>
    <x v="0"/>
    <b v="0"/>
    <x v="208"/>
    <s v="FS1018-AGL-ZZ-XX-L-M-9624"/>
  </r>
  <r>
    <s v="FS1018-AGL-ZZ-XX-L-M-9625"/>
    <s v="Pressurisation Unit Schedule"/>
    <x v="0"/>
    <s v="In Progress"/>
    <x v="5"/>
    <x v="1"/>
    <x v="1"/>
    <x v="1"/>
    <x v="0"/>
    <b v="0"/>
    <x v="209"/>
    <s v="FS1018-AGL-ZZ-XX-L-M-9625"/>
  </r>
  <r>
    <s v="FS1018-AGL-ZZ-XX-L-M-9627"/>
    <s v="Storage Tank Schedule"/>
    <x v="0"/>
    <s v="In Progress"/>
    <x v="5"/>
    <x v="1"/>
    <x v="1"/>
    <x v="1"/>
    <x v="0"/>
    <b v="0"/>
    <x v="210"/>
    <s v="FS1018-AGL-ZZ-XX-L-M-9627"/>
  </r>
  <r>
    <s v="FS1018-AGL-ZZ-XX-L-M-9628"/>
    <s v="Booster Set Schedule"/>
    <x v="0"/>
    <s v="In Progress"/>
    <x v="5"/>
    <x v="1"/>
    <x v="1"/>
    <x v="1"/>
    <x v="0"/>
    <b v="0"/>
    <x v="211"/>
    <s v="FS1018-AGL-ZZ-XX-L-M-9628"/>
  </r>
  <r>
    <s v="FS1018-AGL-ZZ-XX-L-M-9630"/>
    <s v="Pump Schedule"/>
    <x v="0"/>
    <s v="In Progress"/>
    <x v="5"/>
    <x v="1"/>
    <x v="1"/>
    <x v="1"/>
    <x v="0"/>
    <b v="0"/>
    <x v="212"/>
    <s v="FS1018-AGL-ZZ-XX-L-M-9630"/>
  </r>
  <r>
    <s v="FS1018-AGL-ZZ-XX-L-M-9634"/>
    <s v="Local Water Heater Schedule"/>
    <x v="0"/>
    <s v="In Progress"/>
    <x v="5"/>
    <x v="1"/>
    <x v="1"/>
    <x v="1"/>
    <x v="0"/>
    <b v="0"/>
    <x v="213"/>
    <s v="FS1018-AGL-ZZ-XX-L-M-9634"/>
  </r>
  <r>
    <s v="FS1018-AGL-ZZ-XX-L-M-9637"/>
    <s v="Radiator Schedule"/>
    <x v="0"/>
    <s v="In Progress"/>
    <x v="5"/>
    <x v="1"/>
    <x v="1"/>
    <x v="1"/>
    <x v="0"/>
    <b v="0"/>
    <x v="214"/>
    <s v="FS1018-AGL-ZZ-XX-L-M-9637"/>
  </r>
  <r>
    <s v="FS1018-AGL-ZZ-XX-L-M-9641"/>
    <s v="Underfloor Heating Schedule"/>
    <x v="0"/>
    <s v="In Progress"/>
    <x v="5"/>
    <x v="1"/>
    <x v="1"/>
    <x v="1"/>
    <x v="0"/>
    <b v="0"/>
    <x v="215"/>
    <s v="FS1018-AGL-ZZ-XX-L-M-9641"/>
  </r>
  <r>
    <s v="FS1018-AGL-ZZ-XX-L-M-9642"/>
    <s v="Underfloor Heating Manifold Schedule"/>
    <x v="0"/>
    <s v="In Progress"/>
    <x v="5"/>
    <x v="1"/>
    <x v="1"/>
    <x v="1"/>
    <x v="0"/>
    <b v="0"/>
    <x v="216"/>
    <s v="FS1018-AGL-ZZ-XX-L-M-9642"/>
  </r>
  <r>
    <s v="FS1018-AGL-ZZ-XX-L-M-9644"/>
    <s v="Overdoor Heater Schedule"/>
    <x v="0"/>
    <s v="In Progress"/>
    <x v="5"/>
    <x v="1"/>
    <x v="1"/>
    <x v="1"/>
    <x v="0"/>
    <b v="0"/>
    <x v="217"/>
    <s v="FS1018-AGL-ZZ-XX-L-M-9644"/>
  </r>
  <r>
    <s v="FS1018-AGL-ZZ-XX-L-M-9647"/>
    <s v="Electric Heater Schedule"/>
    <x v="0"/>
    <s v="In Progress"/>
    <x v="5"/>
    <x v="1"/>
    <x v="1"/>
    <x v="1"/>
    <x v="0"/>
    <b v="0"/>
    <x v="218"/>
    <s v="FS1018-AGL-ZZ-XX-L-M-9647"/>
  </r>
  <r>
    <s v="FS1018-AGL-ZZ-XX-L-M-9649"/>
    <s v="Fan Convector Schedule"/>
    <x v="0"/>
    <s v="In Progress"/>
    <x v="5"/>
    <x v="1"/>
    <x v="1"/>
    <x v="1"/>
    <x v="0"/>
    <b v="0"/>
    <x v="219"/>
    <s v="FS1018-AGL-ZZ-XX-L-M-9649"/>
  </r>
  <r>
    <s v="FS1018-AGL-ZZ-XX-L-M-9652"/>
    <s v="Air Handling Unit Schedule"/>
    <x v="0"/>
    <s v="In Progress"/>
    <x v="5"/>
    <x v="1"/>
    <x v="1"/>
    <x v="1"/>
    <x v="0"/>
    <b v="0"/>
    <x v="220"/>
    <s v="FS1018-AGL-ZZ-XX-L-M-9652"/>
  </r>
  <r>
    <s v="FS1018-AGL-ZZ-XX-L-M-9653"/>
    <s v="Heat Recovery Unit Schedule"/>
    <x v="0"/>
    <s v="In Progress"/>
    <x v="5"/>
    <x v="1"/>
    <x v="1"/>
    <x v="1"/>
    <x v="0"/>
    <b v="0"/>
    <x v="221"/>
    <s v="FS1018-AGL-ZZ-XX-L-M-9653"/>
  </r>
  <r>
    <s v="FS1018-AGL-ZZ-XX-L-M-9654"/>
    <s v="Hybrid Ventilation Unit Schedule"/>
    <x v="0"/>
    <s v="In Progress"/>
    <x v="5"/>
    <x v="1"/>
    <x v="1"/>
    <x v="1"/>
    <x v="0"/>
    <b v="0"/>
    <x v="222"/>
    <s v="FS1018-AGL-ZZ-XX-L-M-9654"/>
  </r>
  <r>
    <s v="FS1018-AGL-ZZ-XX-L-M-9655"/>
    <s v="Fan Schedule"/>
    <x v="0"/>
    <s v="In Progress"/>
    <x v="5"/>
    <x v="1"/>
    <x v="1"/>
    <x v="1"/>
    <x v="0"/>
    <b v="0"/>
    <x v="223"/>
    <s v="FS1018-AGL-ZZ-XX-L-M-9655"/>
  </r>
  <r>
    <s v="FS1018-AGL-ZZ-XX-L-M-9658"/>
    <s v="Louvre Schedule"/>
    <x v="0"/>
    <s v="In Progress"/>
    <x v="5"/>
    <x v="1"/>
    <x v="1"/>
    <x v="1"/>
    <x v="0"/>
    <b v="0"/>
    <x v="224"/>
    <s v="FS1018-AGL-ZZ-XX-L-M-9658"/>
  </r>
  <r>
    <s v="FS1018-AGL-ZZ-XX-L-M-9659"/>
    <s v="Supply Diffuser Schedule"/>
    <x v="0"/>
    <s v="In Progress"/>
    <x v="5"/>
    <x v="1"/>
    <x v="1"/>
    <x v="1"/>
    <x v="0"/>
    <b v="0"/>
    <x v="225"/>
    <s v="FS1018-AGL-ZZ-XX-L-M-9659"/>
  </r>
  <r>
    <s v="FS1018-AGL-ZZ-XX-L-M-9660"/>
    <s v="Extract Grille Schedule"/>
    <x v="0"/>
    <s v="In Progress"/>
    <x v="5"/>
    <x v="1"/>
    <x v="1"/>
    <x v="1"/>
    <x v="0"/>
    <b v="0"/>
    <x v="226"/>
    <s v="FS1018-AGL-ZZ-XX-L-M-9660"/>
  </r>
  <r>
    <s v="FS1018-AGL-ZZ-XX-L-M-9661"/>
    <s v="Attenuator Schedule"/>
    <x v="0"/>
    <s v="In Progress"/>
    <x v="5"/>
    <x v="1"/>
    <x v="1"/>
    <x v="1"/>
    <x v="0"/>
    <b v="0"/>
    <x v="227"/>
    <s v="FS1018-AGL-ZZ-XX-L-M-9661"/>
  </r>
  <r>
    <s v="FS1018-AGL-ZZ-XX-L-M-9662"/>
    <s v="Transfer Grille Schedule"/>
    <x v="0"/>
    <s v="In Progress"/>
    <x v="5"/>
    <x v="1"/>
    <x v="1"/>
    <x v="1"/>
    <x v="0"/>
    <b v="0"/>
    <x v="228"/>
    <s v="FS1018-AGL-ZZ-XX-L-M-9662"/>
  </r>
  <r>
    <s v="FS1018-AGL-ZZ-XX-L-M-9671"/>
    <s v="Heating Coil Schedule (LTHW)"/>
    <x v="0"/>
    <s v="In Progress"/>
    <x v="5"/>
    <x v="1"/>
    <x v="1"/>
    <x v="1"/>
    <x v="0"/>
    <b v="0"/>
    <x v="229"/>
    <s v="FS1018-AGL-ZZ-XX-L-M-9671"/>
  </r>
  <r>
    <s v="FS1018-AGL-ZZ-XX-L-M-9675"/>
    <s v="Smoke-activated Fire Damper Schedule"/>
    <x v="0"/>
    <s v="In Progress"/>
    <x v="5"/>
    <x v="1"/>
    <x v="1"/>
    <x v="1"/>
    <x v="0"/>
    <b v="0"/>
    <x v="230"/>
    <s v="FS1018-AGL-ZZ-XX-L-M-9675"/>
  </r>
  <r>
    <s v="FS1018-AGL-ZZ-XX-L-M-9678"/>
    <s v="Passive Stack Ventilator Schedule"/>
    <x v="0"/>
    <s v="In Progress"/>
    <x v="5"/>
    <x v="1"/>
    <x v="1"/>
    <x v="1"/>
    <x v="0"/>
    <b v="0"/>
    <x v="231"/>
    <s v="FS1018-AGL-ZZ-XX-L-M-9678"/>
  </r>
  <r>
    <s v="FS1018-AGL-ZZ-XX-L-M-9681"/>
    <s v="DX Indoor Unit Schedule"/>
    <x v="0"/>
    <s v="In Progress"/>
    <x v="5"/>
    <x v="1"/>
    <x v="1"/>
    <x v="1"/>
    <x v="0"/>
    <b v="0"/>
    <x v="232"/>
    <s v="FS1018-AGL-ZZ-XX-L-M-9681"/>
  </r>
  <r>
    <s v="FS1018-AGL-ZZ-XX-L-M-9682"/>
    <s v="DX Outdoor Unit Schedule"/>
    <x v="0"/>
    <s v="In Progress"/>
    <x v="5"/>
    <x v="1"/>
    <x v="1"/>
    <x v="1"/>
    <x v="0"/>
    <b v="0"/>
    <x v="233"/>
    <s v="FS1018-AGL-ZZ-XX-L-M-9682"/>
  </r>
  <r>
    <s v="FS1018-AGL-ZZ-XX-L-Z-0001"/>
    <s v="Designers MEP Risk Assessment"/>
    <x v="0"/>
    <s v="Completed"/>
    <x v="0"/>
    <x v="6"/>
    <x v="3"/>
    <x v="6"/>
    <x v="25"/>
    <b v="0"/>
    <x v="234"/>
    <s v="FS1018-AGL-ZZ-XX-L-Z-0001"/>
  </r>
  <r>
    <s v="FS1018-AGL-ZZ-XX-L-Z-0001"/>
    <s v="Designers MEP Risk Assessment"/>
    <x v="1"/>
    <s v="In Progress"/>
    <x v="5"/>
    <x v="1"/>
    <x v="1"/>
    <x v="1"/>
    <x v="0"/>
    <b v="1"/>
    <x v="234"/>
    <s v="FS1018-AGL-ZZ-XX-L-Z-0001"/>
  </r>
  <r>
    <s v="FS1018-AGL-ZZ-XX-L-Z-0002"/>
    <s v="Derogation Schedule"/>
    <x v="0"/>
    <s v="Completed"/>
    <x v="0"/>
    <x v="5"/>
    <x v="3"/>
    <x v="6"/>
    <x v="26"/>
    <b v="0"/>
    <x v="235"/>
    <s v="FS1018-AGL-ZZ-XX-L-Z-0002"/>
  </r>
  <r>
    <s v="FS1018-AGL-ZZ-XX-L-Z-0003"/>
    <s v="M and E Design Development Report"/>
    <x v="0"/>
    <s v="Completed"/>
    <x v="7"/>
    <x v="5"/>
    <x v="2"/>
    <x v="5"/>
    <x v="27"/>
    <b v="0"/>
    <x v="236"/>
    <s v="FS1018-AGL-ZZ-XX-L-Z-0003"/>
  </r>
  <r>
    <s v="FS1018-AGL-ZZ-XX-L-Z-0004"/>
    <s v="Heat Loss Calculations"/>
    <x v="0"/>
    <s v="In Progress"/>
    <x v="5"/>
    <x v="1"/>
    <x v="1"/>
    <x v="1"/>
    <x v="0"/>
    <b v="0"/>
    <x v="237"/>
    <s v="FS1018-AGL-ZZ-XX-L-Z-0004"/>
  </r>
  <r>
    <s v="FS1018-AGL-ZZ-XX-T-E-0001"/>
    <s v="Electrical Specification"/>
    <x v="0"/>
    <s v="In Progress"/>
    <x v="5"/>
    <x v="1"/>
    <x v="1"/>
    <x v="1"/>
    <x v="0"/>
    <b v="0"/>
    <x v="238"/>
    <s v="FS1018-AGL-ZZ-XX-T-E-0001"/>
  </r>
  <r>
    <s v="FS1018-AGL-ZZ-XX-T-E-0003"/>
    <s v="Electrical Maximum Demand"/>
    <x v="0"/>
    <s v="Completed"/>
    <x v="0"/>
    <x v="3"/>
    <x v="2"/>
    <x v="3"/>
    <x v="28"/>
    <b v="0"/>
    <x v="239"/>
    <s v="FS1018-AGL-ZZ-XX-T-E-0003"/>
  </r>
  <r>
    <s v="FS1018-AGL-ZZ-XX-T-E-0003"/>
    <s v="Electrical Maximum Demand"/>
    <x v="1"/>
    <s v="In Progress"/>
    <x v="5"/>
    <x v="1"/>
    <x v="1"/>
    <x v="1"/>
    <x v="0"/>
    <b v="1"/>
    <x v="239"/>
    <s v="FS1018-AGL-ZZ-XX-T-E-0003"/>
  </r>
  <r>
    <s v="FS1018-AGL-ZZ-XX-T-M-0001"/>
    <s v="Mechanical Specification"/>
    <x v="0"/>
    <s v="In Progress"/>
    <x v="5"/>
    <x v="1"/>
    <x v="1"/>
    <x v="1"/>
    <x v="0"/>
    <b v="0"/>
    <x v="240"/>
    <s v="FS1018-AGL-ZZ-XX-T-M-0001"/>
  </r>
  <r>
    <s v="FS1018-AGL-ZZ-XX-T-Z-0001"/>
    <s v="Gateway M and E Proposal Report"/>
    <x v="0"/>
    <s v="Completed"/>
    <x v="0"/>
    <x v="5"/>
    <x v="2"/>
    <x v="5"/>
    <x v="29"/>
    <b v="0"/>
    <x v="241"/>
    <s v="FS1018-AGL-ZZ-XX-T-Z-0001"/>
  </r>
  <r>
    <s v="FS1018-AGL-ZZ-XX-T-Z-0002"/>
    <s v="M and E Plant Access Maintenance and Replacement Strategy"/>
    <x v="0"/>
    <s v="Completed"/>
    <x v="0"/>
    <x v="5"/>
    <x v="2"/>
    <x v="5"/>
    <x v="30"/>
    <b v="0"/>
    <x v="242"/>
    <s v="FS1018-AGL-ZZ-XX-T-Z-0002"/>
  </r>
  <r>
    <s v="FS1018-AGL-ZZ-XX-T-Z-0002"/>
    <s v="Plant Access Maintenance And Replacement Strategy"/>
    <x v="1"/>
    <s v="In Progress"/>
    <x v="5"/>
    <x v="1"/>
    <x v="1"/>
    <x v="1"/>
    <x v="0"/>
    <b v="1"/>
    <x v="243"/>
    <s v="FS1018-AGL-ZZ-XX-T-Z-0002"/>
  </r>
  <r>
    <s v="FS1018-AGL-ZZ-XX-T-Z-0003"/>
    <s v="Thermal Modelling and Compliance Report"/>
    <x v="0"/>
    <s v="Completed"/>
    <x v="0"/>
    <x v="5"/>
    <x v="2"/>
    <x v="5"/>
    <x v="31"/>
    <b v="0"/>
    <x v="244"/>
    <s v="FS1018-AGL-ZZ-XX-T-Z-0003"/>
  </r>
  <r>
    <s v="FS1018-AGL-ZZ-XX-T-Z-0003"/>
    <s v="Thermal Modelling and Compliance Report"/>
    <x v="1"/>
    <s v="Completed"/>
    <x v="4"/>
    <x v="2"/>
    <x v="2"/>
    <x v="2"/>
    <x v="4"/>
    <b v="1"/>
    <x v="244"/>
    <s v="FS1018-AGL-ZZ-XX-T-Z-0003"/>
  </r>
  <r>
    <s v="FS1018-AGL-ZZ-XX-T-Z-0006"/>
    <s v="NBS Project Description"/>
    <x v="0"/>
    <s v="In Progress"/>
    <x v="5"/>
    <x v="1"/>
    <x v="1"/>
    <x v="1"/>
    <x v="0"/>
    <b v="0"/>
    <x v="245"/>
    <s v="FS1018-AGL-ZZ-XX-T-Z-0006"/>
  </r>
  <r>
    <s v="FS1018-AGL-ZZ-XX-T-Z-0007"/>
    <s v="Thermal Modelling, Compliance &amp; Sustainability Report"/>
    <x v="0"/>
    <s v="In Progress"/>
    <x v="5"/>
    <x v="1"/>
    <x v="1"/>
    <x v="1"/>
    <x v="0"/>
    <b v="0"/>
    <x v="246"/>
    <s v="FS1018-AGL-ZZ-XX-T-Z-0007"/>
  </r>
  <r>
    <s v="FS1018-AGL-ZZ-ZZ-D-E-7205"/>
    <s v="Typical Teachers Wall Detail"/>
    <x v="0"/>
    <s v="Completed"/>
    <x v="0"/>
    <x v="3"/>
    <x v="2"/>
    <x v="3"/>
    <x v="32"/>
    <b v="0"/>
    <x v="247"/>
    <s v="FS1018-AGL-ZZ-ZZ-D-E-7205"/>
  </r>
  <r>
    <s v="FS1018-AGL-ZZ-ZZ-D-E-9001"/>
    <s v="Lightning Protection"/>
    <x v="0"/>
    <s v="In Progress"/>
    <x v="5"/>
    <x v="1"/>
    <x v="1"/>
    <x v="1"/>
    <x v="0"/>
    <b v="0"/>
    <x v="248"/>
    <s v="FS1018-AGL-ZZ-ZZ-D-E-9001"/>
  </r>
  <r>
    <s v="FS1018-AGL-ZZ-ZZ-D-Z-5002"/>
    <s v="Typical Riser and Corridor Details"/>
    <x v="0"/>
    <s v="Completed"/>
    <x v="7"/>
    <x v="5"/>
    <x v="2"/>
    <x v="5"/>
    <x v="33"/>
    <b v="0"/>
    <x v="249"/>
    <s v="FS1018-AGL-ZZ-ZZ-D-Z-5002"/>
  </r>
  <r>
    <s v="FS1018-AGL-ZZ-ZZ-D-Z-5801"/>
    <s v="Level 00 Plantroom and Server Room Strategy"/>
    <x v="0"/>
    <s v="Completed"/>
    <x v="0"/>
    <x v="5"/>
    <x v="0"/>
    <x v="5"/>
    <x v="0"/>
    <b v="0"/>
    <x v="250"/>
    <s v="FS1018-AGL-ZZ-ZZ-D-Z-5801"/>
  </r>
  <r>
    <s v="FS1018-AGL-ZZ-ZZ-D-Z-6115"/>
    <s v="Server and Hub Room"/>
    <x v="0"/>
    <s v="In Progress"/>
    <x v="5"/>
    <x v="1"/>
    <x v="1"/>
    <x v="1"/>
    <x v="0"/>
    <b v="0"/>
    <x v="251"/>
    <s v="FS1018-AGL-ZZ-ZZ-D-Z-6115"/>
  </r>
  <r>
    <s v="FS1018-AGL-ZZ-ZZ-D-Z-7201"/>
    <s v="Typical Classroom Strategy"/>
    <x v="0"/>
    <s v="Completed"/>
    <x v="7"/>
    <x v="5"/>
    <x v="0"/>
    <x v="5"/>
    <x v="0"/>
    <b v="0"/>
    <x v="252"/>
    <s v="FS1018-AGL-ZZ-ZZ-D-Z-7201"/>
  </r>
  <r>
    <s v="FS1018-AGL-ZZ-ZZ-D-Z-7202"/>
    <s v="Typical Science Room Strategy"/>
    <x v="0"/>
    <s v="Completed"/>
    <x v="7"/>
    <x v="5"/>
    <x v="0"/>
    <x v="5"/>
    <x v="0"/>
    <b v="0"/>
    <x v="253"/>
    <s v="FS1018-AGL-ZZ-ZZ-D-Z-7202"/>
  </r>
  <r>
    <s v="FS1018-AGL-ZZ-ZZ-D-Z-7203"/>
    <s v="Typical ICT Classroom Strategy"/>
    <x v="0"/>
    <s v="Completed"/>
    <x v="7"/>
    <x v="5"/>
    <x v="0"/>
    <x v="5"/>
    <x v="0"/>
    <b v="0"/>
    <x v="254"/>
    <s v="FS1018-AGL-ZZ-ZZ-D-Z-7203"/>
  </r>
  <r>
    <s v="FS1018-AGL-ZZ-ZZ-D-Z-7204"/>
    <s v="Typical DT Classroom Strategy"/>
    <x v="0"/>
    <s v="Completed"/>
    <x v="7"/>
    <x v="5"/>
    <x v="0"/>
    <x v="5"/>
    <x v="0"/>
    <b v="0"/>
    <x v="255"/>
    <s v="FS1018-AGL-ZZ-ZZ-D-Z-7204"/>
  </r>
  <r>
    <s v="FS1018-AGL-ZZ-ZZ-D-Z-9610"/>
    <s v="Typical D&amp;T Classroom"/>
    <x v="0"/>
    <s v="In Progress"/>
    <x v="5"/>
    <x v="1"/>
    <x v="1"/>
    <x v="1"/>
    <x v="0"/>
    <b v="0"/>
    <x v="256"/>
    <s v="FS1018-AGL-ZZ-ZZ-D-Z-9610"/>
  </r>
  <r>
    <s v="FS1018-AGL-ZZ-ZZ-D-Z-9611"/>
    <s v="Typical Food Room"/>
    <x v="0"/>
    <s v="In Progress"/>
    <x v="5"/>
    <x v="1"/>
    <x v="1"/>
    <x v="1"/>
    <x v="0"/>
    <b v="0"/>
    <x v="257"/>
    <s v="FS1018-AGL-ZZ-ZZ-D-Z-9611"/>
  </r>
  <r>
    <s v="FS1018-AGL-ZZ-ZZ-D-Z-9612"/>
    <s v="Typical ICT Classroom"/>
    <x v="0"/>
    <s v="In Progress"/>
    <x v="5"/>
    <x v="1"/>
    <x v="1"/>
    <x v="1"/>
    <x v="0"/>
    <b v="0"/>
    <x v="258"/>
    <s v="FS1018-AGL-ZZ-ZZ-D-Z-9612"/>
  </r>
  <r>
    <s v="FS1018-AGL-ZZ-ZZ-D-Z-9613"/>
    <s v="Typical Riser"/>
    <x v="0"/>
    <s v="In Progress"/>
    <x v="5"/>
    <x v="1"/>
    <x v="1"/>
    <x v="1"/>
    <x v="0"/>
    <b v="0"/>
    <x v="259"/>
    <s v="FS1018-AGL-ZZ-ZZ-D-Z-9613"/>
  </r>
  <r>
    <s v="FS1018-AGL-ZZ-ZZ-D-Z-9614"/>
    <s v="Typical Science Room"/>
    <x v="0"/>
    <s v="In Progress"/>
    <x v="5"/>
    <x v="1"/>
    <x v="1"/>
    <x v="1"/>
    <x v="0"/>
    <b v="0"/>
    <x v="260"/>
    <s v="FS1018-AGL-ZZ-ZZ-D-Z-9614"/>
  </r>
  <r>
    <s v="FS1018-AGL-ZZ-ZZ-G-E-6001"/>
    <s v="LV Schematic"/>
    <x v="0"/>
    <s v="Completed"/>
    <x v="0"/>
    <x v="3"/>
    <x v="2"/>
    <x v="3"/>
    <x v="34"/>
    <b v="0"/>
    <x v="261"/>
    <s v="FS1018-AGL-ZZ-ZZ-G-E-6001"/>
  </r>
  <r>
    <s v="FS1018-AGL-ZZ-ZZ-G-E-6010"/>
    <s v="LV Schematic Sheet 1"/>
    <x v="0"/>
    <s v="In Progress"/>
    <x v="5"/>
    <x v="1"/>
    <x v="1"/>
    <x v="1"/>
    <x v="0"/>
    <b v="0"/>
    <x v="262"/>
    <s v="FS1018-AGL-ZZ-ZZ-G-E-6010"/>
  </r>
  <r>
    <s v="FS1018-AGL-ZZ-ZZ-G-E-6011"/>
    <s v="LV Schematic Sheet 2"/>
    <x v="0"/>
    <s v="In Progress"/>
    <x v="5"/>
    <x v="1"/>
    <x v="1"/>
    <x v="1"/>
    <x v="0"/>
    <b v="0"/>
    <x v="263"/>
    <s v="FS1018-AGL-ZZ-ZZ-G-E-6011"/>
  </r>
  <r>
    <s v="FS1018-AGL-ZZ-ZZ-G-E-6801"/>
    <s v="Fire Alarm Strategy Schematic"/>
    <x v="0"/>
    <s v="Completed"/>
    <x v="0"/>
    <x v="3"/>
    <x v="2"/>
    <x v="3"/>
    <x v="35"/>
    <b v="0"/>
    <x v="264"/>
    <s v="FS1018-AGL-ZZ-ZZ-G-E-6801"/>
  </r>
  <r>
    <s v="FS1018-AGL-ZZ-ZZ-G-E-6811"/>
    <s v="Fire Alarm Schematic"/>
    <x v="0"/>
    <s v="In Progress"/>
    <x v="5"/>
    <x v="1"/>
    <x v="1"/>
    <x v="1"/>
    <x v="0"/>
    <b v="0"/>
    <x v="265"/>
    <s v="FS1018-AGL-ZZ-ZZ-G-E-6811"/>
  </r>
  <r>
    <s v="FS1018-AGL-ZZ-ZZ-G-M-5001"/>
    <s v="Controls Strategy Schematic"/>
    <x v="0"/>
    <s v="Completed"/>
    <x v="0"/>
    <x v="4"/>
    <x v="0"/>
    <x v="5"/>
    <x v="0"/>
    <b v="0"/>
    <x v="266"/>
    <s v="FS1018-AGL-ZZ-ZZ-G-M-5001"/>
  </r>
  <r>
    <s v="FS1018-AGL-ZZ-ZZ-G-M-5010"/>
    <s v="Controls Schematic"/>
    <x v="0"/>
    <s v="In Progress"/>
    <x v="5"/>
    <x v="1"/>
    <x v="1"/>
    <x v="1"/>
    <x v="0"/>
    <b v="0"/>
    <x v="267"/>
    <s v="FS1018-AGL-ZZ-ZZ-G-M-5010"/>
  </r>
  <r>
    <s v="FS1018-AGL-ZZ-ZZ-G-M-5210"/>
    <s v="Above Ground Drainage Schematic Sheet 1"/>
    <x v="0"/>
    <s v="In Progress"/>
    <x v="5"/>
    <x v="1"/>
    <x v="1"/>
    <x v="1"/>
    <x v="0"/>
    <b v="0"/>
    <x v="268"/>
    <s v="FS1018-AGL-ZZ-ZZ-G-M-5210"/>
  </r>
  <r>
    <s v="FS1018-AGL-ZZ-ZZ-G-M-5211"/>
    <s v="Above Ground Drainage Schematic Sheet 2"/>
    <x v="0"/>
    <s v="In Progress"/>
    <x v="5"/>
    <x v="1"/>
    <x v="1"/>
    <x v="1"/>
    <x v="0"/>
    <b v="0"/>
    <x v="269"/>
    <s v="FS1018-AGL-ZZ-ZZ-G-M-5211"/>
  </r>
  <r>
    <s v="FS1018-AGL-ZZ-ZZ-G-M-5310"/>
    <s v="Domestic Water Services Schematic"/>
    <x v="0"/>
    <s v="In Progress"/>
    <x v="5"/>
    <x v="1"/>
    <x v="1"/>
    <x v="1"/>
    <x v="0"/>
    <b v="0"/>
    <x v="270"/>
    <s v="FS1018-AGL-ZZ-ZZ-G-M-5310"/>
  </r>
  <r>
    <s v="FS1018-AGL-ZZ-ZZ-G-M-5401"/>
    <s v="Gas Strategy Schematic"/>
    <x v="0"/>
    <s v="Completed"/>
    <x v="0"/>
    <x v="4"/>
    <x v="2"/>
    <x v="5"/>
    <x v="36"/>
    <b v="0"/>
    <x v="271"/>
    <s v="FS1018-AGL-ZZ-ZZ-G-M-5401"/>
  </r>
  <r>
    <s v="FS1018-AGL-ZZ-ZZ-G-M-5410"/>
    <s v="Gas Schematic"/>
    <x v="0"/>
    <s v="In Progress"/>
    <x v="5"/>
    <x v="1"/>
    <x v="1"/>
    <x v="1"/>
    <x v="0"/>
    <b v="0"/>
    <x v="272"/>
    <s v="FS1018-AGL-ZZ-ZZ-G-M-5410"/>
  </r>
  <r>
    <s v="FS1018-AGL-ZZ-ZZ-G-M-5610"/>
    <s v="Heating &amp; Cooling Schematic Sheet 1"/>
    <x v="0"/>
    <s v="In Progress"/>
    <x v="5"/>
    <x v="1"/>
    <x v="1"/>
    <x v="1"/>
    <x v="0"/>
    <b v="0"/>
    <x v="273"/>
    <s v="FS1018-AGL-ZZ-ZZ-G-M-5610"/>
  </r>
  <r>
    <s v="FS1018-AGL-ZZ-ZZ-G-M-5611"/>
    <s v="Heating &amp; Cooling Schematic Sheet 2"/>
    <x v="0"/>
    <s v="In Progress"/>
    <x v="5"/>
    <x v="1"/>
    <x v="1"/>
    <x v="1"/>
    <x v="0"/>
    <b v="0"/>
    <x v="274"/>
    <s v="FS1018-AGL-ZZ-ZZ-G-M-5611"/>
  </r>
  <r>
    <s v="FS1018-AGL-ZZ-ZZ-G-M-5612"/>
    <s v="Heating &amp; Cooling Schematic Sheet 3"/>
    <x v="0"/>
    <s v="In Progress"/>
    <x v="5"/>
    <x v="1"/>
    <x v="1"/>
    <x v="1"/>
    <x v="0"/>
    <b v="0"/>
    <x v="275"/>
    <s v="FS1018-AGL-ZZ-ZZ-G-M-5612"/>
  </r>
  <r>
    <s v="FS1018-AGL-ZZ-ZZ-G-M-5613"/>
    <s v="Heating &amp; Cooling Schematic Sheet 4"/>
    <x v="0"/>
    <s v="In Progress"/>
    <x v="5"/>
    <x v="1"/>
    <x v="1"/>
    <x v="1"/>
    <x v="0"/>
    <b v="0"/>
    <x v="276"/>
    <s v="FS1018-AGL-ZZ-ZZ-G-M-5613"/>
  </r>
  <r>
    <s v="FS1018-AGL-ZZ-ZZ-G-M-5701"/>
    <s v="Ventilation Strategy Schematic"/>
    <x v="0"/>
    <s v="Completed"/>
    <x v="0"/>
    <x v="4"/>
    <x v="0"/>
    <x v="5"/>
    <x v="0"/>
    <b v="0"/>
    <x v="277"/>
    <s v="FS1018-AGL-ZZ-ZZ-G-M-5701"/>
  </r>
  <r>
    <s v="FS1018-AGL-ZZ-ZZ-G-M-5710"/>
    <s v="Ventilation Schematic Sheet 1"/>
    <x v="0"/>
    <s v="In Progress"/>
    <x v="5"/>
    <x v="1"/>
    <x v="1"/>
    <x v="1"/>
    <x v="0"/>
    <b v="0"/>
    <x v="278"/>
    <s v="FS1018-AGL-ZZ-ZZ-G-M-5710"/>
  </r>
  <r>
    <s v="FS1018-AGL-ZZ-ZZ-G-M-5711"/>
    <s v="Ventilation Schematic Sheet 2"/>
    <x v="0"/>
    <s v="In Progress"/>
    <x v="5"/>
    <x v="1"/>
    <x v="1"/>
    <x v="1"/>
    <x v="0"/>
    <b v="0"/>
    <x v="279"/>
    <s v="FS1018-AGL-ZZ-ZZ-G-M-5711"/>
  </r>
  <r>
    <s v="FS1018-AGL-ZZ-ZZ-G-M-5801"/>
    <s v="Heating and Domestic Water Plant Strategy Schematic"/>
    <x v="0"/>
    <s v="Completed"/>
    <x v="0"/>
    <x v="4"/>
    <x v="2"/>
    <x v="5"/>
    <x v="37"/>
    <b v="0"/>
    <x v="280"/>
    <s v="FS1018-AGL-ZZ-ZZ-G-M-5801"/>
  </r>
  <r>
    <s v="FS1018-AGL-ZZ-ZZ-G-M-5812"/>
    <s v="Plantroom Schematic"/>
    <x v="0"/>
    <s v="In Progress"/>
    <x v="5"/>
    <x v="1"/>
    <x v="1"/>
    <x v="1"/>
    <x v="0"/>
    <b v="0"/>
    <x v="281"/>
    <s v="FS1018-AGL-ZZ-ZZ-G-M-5812"/>
  </r>
  <r>
    <s v="FS1018-AGL-ZZ-ZZ-G-M-9600"/>
    <s v="PV Proposal"/>
    <x v="0"/>
    <s v="Completed"/>
    <x v="8"/>
    <x v="5"/>
    <x v="3"/>
    <x v="7"/>
    <x v="38"/>
    <b v="0"/>
    <x v="282"/>
    <s v="FS1018-AGL-ZZ-ZZ-G-M-9600"/>
  </r>
  <r>
    <s v="FS1018-AGL-ZZ-ZZ-M-Z-0001"/>
    <s v="MEPModel Revit"/>
    <x v="0"/>
    <s v="Completed"/>
    <x v="0"/>
    <x v="5"/>
    <x v="3"/>
    <x v="6"/>
    <x v="39"/>
    <b v="0"/>
    <x v="283"/>
    <s v="FS1018-AGL-ZZ-ZZ-M-Z-0001"/>
  </r>
  <r>
    <s v="FS1018-AGL-ZZ-ZZ-M-Z-0001"/>
    <s v="MEPModel Revit"/>
    <x v="1"/>
    <s v="Completed"/>
    <x v="6"/>
    <x v="4"/>
    <x v="2"/>
    <x v="2"/>
    <x v="4"/>
    <b v="1"/>
    <x v="283"/>
    <s v="FS1018-AGL-ZZ-ZZ-M-Z-0001"/>
  </r>
  <r>
    <s v="FS1018-AGL-ZZ-ZZ-M-Z-0001"/>
    <s v="MEP Model Revit"/>
    <x v="4"/>
    <s v="In Progress"/>
    <x v="5"/>
    <x v="1"/>
    <x v="1"/>
    <x v="1"/>
    <x v="0"/>
    <b v="0"/>
    <x v="284"/>
    <s v="FS1018-AGL-ZZ-ZZ-M-Z-0001"/>
  </r>
  <r>
    <s v="FS1018-AGL-ZZ-ZZ-M-Z-0002"/>
    <s v="MEPModel IFC"/>
    <x v="0"/>
    <s v="Completed"/>
    <x v="0"/>
    <x v="5"/>
    <x v="3"/>
    <x v="6"/>
    <x v="40"/>
    <b v="0"/>
    <x v="285"/>
    <s v="FS1018-AGL-ZZ-ZZ-M-Z-0002"/>
  </r>
  <r>
    <s v="FS1018-AGL-ZZ-ZZ-M-Z-0002"/>
    <s v="MEP Model IFC"/>
    <x v="3"/>
    <s v="Completed"/>
    <x v="2"/>
    <x v="4"/>
    <x v="2"/>
    <x v="2"/>
    <x v="4"/>
    <b v="0"/>
    <x v="286"/>
    <s v="FS1018-AGL-ZZ-ZZ-M-Z-0002"/>
  </r>
  <r>
    <s v="FS1018-AGL-ZZ-ZZ-M-Z-0002"/>
    <s v="MEP Model IFC"/>
    <x v="4"/>
    <s v="In Progress"/>
    <x v="5"/>
    <x v="1"/>
    <x v="1"/>
    <x v="1"/>
    <x v="0"/>
    <b v="0"/>
    <x v="286"/>
    <s v="FS1018-AGL-ZZ-ZZ-M-Z-0002"/>
  </r>
  <r>
    <s v="FS1018-AGL-ZZ-ZZ-M-Z-0003"/>
    <s v="MEPModel NWC"/>
    <x v="0"/>
    <s v="Completed"/>
    <x v="0"/>
    <x v="5"/>
    <x v="3"/>
    <x v="6"/>
    <x v="39"/>
    <b v="0"/>
    <x v="287"/>
    <s v="FS1018-AGL-ZZ-ZZ-M-Z-0003"/>
  </r>
  <r>
    <s v="FS1018-AGL-ZZ-ZZ-M-Z-0003"/>
    <s v="MEP Model NWC"/>
    <x v="3"/>
    <s v="Completed"/>
    <x v="2"/>
    <x v="4"/>
    <x v="2"/>
    <x v="2"/>
    <x v="4"/>
    <b v="0"/>
    <x v="288"/>
    <s v="FS1018-AGL-ZZ-ZZ-M-Z-0003"/>
  </r>
  <r>
    <s v="FS1018-AGL-ZZ-ZZ-M-Z-0003"/>
    <s v="MEP Model NWC"/>
    <x v="4"/>
    <s v="In Progress"/>
    <x v="5"/>
    <x v="1"/>
    <x v="1"/>
    <x v="1"/>
    <x v="0"/>
    <b v="0"/>
    <x v="288"/>
    <s v="FS1018-AGL-ZZ-ZZ-M-Z-0003"/>
  </r>
  <r>
    <s v="FS1018-AMT-XX-XX-L-O-0001"/>
    <s v="Preliminary Ecological Appraisal"/>
    <x v="0"/>
    <s v="Completed"/>
    <x v="0"/>
    <x v="7"/>
    <x v="0"/>
    <x v="6"/>
    <x v="0"/>
    <b v="0"/>
    <x v="289"/>
    <s v="FS1018-AMT-XX-XX-L-O-0001"/>
  </r>
  <r>
    <s v="FS1018-AMT-XX-XX-L-O-0002"/>
    <s v="Tree Survey and Constraints Report"/>
    <x v="0"/>
    <s v="Completed"/>
    <x v="0"/>
    <x v="7"/>
    <x v="0"/>
    <x v="6"/>
    <x v="0"/>
    <b v="0"/>
    <x v="290"/>
    <s v="FS1018-AMT-XX-XX-L-O-0002"/>
  </r>
  <r>
    <s v="FS1018-CPM-01-XX-T-A-0005"/>
    <s v="Teaching Block Finishes"/>
    <x v="0"/>
    <s v="Completed"/>
    <x v="0"/>
    <x v="0"/>
    <x v="3"/>
    <x v="0"/>
    <x v="41"/>
    <b v="0"/>
    <x v="291"/>
    <s v="FS1018-CPM-01-XX-T-A-0005"/>
  </r>
  <r>
    <s v="FS1018-CPM-01-XX-T-A-0010"/>
    <s v="Outline Specification"/>
    <x v="1"/>
    <s v="Completed"/>
    <x v="0"/>
    <x v="0"/>
    <x v="3"/>
    <x v="0"/>
    <x v="42"/>
    <b v="1"/>
    <x v="292"/>
    <s v="FS1018-CPM-01-XX-T-A-0010"/>
  </r>
  <r>
    <s v="FS1018-CPM-01-ZZ-L-A-0000"/>
    <s v="Building Model COBie"/>
    <x v="0"/>
    <s v="Completed"/>
    <x v="0"/>
    <x v="0"/>
    <x v="3"/>
    <x v="8"/>
    <x v="43"/>
    <b v="0"/>
    <x v="293"/>
    <s v="FS1018-CPM-01-ZZ-L-A-0000"/>
  </r>
  <r>
    <s v="FS1018-CPM-XX-XX-L-A-0001"/>
    <s v="Schedule Of Accommodation"/>
    <x v="0"/>
    <s v="Completed"/>
    <x v="0"/>
    <x v="0"/>
    <x v="3"/>
    <x v="0"/>
    <x v="44"/>
    <b v="0"/>
    <x v="294"/>
    <s v="FS1018-CPM-XX-XX-L-A-0001"/>
  </r>
  <r>
    <s v="FS1018-CPM-XX-XX-L-A-0001"/>
    <s v="Schedule Of Accommodation"/>
    <x v="2"/>
    <s v="Completed"/>
    <x v="4"/>
    <x v="2"/>
    <x v="2"/>
    <x v="2"/>
    <x v="4"/>
    <b v="0"/>
    <x v="294"/>
    <s v="FS1018-CPM-XX-XX-L-A-0001"/>
  </r>
  <r>
    <s v="FS1018-CPM-XX-XX-L-A-0001"/>
    <s v="Schedule Of Accommodation"/>
    <x v="5"/>
    <s v="In Progress"/>
    <x v="1"/>
    <x v="1"/>
    <x v="1"/>
    <x v="1"/>
    <x v="0"/>
    <b v="0"/>
    <x v="294"/>
    <s v="FS1018-CPM-XX-XX-L-A-0001"/>
  </r>
  <r>
    <s v="FS1018-CPM-XX-XX-T-A-0005"/>
    <s v="Teaching Block Finishes"/>
    <x v="0"/>
    <s v="Completed"/>
    <x v="9"/>
    <x v="0"/>
    <x v="2"/>
    <x v="2"/>
    <x v="4"/>
    <b v="0"/>
    <x v="295"/>
    <s v="FS1018-CPM-XX-XX-T-A-0005"/>
  </r>
  <r>
    <s v="FS1018-CPM-XX-XX-T-A-0005"/>
    <s v="Teaching Block Finishes"/>
    <x v="2"/>
    <s v="In Progress"/>
    <x v="1"/>
    <x v="1"/>
    <x v="1"/>
    <x v="1"/>
    <x v="0"/>
    <b v="0"/>
    <x v="295"/>
    <s v="FS1018-CPM-XX-XX-T-A-0005"/>
  </r>
  <r>
    <s v="FS1018-CPM-XX-XX-T-A-0010"/>
    <s v="OutlineSpecification"/>
    <x v="3"/>
    <s v="Completed"/>
    <x v="0"/>
    <x v="0"/>
    <x v="3"/>
    <x v="0"/>
    <x v="45"/>
    <b v="0"/>
    <x v="296"/>
    <s v="FS1018-CPM-XX-XX-T-A-0010"/>
  </r>
  <r>
    <s v="FS1018-CPM-XX-XX-T-A-0010"/>
    <s v="OutlineSpecification"/>
    <x v="2"/>
    <s v="Completed"/>
    <x v="10"/>
    <x v="0"/>
    <x v="2"/>
    <x v="9"/>
    <x v="46"/>
    <b v="0"/>
    <x v="296"/>
    <s v="FS1018-CPM-XX-XX-T-A-0010"/>
  </r>
  <r>
    <s v="FS1018-CPM-XX-XX-T-A-0010"/>
    <s v="Outline Specification"/>
    <x v="6"/>
    <s v="Completed"/>
    <x v="4"/>
    <x v="2"/>
    <x v="2"/>
    <x v="2"/>
    <x v="4"/>
    <b v="0"/>
    <x v="297"/>
    <s v="FS1018-CPM-XX-XX-T-A-0010"/>
  </r>
  <r>
    <s v="FS1018-CPM-XX-XX-T-A-0010"/>
    <s v="Outline Specification"/>
    <x v="7"/>
    <s v="In Progress"/>
    <x v="1"/>
    <x v="1"/>
    <x v="1"/>
    <x v="1"/>
    <x v="0"/>
    <b v="0"/>
    <x v="297"/>
    <s v="FS1018-CPM-XX-XX-T-A-0010"/>
  </r>
  <r>
    <s v="FS1018-CPM-XX-XX-T-A-0020"/>
    <s v="Design and Access Statement"/>
    <x v="1"/>
    <s v="Completed"/>
    <x v="2"/>
    <x v="0"/>
    <x v="2"/>
    <x v="2"/>
    <x v="4"/>
    <b v="1"/>
    <x v="298"/>
    <s v="FS1018-CPM-XX-XX-T-A-0020"/>
  </r>
  <r>
    <s v="FS1018-CPM-XX-XX-T-A-5001"/>
    <s v="Stage 3 Report"/>
    <x v="0"/>
    <s v="Completed"/>
    <x v="0"/>
    <x v="0"/>
    <x v="2"/>
    <x v="0"/>
    <x v="47"/>
    <b v="0"/>
    <x v="299"/>
    <s v="FS1018-CPM-XX-XX-T-A-5001"/>
  </r>
  <r>
    <s v="FS1018-CPM-XX-XX-T-A-5001"/>
    <s v="Stage 4 Report"/>
    <x v="0"/>
    <s v="In Progress"/>
    <x v="1"/>
    <x v="1"/>
    <x v="1"/>
    <x v="1"/>
    <x v="0"/>
    <b v="0"/>
    <x v="300"/>
    <s v="FS1018-CPM-XX-XX-T-A-5001"/>
  </r>
  <r>
    <s v="FS1018-CPM-XX-XX-T-A-5002"/>
    <s v="Design Development Report"/>
    <x v="0"/>
    <s v="Completed"/>
    <x v="0"/>
    <x v="0"/>
    <x v="2"/>
    <x v="0"/>
    <x v="48"/>
    <b v="0"/>
    <x v="301"/>
    <s v="FS1018-CPM-XX-XX-T-A-5002"/>
  </r>
  <r>
    <s v="FS1018-CPM-XX-XX-T-A-5002"/>
    <s v="Design Development Report"/>
    <x v="1"/>
    <s v="In Progress"/>
    <x v="1"/>
    <x v="1"/>
    <x v="1"/>
    <x v="1"/>
    <x v="0"/>
    <b v="1"/>
    <x v="301"/>
    <s v="FS1018-CPM-XX-XX-T-A-5002"/>
  </r>
  <r>
    <s v="FS1018-CPM-XX-XX-T-A-5003"/>
    <s v="Pre-Construction Information"/>
    <x v="0"/>
    <s v="In Progress"/>
    <x v="1"/>
    <x v="1"/>
    <x v="1"/>
    <x v="1"/>
    <x v="0"/>
    <b v="0"/>
    <x v="302"/>
    <s v="FS1018-CPM-XX-XX-T-A-5003"/>
  </r>
  <r>
    <s v="FS1018-CPM-XX-ZZ-L-A-0000"/>
    <s v="Building Model COBie"/>
    <x v="8"/>
    <s v="Completed"/>
    <x v="2"/>
    <x v="0"/>
    <x v="2"/>
    <x v="2"/>
    <x v="4"/>
    <b v="0"/>
    <x v="303"/>
    <s v="FS1018-CPM-XX-ZZ-L-A-0000"/>
  </r>
  <r>
    <s v="FS1018-CPM-XX-ZZ-L-A-0000"/>
    <s v="Building Model COBie Report"/>
    <x v="9"/>
    <s v="In Progress"/>
    <x v="1"/>
    <x v="1"/>
    <x v="1"/>
    <x v="1"/>
    <x v="0"/>
    <b v="0"/>
    <x v="304"/>
    <s v="FS1018-CPM-XX-ZZ-L-A-0000"/>
  </r>
  <r>
    <s v="FS1018-CPM-ZZ-00-D-A-0001"/>
    <s v="Reflected Ceiling Plan L00"/>
    <x v="0"/>
    <s v="Completed"/>
    <x v="9"/>
    <x v="0"/>
    <x v="2"/>
    <x v="2"/>
    <x v="4"/>
    <b v="0"/>
    <x v="305"/>
    <s v="FS1018-CPM-ZZ-00-D-A-0001"/>
  </r>
  <r>
    <s v="FS1018-CPM-ZZ-00-D-A-2001"/>
    <s v="GA Proposed Floor Plan L00"/>
    <x v="2"/>
    <s v="Completed"/>
    <x v="0"/>
    <x v="0"/>
    <x v="3"/>
    <x v="0"/>
    <x v="49"/>
    <b v="0"/>
    <x v="306"/>
    <s v="FS1018-CPM-ZZ-00-D-A-2001"/>
  </r>
  <r>
    <s v="FS1018-CPM-ZZ-00-D-A-2001"/>
    <s v="GA Proposed L00 Floor Plan"/>
    <x v="8"/>
    <s v="Completed"/>
    <x v="4"/>
    <x v="2"/>
    <x v="2"/>
    <x v="2"/>
    <x v="4"/>
    <b v="0"/>
    <x v="307"/>
    <s v="FS1018-CPM-ZZ-00-D-A-2001"/>
  </r>
  <r>
    <s v="FS1018-CPM-ZZ-00-D-A-2001"/>
    <s v="GA Proposed L00 Floor Plan"/>
    <x v="10"/>
    <s v="In Progress"/>
    <x v="1"/>
    <x v="1"/>
    <x v="1"/>
    <x v="1"/>
    <x v="0"/>
    <b v="0"/>
    <x v="307"/>
    <s v="FS1018-CPM-ZZ-00-D-A-2001"/>
  </r>
  <r>
    <s v="FS1018-CPM-ZZ-00-D-A-2142"/>
    <s v="Ground Edge Details"/>
    <x v="1"/>
    <s v="In Progress"/>
    <x v="1"/>
    <x v="1"/>
    <x v="1"/>
    <x v="1"/>
    <x v="0"/>
    <b v="1"/>
    <x v="308"/>
    <s v="FS1018-CPM-ZZ-00-D-A-2142"/>
  </r>
  <r>
    <s v="FS1018-CPM-ZZ-00-D-A-2200"/>
    <s v="Wall And Partition Types L00"/>
    <x v="0"/>
    <s v="In Progress"/>
    <x v="1"/>
    <x v="1"/>
    <x v="1"/>
    <x v="1"/>
    <x v="0"/>
    <b v="0"/>
    <x v="309"/>
    <s v="FS1018-CPM-ZZ-00-D-A-2200"/>
  </r>
  <r>
    <s v="FS1018-CPM-ZZ-00-D-A-2900"/>
    <s v="Fire Strategy L00"/>
    <x v="2"/>
    <s v="In Progress"/>
    <x v="1"/>
    <x v="1"/>
    <x v="1"/>
    <x v="1"/>
    <x v="0"/>
    <b v="0"/>
    <x v="310"/>
    <s v="FS1018-CPM-ZZ-00-D-A-2900"/>
  </r>
  <r>
    <s v="FS1018-CPM-ZZ-00-D-A-3001"/>
    <s v="External Door Schedules Sheet 01"/>
    <x v="0"/>
    <s v="In Progress"/>
    <x v="1"/>
    <x v="1"/>
    <x v="1"/>
    <x v="1"/>
    <x v="0"/>
    <b v="0"/>
    <x v="311"/>
    <s v="FS1018-CPM-ZZ-00-D-A-3001"/>
  </r>
  <r>
    <s v="FS1018-CPM-ZZ-00-D-A-3050"/>
    <s v="Internal Doors Level 00 Sheet 01"/>
    <x v="1"/>
    <s v="In Progress"/>
    <x v="1"/>
    <x v="1"/>
    <x v="1"/>
    <x v="1"/>
    <x v="0"/>
    <b v="1"/>
    <x v="312"/>
    <s v="FS1018-CPM-ZZ-00-D-A-3050"/>
  </r>
  <r>
    <s v="FS1018-CPM-ZZ-00-D-A-3051"/>
    <s v="Internal Doors Level 00 Sheet 02"/>
    <x v="1"/>
    <s v="In Progress"/>
    <x v="1"/>
    <x v="1"/>
    <x v="1"/>
    <x v="1"/>
    <x v="0"/>
    <b v="1"/>
    <x v="313"/>
    <s v="FS1018-CPM-ZZ-00-D-A-3051"/>
  </r>
  <r>
    <s v="FS1018-CPM-ZZ-00-D-A-3052"/>
    <s v="Internal Doors Level 00 Sheet 03"/>
    <x v="0"/>
    <s v="In Progress"/>
    <x v="1"/>
    <x v="1"/>
    <x v="1"/>
    <x v="1"/>
    <x v="0"/>
    <b v="0"/>
    <x v="314"/>
    <s v="FS1018-CPM-ZZ-00-D-A-3052"/>
  </r>
  <r>
    <s v="FS1018-CPM-ZZ-00-D-A-3053"/>
    <s v="Internal Doors Level 00 Sheet 04"/>
    <x v="0"/>
    <s v="In Progress"/>
    <x v="1"/>
    <x v="1"/>
    <x v="1"/>
    <x v="1"/>
    <x v="0"/>
    <b v="0"/>
    <x v="315"/>
    <s v="FS1018-CPM-ZZ-00-D-A-3053"/>
  </r>
  <r>
    <s v="FS1018-CPM-ZZ-00-D-A-3054"/>
    <s v="Internal Doors Level 00 Sheet 05"/>
    <x v="0"/>
    <s v="In Progress"/>
    <x v="1"/>
    <x v="1"/>
    <x v="1"/>
    <x v="1"/>
    <x v="0"/>
    <b v="0"/>
    <x v="316"/>
    <s v="FS1018-CPM-ZZ-00-D-A-3054"/>
  </r>
  <r>
    <s v="FS1018-CPM-ZZ-00-D-A-3500"/>
    <s v="Reflected Ceiling L00"/>
    <x v="1"/>
    <s v="In Progress"/>
    <x v="1"/>
    <x v="1"/>
    <x v="1"/>
    <x v="1"/>
    <x v="0"/>
    <b v="1"/>
    <x v="317"/>
    <s v="FS1018-CPM-ZZ-00-D-A-3500"/>
  </r>
  <r>
    <s v="FS1018-CPM-ZZ-00-D-A-6807"/>
    <s v="Room Elevations Hygiene Room"/>
    <x v="0"/>
    <s v="In Progress"/>
    <x v="1"/>
    <x v="1"/>
    <x v="1"/>
    <x v="1"/>
    <x v="0"/>
    <b v="0"/>
    <x v="318"/>
    <s v="FS1018-CPM-ZZ-00-D-A-6807"/>
  </r>
  <r>
    <s v="FS1018-CPM-ZZ-00-D-A-6808"/>
    <s v="Room Elecations Pupil WC'S"/>
    <x v="0"/>
    <s v="In Progress"/>
    <x v="1"/>
    <x v="1"/>
    <x v="1"/>
    <x v="1"/>
    <x v="0"/>
    <b v="0"/>
    <x v="319"/>
    <s v="FS1018-CPM-ZZ-00-D-A-6808"/>
  </r>
  <r>
    <s v="FS1018-CPM-ZZ-00-D-A-6809"/>
    <s v="Room Elevations Pupils And Staff WC"/>
    <x v="0"/>
    <s v="In Progress"/>
    <x v="1"/>
    <x v="1"/>
    <x v="1"/>
    <x v="1"/>
    <x v="0"/>
    <b v="0"/>
    <x v="320"/>
    <s v="FS1018-CPM-ZZ-00-D-A-6809"/>
  </r>
  <r>
    <s v="FS1018-CPM-ZZ-00-D-A-6810"/>
    <s v="Room Elevations Accessible WC"/>
    <x v="0"/>
    <s v="In Progress"/>
    <x v="1"/>
    <x v="1"/>
    <x v="1"/>
    <x v="1"/>
    <x v="0"/>
    <b v="0"/>
    <x v="321"/>
    <s v="FS1018-CPM-ZZ-00-D-A-6810"/>
  </r>
  <r>
    <s v="FS1018-CPM-ZZ-00-D-A-6811"/>
    <s v="Room Elevations Changing Room"/>
    <x v="1"/>
    <s v="In Progress"/>
    <x v="1"/>
    <x v="1"/>
    <x v="1"/>
    <x v="1"/>
    <x v="0"/>
    <b v="1"/>
    <x v="322"/>
    <s v="FS1018-CPM-ZZ-00-D-A-6811"/>
  </r>
  <r>
    <s v="FS1018-CPM-ZZ-00-D-A-6812"/>
    <s v="Room Elevations Accessible Changing Room"/>
    <x v="0"/>
    <s v="In Progress"/>
    <x v="1"/>
    <x v="1"/>
    <x v="1"/>
    <x v="1"/>
    <x v="0"/>
    <b v="0"/>
    <x v="323"/>
    <s v="FS1018-CPM-ZZ-00-D-A-6812"/>
  </r>
  <r>
    <s v="FS1018-CPM-ZZ-01-D-A-0001"/>
    <s v="Reflected CeilingPlan L01"/>
    <x v="0"/>
    <s v="Completed"/>
    <x v="9"/>
    <x v="0"/>
    <x v="2"/>
    <x v="2"/>
    <x v="4"/>
    <b v="0"/>
    <x v="324"/>
    <s v="FS1018-CPM-ZZ-01-D-A-0001"/>
  </r>
  <r>
    <s v="FS1018-CPM-ZZ-01-D-A-2002"/>
    <s v="GA Proposed Floor Plan L01"/>
    <x v="2"/>
    <s v="Completed"/>
    <x v="0"/>
    <x v="0"/>
    <x v="3"/>
    <x v="0"/>
    <x v="50"/>
    <b v="0"/>
    <x v="325"/>
    <s v="FS1018-CPM-ZZ-01-D-A-2002"/>
  </r>
  <r>
    <s v="FS1018-CPM-ZZ-01-D-A-2002"/>
    <s v="GA Proposed L01 Floor Plan"/>
    <x v="11"/>
    <s v="Completed"/>
    <x v="4"/>
    <x v="2"/>
    <x v="2"/>
    <x v="2"/>
    <x v="4"/>
    <b v="0"/>
    <x v="326"/>
    <s v="FS1018-CPM-ZZ-01-D-A-2002"/>
  </r>
  <r>
    <s v="FS1018-CPM-ZZ-01-D-A-2002"/>
    <s v="GA Proposed L01 Floor Plan"/>
    <x v="12"/>
    <s v="In Progress"/>
    <x v="1"/>
    <x v="1"/>
    <x v="1"/>
    <x v="1"/>
    <x v="0"/>
    <b v="0"/>
    <x v="326"/>
    <s v="FS1018-CPM-ZZ-01-D-A-2002"/>
  </r>
  <r>
    <s v="FS1018-CPM-ZZ-01-D-A-2201"/>
    <s v="Wall And Partition Types L01"/>
    <x v="0"/>
    <s v="In Progress"/>
    <x v="1"/>
    <x v="1"/>
    <x v="1"/>
    <x v="1"/>
    <x v="0"/>
    <b v="0"/>
    <x v="327"/>
    <s v="FS1018-CPM-ZZ-01-D-A-2201"/>
  </r>
  <r>
    <s v="FS1018-CPM-ZZ-01-D-A-2250"/>
    <s v="Patressing Plan For Typical Classroom"/>
    <x v="0"/>
    <s v="In Progress"/>
    <x v="1"/>
    <x v="1"/>
    <x v="1"/>
    <x v="1"/>
    <x v="0"/>
    <b v="0"/>
    <x v="328"/>
    <s v="FS1018-CPM-ZZ-01-D-A-2250"/>
  </r>
  <r>
    <s v="FS1018-CPM-ZZ-01-D-A-2251"/>
    <s v="Patressing Plan For Art Room"/>
    <x v="0"/>
    <s v="In Progress"/>
    <x v="1"/>
    <x v="1"/>
    <x v="1"/>
    <x v="1"/>
    <x v="0"/>
    <b v="0"/>
    <x v="329"/>
    <s v="FS1018-CPM-ZZ-01-D-A-2251"/>
  </r>
  <r>
    <s v="FS1018-CPM-ZZ-01-D-A-2901"/>
    <s v="Fire Strategy L01"/>
    <x v="2"/>
    <s v="In Progress"/>
    <x v="1"/>
    <x v="1"/>
    <x v="1"/>
    <x v="1"/>
    <x v="0"/>
    <b v="0"/>
    <x v="330"/>
    <s v="FS1018-CPM-ZZ-01-D-A-2901"/>
  </r>
  <r>
    <s v="FS1018-CPM-ZZ-01-D-A-3501"/>
    <s v="Reflected Ceiling L01"/>
    <x v="1"/>
    <s v="In Progress"/>
    <x v="1"/>
    <x v="1"/>
    <x v="1"/>
    <x v="1"/>
    <x v="0"/>
    <b v="1"/>
    <x v="331"/>
    <s v="FS1018-CPM-ZZ-01-D-A-3501"/>
  </r>
  <r>
    <s v="FS1018-CPM-ZZ-01-D-A-6800"/>
    <s v="Room Elevations Classroom"/>
    <x v="0"/>
    <s v="In Progress"/>
    <x v="1"/>
    <x v="1"/>
    <x v="1"/>
    <x v="1"/>
    <x v="0"/>
    <b v="0"/>
    <x v="332"/>
    <s v="FS1018-CPM-ZZ-01-D-A-6800"/>
  </r>
  <r>
    <s v="FS1018-CPM-ZZ-02-D-A-0001"/>
    <s v="Reflected Ceiling Plan L02"/>
    <x v="0"/>
    <s v="Completed"/>
    <x v="9"/>
    <x v="0"/>
    <x v="2"/>
    <x v="2"/>
    <x v="4"/>
    <b v="0"/>
    <x v="333"/>
    <s v="FS1018-CPM-ZZ-02-D-A-0001"/>
  </r>
  <r>
    <s v="FS1018-CPM-ZZ-02-D-A-2003"/>
    <s v="GA Proposed Floor Plan L02"/>
    <x v="2"/>
    <s v="Completed"/>
    <x v="0"/>
    <x v="0"/>
    <x v="3"/>
    <x v="0"/>
    <x v="51"/>
    <b v="0"/>
    <x v="334"/>
    <s v="FS1018-CPM-ZZ-02-D-A-2003"/>
  </r>
  <r>
    <s v="FS1018-CPM-ZZ-02-D-A-2003"/>
    <s v="GA Proposed L02 Floor Plan"/>
    <x v="8"/>
    <s v="Completed"/>
    <x v="4"/>
    <x v="2"/>
    <x v="2"/>
    <x v="2"/>
    <x v="4"/>
    <b v="0"/>
    <x v="335"/>
    <s v="FS1018-CPM-ZZ-02-D-A-2003"/>
  </r>
  <r>
    <s v="FS1018-CPM-ZZ-02-D-A-2003"/>
    <s v="GA Proposed L02 Floor Plan"/>
    <x v="10"/>
    <s v="In Progress"/>
    <x v="1"/>
    <x v="1"/>
    <x v="1"/>
    <x v="1"/>
    <x v="0"/>
    <b v="0"/>
    <x v="335"/>
    <s v="FS1018-CPM-ZZ-02-D-A-2003"/>
  </r>
  <r>
    <s v="FS1018-CPM-ZZ-02-D-A-2202"/>
    <s v="Wall And Partition Types L02"/>
    <x v="0"/>
    <s v="In Progress"/>
    <x v="1"/>
    <x v="1"/>
    <x v="1"/>
    <x v="1"/>
    <x v="0"/>
    <b v="0"/>
    <x v="336"/>
    <s v="FS1018-CPM-ZZ-02-D-A-2202"/>
  </r>
  <r>
    <s v="FS1018-CPM-ZZ-02-D-A-2902"/>
    <s v="Fire Strategy L02"/>
    <x v="2"/>
    <s v="In Progress"/>
    <x v="1"/>
    <x v="1"/>
    <x v="1"/>
    <x v="1"/>
    <x v="0"/>
    <b v="0"/>
    <x v="337"/>
    <s v="FS1018-CPM-ZZ-02-D-A-2902"/>
  </r>
  <r>
    <s v="FS1018-CPM-ZZ-02-D-A-3502"/>
    <s v="Reflected Ceiling L02"/>
    <x v="1"/>
    <s v="In Progress"/>
    <x v="1"/>
    <x v="1"/>
    <x v="1"/>
    <x v="1"/>
    <x v="0"/>
    <b v="1"/>
    <x v="338"/>
    <s v="FS1018-CPM-ZZ-02-D-A-3502"/>
  </r>
  <r>
    <s v="FS1018-CPM-ZZ-RF-D-A-2023"/>
    <s v="GA Proposed Roof Plan"/>
    <x v="0"/>
    <s v="Completed"/>
    <x v="0"/>
    <x v="0"/>
    <x v="3"/>
    <x v="0"/>
    <x v="52"/>
    <b v="0"/>
    <x v="339"/>
    <s v="FS1018-CPM-ZZ-RF-D-A-2023"/>
  </r>
  <r>
    <s v="FS1018-CPM-ZZ-RF-D-A-2023"/>
    <s v="GA Proposed Roof Plan"/>
    <x v="13"/>
    <s v="Completed"/>
    <x v="4"/>
    <x v="2"/>
    <x v="2"/>
    <x v="2"/>
    <x v="4"/>
    <b v="0"/>
    <x v="339"/>
    <s v="FS1018-CPM-ZZ-RF-D-A-2023"/>
  </r>
  <r>
    <s v="FS1018-CPM-ZZ-RF-D-A-2023"/>
    <s v="GA Proposed Roof Plan"/>
    <x v="4"/>
    <s v="In Progress"/>
    <x v="1"/>
    <x v="1"/>
    <x v="1"/>
    <x v="1"/>
    <x v="0"/>
    <b v="0"/>
    <x v="339"/>
    <s v="FS1018-CPM-ZZ-RF-D-A-2023"/>
  </r>
  <r>
    <s v="FS1018-CPM-ZZ-RF-D-A-2144"/>
    <s v="Roof Details Sheet 1"/>
    <x v="1"/>
    <s v="In Progress"/>
    <x v="1"/>
    <x v="1"/>
    <x v="1"/>
    <x v="1"/>
    <x v="0"/>
    <b v="1"/>
    <x v="340"/>
    <s v="FS1018-CPM-ZZ-RF-D-A-2144"/>
  </r>
  <r>
    <s v="FS1018-CPM-ZZ-RF-D-A-2145"/>
    <s v="Roof Details Sheet 2"/>
    <x v="1"/>
    <s v="In Progress"/>
    <x v="1"/>
    <x v="1"/>
    <x v="1"/>
    <x v="1"/>
    <x v="0"/>
    <b v="1"/>
    <x v="341"/>
    <s v="FS1018-CPM-ZZ-RF-D-A-2145"/>
  </r>
  <r>
    <s v="FS1018-CPM-ZZ-RF-D-A-2903"/>
    <s v="Fire Strategy Rf"/>
    <x v="2"/>
    <s v="In Progress"/>
    <x v="1"/>
    <x v="1"/>
    <x v="1"/>
    <x v="1"/>
    <x v="0"/>
    <b v="0"/>
    <x v="342"/>
    <s v="FS1018-CPM-ZZ-RF-D-A-2903"/>
  </r>
  <r>
    <s v="FS1018-CPM-ZZ-RF-D-A-3100"/>
    <s v="Rooflight Elevations Sheet 1"/>
    <x v="0"/>
    <s v="In Progress"/>
    <x v="1"/>
    <x v="1"/>
    <x v="1"/>
    <x v="1"/>
    <x v="0"/>
    <b v="0"/>
    <x v="343"/>
    <s v="FS1018-CPM-ZZ-RF-D-A-3100"/>
  </r>
  <r>
    <s v="FS1018-CPM-ZZ-RF-D-A-3101"/>
    <s v="Rooflights And Hatch Plan"/>
    <x v="0"/>
    <s v="In Progress"/>
    <x v="1"/>
    <x v="1"/>
    <x v="1"/>
    <x v="1"/>
    <x v="0"/>
    <b v="0"/>
    <x v="344"/>
    <s v="FS1018-CPM-ZZ-RF-D-A-3101"/>
  </r>
  <r>
    <s v="FS1018-CPM-ZZ-XX-D-A-2146"/>
    <s v="3D Section"/>
    <x v="0"/>
    <s v="In Progress"/>
    <x v="1"/>
    <x v="1"/>
    <x v="1"/>
    <x v="1"/>
    <x v="0"/>
    <b v="0"/>
    <x v="345"/>
    <s v="FS1018-CPM-ZZ-XX-D-A-2146"/>
  </r>
  <r>
    <s v="FS1018-CPM-ZZ-XX-D-A-2210"/>
    <s v="Partition Detail Plans"/>
    <x v="0"/>
    <s v="In Progress"/>
    <x v="1"/>
    <x v="1"/>
    <x v="1"/>
    <x v="1"/>
    <x v="0"/>
    <b v="0"/>
    <x v="346"/>
    <s v="FS1018-CPM-ZZ-XX-D-A-2210"/>
  </r>
  <r>
    <s v="FS1018-CPM-ZZ-XX-L-A-0020"/>
    <s v="CDM Design Risk Assessment"/>
    <x v="0"/>
    <s v="Completed"/>
    <x v="0"/>
    <x v="6"/>
    <x v="2"/>
    <x v="6"/>
    <x v="53"/>
    <b v="0"/>
    <x v="347"/>
    <s v="FS1018-CPM-ZZ-XX-L-A-0020"/>
  </r>
  <r>
    <s v="FS1018-CPM-ZZ-XX-L-A-0020"/>
    <s v="CDM Design Risk Assessment"/>
    <x v="1"/>
    <s v="Completed"/>
    <x v="4"/>
    <x v="2"/>
    <x v="2"/>
    <x v="2"/>
    <x v="4"/>
    <b v="1"/>
    <x v="347"/>
    <s v="FS1018-CPM-ZZ-XX-L-A-0020"/>
  </r>
  <r>
    <s v="FS1018-CPM-ZZ-XX-L-A-0020"/>
    <s v="CDM Design Risk Assessment"/>
    <x v="3"/>
    <s v="In Progress"/>
    <x v="1"/>
    <x v="1"/>
    <x v="1"/>
    <x v="1"/>
    <x v="0"/>
    <b v="0"/>
    <x v="347"/>
    <s v="FS1018-CPM-ZZ-XX-L-A-0020"/>
  </r>
  <r>
    <s v="FS1018-CPM-ZZ-ZZ-D-A-0050"/>
    <s v="Circulation Strategy"/>
    <x v="0"/>
    <s v="Completed"/>
    <x v="0"/>
    <x v="0"/>
    <x v="3"/>
    <x v="0"/>
    <x v="54"/>
    <b v="0"/>
    <x v="348"/>
    <s v="FS1018-CPM-ZZ-ZZ-D-A-0050"/>
  </r>
  <r>
    <s v="FS1018-CPM-ZZ-ZZ-D-A-0050"/>
    <s v="Circulation Strategy"/>
    <x v="1"/>
    <s v="Completed"/>
    <x v="9"/>
    <x v="0"/>
    <x v="2"/>
    <x v="2"/>
    <x v="4"/>
    <b v="1"/>
    <x v="348"/>
    <s v="FS1018-CPM-ZZ-ZZ-D-A-0050"/>
  </r>
  <r>
    <s v="FS1018-CPM-ZZ-ZZ-D-A-0050"/>
    <s v="Circulation Strategy"/>
    <x v="3"/>
    <s v="In Progress"/>
    <x v="1"/>
    <x v="1"/>
    <x v="1"/>
    <x v="1"/>
    <x v="0"/>
    <b v="0"/>
    <x v="348"/>
    <s v="FS1018-CPM-ZZ-ZZ-D-A-0050"/>
  </r>
  <r>
    <s v="FS1018-CPM-ZZ-ZZ-D-A-0051"/>
    <s v="Zoning &amp; Security Strategy"/>
    <x v="0"/>
    <s v="Completed"/>
    <x v="0"/>
    <x v="0"/>
    <x v="3"/>
    <x v="0"/>
    <x v="55"/>
    <b v="0"/>
    <x v="349"/>
    <s v="FS1018-CPM-ZZ-ZZ-D-A-0051"/>
  </r>
  <r>
    <s v="FS1018-CPM-ZZ-ZZ-D-A-0051"/>
    <s v="Zoning and Security Strategy"/>
    <x v="1"/>
    <s v="Completed"/>
    <x v="9"/>
    <x v="0"/>
    <x v="2"/>
    <x v="2"/>
    <x v="4"/>
    <b v="1"/>
    <x v="350"/>
    <s v="FS1018-CPM-ZZ-ZZ-D-A-0051"/>
  </r>
  <r>
    <s v="FS1018-CPM-ZZ-ZZ-D-A-0051"/>
    <s v="Zoning And Security Strategy"/>
    <x v="3"/>
    <s v="In Progress"/>
    <x v="1"/>
    <x v="1"/>
    <x v="1"/>
    <x v="1"/>
    <x v="0"/>
    <b v="0"/>
    <x v="350"/>
    <s v="FS1018-CPM-ZZ-ZZ-D-A-0051"/>
  </r>
  <r>
    <s v="FS1018-CPM-ZZ-ZZ-D-A-0052"/>
    <s v="Sanitary &amp; Hygiene Strategy"/>
    <x v="0"/>
    <s v="Completed"/>
    <x v="0"/>
    <x v="0"/>
    <x v="3"/>
    <x v="0"/>
    <x v="56"/>
    <b v="0"/>
    <x v="351"/>
    <s v="FS1018-CPM-ZZ-ZZ-D-A-0052"/>
  </r>
  <r>
    <s v="FS1018-CPM-ZZ-ZZ-D-A-0052"/>
    <s v="Sanitary and Hygiene Strategy"/>
    <x v="1"/>
    <s v="Completed"/>
    <x v="9"/>
    <x v="0"/>
    <x v="2"/>
    <x v="2"/>
    <x v="4"/>
    <b v="1"/>
    <x v="352"/>
    <s v="FS1018-CPM-ZZ-ZZ-D-A-0052"/>
  </r>
  <r>
    <s v="FS1018-CPM-ZZ-ZZ-D-A-0052"/>
    <s v="Sanitary And Hygiene Strategy"/>
    <x v="3"/>
    <s v="In Progress"/>
    <x v="1"/>
    <x v="1"/>
    <x v="1"/>
    <x v="1"/>
    <x v="0"/>
    <b v="0"/>
    <x v="352"/>
    <s v="FS1018-CPM-ZZ-ZZ-D-A-0052"/>
  </r>
  <r>
    <s v="FS1018-CPM-ZZ-ZZ-D-A-0053"/>
    <s v="Access &amp; Maintenance Strategy"/>
    <x v="0"/>
    <s v="Completed"/>
    <x v="0"/>
    <x v="0"/>
    <x v="3"/>
    <x v="0"/>
    <x v="57"/>
    <b v="0"/>
    <x v="353"/>
    <s v="FS1018-CPM-ZZ-ZZ-D-A-0053"/>
  </r>
  <r>
    <s v="FS1018-CPM-ZZ-ZZ-D-A-0053"/>
    <s v="Access and Maintenance Strategy"/>
    <x v="2"/>
    <s v="Completed"/>
    <x v="4"/>
    <x v="2"/>
    <x v="2"/>
    <x v="2"/>
    <x v="4"/>
    <b v="0"/>
    <x v="354"/>
    <s v="FS1018-CPM-ZZ-ZZ-D-A-0053"/>
  </r>
  <r>
    <s v="FS1018-CPM-ZZ-ZZ-D-A-0053"/>
    <s v="Access And Maintenance Strategy"/>
    <x v="14"/>
    <s v="In Progress"/>
    <x v="1"/>
    <x v="1"/>
    <x v="1"/>
    <x v="1"/>
    <x v="0"/>
    <b v="0"/>
    <x v="354"/>
    <s v="FS1018-CPM-ZZ-ZZ-D-A-0053"/>
  </r>
  <r>
    <s v="FS1018-CPM-ZZ-ZZ-D-A-0054"/>
    <s v="Cleaning &amp; Maintenance Strategy"/>
    <x v="0"/>
    <s v="Completed"/>
    <x v="0"/>
    <x v="0"/>
    <x v="3"/>
    <x v="0"/>
    <x v="58"/>
    <b v="0"/>
    <x v="355"/>
    <s v="FS1018-CPM-ZZ-ZZ-D-A-0054"/>
  </r>
  <r>
    <s v="FS1018-CPM-ZZ-ZZ-D-A-0054"/>
    <s v="Cleaning and Maintenance Strategy"/>
    <x v="1"/>
    <s v="Completed"/>
    <x v="9"/>
    <x v="0"/>
    <x v="2"/>
    <x v="2"/>
    <x v="4"/>
    <b v="1"/>
    <x v="356"/>
    <s v="FS1018-CPM-ZZ-ZZ-D-A-0054"/>
  </r>
  <r>
    <s v="FS1018-CPM-ZZ-ZZ-D-A-0054"/>
    <s v="Cleaning And Maintenance Strategy"/>
    <x v="2"/>
    <s v="In Progress"/>
    <x v="1"/>
    <x v="1"/>
    <x v="1"/>
    <x v="1"/>
    <x v="0"/>
    <b v="0"/>
    <x v="356"/>
    <s v="FS1018-CPM-ZZ-ZZ-D-A-0054"/>
  </r>
  <r>
    <s v="FS1018-CPM-ZZ-ZZ-D-A-0060"/>
    <s v="Proposed Room Cluster Diagram"/>
    <x v="0"/>
    <s v="In Progress"/>
    <x v="5"/>
    <x v="1"/>
    <x v="1"/>
    <x v="1"/>
    <x v="0"/>
    <b v="0"/>
    <x v="357"/>
    <s v="FS1018-CPM-ZZ-ZZ-D-A-0060"/>
  </r>
  <r>
    <s v="FS1018-CPM-ZZ-ZZ-D-A-2001"/>
    <s v="GA Proposed Sections AABBCCDD"/>
    <x v="0"/>
    <s v="Completed"/>
    <x v="0"/>
    <x v="0"/>
    <x v="3"/>
    <x v="0"/>
    <x v="59"/>
    <b v="0"/>
    <x v="358"/>
    <s v="FS1018-CPM-ZZ-ZZ-D-A-2001"/>
  </r>
  <r>
    <s v="FS1018-CPM-ZZ-ZZ-D-A-2001"/>
    <s v="GA Proposed Section AA, BB, CC, DD"/>
    <x v="14"/>
    <s v="Completed"/>
    <x v="11"/>
    <x v="2"/>
    <x v="2"/>
    <x v="2"/>
    <x v="4"/>
    <b v="0"/>
    <x v="359"/>
    <s v="FS1018-CPM-ZZ-ZZ-D-A-2001"/>
  </r>
  <r>
    <s v="FS1018-CPM-ZZ-ZZ-D-A-2001"/>
    <s v="GA Proposed Section Aa, Bb, Cc, Dd"/>
    <x v="6"/>
    <s v="In Progress"/>
    <x v="1"/>
    <x v="1"/>
    <x v="1"/>
    <x v="1"/>
    <x v="0"/>
    <b v="0"/>
    <x v="359"/>
    <s v="FS1018-CPM-ZZ-ZZ-D-A-2001"/>
  </r>
  <r>
    <s v="FS1018-CPM-ZZ-ZZ-D-A-2002"/>
    <s v="GA Proposed Section EE 1 To 125"/>
    <x v="14"/>
    <s v="Completed"/>
    <x v="11"/>
    <x v="2"/>
    <x v="2"/>
    <x v="2"/>
    <x v="4"/>
    <b v="0"/>
    <x v="360"/>
    <s v="FS1018-CPM-ZZ-ZZ-D-A-2002"/>
  </r>
  <r>
    <s v="FS1018-CPM-ZZ-ZZ-D-A-2002"/>
    <s v="GA Proposed Section EE"/>
    <x v="5"/>
    <s v="In Progress"/>
    <x v="1"/>
    <x v="1"/>
    <x v="1"/>
    <x v="1"/>
    <x v="0"/>
    <b v="0"/>
    <x v="361"/>
    <s v="FS1018-CPM-ZZ-ZZ-D-A-2002"/>
  </r>
  <r>
    <s v="FS1018-CPM-ZZ-ZZ-D-A-2005"/>
    <s v="GA Proposed Section EE"/>
    <x v="1"/>
    <s v="Completed"/>
    <x v="11"/>
    <x v="2"/>
    <x v="2"/>
    <x v="2"/>
    <x v="4"/>
    <b v="1"/>
    <x v="362"/>
    <s v="FS1018-CPM-ZZ-ZZ-D-A-2005"/>
  </r>
  <r>
    <s v="FS1018-CPM-ZZ-ZZ-D-A-2010"/>
    <s v="GA Proposed Elevations Sheet 01"/>
    <x v="0"/>
    <s v="Completed"/>
    <x v="0"/>
    <x v="0"/>
    <x v="3"/>
    <x v="0"/>
    <x v="60"/>
    <b v="0"/>
    <x v="363"/>
    <s v="FS1018-CPM-ZZ-ZZ-D-A-2010"/>
  </r>
  <r>
    <s v="FS1018-CPM-ZZ-ZZ-D-A-2010"/>
    <s v="GA Proposed Elevations Sheet 1"/>
    <x v="5"/>
    <s v="Completed"/>
    <x v="11"/>
    <x v="2"/>
    <x v="2"/>
    <x v="2"/>
    <x v="4"/>
    <b v="0"/>
    <x v="364"/>
    <s v="FS1018-CPM-ZZ-ZZ-D-A-2010"/>
  </r>
  <r>
    <s v="FS1018-CPM-ZZ-ZZ-D-A-2010"/>
    <s v="GA Proposed Elevations Sheet 1"/>
    <x v="6"/>
    <s v="In Progress"/>
    <x v="1"/>
    <x v="1"/>
    <x v="1"/>
    <x v="1"/>
    <x v="0"/>
    <b v="0"/>
    <x v="364"/>
    <s v="FS1018-CPM-ZZ-ZZ-D-A-2010"/>
  </r>
  <r>
    <s v="FS1018-CPM-ZZ-ZZ-D-A-2011"/>
    <s v="GA Proposed Elevations Sheet 02"/>
    <x v="0"/>
    <s v="Completed"/>
    <x v="0"/>
    <x v="0"/>
    <x v="3"/>
    <x v="0"/>
    <x v="61"/>
    <b v="0"/>
    <x v="365"/>
    <s v="FS1018-CPM-ZZ-ZZ-D-A-2011"/>
  </r>
  <r>
    <s v="FS1018-CPM-ZZ-ZZ-D-A-2011"/>
    <s v="GA Proposed Elevations Sheet 2"/>
    <x v="2"/>
    <s v="Completed"/>
    <x v="11"/>
    <x v="2"/>
    <x v="2"/>
    <x v="2"/>
    <x v="4"/>
    <b v="0"/>
    <x v="366"/>
    <s v="FS1018-CPM-ZZ-ZZ-D-A-2011"/>
  </r>
  <r>
    <s v="FS1018-CPM-ZZ-ZZ-D-A-2011"/>
    <s v="GA Proposed Elevations Sheet 02"/>
    <x v="5"/>
    <s v="In Progress"/>
    <x v="1"/>
    <x v="1"/>
    <x v="1"/>
    <x v="1"/>
    <x v="0"/>
    <b v="0"/>
    <x v="365"/>
    <s v="FS1018-CPM-ZZ-ZZ-D-A-2011"/>
  </r>
  <r>
    <s v="FS1018-CPM-ZZ-ZZ-D-A-2012"/>
    <s v="GA Proposed Elevations Sheet 03"/>
    <x v="0"/>
    <s v="Completed"/>
    <x v="0"/>
    <x v="0"/>
    <x v="3"/>
    <x v="0"/>
    <x v="62"/>
    <b v="0"/>
    <x v="367"/>
    <s v="FS1018-CPM-ZZ-ZZ-D-A-2012"/>
  </r>
  <r>
    <s v="FS1018-CPM-ZZ-ZZ-D-A-2012"/>
    <s v="GA Proposed Elevations Sheet 03"/>
    <x v="2"/>
    <s v="Completed"/>
    <x v="11"/>
    <x v="2"/>
    <x v="2"/>
    <x v="2"/>
    <x v="4"/>
    <b v="0"/>
    <x v="367"/>
    <s v="FS1018-CPM-ZZ-ZZ-D-A-2012"/>
  </r>
  <r>
    <s v="FS1018-CPM-ZZ-ZZ-D-A-2012"/>
    <s v="GA Proposed Elevations Sheet 03"/>
    <x v="14"/>
    <s v="In Progress"/>
    <x v="1"/>
    <x v="1"/>
    <x v="1"/>
    <x v="1"/>
    <x v="0"/>
    <b v="0"/>
    <x v="367"/>
    <s v="FS1018-CPM-ZZ-ZZ-D-A-2012"/>
  </r>
  <r>
    <s v="FS1018-CPM-ZZ-ZZ-D-A-2013"/>
    <s v="GA Proposed Elevations SE 1 To 125"/>
    <x v="5"/>
    <s v="Completed"/>
    <x v="11"/>
    <x v="2"/>
    <x v="2"/>
    <x v="2"/>
    <x v="4"/>
    <b v="0"/>
    <x v="368"/>
    <s v="FS1018-CPM-ZZ-ZZ-D-A-2013"/>
  </r>
  <r>
    <s v="FS1018-CPM-ZZ-ZZ-D-A-2014"/>
    <s v="GA Proposed Elevations NW 1 to 125"/>
    <x v="5"/>
    <s v="Completed"/>
    <x v="11"/>
    <x v="2"/>
    <x v="2"/>
    <x v="2"/>
    <x v="4"/>
    <b v="0"/>
    <x v="369"/>
    <s v="FS1018-CPM-ZZ-ZZ-D-A-2014"/>
  </r>
  <r>
    <s v="FS1018-CPM-ZZ-ZZ-D-A-2025"/>
    <s v="Hazard Identification Plan"/>
    <x v="0"/>
    <s v="Completed"/>
    <x v="0"/>
    <x v="0"/>
    <x v="2"/>
    <x v="0"/>
    <x v="63"/>
    <b v="0"/>
    <x v="370"/>
    <s v="FS1018-CPM-ZZ-ZZ-D-A-2025"/>
  </r>
  <r>
    <s v="FS1018-CPM-ZZ-ZZ-D-A-2025"/>
    <s v="Hazard Identification Plan"/>
    <x v="1"/>
    <s v="In Progress"/>
    <x v="1"/>
    <x v="1"/>
    <x v="1"/>
    <x v="1"/>
    <x v="0"/>
    <b v="1"/>
    <x v="370"/>
    <s v="FS1018-CPM-ZZ-ZZ-D-A-2025"/>
  </r>
  <r>
    <s v="FS1018-CPM-ZZ-ZZ-D-A-2031"/>
    <s v="Visuals Sheet 01 External"/>
    <x v="0"/>
    <s v="Completed"/>
    <x v="0"/>
    <x v="0"/>
    <x v="0"/>
    <x v="0"/>
    <x v="0"/>
    <b v="0"/>
    <x v="371"/>
    <s v="FS1018-CPM-ZZ-ZZ-D-A-2031"/>
  </r>
  <r>
    <s v="FS1018-CPM-ZZ-ZZ-D-A-2031"/>
    <s v="Internal Views"/>
    <x v="3"/>
    <s v="In Progress"/>
    <x v="1"/>
    <x v="1"/>
    <x v="1"/>
    <x v="1"/>
    <x v="0"/>
    <b v="0"/>
    <x v="372"/>
    <s v="FS1018-CPM-ZZ-ZZ-D-A-2031"/>
  </r>
  <r>
    <s v="FS1018-CPM-ZZ-ZZ-D-A-2032"/>
    <s v="Visuals Sheet 02 Internal"/>
    <x v="0"/>
    <s v="Completed"/>
    <x v="0"/>
    <x v="0"/>
    <x v="3"/>
    <x v="0"/>
    <x v="64"/>
    <b v="0"/>
    <x v="373"/>
    <s v="FS1018-CPM-ZZ-ZZ-D-A-2032"/>
  </r>
  <r>
    <s v="FS1018-CPM-ZZ-ZZ-D-A-2032"/>
    <s v="External Views"/>
    <x v="1"/>
    <s v="Completed"/>
    <x v="9"/>
    <x v="0"/>
    <x v="2"/>
    <x v="2"/>
    <x v="4"/>
    <b v="1"/>
    <x v="374"/>
    <s v="FS1018-CPM-ZZ-ZZ-D-A-2032"/>
  </r>
  <r>
    <s v="FS1018-CPM-ZZ-ZZ-D-A-2032"/>
    <s v="External Views"/>
    <x v="3"/>
    <s v="In Progress"/>
    <x v="1"/>
    <x v="1"/>
    <x v="1"/>
    <x v="1"/>
    <x v="0"/>
    <b v="0"/>
    <x v="374"/>
    <s v="FS1018-CPM-ZZ-ZZ-D-A-2032"/>
  </r>
  <r>
    <s v="FS1018-CPM-ZZ-ZZ-D-A-2040"/>
    <s v="Lock Suiting Strategy"/>
    <x v="0"/>
    <s v="In Progress"/>
    <x v="1"/>
    <x v="1"/>
    <x v="1"/>
    <x v="1"/>
    <x v="0"/>
    <b v="0"/>
    <x v="375"/>
    <s v="FS1018-CPM-ZZ-ZZ-D-A-2040"/>
  </r>
  <r>
    <s v="FS1018-CPM-ZZ-ZZ-D-A-2140"/>
    <s v="Construction Building Sections Sheet 1"/>
    <x v="2"/>
    <s v="In Progress"/>
    <x v="1"/>
    <x v="1"/>
    <x v="1"/>
    <x v="1"/>
    <x v="0"/>
    <b v="0"/>
    <x v="376"/>
    <s v="FS1018-CPM-ZZ-ZZ-D-A-2140"/>
  </r>
  <r>
    <s v="FS1018-CPM-ZZ-ZZ-D-A-2141"/>
    <s v="Construction Building Sections"/>
    <x v="0"/>
    <s v="Completed"/>
    <x v="0"/>
    <x v="0"/>
    <x v="3"/>
    <x v="0"/>
    <x v="65"/>
    <b v="0"/>
    <x v="377"/>
    <s v="FS1018-CPM-ZZ-ZZ-D-A-2141"/>
  </r>
  <r>
    <s v="FS1018-CPM-ZZ-ZZ-D-A-2141"/>
    <s v="Construction Building Sections"/>
    <x v="1"/>
    <s v="Completed"/>
    <x v="9"/>
    <x v="0"/>
    <x v="2"/>
    <x v="2"/>
    <x v="4"/>
    <b v="1"/>
    <x v="377"/>
    <s v="FS1018-CPM-ZZ-ZZ-D-A-2141"/>
  </r>
  <r>
    <s v="FS1018-CPM-ZZ-ZZ-D-A-2141"/>
    <s v="Construction Building Sections Sheet 2"/>
    <x v="1"/>
    <s v="In Progress"/>
    <x v="1"/>
    <x v="1"/>
    <x v="1"/>
    <x v="1"/>
    <x v="0"/>
    <b v="1"/>
    <x v="378"/>
    <s v="FS1018-CPM-ZZ-ZZ-D-A-2141"/>
  </r>
  <r>
    <s v="FS1018-CPM-ZZ-ZZ-D-A-2143"/>
    <s v="External Wall Details Sheet 1"/>
    <x v="3"/>
    <s v="In Progress"/>
    <x v="1"/>
    <x v="1"/>
    <x v="1"/>
    <x v="1"/>
    <x v="0"/>
    <b v="0"/>
    <x v="379"/>
    <s v="FS1018-CPM-ZZ-ZZ-D-A-2143"/>
  </r>
  <r>
    <s v="FS1018-CPM-ZZ-ZZ-D-A-2144"/>
    <s v="External Wall Details Sheet 2"/>
    <x v="1"/>
    <s v="In Progress"/>
    <x v="1"/>
    <x v="1"/>
    <x v="1"/>
    <x v="1"/>
    <x v="0"/>
    <b v="1"/>
    <x v="380"/>
    <s v="FS1018-CPM-ZZ-ZZ-D-A-2144"/>
  </r>
  <r>
    <s v="FS1018-CPM-ZZ-ZZ-D-A-2401"/>
    <s v="Typical Staircase Sheet 01"/>
    <x v="0"/>
    <s v="In Progress"/>
    <x v="1"/>
    <x v="1"/>
    <x v="1"/>
    <x v="1"/>
    <x v="0"/>
    <b v="0"/>
    <x v="381"/>
    <s v="FS1018-CPM-ZZ-ZZ-D-A-2401"/>
  </r>
  <r>
    <s v="FS1018-CPM-ZZ-ZZ-D-A-2402"/>
    <s v="Typical Staircase Sheet 02"/>
    <x v="0"/>
    <s v="In Progress"/>
    <x v="1"/>
    <x v="1"/>
    <x v="1"/>
    <x v="1"/>
    <x v="0"/>
    <b v="0"/>
    <x v="382"/>
    <s v="FS1018-CPM-ZZ-ZZ-D-A-2402"/>
  </r>
  <r>
    <s v="FS1018-CPM-ZZ-ZZ-D-A-2403"/>
    <s v="Typical Staircase Sheet 03"/>
    <x v="0"/>
    <s v="In Progress"/>
    <x v="1"/>
    <x v="1"/>
    <x v="1"/>
    <x v="1"/>
    <x v="0"/>
    <b v="0"/>
    <x v="383"/>
    <s v="FS1018-CPM-ZZ-ZZ-D-A-2403"/>
  </r>
  <r>
    <s v="FS1018-CPM-ZZ-ZZ-D-A-2404"/>
    <s v="Typical Staircase Sheet 04"/>
    <x v="0"/>
    <s v="In Progress"/>
    <x v="1"/>
    <x v="1"/>
    <x v="1"/>
    <x v="1"/>
    <x v="0"/>
    <b v="0"/>
    <x v="384"/>
    <s v="FS1018-CPM-ZZ-ZZ-D-A-2404"/>
  </r>
  <r>
    <s v="FS1018-CPM-ZZ-ZZ-D-A-2405"/>
    <s v="Typical Staircase Sheet 05"/>
    <x v="0"/>
    <s v="In Progress"/>
    <x v="1"/>
    <x v="1"/>
    <x v="1"/>
    <x v="1"/>
    <x v="0"/>
    <b v="0"/>
    <x v="385"/>
    <s v="FS1018-CPM-ZZ-ZZ-D-A-2405"/>
  </r>
  <r>
    <s v="FS1018-CPM-ZZ-ZZ-D-A-3002"/>
    <s v="External Door Schedues Sheet 02"/>
    <x v="0"/>
    <s v="In Progress"/>
    <x v="1"/>
    <x v="1"/>
    <x v="1"/>
    <x v="1"/>
    <x v="0"/>
    <b v="0"/>
    <x v="386"/>
    <s v="FS1018-CPM-ZZ-ZZ-D-A-3002"/>
  </r>
  <r>
    <s v="FS1018-CPM-ZZ-ZZ-D-A-3010"/>
    <s v="Curtain Wall Panelling Elevations Sheet 01"/>
    <x v="0"/>
    <s v="In Progress"/>
    <x v="1"/>
    <x v="1"/>
    <x v="1"/>
    <x v="1"/>
    <x v="0"/>
    <b v="0"/>
    <x v="387"/>
    <s v="FS1018-CPM-ZZ-ZZ-D-A-3010"/>
  </r>
  <r>
    <s v="FS1018-CPM-ZZ-ZZ-D-A-3011"/>
    <s v="Curtain Wall Panelling Elevations Sheet 02"/>
    <x v="0"/>
    <s v="In Progress"/>
    <x v="1"/>
    <x v="1"/>
    <x v="1"/>
    <x v="1"/>
    <x v="0"/>
    <b v="0"/>
    <x v="388"/>
    <s v="FS1018-CPM-ZZ-ZZ-D-A-3011"/>
  </r>
  <r>
    <s v="FS1018-CPM-ZZ-ZZ-D-A-3020"/>
    <s v="External Windows Elevation And Schedule"/>
    <x v="0"/>
    <s v="In Progress"/>
    <x v="1"/>
    <x v="1"/>
    <x v="1"/>
    <x v="1"/>
    <x v="0"/>
    <b v="0"/>
    <x v="389"/>
    <s v="FS1018-CPM-ZZ-ZZ-D-A-3020"/>
  </r>
  <r>
    <s v="FS1018-CPM-ZZ-ZZ-D-A-3021"/>
    <s v="Internal Glazed Panel Elevations And Schedule"/>
    <x v="0"/>
    <s v="In Progress"/>
    <x v="1"/>
    <x v="1"/>
    <x v="1"/>
    <x v="1"/>
    <x v="0"/>
    <b v="0"/>
    <x v="390"/>
    <s v="FS1018-CPM-ZZ-ZZ-D-A-3021"/>
  </r>
  <r>
    <s v="FS1018-CPM-ZZ-ZZ-D-A-3055"/>
    <s v="Internal Doors Level 00 Sheet 06"/>
    <x v="0"/>
    <s v="In Progress"/>
    <x v="1"/>
    <x v="1"/>
    <x v="1"/>
    <x v="1"/>
    <x v="0"/>
    <b v="0"/>
    <x v="391"/>
    <s v="FS1018-CPM-ZZ-ZZ-D-A-3055"/>
  </r>
  <r>
    <s v="FS1018-CPM-ZZ-ZZ-D-A-3062"/>
    <s v="Window Schedule"/>
    <x v="0"/>
    <s v="In Progress"/>
    <x v="1"/>
    <x v="1"/>
    <x v="1"/>
    <x v="1"/>
    <x v="0"/>
    <b v="0"/>
    <x v="392"/>
    <s v="FS1018-CPM-ZZ-ZZ-D-A-3062"/>
  </r>
  <r>
    <s v="FS1018-CPM-ZZ-ZZ-D-A-4001"/>
    <s v="GA Wall Finishes Strategy"/>
    <x v="0"/>
    <s v="Completed"/>
    <x v="0"/>
    <x v="0"/>
    <x v="3"/>
    <x v="0"/>
    <x v="66"/>
    <b v="0"/>
    <x v="393"/>
    <s v="FS1018-CPM-ZZ-ZZ-D-A-4001"/>
  </r>
  <r>
    <s v="FS1018-CPM-ZZ-ZZ-D-A-4001"/>
    <s v="GA Wall Finishes Strategy"/>
    <x v="3"/>
    <s v="Completed"/>
    <x v="9"/>
    <x v="0"/>
    <x v="2"/>
    <x v="2"/>
    <x v="4"/>
    <b v="0"/>
    <x v="393"/>
    <s v="FS1018-CPM-ZZ-ZZ-D-A-4001"/>
  </r>
  <r>
    <s v="FS1018-CPM-ZZ-ZZ-D-A-4001"/>
    <s v="GA Wall Finishes Strategy"/>
    <x v="2"/>
    <s v="In Progress"/>
    <x v="1"/>
    <x v="1"/>
    <x v="1"/>
    <x v="1"/>
    <x v="0"/>
    <b v="0"/>
    <x v="393"/>
    <s v="FS1018-CPM-ZZ-ZZ-D-A-4001"/>
  </r>
  <r>
    <s v="FS1018-CPM-ZZ-ZZ-D-A-4004"/>
    <s v="GA Floor Finishes Strategy"/>
    <x v="0"/>
    <s v="Completed"/>
    <x v="0"/>
    <x v="0"/>
    <x v="3"/>
    <x v="0"/>
    <x v="67"/>
    <b v="0"/>
    <x v="394"/>
    <s v="FS1018-CPM-ZZ-ZZ-D-A-4004"/>
  </r>
  <r>
    <s v="FS1018-CPM-ZZ-ZZ-D-A-4004"/>
    <s v="GA Floor Finishes Strategy"/>
    <x v="3"/>
    <s v="Completed"/>
    <x v="9"/>
    <x v="0"/>
    <x v="2"/>
    <x v="2"/>
    <x v="4"/>
    <b v="0"/>
    <x v="394"/>
    <s v="FS1018-CPM-ZZ-ZZ-D-A-4004"/>
  </r>
  <r>
    <s v="FS1018-CPM-ZZ-ZZ-D-A-4004"/>
    <s v="GA Floor Finishes Strategy"/>
    <x v="2"/>
    <s v="In Progress"/>
    <x v="1"/>
    <x v="1"/>
    <x v="1"/>
    <x v="1"/>
    <x v="0"/>
    <b v="0"/>
    <x v="394"/>
    <s v="FS1018-CPM-ZZ-ZZ-D-A-4004"/>
  </r>
  <r>
    <s v="FS1018-CPM-ZZ-ZZ-D-A-4007"/>
    <s v="GA Ceiling Finishes Strategy"/>
    <x v="0"/>
    <s v="Completed"/>
    <x v="0"/>
    <x v="0"/>
    <x v="3"/>
    <x v="0"/>
    <x v="68"/>
    <b v="0"/>
    <x v="395"/>
    <s v="FS1018-CPM-ZZ-ZZ-D-A-4007"/>
  </r>
  <r>
    <s v="FS1018-CPM-ZZ-ZZ-D-A-4007"/>
    <s v="GA Ceiling Finishes Strategy"/>
    <x v="3"/>
    <s v="Completed"/>
    <x v="9"/>
    <x v="0"/>
    <x v="2"/>
    <x v="2"/>
    <x v="4"/>
    <b v="0"/>
    <x v="395"/>
    <s v="FS1018-CPM-ZZ-ZZ-D-A-4007"/>
  </r>
  <r>
    <s v="FS1018-CPM-ZZ-ZZ-D-A-6601"/>
    <s v="Lift Pit Details"/>
    <x v="0"/>
    <s v="In Progress"/>
    <x v="1"/>
    <x v="1"/>
    <x v="1"/>
    <x v="1"/>
    <x v="0"/>
    <b v="0"/>
    <x v="396"/>
    <s v="FS1018-CPM-ZZ-ZZ-D-A-6601"/>
  </r>
  <r>
    <s v="FS1018-CPM-ZZ-ZZ-D-A-6801"/>
    <s v="Room Elevations Assembly Dining Sheet 1"/>
    <x v="1"/>
    <s v="In Progress"/>
    <x v="1"/>
    <x v="1"/>
    <x v="1"/>
    <x v="1"/>
    <x v="0"/>
    <b v="1"/>
    <x v="397"/>
    <s v="FS1018-CPM-ZZ-ZZ-D-A-6801"/>
  </r>
  <r>
    <s v="FS1018-CPM-ZZ-ZZ-D-A-6802"/>
    <s v="Room Elevations Assembly Dining Sheet 2"/>
    <x v="0"/>
    <s v="In Progress"/>
    <x v="1"/>
    <x v="1"/>
    <x v="1"/>
    <x v="1"/>
    <x v="0"/>
    <b v="0"/>
    <x v="398"/>
    <s v="FS1018-CPM-ZZ-ZZ-D-A-6802"/>
  </r>
  <r>
    <s v="FS1018-CPM-ZZ-ZZ-D-A-6803"/>
    <s v="Room Elevations Sports Hall Sheet 1"/>
    <x v="1"/>
    <s v="In Progress"/>
    <x v="1"/>
    <x v="1"/>
    <x v="1"/>
    <x v="1"/>
    <x v="0"/>
    <b v="1"/>
    <x v="399"/>
    <s v="FS1018-CPM-ZZ-ZZ-D-A-6803"/>
  </r>
  <r>
    <s v="FS1018-CPM-ZZ-ZZ-D-A-6804"/>
    <s v="Room Elevations Sports Hall Sheet 2"/>
    <x v="0"/>
    <s v="In Progress"/>
    <x v="1"/>
    <x v="1"/>
    <x v="1"/>
    <x v="1"/>
    <x v="0"/>
    <b v="0"/>
    <x v="400"/>
    <s v="FS1018-CPM-ZZ-ZZ-D-A-6804"/>
  </r>
  <r>
    <s v="FS1018-CPM-ZZ-ZZ-D-A-6805"/>
    <s v="Room Elevations Sports Hall Sheet 3"/>
    <x v="0"/>
    <s v="In Progress"/>
    <x v="1"/>
    <x v="1"/>
    <x v="1"/>
    <x v="1"/>
    <x v="0"/>
    <b v="0"/>
    <x v="401"/>
    <s v="FS1018-CPM-ZZ-ZZ-D-A-6805"/>
  </r>
  <r>
    <s v="FS1018-CPM-ZZ-ZZ-D-A-6806"/>
    <s v="Room Elevations Sports Hall Acoustic Panel Set Out"/>
    <x v="0"/>
    <s v="In Progress"/>
    <x v="1"/>
    <x v="1"/>
    <x v="1"/>
    <x v="1"/>
    <x v="0"/>
    <b v="0"/>
    <x v="402"/>
    <s v="FS1018-CPM-ZZ-ZZ-D-A-6806"/>
  </r>
  <r>
    <s v="FS1018-CPM-ZZ-ZZ-D-A-6813"/>
    <s v="Room Elevations Pupil WC'S L01 And L02"/>
    <x v="0"/>
    <s v="In Progress"/>
    <x v="1"/>
    <x v="1"/>
    <x v="1"/>
    <x v="1"/>
    <x v="0"/>
    <b v="0"/>
    <x v="403"/>
    <s v="FS1018-CPM-ZZ-ZZ-D-A-6813"/>
  </r>
  <r>
    <s v="FS1018-CPM-ZZ-ZZ-L-A-0001"/>
    <s v="Clash Report"/>
    <x v="1"/>
    <s v="Completed"/>
    <x v="0"/>
    <x v="7"/>
    <x v="3"/>
    <x v="6"/>
    <x v="69"/>
    <b v="1"/>
    <x v="404"/>
    <s v="FS1018-CPM-ZZ-ZZ-L-A-0001"/>
  </r>
  <r>
    <s v="FS1018-CPM-ZZ-ZZ-L-A-0001"/>
    <s v="Clash Report"/>
    <x v="3"/>
    <s v="In Progress"/>
    <x v="1"/>
    <x v="1"/>
    <x v="1"/>
    <x v="1"/>
    <x v="0"/>
    <b v="0"/>
    <x v="404"/>
    <s v="FS1018-CPM-ZZ-ZZ-L-A-0001"/>
  </r>
  <r>
    <s v="FS1018-CPM-ZZ-ZZ-L-A-3060"/>
    <s v="Internal Door Schedule"/>
    <x v="0"/>
    <s v="In Progress"/>
    <x v="1"/>
    <x v="1"/>
    <x v="1"/>
    <x v="1"/>
    <x v="0"/>
    <b v="0"/>
    <x v="405"/>
    <s v="FS1018-CPM-ZZ-ZZ-L-A-3060"/>
  </r>
  <r>
    <s v="FS1018-CPM-ZZ-ZZ-L-A-3061"/>
    <s v="External Door Schedule"/>
    <x v="0"/>
    <s v="In Progress"/>
    <x v="1"/>
    <x v="1"/>
    <x v="1"/>
    <x v="1"/>
    <x v="0"/>
    <b v="0"/>
    <x v="406"/>
    <s v="FS1018-CPM-ZZ-ZZ-L-A-3061"/>
  </r>
  <r>
    <s v="FS1018-CPM-ZZ-ZZ-M-A-0002"/>
    <s v="Federated Model"/>
    <x v="1"/>
    <s v="Completed"/>
    <x v="0"/>
    <x v="7"/>
    <x v="3"/>
    <x v="6"/>
    <x v="70"/>
    <b v="1"/>
    <x v="407"/>
    <s v="FS1018-CPM-ZZ-ZZ-M-A-0002"/>
  </r>
  <r>
    <s v="FS1018-CPM-ZZ-ZZ-M-A-0002"/>
    <s v="Federated Model"/>
    <x v="3"/>
    <s v="In Progress"/>
    <x v="1"/>
    <x v="1"/>
    <x v="1"/>
    <x v="1"/>
    <x v="0"/>
    <b v="0"/>
    <x v="407"/>
    <s v="FS1018-CPM-ZZ-ZZ-M-A-0002"/>
  </r>
  <r>
    <s v="FS1018-CPM-ZZ-ZZ-M-A-0003"/>
    <s v="Building Model Navisworks"/>
    <x v="14"/>
    <s v="Completed"/>
    <x v="0"/>
    <x v="0"/>
    <x v="2"/>
    <x v="8"/>
    <x v="71"/>
    <b v="0"/>
    <x v="408"/>
    <s v="FS1018-CPM-ZZ-ZZ-M-A-0003"/>
  </r>
  <r>
    <s v="FS1018-CPM-ZZ-ZZ-M-A-0003"/>
    <s v="Building Model Navisworks"/>
    <x v="8"/>
    <s v="Completed"/>
    <x v="2"/>
    <x v="0"/>
    <x v="2"/>
    <x v="2"/>
    <x v="4"/>
    <b v="0"/>
    <x v="408"/>
    <s v="FS1018-CPM-ZZ-ZZ-M-A-0003"/>
  </r>
  <r>
    <s v="FS1018-CPM-ZZ-ZZ-M-A-0003"/>
    <s v="Architectural Model NWC"/>
    <x v="9"/>
    <s v="In Progress"/>
    <x v="1"/>
    <x v="1"/>
    <x v="1"/>
    <x v="1"/>
    <x v="0"/>
    <b v="0"/>
    <x v="409"/>
    <s v="FS1018-CPM-ZZ-ZZ-M-A-0003"/>
  </r>
  <r>
    <s v="FS1018-CPM-ZZ-ZZ-M-A-0004"/>
    <s v="Building Model IFC"/>
    <x v="14"/>
    <s v="Completed"/>
    <x v="0"/>
    <x v="0"/>
    <x v="2"/>
    <x v="8"/>
    <x v="72"/>
    <b v="0"/>
    <x v="410"/>
    <s v="FS1018-CPM-ZZ-ZZ-M-A-0004"/>
  </r>
  <r>
    <s v="FS1018-CPM-ZZ-ZZ-M-A-0004"/>
    <s v="Building Model IFC"/>
    <x v="8"/>
    <s v="Completed"/>
    <x v="2"/>
    <x v="0"/>
    <x v="2"/>
    <x v="2"/>
    <x v="4"/>
    <b v="0"/>
    <x v="410"/>
    <s v="FS1018-CPM-ZZ-ZZ-M-A-0004"/>
  </r>
  <r>
    <s v="FS1018-CPM-ZZ-ZZ-M-A-0004"/>
    <s v="Architectural Model IFC"/>
    <x v="9"/>
    <s v="In Progress"/>
    <x v="1"/>
    <x v="1"/>
    <x v="1"/>
    <x v="1"/>
    <x v="0"/>
    <b v="0"/>
    <x v="411"/>
    <s v="FS1018-CPM-ZZ-ZZ-M-A-0004"/>
  </r>
  <r>
    <s v="FS1018-CPM-ZZ-ZZ-M-A-0005"/>
    <s v="Building Model Revit"/>
    <x v="14"/>
    <s v="Completed"/>
    <x v="0"/>
    <x v="0"/>
    <x v="3"/>
    <x v="8"/>
    <x v="73"/>
    <b v="0"/>
    <x v="412"/>
    <s v="FS1018-CPM-ZZ-ZZ-M-A-0005"/>
  </r>
  <r>
    <s v="FS1018-CPM-ZZ-ZZ-M-A-0005"/>
    <s v="Building Model Revit"/>
    <x v="8"/>
    <s v="Completed"/>
    <x v="2"/>
    <x v="0"/>
    <x v="2"/>
    <x v="2"/>
    <x v="4"/>
    <b v="0"/>
    <x v="412"/>
    <s v="FS1018-CPM-ZZ-ZZ-M-A-0005"/>
  </r>
  <r>
    <s v="FS1018-CPM-ZZ-ZZ-M-A-0005"/>
    <s v="Architectural Model Revit"/>
    <x v="9"/>
    <s v="In Progress"/>
    <x v="1"/>
    <x v="1"/>
    <x v="1"/>
    <x v="1"/>
    <x v="0"/>
    <b v="0"/>
    <x v="413"/>
    <s v="FS1018-CPM-ZZ-ZZ-M-A-0005"/>
  </r>
  <r>
    <s v="FS1018-CPM-ZZ-ZZ-V-A-0001"/>
    <s v="Flythrough Video"/>
    <x v="0"/>
    <s v="Completed"/>
    <x v="12"/>
    <x v="0"/>
    <x v="3"/>
    <x v="0"/>
    <x v="74"/>
    <b v="0"/>
    <x v="414"/>
    <s v="FS1018-CPM-ZZ-ZZ-V-A-0001"/>
  </r>
  <r>
    <s v="FS1018-CPM-ZZ-ZZ-V-A-0001"/>
    <s v="Flythrough Video"/>
    <x v="1"/>
    <s v="Completed"/>
    <x v="2"/>
    <x v="0"/>
    <x v="2"/>
    <x v="2"/>
    <x v="4"/>
    <b v="1"/>
    <x v="414"/>
    <s v="FS1018-CPM-ZZ-ZZ-V-A-0001"/>
  </r>
  <r>
    <s v="FS1018-CPM-ZZ-ZZ-V-A-0001"/>
    <s v="External Flythrough Video"/>
    <x v="0"/>
    <s v="In Progress"/>
    <x v="5"/>
    <x v="1"/>
    <x v="1"/>
    <x v="1"/>
    <x v="0"/>
    <b v="0"/>
    <x v="415"/>
    <s v="FS1018-CPM-ZZ-ZZ-V-A-0001"/>
  </r>
  <r>
    <s v="FS1018-CPM-ZZ-ZZ-V-A-0002"/>
    <s v="Internal Flythrough Video"/>
    <x v="0"/>
    <s v="In Progress"/>
    <x v="5"/>
    <x v="1"/>
    <x v="1"/>
    <x v="1"/>
    <x v="0"/>
    <b v="0"/>
    <x v="416"/>
    <s v="FS1018-CPM-ZZ-ZZ-V-A-0002"/>
  </r>
  <r>
    <s v="FS1018-DSI-XX-XX-T-G-0001"/>
    <s v="GI Geo Environmental Assesment"/>
    <x v="0"/>
    <s v="Completed"/>
    <x v="2"/>
    <x v="8"/>
    <x v="2"/>
    <x v="2"/>
    <x v="4"/>
    <b v="0"/>
    <x v="417"/>
    <s v="FS1018-DSI-XX-XX-T-G-0001"/>
  </r>
  <r>
    <s v="FS1018-EVR-XX-XX-D-O-0001"/>
    <s v="Server Room Location"/>
    <x v="0"/>
    <s v="Completed"/>
    <x v="0"/>
    <x v="9"/>
    <x v="3"/>
    <x v="8"/>
    <x v="75"/>
    <b v="0"/>
    <x v="418"/>
    <s v="FS1018-EVR-XX-XX-D-O-0001"/>
  </r>
  <r>
    <s v="FS1018-EVR-XX-XX-D-O-0001"/>
    <s v="Server Room Location"/>
    <x v="1"/>
    <s v="Completed"/>
    <x v="2"/>
    <x v="9"/>
    <x v="2"/>
    <x v="2"/>
    <x v="4"/>
    <b v="1"/>
    <x v="418"/>
    <s v="FS1018-EVR-XX-XX-D-O-0001"/>
  </r>
  <r>
    <s v="FS1018-EVR-XX-XX-D-O-0001"/>
    <s v="Server Room Location"/>
    <x v="3"/>
    <s v="In Progress"/>
    <x v="1"/>
    <x v="1"/>
    <x v="1"/>
    <x v="1"/>
    <x v="0"/>
    <b v="0"/>
    <x v="418"/>
    <s v="FS1018-EVR-XX-XX-D-O-0001"/>
  </r>
  <r>
    <s v="FS1018-EVR-XX-XX-D-O-0002"/>
    <s v="ICT Plans"/>
    <x v="0"/>
    <s v="Completed"/>
    <x v="0"/>
    <x v="9"/>
    <x v="3"/>
    <x v="8"/>
    <x v="76"/>
    <b v="0"/>
    <x v="419"/>
    <s v="FS1018-EVR-XX-XX-D-O-0002"/>
  </r>
  <r>
    <s v="FS1018-EVR-XX-XX-D-O-0002"/>
    <s v="ICT Plans"/>
    <x v="1"/>
    <s v="Completed"/>
    <x v="2"/>
    <x v="9"/>
    <x v="2"/>
    <x v="2"/>
    <x v="4"/>
    <b v="1"/>
    <x v="419"/>
    <s v="FS1018-EVR-XX-XX-D-O-0002"/>
  </r>
  <r>
    <s v="FS1018-EVR-XX-XX-D-O-0002"/>
    <s v="ICT Plans"/>
    <x v="3"/>
    <s v="In Progress"/>
    <x v="1"/>
    <x v="1"/>
    <x v="1"/>
    <x v="1"/>
    <x v="0"/>
    <b v="0"/>
    <x v="419"/>
    <s v="FS1018-EVR-XX-XX-D-O-0002"/>
  </r>
  <r>
    <s v="FS1018-EVR-XX-XX-D-O-0003"/>
    <s v="Wireless Heat Maps"/>
    <x v="0"/>
    <s v="In Progress"/>
    <x v="1"/>
    <x v="1"/>
    <x v="1"/>
    <x v="1"/>
    <x v="0"/>
    <b v="0"/>
    <x v="420"/>
    <s v="FS1018-EVR-XX-XX-D-O-0003"/>
  </r>
  <r>
    <s v="FS1018-EVR-XX-XX-D-O-0004"/>
    <s v="Server Cabinet Layout"/>
    <x v="0"/>
    <s v="In Progress"/>
    <x v="1"/>
    <x v="1"/>
    <x v="1"/>
    <x v="1"/>
    <x v="0"/>
    <b v="0"/>
    <x v="421"/>
    <s v="FS1018-EVR-XX-XX-D-O-0004"/>
  </r>
  <r>
    <s v="FS1018-EVR-XX-XX-G-O-0001"/>
    <s v="ICT Network Diagrams"/>
    <x v="0"/>
    <s v="Completed"/>
    <x v="0"/>
    <x v="9"/>
    <x v="0"/>
    <x v="8"/>
    <x v="0"/>
    <b v="0"/>
    <x v="422"/>
    <s v="FS1018-EVR-XX-XX-G-O-0001"/>
  </r>
  <r>
    <s v="FS1018-EVR-XX-XX-G-O-0001"/>
    <s v="ICT Network Diagrams"/>
    <x v="1"/>
    <s v="In Progress"/>
    <x v="1"/>
    <x v="1"/>
    <x v="1"/>
    <x v="1"/>
    <x v="0"/>
    <b v="1"/>
    <x v="422"/>
    <s v="FS1018-EVR-XX-XX-G-O-0001"/>
  </r>
  <r>
    <s v="FS1018-EVR-XX-XX-L-O-0001"/>
    <s v="ICT Equipment List"/>
    <x v="0"/>
    <s v="Completed"/>
    <x v="0"/>
    <x v="9"/>
    <x v="3"/>
    <x v="8"/>
    <x v="77"/>
    <b v="0"/>
    <x v="423"/>
    <s v="FS1018-EVR-XX-XX-L-O-0001"/>
  </r>
  <r>
    <s v="FS1018-EVR-XX-XX-L-O-0001"/>
    <s v="ICT Equipment List"/>
    <x v="1"/>
    <s v="In Progress"/>
    <x v="1"/>
    <x v="1"/>
    <x v="1"/>
    <x v="1"/>
    <x v="0"/>
    <b v="1"/>
    <x v="423"/>
    <s v="FS1018-EVR-XX-XX-L-O-0001"/>
  </r>
  <r>
    <s v="FS1018-EVR-XX-XX-L-O-0002"/>
    <s v="ICT Cost Matrix"/>
    <x v="0"/>
    <s v="Completed"/>
    <x v="0"/>
    <x v="9"/>
    <x v="3"/>
    <x v="8"/>
    <x v="77"/>
    <b v="0"/>
    <x v="424"/>
    <s v="FS1018-EVR-XX-XX-L-O-0002"/>
  </r>
  <r>
    <s v="FS1018-EVR-XX-XX-L-O-0002"/>
    <s v="ICT Cost Matrix"/>
    <x v="1"/>
    <s v="In Progress"/>
    <x v="1"/>
    <x v="1"/>
    <x v="1"/>
    <x v="1"/>
    <x v="0"/>
    <b v="1"/>
    <x v="424"/>
    <s v="FS1018-EVR-XX-XX-L-O-0002"/>
  </r>
  <r>
    <s v="FS1018-EVR-XX-XX-L-O-0003"/>
    <s v="ICT Small Power and Data Schedule"/>
    <x v="0"/>
    <s v="In Progress"/>
    <x v="1"/>
    <x v="1"/>
    <x v="1"/>
    <x v="1"/>
    <x v="0"/>
    <b v="0"/>
    <x v="425"/>
    <s v="FS1018-EVR-XX-XX-L-O-0003"/>
  </r>
  <r>
    <s v="FS1018-EVR-XX-XX-L-O-0004"/>
    <s v="ICT Construction Programme"/>
    <x v="1"/>
    <s v="In Progress"/>
    <x v="1"/>
    <x v="1"/>
    <x v="1"/>
    <x v="1"/>
    <x v="0"/>
    <b v="1"/>
    <x v="426"/>
    <s v="FS1018-EVR-XX-XX-L-O-0004"/>
  </r>
  <r>
    <s v="FS1018-EVR-XX-XX-T-O-0001"/>
    <s v="ICT Decant Plan"/>
    <x v="0"/>
    <s v="Completed"/>
    <x v="2"/>
    <x v="9"/>
    <x v="2"/>
    <x v="2"/>
    <x v="4"/>
    <b v="0"/>
    <x v="427"/>
    <s v="FS1018-EVR-XX-XX-T-O-0001"/>
  </r>
  <r>
    <s v="FS1018-EVR-XX-XX-T-O-0002"/>
    <s v="ICT Calculations"/>
    <x v="0"/>
    <s v="In Progress"/>
    <x v="1"/>
    <x v="1"/>
    <x v="1"/>
    <x v="1"/>
    <x v="0"/>
    <b v="0"/>
    <x v="428"/>
    <s v="FS1018-EVR-XX-XX-T-O-0002"/>
  </r>
  <r>
    <s v="FS1018-EVR-XX-XX-T-O-0003"/>
    <s v="Draft ICT CPs"/>
    <x v="0"/>
    <s v="Completed"/>
    <x v="0"/>
    <x v="9"/>
    <x v="3"/>
    <x v="8"/>
    <x v="78"/>
    <b v="0"/>
    <x v="429"/>
    <s v="FS1018-EVR-XX-XX-T-O-0003"/>
  </r>
  <r>
    <s v="FS1018-EVR-XX-XX-T-O-0004"/>
    <s v="ICT Contractor's Proposals"/>
    <x v="0"/>
    <s v="In Progress"/>
    <x v="1"/>
    <x v="1"/>
    <x v="1"/>
    <x v="1"/>
    <x v="0"/>
    <b v="0"/>
    <x v="430"/>
    <s v="FS1018-EVR-XX-XX-T-O-0004"/>
  </r>
  <r>
    <s v="FS1018-EVR-XX-XX-T-O-0005"/>
    <s v="Post Award ICT Meetings (PAM) Agendas"/>
    <x v="0"/>
    <s v="In Progress"/>
    <x v="1"/>
    <x v="1"/>
    <x v="1"/>
    <x v="1"/>
    <x v="0"/>
    <b v="0"/>
    <x v="431"/>
    <s v="FS1018-EVR-XX-XX-T-O-0005"/>
  </r>
  <r>
    <s v="FS1018-EVR-XX-XX-T-O-0006"/>
    <s v="User Acceptance Testing (UAT) Schedule"/>
    <x v="0"/>
    <s v="In Progress"/>
    <x v="1"/>
    <x v="1"/>
    <x v="1"/>
    <x v="1"/>
    <x v="0"/>
    <b v="0"/>
    <x v="432"/>
    <s v="FS1018-EVR-XX-XX-T-O-0006"/>
  </r>
  <r>
    <s v="FS1018-EVR-XX-XX-T-O-0007"/>
    <s v="Post Award ICT Meetings (PAM) Minutes"/>
    <x v="0"/>
    <s v="In Progress"/>
    <x v="1"/>
    <x v="1"/>
    <x v="1"/>
    <x v="1"/>
    <x v="0"/>
    <b v="0"/>
    <x v="433"/>
    <s v="FS1018-EVR-XX-XX-T-O-0007"/>
  </r>
  <r>
    <s v="FS1018-GLE-XX-XX-T-Z-0001"/>
    <s v="PV System Calculation"/>
    <x v="3"/>
    <s v="Completed"/>
    <x v="4"/>
    <x v="2"/>
    <x v="2"/>
    <x v="2"/>
    <x v="4"/>
    <b v="0"/>
    <x v="434"/>
    <s v="FS1018-GLE-XX-XX-T-Z-0001"/>
  </r>
  <r>
    <s v="FS1018-HBC-XX-XX-D-R-9999"/>
    <s v="DfE Wisbech - Blank TEST Document"/>
    <x v="0"/>
    <s v="Completed"/>
    <x v="13"/>
    <x v="10"/>
    <x v="4"/>
    <x v="10"/>
    <x v="79"/>
    <b v="0"/>
    <x v="435"/>
    <s v="FS1018-HBC-XX-XX-D-R-9999"/>
  </r>
  <r>
    <s v="FS1018-HBC-XX-XX-D-R-9999"/>
    <s v="DfE Wisbech - Blank TEST Document"/>
    <x v="1"/>
    <s v="Completed"/>
    <x v="14"/>
    <x v="10"/>
    <x v="5"/>
    <x v="6"/>
    <x v="80"/>
    <b v="1"/>
    <x v="435"/>
    <s v="FS1018-HBC-XX-XX-D-R-9999"/>
  </r>
  <r>
    <s v="FS1018-HBC-XX-XX-D-X-0001"/>
    <s v="Site Set Up Plan"/>
    <x v="0"/>
    <s v="Completed"/>
    <x v="10"/>
    <x v="7"/>
    <x v="2"/>
    <x v="6"/>
    <x v="81"/>
    <b v="0"/>
    <x v="436"/>
    <s v="FS1018-HBC-XX-XX-D-X-0001"/>
  </r>
  <r>
    <s v="FS1018-HBC-XX-XX-D-X-0001"/>
    <s v="Site Construction Plan"/>
    <x v="0"/>
    <s v="In Progress"/>
    <x v="15"/>
    <x v="11"/>
    <x v="1"/>
    <x v="1"/>
    <x v="0"/>
    <b v="0"/>
    <x v="437"/>
    <s v="FS1018-HBC-XX-XX-D-X-0001"/>
  </r>
  <r>
    <s v="FS1018-HBC-XX-XX-D-X-0001"/>
    <s v="Site Construction Plan"/>
    <x v="0"/>
    <s v="In Progress"/>
    <x v="1"/>
    <x v="1"/>
    <x v="3"/>
    <x v="11"/>
    <x v="82"/>
    <b v="0"/>
    <x v="437"/>
    <s v="FS1018-HBC-XX-XX-D-X-0001"/>
  </r>
  <r>
    <s v="FS1018-HBC-XX-XX-D-X-0002"/>
    <s v="Site Phasing Plan"/>
    <x v="0"/>
    <s v="Completed"/>
    <x v="0"/>
    <x v="7"/>
    <x v="3"/>
    <x v="0"/>
    <x v="83"/>
    <b v="0"/>
    <x v="438"/>
    <s v="FS1018-HBC-XX-XX-D-X-0002"/>
  </r>
  <r>
    <s v="FS1018-HBC-XX-XX-D-X-0002"/>
    <s v="Site Phasing Plan"/>
    <x v="0"/>
    <s v="Completed"/>
    <x v="16"/>
    <x v="7"/>
    <x v="0"/>
    <x v="9"/>
    <x v="0"/>
    <b v="0"/>
    <x v="438"/>
    <s v="FS1018-HBC-XX-XX-D-X-0002"/>
  </r>
  <r>
    <s v="FS1018-HBC-XX-XX-D-X-0002"/>
    <s v="Site Phasing Plan"/>
    <x v="1"/>
    <s v="Completed"/>
    <x v="9"/>
    <x v="7"/>
    <x v="2"/>
    <x v="2"/>
    <x v="4"/>
    <b v="1"/>
    <x v="438"/>
    <s v="FS1018-HBC-XX-XX-D-X-0002"/>
  </r>
  <r>
    <s v="FS1018-HBC-XX-XX-D-X-0003"/>
    <s v="Site Set Up Plan Phase 1"/>
    <x v="0"/>
    <s v="Completed"/>
    <x v="16"/>
    <x v="7"/>
    <x v="0"/>
    <x v="9"/>
    <x v="0"/>
    <b v="0"/>
    <x v="439"/>
    <s v="FS1018-HBC-XX-XX-D-X-0003"/>
  </r>
  <r>
    <s v="FS1018-HBC-XX-XX-D-X-0003"/>
    <s v="Phase1"/>
    <x v="1"/>
    <s v="Completed"/>
    <x v="9"/>
    <x v="7"/>
    <x v="2"/>
    <x v="2"/>
    <x v="4"/>
    <b v="1"/>
    <x v="440"/>
    <s v="FS1018-HBC-XX-XX-D-X-0003"/>
  </r>
  <r>
    <s v="FS1018-HBC-XX-XX-D-X-0003"/>
    <s v="Site Set Up Plan Phase 1"/>
    <x v="1"/>
    <s v="Completed"/>
    <x v="1"/>
    <x v="1"/>
    <x v="6"/>
    <x v="11"/>
    <x v="84"/>
    <b v="1"/>
    <x v="439"/>
    <s v="FS1018-HBC-XX-XX-D-X-0003"/>
  </r>
  <r>
    <s v="FS1018-HBC-XX-XX-D-X-0004"/>
    <s v="Site Set Up Plan Phase 2"/>
    <x v="0"/>
    <s v="Completed"/>
    <x v="16"/>
    <x v="7"/>
    <x v="0"/>
    <x v="9"/>
    <x v="0"/>
    <b v="0"/>
    <x v="441"/>
    <s v="FS1018-HBC-XX-XX-D-X-0004"/>
  </r>
  <r>
    <s v="FS1018-HBC-XX-XX-D-X-0004"/>
    <s v="Phase2"/>
    <x v="1"/>
    <s v="Completed"/>
    <x v="9"/>
    <x v="7"/>
    <x v="2"/>
    <x v="2"/>
    <x v="4"/>
    <b v="1"/>
    <x v="442"/>
    <s v="FS1018-HBC-XX-XX-D-X-0004"/>
  </r>
  <r>
    <s v="FS1018-HBC-XX-XX-D-X-0004"/>
    <s v="Site Set Up Plan Phase 2 Section 1"/>
    <x v="1"/>
    <s v="In Progress"/>
    <x v="15"/>
    <x v="11"/>
    <x v="1"/>
    <x v="1"/>
    <x v="0"/>
    <b v="1"/>
    <x v="443"/>
    <s v="FS1018-HBC-XX-XX-D-X-0004"/>
  </r>
  <r>
    <s v="FS1018-HBC-XX-XX-D-X-0004"/>
    <s v="Site Set Up Plan Phase 2 Section 1"/>
    <x v="1"/>
    <s v="In Progress"/>
    <x v="1"/>
    <x v="1"/>
    <x v="7"/>
    <x v="11"/>
    <x v="85"/>
    <b v="1"/>
    <x v="443"/>
    <s v="FS1018-HBC-XX-XX-D-X-0004"/>
  </r>
  <r>
    <s v="FS1018-HBC-XX-XX-D-X-0005"/>
    <s v="Roof Plan PV Annotations Mark up"/>
    <x v="0"/>
    <s v="Completed"/>
    <x v="4"/>
    <x v="2"/>
    <x v="2"/>
    <x v="2"/>
    <x v="4"/>
    <b v="0"/>
    <x v="444"/>
    <s v="FS1018-HBC-XX-XX-D-X-0005"/>
  </r>
  <r>
    <s v="FS1018-HBC-XX-XX-D-X-0005"/>
    <s v="Site Set Up Plan Phase 2 Section 2"/>
    <x v="0"/>
    <s v="In Progress"/>
    <x v="15"/>
    <x v="11"/>
    <x v="1"/>
    <x v="1"/>
    <x v="0"/>
    <b v="0"/>
    <x v="445"/>
    <s v="FS1018-HBC-XX-XX-D-X-0005"/>
  </r>
  <r>
    <s v="FS1018-HBC-XX-XX-D-X-0005"/>
    <s v="Site Set Up Plan Phase 2 Section 2"/>
    <x v="0"/>
    <s v="In Progress"/>
    <x v="1"/>
    <x v="1"/>
    <x v="7"/>
    <x v="11"/>
    <x v="86"/>
    <b v="0"/>
    <x v="445"/>
    <s v="FS1018-HBC-XX-XX-D-X-0005"/>
  </r>
  <r>
    <s v="FS1018-HBC-XX-XX-D-X-0006"/>
    <s v="Site Set Up Plan Phase 3"/>
    <x v="0"/>
    <s v="In Progress"/>
    <x v="15"/>
    <x v="11"/>
    <x v="1"/>
    <x v="1"/>
    <x v="0"/>
    <b v="0"/>
    <x v="446"/>
    <s v="FS1018-HBC-XX-XX-D-X-0006"/>
  </r>
  <r>
    <s v="FS1018-HBC-XX-XX-D-X-0006"/>
    <s v="Site Set Up Plan Phase 3"/>
    <x v="0"/>
    <s v="In Progress"/>
    <x v="1"/>
    <x v="1"/>
    <x v="7"/>
    <x v="11"/>
    <x v="87"/>
    <b v="0"/>
    <x v="446"/>
    <s v="FS1018-HBC-XX-XX-D-X-0006"/>
  </r>
  <r>
    <s v="FS1018-HBC-XX-XX-L-X-0001"/>
    <s v="MIDP"/>
    <x v="14"/>
    <s v="Completed"/>
    <x v="17"/>
    <x v="7"/>
    <x v="2"/>
    <x v="12"/>
    <x v="88"/>
    <b v="0"/>
    <x v="447"/>
    <s v="FS1018-HBC-XX-XX-L-X-0001"/>
  </r>
  <r>
    <s v="FS1018-HBC-XX-XX-L-X-0001"/>
    <s v="MIDP"/>
    <x v="15"/>
    <s v="Completed"/>
    <x v="18"/>
    <x v="2"/>
    <x v="3"/>
    <x v="13"/>
    <x v="89"/>
    <b v="0"/>
    <x v="447"/>
    <s v="FS1018-HBC-XX-XX-L-X-0001"/>
  </r>
  <r>
    <s v="FS1018-HBC-XX-XX-L-X-0001"/>
    <s v="MIDP"/>
    <x v="8"/>
    <s v="Completed"/>
    <x v="4"/>
    <x v="2"/>
    <x v="2"/>
    <x v="2"/>
    <x v="4"/>
    <b v="0"/>
    <x v="447"/>
    <s v="FS1018-HBC-XX-XX-L-X-0001"/>
  </r>
  <r>
    <s v="FS1018-HBC-XX-XX-L-X-0001"/>
    <s v="MIDP"/>
    <x v="4"/>
    <s v="In Progress"/>
    <x v="1"/>
    <x v="1"/>
    <x v="1"/>
    <x v="1"/>
    <x v="0"/>
    <b v="0"/>
    <x v="447"/>
    <s v="FS1018-HBC-XX-XX-L-X-0001"/>
  </r>
  <r>
    <s v="FS1018-HBC-XX-XX-L-X-0003"/>
    <s v="Design Programme"/>
    <x v="0"/>
    <s v="Completed"/>
    <x v="0"/>
    <x v="7"/>
    <x v="2"/>
    <x v="0"/>
    <x v="90"/>
    <b v="0"/>
    <x v="448"/>
    <s v="FS1018-HBC-XX-XX-L-X-0003"/>
  </r>
  <r>
    <s v="FS1018-HBC-XX-XX-L-X-0003"/>
    <s v="Design Programme"/>
    <x v="1"/>
    <s v="Completed"/>
    <x v="9"/>
    <x v="7"/>
    <x v="2"/>
    <x v="2"/>
    <x v="4"/>
    <b v="1"/>
    <x v="448"/>
    <s v="FS1018-HBC-XX-XX-L-X-0003"/>
  </r>
  <r>
    <s v="FS1018-HBC-XX-XX-L-X-0003"/>
    <s v="Design Programme"/>
    <x v="1"/>
    <s v="In Progress"/>
    <x v="15"/>
    <x v="11"/>
    <x v="1"/>
    <x v="1"/>
    <x v="0"/>
    <b v="1"/>
    <x v="448"/>
    <s v="FS1018-HBC-XX-XX-L-X-0003"/>
  </r>
  <r>
    <s v="FS1018-HBC-XX-XX-L-X-0003"/>
    <s v="Design Programme"/>
    <x v="1"/>
    <s v="In Progress"/>
    <x v="1"/>
    <x v="1"/>
    <x v="7"/>
    <x v="11"/>
    <x v="91"/>
    <b v="1"/>
    <x v="448"/>
    <s v="FS1018-HBC-XX-XX-L-X-0003"/>
  </r>
  <r>
    <s v="FS1018-HBC-XX-XX-L-X-0004"/>
    <s v="Construction Programme"/>
    <x v="0"/>
    <s v="Completed"/>
    <x v="0"/>
    <x v="7"/>
    <x v="2"/>
    <x v="0"/>
    <x v="92"/>
    <b v="0"/>
    <x v="449"/>
    <s v="FS1018-HBC-XX-XX-L-X-0004"/>
  </r>
  <r>
    <s v="FS1018-HBC-XX-XX-L-X-0004"/>
    <s v="Construction Programme"/>
    <x v="1"/>
    <s v="Completed"/>
    <x v="9"/>
    <x v="7"/>
    <x v="2"/>
    <x v="2"/>
    <x v="4"/>
    <b v="1"/>
    <x v="449"/>
    <s v="FS1018-HBC-XX-XX-L-X-0004"/>
  </r>
  <r>
    <s v="FS1018-HBC-XX-XX-L-X-0004"/>
    <s v="Construction Programme"/>
    <x v="1"/>
    <s v="In Progress"/>
    <x v="15"/>
    <x v="11"/>
    <x v="1"/>
    <x v="1"/>
    <x v="0"/>
    <b v="1"/>
    <x v="449"/>
    <s v="FS1018-HBC-XX-XX-L-X-0004"/>
  </r>
  <r>
    <s v="FS1018-HBC-XX-XX-L-X-0004"/>
    <s v="Construction Programme"/>
    <x v="1"/>
    <s v="In Progress"/>
    <x v="1"/>
    <x v="1"/>
    <x v="7"/>
    <x v="11"/>
    <x v="93"/>
    <b v="1"/>
    <x v="449"/>
    <s v="FS1018-HBC-XX-XX-L-X-0004"/>
  </r>
  <r>
    <s v="FS1018-HBC-XX-XX-L-X-0005"/>
    <s v="Master Programme"/>
    <x v="0"/>
    <s v="Completed"/>
    <x v="0"/>
    <x v="7"/>
    <x v="2"/>
    <x v="0"/>
    <x v="94"/>
    <b v="0"/>
    <x v="450"/>
    <s v="FS1018-HBC-XX-XX-L-X-0005"/>
  </r>
  <r>
    <s v="FS1018-HBC-XX-XX-L-X-0005"/>
    <s v="Master Programme"/>
    <x v="1"/>
    <s v="Completed"/>
    <x v="9"/>
    <x v="7"/>
    <x v="2"/>
    <x v="2"/>
    <x v="4"/>
    <b v="1"/>
    <x v="450"/>
    <s v="FS1018-HBC-XX-XX-L-X-0005"/>
  </r>
  <r>
    <s v="FS1018-HBC-XX-XX-L-X-0005"/>
    <s v="Master Programme"/>
    <x v="1"/>
    <s v="In Progress"/>
    <x v="15"/>
    <x v="11"/>
    <x v="1"/>
    <x v="1"/>
    <x v="0"/>
    <b v="1"/>
    <x v="450"/>
    <s v="FS1018-HBC-XX-XX-L-X-0005"/>
  </r>
  <r>
    <s v="FS1018-HBC-XX-XX-L-X-0005"/>
    <s v="Master Programme"/>
    <x v="1"/>
    <s v="In Progress"/>
    <x v="1"/>
    <x v="1"/>
    <x v="7"/>
    <x v="11"/>
    <x v="95"/>
    <b v="1"/>
    <x v="450"/>
    <s v="FS1018-HBC-XX-XX-L-X-0005"/>
  </r>
  <r>
    <s v="FS1018-HBC-XX-XX-L-X-0006"/>
    <s v="Work Package Procurement Plan"/>
    <x v="0"/>
    <s v="Completed"/>
    <x v="0"/>
    <x v="7"/>
    <x v="0"/>
    <x v="0"/>
    <x v="0"/>
    <b v="0"/>
    <x v="451"/>
    <s v="FS1018-HBC-XX-XX-L-X-0006"/>
  </r>
  <r>
    <s v="FS1018-HBC-XX-XX-L-X-0006"/>
    <s v="Work Package Procurement Plan"/>
    <x v="1"/>
    <s v="Completed"/>
    <x v="19"/>
    <x v="7"/>
    <x v="0"/>
    <x v="14"/>
    <x v="0"/>
    <b v="1"/>
    <x v="451"/>
    <s v="FS1018-HBC-XX-XX-L-X-0006"/>
  </r>
  <r>
    <s v="FS1018-HBC-XX-XX-L-X-0006"/>
    <s v="Works Package Procurement Programme"/>
    <x v="1"/>
    <s v="In Progress"/>
    <x v="1"/>
    <x v="1"/>
    <x v="1"/>
    <x v="1"/>
    <x v="0"/>
    <b v="1"/>
    <x v="452"/>
    <s v="FS1018-HBC-XX-XX-L-X-0006"/>
  </r>
  <r>
    <s v="FS1018-HBC-XX-XX-L-X-0007"/>
    <s v="Risk Register"/>
    <x v="0"/>
    <s v="Completed"/>
    <x v="0"/>
    <x v="7"/>
    <x v="2"/>
    <x v="0"/>
    <x v="96"/>
    <b v="0"/>
    <x v="453"/>
    <s v="FS1018-HBC-XX-XX-L-X-0007"/>
  </r>
  <r>
    <s v="FS1018-HBC-XX-XX-L-X-0007"/>
    <s v="Risk Register"/>
    <x v="1"/>
    <s v="Completed"/>
    <x v="4"/>
    <x v="2"/>
    <x v="2"/>
    <x v="2"/>
    <x v="4"/>
    <b v="1"/>
    <x v="453"/>
    <s v="FS1018-HBC-XX-XX-L-X-0007"/>
  </r>
  <r>
    <s v="FS1018-HBC-XX-XX-L-X-0007"/>
    <s v="Risk Register"/>
    <x v="1"/>
    <s v="In Progress"/>
    <x v="15"/>
    <x v="11"/>
    <x v="1"/>
    <x v="1"/>
    <x v="0"/>
    <b v="1"/>
    <x v="453"/>
    <s v="FS1018-HBC-XX-XX-L-X-0007"/>
  </r>
  <r>
    <s v="FS1018-HBC-XX-XX-L-X-0007"/>
    <s v="Risk Register"/>
    <x v="1"/>
    <s v="In Progress"/>
    <x v="1"/>
    <x v="1"/>
    <x v="7"/>
    <x v="11"/>
    <x v="97"/>
    <b v="1"/>
    <x v="453"/>
    <s v="FS1018-HBC-XX-XX-L-X-0007"/>
  </r>
  <r>
    <s v="FS1018-HBC-XX-XX-L-X-0008"/>
    <s v="PCSA"/>
    <x v="0"/>
    <s v="Completed"/>
    <x v="0"/>
    <x v="7"/>
    <x v="0"/>
    <x v="0"/>
    <x v="0"/>
    <b v="0"/>
    <x v="454"/>
    <s v="FS1018-HBC-XX-XX-L-X-0008"/>
  </r>
  <r>
    <s v="FS1018-HBC-XX-XX-L-X-0009"/>
    <s v="PCSA Milestone Schedule"/>
    <x v="0"/>
    <s v="Completed"/>
    <x v="0"/>
    <x v="7"/>
    <x v="0"/>
    <x v="0"/>
    <x v="0"/>
    <b v="0"/>
    <x v="455"/>
    <s v="FS1018-HBC-XX-XX-L-X-0009"/>
  </r>
  <r>
    <s v="FS1018-HBC-XX-XX-L-X-0010"/>
    <s v="PCSA Certificate Of Completion"/>
    <x v="0"/>
    <s v="Completed"/>
    <x v="0"/>
    <x v="7"/>
    <x v="0"/>
    <x v="0"/>
    <x v="0"/>
    <b v="0"/>
    <x v="456"/>
    <s v="FS1018-HBC-XX-XX-L-X-0010"/>
  </r>
  <r>
    <s v="FS1018-HBC-XX-XX-L-X-0011"/>
    <s v="Cashflow Forecast"/>
    <x v="0"/>
    <s v="Completed"/>
    <x v="0"/>
    <x v="7"/>
    <x v="0"/>
    <x v="0"/>
    <x v="0"/>
    <b v="0"/>
    <x v="457"/>
    <s v="FS1018-HBC-XX-XX-L-X-0011"/>
  </r>
  <r>
    <s v="FS1018-HBC-XX-XX-L-X-0012"/>
    <s v="Framewok Pricing Schedule"/>
    <x v="0"/>
    <s v="Completed"/>
    <x v="0"/>
    <x v="7"/>
    <x v="3"/>
    <x v="0"/>
    <x v="98"/>
    <b v="0"/>
    <x v="458"/>
    <s v="FS1018-HBC-XX-XX-L-X-0012"/>
  </r>
  <r>
    <s v="FS1018-HBC-XX-XX-L-X-0013"/>
    <s v="KPI Key Performance Indicator"/>
    <x v="0"/>
    <s v="Completed"/>
    <x v="0"/>
    <x v="7"/>
    <x v="0"/>
    <x v="0"/>
    <x v="0"/>
    <b v="0"/>
    <x v="459"/>
    <s v="FS1018-HBC-XX-XX-L-X-0013"/>
  </r>
  <r>
    <s v="FS1018-HBC-XX-XX-L-X-0013"/>
    <s v="DFE KPIs"/>
    <x v="1"/>
    <s v="In Progress"/>
    <x v="1"/>
    <x v="1"/>
    <x v="1"/>
    <x v="1"/>
    <x v="0"/>
    <b v="1"/>
    <x v="460"/>
    <s v="FS1018-HBC-XX-XX-L-X-0013"/>
  </r>
  <r>
    <s v="FS1018-HBC-XX-XX-L-X-0014"/>
    <s v="Supplier Directory CV"/>
    <x v="0"/>
    <s v="Completed"/>
    <x v="0"/>
    <x v="7"/>
    <x v="3"/>
    <x v="0"/>
    <x v="99"/>
    <b v="0"/>
    <x v="461"/>
    <s v="FS1018-HBC-XX-XX-L-X-0014"/>
  </r>
  <r>
    <s v="FS1018-HBC-XX-XX-L-X-0014"/>
    <s v="Supplier Directory CV"/>
    <x v="3"/>
    <s v="In Progress"/>
    <x v="1"/>
    <x v="1"/>
    <x v="1"/>
    <x v="1"/>
    <x v="0"/>
    <b v="0"/>
    <x v="461"/>
    <s v="FS1018-HBC-XX-XX-L-X-0014"/>
  </r>
  <r>
    <s v="FS1018-HBC-XX-XX-L-X-0015"/>
    <s v="Supplier Directory Organisation Chart"/>
    <x v="0"/>
    <s v="Completed"/>
    <x v="0"/>
    <x v="7"/>
    <x v="3"/>
    <x v="0"/>
    <x v="100"/>
    <b v="0"/>
    <x v="462"/>
    <s v="FS1018-HBC-XX-XX-L-X-0015"/>
  </r>
  <r>
    <s v="FS1018-HBC-XX-XX-L-X-0016"/>
    <s v="Handover Training Plan"/>
    <x v="0"/>
    <s v="Completed"/>
    <x v="0"/>
    <x v="7"/>
    <x v="0"/>
    <x v="0"/>
    <x v="0"/>
    <b v="0"/>
    <x v="463"/>
    <s v="FS1018-HBC-XX-XX-L-X-0016"/>
  </r>
  <r>
    <s v="FS1018-HBC-XX-XX-L-X-0016"/>
    <s v="Handover Training Plan"/>
    <x v="1"/>
    <s v="In Progress"/>
    <x v="1"/>
    <x v="1"/>
    <x v="1"/>
    <x v="1"/>
    <x v="0"/>
    <b v="1"/>
    <x v="463"/>
    <s v="FS1018-HBC-XX-XX-L-X-0016"/>
  </r>
  <r>
    <s v="FS1018-HBC-XX-XX-L-X-0017"/>
    <s v="Supplier Chain Directory"/>
    <x v="0"/>
    <s v="Completed"/>
    <x v="19"/>
    <x v="7"/>
    <x v="0"/>
    <x v="14"/>
    <x v="0"/>
    <b v="0"/>
    <x v="464"/>
    <s v="FS1018-HBC-XX-XX-L-X-0017"/>
  </r>
  <r>
    <s v="FS1018-HBC-XX-XX-L-X-0018"/>
    <s v="HB Social Value KPIs"/>
    <x v="1"/>
    <s v="In Progress"/>
    <x v="1"/>
    <x v="1"/>
    <x v="1"/>
    <x v="1"/>
    <x v="0"/>
    <b v="1"/>
    <x v="465"/>
    <s v="FS1018-HBC-XX-XX-L-X-0018"/>
  </r>
  <r>
    <s v="FS1018-HBC-XX-XX-L-X-0019"/>
    <s v="Site Organisation Chart"/>
    <x v="0"/>
    <s v="In Progress"/>
    <x v="1"/>
    <x v="1"/>
    <x v="1"/>
    <x v="1"/>
    <x v="0"/>
    <b v="0"/>
    <x v="466"/>
    <s v="FS1018-HBC-XX-XX-L-X-0019"/>
  </r>
  <r>
    <s v="FS1018-HBC-XX-XX-L-X-0020"/>
    <s v="Commissioning Programme"/>
    <x v="0"/>
    <s v="In Progress"/>
    <x v="1"/>
    <x v="1"/>
    <x v="1"/>
    <x v="1"/>
    <x v="0"/>
    <b v="0"/>
    <x v="467"/>
    <s v="FS1018-HBC-XX-XX-L-X-0020"/>
  </r>
  <r>
    <s v="FS1018-HBC-XX-XX-L-X-1001"/>
    <s v="Quality Management Plan"/>
    <x v="0"/>
    <s v="Completed"/>
    <x v="0"/>
    <x v="12"/>
    <x v="0"/>
    <x v="6"/>
    <x v="0"/>
    <b v="0"/>
    <x v="468"/>
    <s v="FS1018-HBC-XX-XX-L-X-1001"/>
  </r>
  <r>
    <s v="FS1018-HBC-XX-XX-L-X-1001"/>
    <s v="Quality Management Plan"/>
    <x v="1"/>
    <s v="In Progress"/>
    <x v="1"/>
    <x v="1"/>
    <x v="1"/>
    <x v="1"/>
    <x v="0"/>
    <b v="1"/>
    <x v="468"/>
    <s v="FS1018-HBC-XX-XX-L-X-1001"/>
  </r>
  <r>
    <s v="FS1018-HBC-XX-XX-L-X-1002"/>
    <s v="Sustainable Estate Strategy"/>
    <x v="1"/>
    <s v="Completed"/>
    <x v="0"/>
    <x v="12"/>
    <x v="0"/>
    <x v="3"/>
    <x v="0"/>
    <b v="1"/>
    <x v="469"/>
    <s v="FS1018-HBC-XX-XX-L-X-1002"/>
  </r>
  <r>
    <s v="FS1018-HBC-XX-XX-L-X-1002"/>
    <s v="Sustainable Estate Strategy"/>
    <x v="3"/>
    <s v="In Progress"/>
    <x v="1"/>
    <x v="1"/>
    <x v="1"/>
    <x v="1"/>
    <x v="0"/>
    <b v="0"/>
    <x v="469"/>
    <s v="FS1018-HBC-XX-XX-L-X-1002"/>
  </r>
  <r>
    <s v="FS1018-HBC-XX-XX-L-X-1003"/>
    <s v="Lift Specification"/>
    <x v="0"/>
    <s v="Completed"/>
    <x v="0"/>
    <x v="7"/>
    <x v="0"/>
    <x v="3"/>
    <x v="0"/>
    <b v="0"/>
    <x v="470"/>
    <s v="FS1018-HBC-XX-XX-L-X-1003"/>
  </r>
  <r>
    <s v="FS1018-HBC-XX-XX-L-X-1003"/>
    <s v="Lift Specification"/>
    <x v="0"/>
    <s v="In Progress"/>
    <x v="1"/>
    <x v="1"/>
    <x v="3"/>
    <x v="15"/>
    <x v="101"/>
    <b v="0"/>
    <x v="470"/>
    <s v="FS1018-HBC-XX-XX-L-X-1003"/>
  </r>
  <r>
    <s v="FS1018-HBC-XX-XX-L-X-1003"/>
    <s v="Lift Specification"/>
    <x v="0"/>
    <s v="In Progress"/>
    <x v="20"/>
    <x v="11"/>
    <x v="1"/>
    <x v="1"/>
    <x v="0"/>
    <b v="0"/>
    <x v="470"/>
    <s v="FS1018-HBC-XX-XX-L-X-1003"/>
  </r>
  <r>
    <s v="FS1018-HBC-XX-XX-L-X-1004"/>
    <s v="Project Execution Plan"/>
    <x v="0"/>
    <s v="Completed"/>
    <x v="21"/>
    <x v="7"/>
    <x v="0"/>
    <x v="6"/>
    <x v="0"/>
    <b v="0"/>
    <x v="471"/>
    <s v="FS1018-HBC-XX-XX-L-X-1004"/>
  </r>
  <r>
    <s v="FS1018-HBC-XX-XX-L-X-1004"/>
    <s v="Project Execution Plan"/>
    <x v="1"/>
    <s v="In Progress"/>
    <x v="1"/>
    <x v="1"/>
    <x v="1"/>
    <x v="1"/>
    <x v="0"/>
    <b v="1"/>
    <x v="471"/>
    <s v="FS1018-HBC-XX-XX-L-X-1004"/>
  </r>
  <r>
    <s v="FS1018-HBC-XX-XX-L-X-2003"/>
    <s v="HB Workflow Comment Tracker"/>
    <x v="0"/>
    <s v="Completed"/>
    <x v="19"/>
    <x v="7"/>
    <x v="0"/>
    <x v="14"/>
    <x v="0"/>
    <b v="0"/>
    <x v="472"/>
    <s v="FS1018-HBC-XX-XX-L-X-2003"/>
  </r>
  <r>
    <s v="FS1018-HBC-XX-XX-L-X-3000"/>
    <s v="Derogations Schedule"/>
    <x v="2"/>
    <s v="Completed"/>
    <x v="4"/>
    <x v="2"/>
    <x v="2"/>
    <x v="2"/>
    <x v="4"/>
    <b v="0"/>
    <x v="473"/>
    <s v="FS1018-HBC-XX-XX-L-X-3000"/>
  </r>
  <r>
    <s v="FS1018-HBC-XX-XX-L-X-3000"/>
    <s v="Derogations Schedule"/>
    <x v="14"/>
    <s v="In Progress"/>
    <x v="1"/>
    <x v="1"/>
    <x v="1"/>
    <x v="1"/>
    <x v="0"/>
    <b v="0"/>
    <x v="473"/>
    <s v="FS1018-HBC-XX-XX-L-X-3000"/>
  </r>
  <r>
    <s v="FS1018-HBC-XX-XX-L-X-4000"/>
    <s v="Planning Condition Tracker"/>
    <x v="0"/>
    <s v="In Progress"/>
    <x v="1"/>
    <x v="1"/>
    <x v="3"/>
    <x v="15"/>
    <x v="102"/>
    <b v="0"/>
    <x v="474"/>
    <s v="FS1018-HBC-XX-XX-L-X-4000"/>
  </r>
  <r>
    <s v="FS1018-HBC-XX-XX-L-X-4000"/>
    <s v="Planning Condition Tracker"/>
    <x v="0"/>
    <s v="In Progress"/>
    <x v="20"/>
    <x v="11"/>
    <x v="1"/>
    <x v="1"/>
    <x v="0"/>
    <b v="0"/>
    <x v="474"/>
    <s v="FS1018-HBC-XX-XX-L-X-4000"/>
  </r>
  <r>
    <s v="FS1018-HBC-XX-XX-T-R-0001"/>
    <s v="CDE Guide - Aconex"/>
    <x v="0"/>
    <s v="Completed"/>
    <x v="14"/>
    <x v="10"/>
    <x v="4"/>
    <x v="6"/>
    <x v="103"/>
    <b v="0"/>
    <x v="475"/>
    <s v="FS1018-HBC-XX-XX-T-R-0001"/>
  </r>
  <r>
    <s v="FS1018-HBC-XX-XX-T-X-0001"/>
    <s v="Construction Phasing Plan"/>
    <x v="0"/>
    <s v="Completed"/>
    <x v="0"/>
    <x v="7"/>
    <x v="2"/>
    <x v="0"/>
    <x v="104"/>
    <b v="0"/>
    <x v="476"/>
    <s v="FS1018-HBC-XX-XX-T-X-0001"/>
  </r>
  <r>
    <s v="FS1018-HBC-XX-XX-T-X-0001"/>
    <s v="Construction Phasing Plan"/>
    <x v="1"/>
    <s v="Completed"/>
    <x v="19"/>
    <x v="7"/>
    <x v="0"/>
    <x v="14"/>
    <x v="0"/>
    <b v="1"/>
    <x v="476"/>
    <s v="FS1018-HBC-XX-XX-T-X-0001"/>
  </r>
  <r>
    <s v="FS1018-HBC-XX-XX-T-X-0001"/>
    <s v="Construction Phasing Plan"/>
    <x v="3"/>
    <s v="In Progress"/>
    <x v="1"/>
    <x v="1"/>
    <x v="1"/>
    <x v="1"/>
    <x v="0"/>
    <b v="0"/>
    <x v="476"/>
    <s v="FS1018-HBC-XX-XX-T-X-0001"/>
  </r>
  <r>
    <s v="FS1018-HBC-XX-XX-T-X-0017"/>
    <s v="CEM1 Meeting Minutes"/>
    <x v="0"/>
    <s v="Completed"/>
    <x v="0"/>
    <x v="7"/>
    <x v="0"/>
    <x v="0"/>
    <x v="0"/>
    <b v="0"/>
    <x v="477"/>
    <s v="FS1018-HBC-XX-XX-T-X-0017"/>
  </r>
  <r>
    <s v="FS1018-HBC-XX-XX-T-X-0018"/>
    <s v="CEM2 Meeting Minutes"/>
    <x v="0"/>
    <s v="Completed"/>
    <x v="0"/>
    <x v="7"/>
    <x v="0"/>
    <x v="0"/>
    <x v="0"/>
    <b v="0"/>
    <x v="478"/>
    <s v="FS1018-HBC-XX-XX-T-X-0018"/>
  </r>
  <r>
    <s v="FS1018-HBC-XX-XX-T-X-0019"/>
    <s v="CEM3 Meeting Minutes"/>
    <x v="0"/>
    <s v="Completed"/>
    <x v="0"/>
    <x v="7"/>
    <x v="0"/>
    <x v="0"/>
    <x v="0"/>
    <b v="0"/>
    <x v="479"/>
    <s v="FS1018-HBC-XX-XX-T-X-0019"/>
  </r>
  <r>
    <s v="FS1018-HBC-XX-XX-T-X-0020"/>
    <s v="CEM4 Meeting Minutes"/>
    <x v="0"/>
    <s v="Completed"/>
    <x v="0"/>
    <x v="7"/>
    <x v="0"/>
    <x v="0"/>
    <x v="0"/>
    <b v="0"/>
    <x v="480"/>
    <s v="FS1018-HBC-XX-XX-T-X-0020"/>
  </r>
  <r>
    <s v="FS1018-HBC-XX-XX-T-X-0021"/>
    <s v="CEM5 Meeting Minutes"/>
    <x v="0"/>
    <s v="Completed"/>
    <x v="0"/>
    <x v="7"/>
    <x v="0"/>
    <x v="0"/>
    <x v="0"/>
    <b v="0"/>
    <x v="481"/>
    <s v="FS1018-HBC-XX-XX-T-X-0021"/>
  </r>
  <r>
    <s v="FS1018-HBC-XX-XX-T-X-0022"/>
    <s v="CEM6 Meeting Minutes"/>
    <x v="0"/>
    <s v="Completed"/>
    <x v="0"/>
    <x v="7"/>
    <x v="0"/>
    <x v="0"/>
    <x v="0"/>
    <b v="0"/>
    <x v="482"/>
    <s v="FS1018-HBC-XX-XX-T-X-0022"/>
  </r>
  <r>
    <s v="FS1018-HBC-XX-XX-T-X-0023"/>
    <s v="ICT Meeting Minutes"/>
    <x v="0"/>
    <s v="Completed"/>
    <x v="0"/>
    <x v="7"/>
    <x v="0"/>
    <x v="0"/>
    <x v="0"/>
    <b v="0"/>
    <x v="483"/>
    <s v="FS1018-HBC-XX-XX-T-X-0023"/>
  </r>
  <r>
    <s v="FS1018-HBC-XX-XX-T-X-0024"/>
    <s v="CEM7 Meeting Minutes"/>
    <x v="0"/>
    <s v="In Progress"/>
    <x v="1"/>
    <x v="1"/>
    <x v="1"/>
    <x v="1"/>
    <x v="0"/>
    <b v="0"/>
    <x v="484"/>
    <s v="FS1018-HBC-XX-XX-T-X-0024"/>
  </r>
  <r>
    <s v="FS1018-HBC-XX-XX-T-X-0025"/>
    <s v="CEM8 Meeting Minutes"/>
    <x v="0"/>
    <s v="In Progress"/>
    <x v="1"/>
    <x v="1"/>
    <x v="1"/>
    <x v="1"/>
    <x v="0"/>
    <b v="0"/>
    <x v="485"/>
    <s v="FS1018-HBC-XX-XX-T-X-0025"/>
  </r>
  <r>
    <s v="FS1018-HBC-XX-XX-T-X-0026"/>
    <s v="CEM8-9A Meeting Minutes"/>
    <x v="0"/>
    <s v="In Progress"/>
    <x v="1"/>
    <x v="1"/>
    <x v="1"/>
    <x v="1"/>
    <x v="0"/>
    <b v="0"/>
    <x v="486"/>
    <s v="FS1018-HBC-XX-XX-T-X-0026"/>
  </r>
  <r>
    <s v="FS1018-HBC-XX-XX-T-X-0027"/>
    <s v="CEM09 Meeting Minutes"/>
    <x v="0"/>
    <s v="In Progress"/>
    <x v="1"/>
    <x v="1"/>
    <x v="1"/>
    <x v="1"/>
    <x v="0"/>
    <b v="0"/>
    <x v="487"/>
    <s v="FS1018-HBC-XX-XX-T-X-0027"/>
  </r>
  <r>
    <s v="FS1018-HBC-XX-XX-T-X-0028"/>
    <s v="CEM10 Meeting Minutes"/>
    <x v="0"/>
    <s v="In Progress"/>
    <x v="1"/>
    <x v="1"/>
    <x v="1"/>
    <x v="1"/>
    <x v="0"/>
    <b v="0"/>
    <x v="488"/>
    <s v="FS1018-HBC-XX-XX-T-X-0028"/>
  </r>
  <r>
    <s v="FS1018-HBC-XX-XX-T-X-0029"/>
    <s v="CEM10A Meeting Minutes"/>
    <x v="0"/>
    <s v="In Progress"/>
    <x v="1"/>
    <x v="1"/>
    <x v="1"/>
    <x v="1"/>
    <x v="0"/>
    <b v="0"/>
    <x v="489"/>
    <s v="FS1018-HBC-XX-XX-T-X-0029"/>
  </r>
  <r>
    <s v="FS1018-HBC-XX-XX-T-X-0030"/>
    <s v="CEM11 Meeting Minutes"/>
    <x v="0"/>
    <s v="In Progress"/>
    <x v="1"/>
    <x v="1"/>
    <x v="1"/>
    <x v="1"/>
    <x v="0"/>
    <b v="0"/>
    <x v="490"/>
    <s v="FS1018-HBC-XX-XX-T-X-0030"/>
  </r>
  <r>
    <s v="FS1018-HBC-XX-XX-T-X-0031"/>
    <s v="CEM12 Meeting Minutes"/>
    <x v="0"/>
    <s v="In Progress"/>
    <x v="1"/>
    <x v="1"/>
    <x v="1"/>
    <x v="1"/>
    <x v="0"/>
    <b v="0"/>
    <x v="491"/>
    <s v="FS1018-HBC-XX-XX-T-X-0031"/>
  </r>
  <r>
    <s v="FS1018-HBC-XX-XX-T-X-0033"/>
    <s v="CEM07 Agenda"/>
    <x v="0"/>
    <s v="In Progress"/>
    <x v="1"/>
    <x v="1"/>
    <x v="1"/>
    <x v="1"/>
    <x v="0"/>
    <b v="0"/>
    <x v="492"/>
    <s v="FS1018-HBC-XX-XX-T-X-0033"/>
  </r>
  <r>
    <s v="FS1018-HBC-XX-XX-T-X-0034"/>
    <s v="CEM08 Agenda"/>
    <x v="0"/>
    <s v="In Progress"/>
    <x v="1"/>
    <x v="1"/>
    <x v="1"/>
    <x v="1"/>
    <x v="0"/>
    <b v="0"/>
    <x v="493"/>
    <s v="FS1018-HBC-XX-XX-T-X-0034"/>
  </r>
  <r>
    <s v="FS1018-HBC-XX-XX-T-X-0035"/>
    <s v="CEM09 Agenda"/>
    <x v="0"/>
    <s v="In Progress"/>
    <x v="1"/>
    <x v="1"/>
    <x v="1"/>
    <x v="1"/>
    <x v="0"/>
    <b v="0"/>
    <x v="494"/>
    <s v="FS1018-HBC-XX-XX-T-X-0035"/>
  </r>
  <r>
    <s v="FS1018-HBC-XX-XX-T-X-0036"/>
    <s v="CEM08-9A Agenda"/>
    <x v="0"/>
    <s v="In Progress"/>
    <x v="1"/>
    <x v="1"/>
    <x v="1"/>
    <x v="1"/>
    <x v="0"/>
    <b v="0"/>
    <x v="495"/>
    <s v="FS1018-HBC-XX-XX-T-X-0036"/>
  </r>
  <r>
    <s v="FS1018-HBC-XX-XX-T-X-0037"/>
    <s v="CEM10 Meeting Agenda"/>
    <x v="0"/>
    <s v="In Progress"/>
    <x v="1"/>
    <x v="1"/>
    <x v="1"/>
    <x v="1"/>
    <x v="0"/>
    <b v="0"/>
    <x v="496"/>
    <s v="FS1018-HBC-XX-XX-T-X-0037"/>
  </r>
  <r>
    <s v="FS1018-HBC-XX-XX-T-X-0038"/>
    <s v="CEM10A Agenda"/>
    <x v="0"/>
    <s v="In Progress"/>
    <x v="1"/>
    <x v="1"/>
    <x v="1"/>
    <x v="1"/>
    <x v="0"/>
    <b v="0"/>
    <x v="497"/>
    <s v="FS1018-HBC-XX-XX-T-X-0038"/>
  </r>
  <r>
    <s v="FS1018-HBC-XX-XX-T-X-0039"/>
    <s v="CEM11 Agenda"/>
    <x v="0"/>
    <s v="In Progress"/>
    <x v="1"/>
    <x v="1"/>
    <x v="1"/>
    <x v="1"/>
    <x v="0"/>
    <b v="0"/>
    <x v="498"/>
    <s v="FS1018-HBC-XX-XX-T-X-0039"/>
  </r>
  <r>
    <s v="FS1018-HBC-XX-XX-T-X-0040"/>
    <s v="CEM12 Agenda"/>
    <x v="0"/>
    <s v="In Progress"/>
    <x v="1"/>
    <x v="1"/>
    <x v="1"/>
    <x v="1"/>
    <x v="0"/>
    <b v="0"/>
    <x v="499"/>
    <s v="FS1018-HBC-XX-XX-T-X-0040"/>
  </r>
  <r>
    <s v="FS1018-HBC-XX-XX-T-X-0042"/>
    <s v="Employer Necessary Consents"/>
    <x v="0"/>
    <s v="In Progress"/>
    <x v="1"/>
    <x v="1"/>
    <x v="7"/>
    <x v="15"/>
    <x v="105"/>
    <b v="0"/>
    <x v="500"/>
    <s v="FS1018-HBC-XX-XX-T-X-0042"/>
  </r>
  <r>
    <s v="FS1018-HBC-XX-XX-T-X-0042"/>
    <s v="Employer Necessary Consents"/>
    <x v="0"/>
    <s v="In Progress"/>
    <x v="20"/>
    <x v="11"/>
    <x v="1"/>
    <x v="1"/>
    <x v="0"/>
    <b v="0"/>
    <x v="500"/>
    <s v="FS1018-HBC-XX-XX-T-X-0042"/>
  </r>
  <r>
    <s v="FS1018-HBC-XX-XX-T-X-0043"/>
    <s v="Construction Method Statement"/>
    <x v="0"/>
    <s v="In Progress"/>
    <x v="1"/>
    <x v="1"/>
    <x v="1"/>
    <x v="1"/>
    <x v="0"/>
    <b v="0"/>
    <x v="501"/>
    <s v="FS1018-HBC-XX-XX-T-X-0043"/>
  </r>
  <r>
    <s v="FS1018-HBC-XX-XX-T-X-0044"/>
    <s v="Handover Strategy"/>
    <x v="0"/>
    <s v="In Progress"/>
    <x v="1"/>
    <x v="1"/>
    <x v="1"/>
    <x v="1"/>
    <x v="0"/>
    <b v="0"/>
    <x v="502"/>
    <s v="FS1018-HBC-XX-XX-T-X-0044"/>
  </r>
  <r>
    <s v="FS1018-HBC-XX-XX-T-X-0045"/>
    <s v="Thermal Assessment"/>
    <x v="0"/>
    <s v="In Progress"/>
    <x v="1"/>
    <x v="1"/>
    <x v="1"/>
    <x v="1"/>
    <x v="0"/>
    <b v="0"/>
    <x v="503"/>
    <s v="FS1018-HBC-XX-XX-T-X-0045"/>
  </r>
  <r>
    <s v="FS1018-HEX-XX-00-T-H-0002"/>
    <s v="Framework School Travel Plan"/>
    <x v="0"/>
    <s v="Completed"/>
    <x v="3"/>
    <x v="8"/>
    <x v="2"/>
    <x v="2"/>
    <x v="4"/>
    <b v="0"/>
    <x v="504"/>
    <s v="FS1018-HEX-XX-00-T-H-0002"/>
  </r>
  <r>
    <s v="FS1018-HEX-XX-XX-T-C-0001"/>
    <s v="Flood Risk Assessment"/>
    <x v="1"/>
    <s v="Completed"/>
    <x v="2"/>
    <x v="8"/>
    <x v="2"/>
    <x v="2"/>
    <x v="4"/>
    <b v="1"/>
    <x v="505"/>
    <s v="FS1018-HEX-XX-XX-T-C-0001"/>
  </r>
  <r>
    <s v="FS1018-HEX-XX-XX-T-C-0002"/>
    <s v="SuDS Operations and Maintenance Manual"/>
    <x v="0"/>
    <s v="Completed"/>
    <x v="3"/>
    <x v="8"/>
    <x v="2"/>
    <x v="2"/>
    <x v="4"/>
    <b v="0"/>
    <x v="506"/>
    <s v="FS1018-HEX-XX-XX-T-C-0002"/>
  </r>
  <r>
    <s v="FS1018-HEX-XX-XX-T-C-0004"/>
    <s v="CIVIL DESIGN PHILOSOPHY"/>
    <x v="0"/>
    <s v="Completed"/>
    <x v="0"/>
    <x v="8"/>
    <x v="0"/>
    <x v="8"/>
    <x v="0"/>
    <b v="0"/>
    <x v="507"/>
    <s v="FS1018-HEX-XX-XX-T-C-0004"/>
  </r>
  <r>
    <s v="FS1018-HEX-XX-XX-T-C-0004"/>
    <s v="Civil Design Philosophy"/>
    <x v="1"/>
    <s v="In Progress"/>
    <x v="1"/>
    <x v="1"/>
    <x v="1"/>
    <x v="1"/>
    <x v="0"/>
    <b v="1"/>
    <x v="507"/>
    <s v="FS1018-HEX-XX-XX-T-C-0004"/>
  </r>
  <r>
    <s v="FS1018-HEX-XX-XX-T-C-0010"/>
    <s v="Risk Register"/>
    <x v="0"/>
    <s v="Completed"/>
    <x v="0"/>
    <x v="6"/>
    <x v="3"/>
    <x v="6"/>
    <x v="106"/>
    <b v="0"/>
    <x v="508"/>
    <s v="FS1018-HEX-XX-XX-T-C-0010"/>
  </r>
  <r>
    <s v="FS1018-HEX-XX-XX-T-C-0010"/>
    <s v="Risk Register"/>
    <x v="1"/>
    <s v="Completed"/>
    <x v="4"/>
    <x v="2"/>
    <x v="2"/>
    <x v="2"/>
    <x v="4"/>
    <b v="1"/>
    <x v="508"/>
    <s v="FS1018-HEX-XX-XX-T-C-0010"/>
  </r>
  <r>
    <s v="FS1018-HEX-XX-XX-T-C-0010"/>
    <s v="Risk Register"/>
    <x v="3"/>
    <s v="In Progress"/>
    <x v="1"/>
    <x v="1"/>
    <x v="1"/>
    <x v="1"/>
    <x v="0"/>
    <b v="0"/>
    <x v="508"/>
    <s v="FS1018-HEX-XX-XX-T-C-0010"/>
  </r>
  <r>
    <s v="FS1018-HEX-XX-XX-T-C-0011"/>
    <s v="Drainage Specification"/>
    <x v="0"/>
    <s v="In Progress"/>
    <x v="1"/>
    <x v="1"/>
    <x v="1"/>
    <x v="1"/>
    <x v="0"/>
    <b v="0"/>
    <x v="509"/>
    <s v="FS1018-HEX-XX-XX-T-C-0011"/>
  </r>
  <r>
    <s v="FS1018-HEX-XX-XX-T-C-0012"/>
    <s v="Earthworks Specification"/>
    <x v="0"/>
    <s v="In Progress"/>
    <x v="1"/>
    <x v="1"/>
    <x v="1"/>
    <x v="1"/>
    <x v="0"/>
    <b v="0"/>
    <x v="510"/>
    <s v="FS1018-HEX-XX-XX-T-C-0012"/>
  </r>
  <r>
    <s v="FS1018-HEX-XX-XX-T-H-0001"/>
    <s v="Transport Assessment"/>
    <x v="0"/>
    <s v="Completed"/>
    <x v="3"/>
    <x v="8"/>
    <x v="2"/>
    <x v="2"/>
    <x v="4"/>
    <b v="0"/>
    <x v="511"/>
    <s v="FS1018-HEX-XX-XX-T-H-0001"/>
  </r>
  <r>
    <s v="FS1018-HEX-XX-XX-T-H-0001"/>
    <s v="Transport Assessment"/>
    <x v="1"/>
    <s v="In Progress"/>
    <x v="1"/>
    <x v="1"/>
    <x v="1"/>
    <x v="1"/>
    <x v="0"/>
    <b v="1"/>
    <x v="511"/>
    <s v="FS1018-HEX-XX-XX-T-H-0001"/>
  </r>
  <r>
    <s v="FS1018-HEX-XX-XX-T-S-0003"/>
    <s v="Structural Design Philosophy"/>
    <x v="0"/>
    <s v="Completed"/>
    <x v="0"/>
    <x v="13"/>
    <x v="2"/>
    <x v="6"/>
    <x v="107"/>
    <b v="0"/>
    <x v="512"/>
    <s v="FS1018-HEX-XX-XX-T-S-0003"/>
  </r>
  <r>
    <s v="FS1018-HEX-XX-XX-T-S-0003"/>
    <s v="Structural Design Philosophy"/>
    <x v="1"/>
    <s v="In Progress"/>
    <x v="1"/>
    <x v="1"/>
    <x v="1"/>
    <x v="1"/>
    <x v="0"/>
    <b v="1"/>
    <x v="512"/>
    <s v="FS1018-HEX-XX-XX-T-S-0003"/>
  </r>
  <r>
    <s v="FS1018-HEX-XX-XX-T-S-0004"/>
    <s v="Concrete Specification"/>
    <x v="0"/>
    <s v="In Progress"/>
    <x v="1"/>
    <x v="1"/>
    <x v="1"/>
    <x v="1"/>
    <x v="0"/>
    <b v="0"/>
    <x v="513"/>
    <s v="FS1018-HEX-XX-XX-T-S-0004"/>
  </r>
  <r>
    <s v="FS1018-HEX-XX-XX-T-S-0005"/>
    <s v="Steelwork Specification"/>
    <x v="0"/>
    <s v="In Progress"/>
    <x v="1"/>
    <x v="1"/>
    <x v="1"/>
    <x v="1"/>
    <x v="0"/>
    <b v="0"/>
    <x v="514"/>
    <s v="FS1018-HEX-XX-XX-T-S-0005"/>
  </r>
  <r>
    <s v="FS1018-HEX-XX-XX-T-S-0006"/>
    <s v="Piling Specification"/>
    <x v="0"/>
    <s v="In Progress"/>
    <x v="1"/>
    <x v="1"/>
    <x v="1"/>
    <x v="1"/>
    <x v="0"/>
    <b v="0"/>
    <x v="515"/>
    <s v="FS1018-HEX-XX-XX-T-S-0006"/>
  </r>
  <r>
    <s v="FS1018-HEX-ZZ-00-D-S-0101"/>
    <s v="FOUNDATION LAYOUT"/>
    <x v="1"/>
    <s v="Completed"/>
    <x v="0"/>
    <x v="13"/>
    <x v="2"/>
    <x v="6"/>
    <x v="108"/>
    <b v="1"/>
    <x v="516"/>
    <s v="FS1018-HEX-ZZ-00-D-S-0101"/>
  </r>
  <r>
    <s v="FS1018-HEX-ZZ-00-D-S-0101"/>
    <s v="Foundation Layout"/>
    <x v="3"/>
    <s v="In Progress"/>
    <x v="1"/>
    <x v="1"/>
    <x v="1"/>
    <x v="1"/>
    <x v="0"/>
    <b v="0"/>
    <x v="516"/>
    <s v="FS1018-HEX-ZZ-00-D-S-0101"/>
  </r>
  <r>
    <s v="FS1018-HEX-ZZ-00-D-S-0102"/>
    <s v="Foundation Details"/>
    <x v="0"/>
    <s v="In Progress"/>
    <x v="1"/>
    <x v="1"/>
    <x v="1"/>
    <x v="1"/>
    <x v="0"/>
    <b v="0"/>
    <x v="517"/>
    <s v="FS1018-HEX-ZZ-00-D-S-0102"/>
  </r>
  <r>
    <s v="FS1018-HEX-ZZ-00-D-S-0200"/>
    <s v="GROUND FLOOR COLUMN PLAN"/>
    <x v="1"/>
    <s v="Completed"/>
    <x v="0"/>
    <x v="13"/>
    <x v="0"/>
    <x v="6"/>
    <x v="0"/>
    <b v="1"/>
    <x v="518"/>
    <s v="FS1018-HEX-ZZ-00-D-S-0200"/>
  </r>
  <r>
    <s v="FS1018-HEX-ZZ-00-D-S-0200"/>
    <s v="Ground Floor Column Plan"/>
    <x v="3"/>
    <s v="In Progress"/>
    <x v="1"/>
    <x v="1"/>
    <x v="1"/>
    <x v="1"/>
    <x v="0"/>
    <b v="0"/>
    <x v="518"/>
    <s v="FS1018-HEX-ZZ-00-D-S-0200"/>
  </r>
  <r>
    <s v="FS1018-HEX-ZZ-01-D-S-0201"/>
    <s v="FIRST FLOOR STEELWORK LAYOUT"/>
    <x v="1"/>
    <s v="Completed"/>
    <x v="0"/>
    <x v="13"/>
    <x v="0"/>
    <x v="6"/>
    <x v="0"/>
    <b v="1"/>
    <x v="519"/>
    <s v="FS1018-HEX-ZZ-01-D-S-0201"/>
  </r>
  <r>
    <s v="FS1018-HEX-ZZ-01-D-S-0201"/>
    <s v="First Floor Steelwork Layout"/>
    <x v="3"/>
    <s v="In Progress"/>
    <x v="1"/>
    <x v="1"/>
    <x v="1"/>
    <x v="1"/>
    <x v="0"/>
    <b v="0"/>
    <x v="519"/>
    <s v="FS1018-HEX-ZZ-01-D-S-0201"/>
  </r>
  <r>
    <s v="FS1018-HEX-ZZ-02-D-S-0202"/>
    <s v="SECOND FLOOR STEELWORK LAYOUT"/>
    <x v="1"/>
    <s v="Completed"/>
    <x v="0"/>
    <x v="13"/>
    <x v="0"/>
    <x v="6"/>
    <x v="0"/>
    <b v="1"/>
    <x v="520"/>
    <s v="FS1018-HEX-ZZ-02-D-S-0202"/>
  </r>
  <r>
    <s v="FS1018-HEX-ZZ-02-D-S-0202"/>
    <s v="Second Floor Steelwork Layout"/>
    <x v="3"/>
    <s v="In Progress"/>
    <x v="1"/>
    <x v="1"/>
    <x v="1"/>
    <x v="1"/>
    <x v="0"/>
    <b v="0"/>
    <x v="520"/>
    <s v="FS1018-HEX-ZZ-02-D-S-0202"/>
  </r>
  <r>
    <s v="FS1018-HEX-ZZ-RF-D-S-0203"/>
    <s v="MAIN ROOF STEELWORK LAYOUT"/>
    <x v="1"/>
    <s v="Completed"/>
    <x v="0"/>
    <x v="13"/>
    <x v="0"/>
    <x v="6"/>
    <x v="0"/>
    <b v="1"/>
    <x v="521"/>
    <s v="FS1018-HEX-ZZ-RF-D-S-0203"/>
  </r>
  <r>
    <s v="FS1018-HEX-ZZ-RF-D-S-0203"/>
    <s v="Main Roof Steelwork Layout"/>
    <x v="3"/>
    <s v="In Progress"/>
    <x v="1"/>
    <x v="1"/>
    <x v="1"/>
    <x v="1"/>
    <x v="0"/>
    <b v="0"/>
    <x v="521"/>
    <s v="FS1018-HEX-ZZ-RF-D-S-0203"/>
  </r>
  <r>
    <s v="FS1018-HEX-ZZ-RF-D-S-0204"/>
    <s v="HALL ROOF STEELWORK LAYOUTS"/>
    <x v="1"/>
    <s v="Completed"/>
    <x v="0"/>
    <x v="13"/>
    <x v="0"/>
    <x v="6"/>
    <x v="0"/>
    <b v="1"/>
    <x v="522"/>
    <s v="FS1018-HEX-ZZ-RF-D-S-0204"/>
  </r>
  <r>
    <s v="FS1018-HEX-ZZ-RF-D-S-0204"/>
    <s v="Hall Roof Steelwork Layouts"/>
    <x v="3"/>
    <s v="In Progress"/>
    <x v="1"/>
    <x v="1"/>
    <x v="1"/>
    <x v="1"/>
    <x v="0"/>
    <b v="0"/>
    <x v="522"/>
    <s v="FS1018-HEX-ZZ-RF-D-S-0204"/>
  </r>
  <r>
    <s v="FS1018-HEX-ZZ-RF-D-S-0205"/>
    <s v="PARAPET STEELWORK LAYOUT"/>
    <x v="1"/>
    <s v="Completed"/>
    <x v="0"/>
    <x v="13"/>
    <x v="0"/>
    <x v="6"/>
    <x v="0"/>
    <b v="1"/>
    <x v="523"/>
    <s v="FS1018-HEX-ZZ-RF-D-S-0205"/>
  </r>
  <r>
    <s v="FS1018-HEX-ZZ-RF-D-S-0205"/>
    <s v="Parapet Steelwork Layout"/>
    <x v="3"/>
    <s v="In Progress"/>
    <x v="1"/>
    <x v="1"/>
    <x v="1"/>
    <x v="1"/>
    <x v="0"/>
    <b v="0"/>
    <x v="523"/>
    <s v="FS1018-HEX-ZZ-RF-D-S-0205"/>
  </r>
  <r>
    <s v="FS1018-HEX-ZZ-XX-D-S-0001"/>
    <s v="PROJECT NOTES"/>
    <x v="0"/>
    <s v="Completed"/>
    <x v="0"/>
    <x v="13"/>
    <x v="2"/>
    <x v="6"/>
    <x v="109"/>
    <b v="0"/>
    <x v="524"/>
    <s v="FS1018-HEX-ZZ-XX-D-S-0001"/>
  </r>
  <r>
    <s v="FS1018-HEX-ZZ-XX-D-S-0001"/>
    <s v="Project Notes"/>
    <x v="1"/>
    <s v="In Progress"/>
    <x v="1"/>
    <x v="1"/>
    <x v="1"/>
    <x v="1"/>
    <x v="0"/>
    <b v="1"/>
    <x v="524"/>
    <s v="FS1018-HEX-ZZ-XX-D-S-0001"/>
  </r>
  <r>
    <s v="FS1018-HEX-ZZ-ZZ-D-C-5200"/>
    <s v="SURFACE WATER DRAINAGE LAYOUT SHEET 1"/>
    <x v="0"/>
    <s v="Completed"/>
    <x v="0"/>
    <x v="8"/>
    <x v="0"/>
    <x v="8"/>
    <x v="110"/>
    <b v="0"/>
    <x v="525"/>
    <s v="FS1018-HEX-ZZ-ZZ-D-C-5200"/>
  </r>
  <r>
    <s v="FS1018-HEX-ZZ-ZZ-D-C-5200"/>
    <s v="Surface Water Drainage Layout Sheet 1"/>
    <x v="14"/>
    <s v="In Progress"/>
    <x v="1"/>
    <x v="1"/>
    <x v="1"/>
    <x v="1"/>
    <x v="0"/>
    <b v="0"/>
    <x v="525"/>
    <s v="FS1018-HEX-ZZ-ZZ-D-C-5200"/>
  </r>
  <r>
    <s v="FS1018-HEX-ZZ-ZZ-D-C-5201"/>
    <s v="SURFACE WATER DRAINAGE LAYOUT SHEET 2"/>
    <x v="0"/>
    <s v="Completed"/>
    <x v="0"/>
    <x v="8"/>
    <x v="0"/>
    <x v="8"/>
    <x v="110"/>
    <b v="0"/>
    <x v="526"/>
    <s v="FS1018-HEX-ZZ-ZZ-D-C-5201"/>
  </r>
  <r>
    <s v="FS1018-HEX-ZZ-ZZ-D-C-5201"/>
    <s v="Surface Water Drainage Layout Sheet 2"/>
    <x v="14"/>
    <s v="In Progress"/>
    <x v="1"/>
    <x v="1"/>
    <x v="1"/>
    <x v="1"/>
    <x v="0"/>
    <b v="0"/>
    <x v="526"/>
    <s v="FS1018-HEX-ZZ-ZZ-D-C-5201"/>
  </r>
  <r>
    <s v="FS1018-HEX-ZZ-ZZ-D-C-5205"/>
    <s v="FOUL WATER DRAINAGE LAYOUT"/>
    <x v="0"/>
    <s v="Completed"/>
    <x v="0"/>
    <x v="8"/>
    <x v="3"/>
    <x v="8"/>
    <x v="111"/>
    <b v="0"/>
    <x v="527"/>
    <s v="FS1018-HEX-ZZ-ZZ-D-C-5205"/>
  </r>
  <r>
    <s v="FS1018-HEX-ZZ-ZZ-D-C-5205"/>
    <s v="Foul Water Drainage Layout"/>
    <x v="2"/>
    <s v="In Progress"/>
    <x v="1"/>
    <x v="1"/>
    <x v="1"/>
    <x v="1"/>
    <x v="0"/>
    <b v="0"/>
    <x v="527"/>
    <s v="FS1018-HEX-ZZ-ZZ-D-C-5205"/>
  </r>
  <r>
    <s v="FS1018-HEX-ZZ-ZZ-D-C-5210"/>
    <s v="DRAINAGE CONSTRUCTION DETAILS SHEET 1"/>
    <x v="0"/>
    <s v="Completed"/>
    <x v="17"/>
    <x v="8"/>
    <x v="0"/>
    <x v="9"/>
    <x v="0"/>
    <b v="0"/>
    <x v="528"/>
    <s v="FS1018-HEX-ZZ-ZZ-D-C-5210"/>
  </r>
  <r>
    <s v="FS1018-HEX-ZZ-ZZ-D-C-5210"/>
    <s v="Drainage Construction Details Sheet 1"/>
    <x v="3"/>
    <s v="In Progress"/>
    <x v="1"/>
    <x v="1"/>
    <x v="1"/>
    <x v="1"/>
    <x v="0"/>
    <b v="0"/>
    <x v="528"/>
    <s v="FS1018-HEX-ZZ-ZZ-D-C-5210"/>
  </r>
  <r>
    <s v="FS1018-HEX-ZZ-ZZ-D-C-5211"/>
    <s v="DRAINAGE CONSTRUCTION DETAILS SHEET 2"/>
    <x v="0"/>
    <s v="Completed"/>
    <x v="17"/>
    <x v="8"/>
    <x v="0"/>
    <x v="9"/>
    <x v="0"/>
    <b v="0"/>
    <x v="529"/>
    <s v="FS1018-HEX-ZZ-ZZ-D-C-5211"/>
  </r>
  <r>
    <s v="FS1018-HEX-ZZ-ZZ-D-C-5211"/>
    <s v="Drainage Construction Details Sheet 2"/>
    <x v="3"/>
    <s v="In Progress"/>
    <x v="1"/>
    <x v="1"/>
    <x v="1"/>
    <x v="1"/>
    <x v="0"/>
    <b v="0"/>
    <x v="529"/>
    <s v="FS1018-HEX-ZZ-ZZ-D-C-5211"/>
  </r>
  <r>
    <s v="FS1018-HEX-ZZ-ZZ-D-C-9000"/>
    <s v="Earthworks Analysis"/>
    <x v="0"/>
    <s v="In Progress"/>
    <x v="1"/>
    <x v="1"/>
    <x v="1"/>
    <x v="1"/>
    <x v="0"/>
    <b v="0"/>
    <x v="530"/>
    <s v="FS1018-HEX-ZZ-ZZ-D-C-9000"/>
  </r>
  <r>
    <s v="FS1018-HEX-ZZ-ZZ-D-C-9020"/>
    <s v="EXTERNAL WORKS LAYOUT SHEET 1"/>
    <x v="0"/>
    <s v="Completed"/>
    <x v="0"/>
    <x v="8"/>
    <x v="0"/>
    <x v="8"/>
    <x v="0"/>
    <b v="0"/>
    <x v="531"/>
    <s v="FS1018-HEX-ZZ-ZZ-D-C-9020"/>
  </r>
  <r>
    <s v="FS1018-HEX-ZZ-ZZ-D-C-9020"/>
    <s v="External Works Layout Sheet 1"/>
    <x v="1"/>
    <s v="In Progress"/>
    <x v="1"/>
    <x v="1"/>
    <x v="1"/>
    <x v="1"/>
    <x v="0"/>
    <b v="1"/>
    <x v="531"/>
    <s v="FS1018-HEX-ZZ-ZZ-D-C-9020"/>
  </r>
  <r>
    <s v="FS1018-HEX-ZZ-ZZ-D-C-9021"/>
    <s v="EXTERNAL WORKS LAYOUT SHEET 2"/>
    <x v="0"/>
    <s v="Completed"/>
    <x v="0"/>
    <x v="8"/>
    <x v="0"/>
    <x v="8"/>
    <x v="0"/>
    <b v="0"/>
    <x v="532"/>
    <s v="FS1018-HEX-ZZ-ZZ-D-C-9021"/>
  </r>
  <r>
    <s v="FS1018-HEX-ZZ-ZZ-D-C-9021"/>
    <s v="External Works Layout Sheet 2"/>
    <x v="1"/>
    <s v="In Progress"/>
    <x v="1"/>
    <x v="1"/>
    <x v="1"/>
    <x v="1"/>
    <x v="0"/>
    <b v="1"/>
    <x v="532"/>
    <s v="FS1018-HEX-ZZ-ZZ-D-C-9021"/>
  </r>
  <r>
    <s v="FS1018-HEX-ZZ-ZZ-D-C-9025"/>
    <s v="EXTERNAL WORKS CONSTRUCTION DETAILS"/>
    <x v="0"/>
    <s v="Completed"/>
    <x v="0"/>
    <x v="8"/>
    <x v="0"/>
    <x v="8"/>
    <x v="0"/>
    <b v="0"/>
    <x v="533"/>
    <s v="FS1018-HEX-ZZ-ZZ-D-C-9025"/>
  </r>
  <r>
    <s v="FS1018-HEX-ZZ-ZZ-D-C-9025"/>
    <s v="External Works Construction Details"/>
    <x v="1"/>
    <s v="In Progress"/>
    <x v="1"/>
    <x v="1"/>
    <x v="1"/>
    <x v="1"/>
    <x v="0"/>
    <b v="1"/>
    <x v="533"/>
    <s v="FS1018-HEX-ZZ-ZZ-D-C-9025"/>
  </r>
  <r>
    <s v="FS1018-HEX-ZZ-ZZ-D-S-0501"/>
    <s v="BUILDING ELEVATIONS SHEET 01 OF 02"/>
    <x v="1"/>
    <s v="Completed"/>
    <x v="0"/>
    <x v="13"/>
    <x v="2"/>
    <x v="6"/>
    <x v="112"/>
    <b v="1"/>
    <x v="534"/>
    <s v="FS1018-HEX-ZZ-ZZ-D-S-0501"/>
  </r>
  <r>
    <s v="FS1018-HEX-ZZ-ZZ-D-S-0501"/>
    <s v="Building Elevations Sheet 01 Of 02"/>
    <x v="3"/>
    <s v="In Progress"/>
    <x v="1"/>
    <x v="1"/>
    <x v="1"/>
    <x v="1"/>
    <x v="0"/>
    <b v="0"/>
    <x v="534"/>
    <s v="FS1018-HEX-ZZ-ZZ-D-S-0501"/>
  </r>
  <r>
    <s v="FS1018-HEX-ZZ-ZZ-D-S-0502"/>
    <s v="BUILDING ELEVATIONS SHEET 02 OF 02"/>
    <x v="1"/>
    <s v="Completed"/>
    <x v="0"/>
    <x v="13"/>
    <x v="2"/>
    <x v="6"/>
    <x v="112"/>
    <b v="1"/>
    <x v="535"/>
    <s v="FS1018-HEX-ZZ-ZZ-D-S-0502"/>
  </r>
  <r>
    <s v="FS1018-HEX-ZZ-ZZ-D-S-0502"/>
    <s v="Building Elevations Sheet 02 Of 02"/>
    <x v="3"/>
    <s v="In Progress"/>
    <x v="1"/>
    <x v="1"/>
    <x v="1"/>
    <x v="1"/>
    <x v="0"/>
    <b v="0"/>
    <x v="535"/>
    <s v="FS1018-HEX-ZZ-ZZ-D-S-0502"/>
  </r>
  <r>
    <s v="FS1018-HEX-ZZ-ZZ-D-S-0503"/>
    <s v="BRACING ELEVATIONS"/>
    <x v="1"/>
    <s v="Completed"/>
    <x v="0"/>
    <x v="13"/>
    <x v="2"/>
    <x v="6"/>
    <x v="113"/>
    <b v="1"/>
    <x v="536"/>
    <s v="FS1018-HEX-ZZ-ZZ-D-S-0503"/>
  </r>
  <r>
    <s v="FS1018-HEX-ZZ-ZZ-D-S-0503"/>
    <s v="Bracing Elevations"/>
    <x v="3"/>
    <s v="In Progress"/>
    <x v="1"/>
    <x v="1"/>
    <x v="1"/>
    <x v="1"/>
    <x v="0"/>
    <b v="0"/>
    <x v="536"/>
    <s v="FS1018-HEX-ZZ-ZZ-D-S-0503"/>
  </r>
  <r>
    <s v="FS1018-HEX-ZZ-ZZ-D-S-0601"/>
    <s v="BUILDING SECTIONS"/>
    <x v="1"/>
    <s v="Completed"/>
    <x v="0"/>
    <x v="13"/>
    <x v="0"/>
    <x v="6"/>
    <x v="0"/>
    <b v="1"/>
    <x v="537"/>
    <s v="FS1018-HEX-ZZ-ZZ-D-S-0601"/>
  </r>
  <r>
    <s v="FS1018-HEX-ZZ-ZZ-D-S-0601"/>
    <s v="Building Sections"/>
    <x v="3"/>
    <s v="In Progress"/>
    <x v="1"/>
    <x v="1"/>
    <x v="1"/>
    <x v="1"/>
    <x v="0"/>
    <b v="0"/>
    <x v="537"/>
    <s v="FS1018-HEX-ZZ-ZZ-D-S-0601"/>
  </r>
  <r>
    <s v="FS1018-HEX-ZZ-ZZ-D-S-0602"/>
    <s v="STRUCTURAL SECTIONS &amp; DETAILS"/>
    <x v="1"/>
    <s v="Completed"/>
    <x v="0"/>
    <x v="13"/>
    <x v="2"/>
    <x v="6"/>
    <x v="114"/>
    <b v="1"/>
    <x v="538"/>
    <s v="FS1018-HEX-ZZ-ZZ-D-S-0602"/>
  </r>
  <r>
    <s v="FS1018-HEX-ZZ-ZZ-D-S-0602"/>
    <s v="Structural Sections and Details"/>
    <x v="3"/>
    <s v="In Progress"/>
    <x v="1"/>
    <x v="1"/>
    <x v="1"/>
    <x v="1"/>
    <x v="0"/>
    <b v="0"/>
    <x v="539"/>
    <s v="FS1018-HEX-ZZ-ZZ-D-S-0602"/>
  </r>
  <r>
    <s v="FS1018-HEX-ZZ-ZZ-D-S-0801"/>
    <s v="3D Views"/>
    <x v="0"/>
    <s v="In Progress"/>
    <x v="1"/>
    <x v="1"/>
    <x v="1"/>
    <x v="1"/>
    <x v="0"/>
    <b v="0"/>
    <x v="540"/>
    <s v="FS1018-HEX-ZZ-ZZ-D-S-0801"/>
  </r>
  <r>
    <s v="FS1018-HEX-ZZ-ZZ-M-C-0001"/>
    <s v="Native Civil Model"/>
    <x v="0"/>
    <s v="Completed"/>
    <x v="0"/>
    <x v="8"/>
    <x v="0"/>
    <x v="8"/>
    <x v="0"/>
    <b v="0"/>
    <x v="541"/>
    <s v="FS1018-HEX-ZZ-ZZ-M-C-0001"/>
  </r>
  <r>
    <s v="FS1018-HEX-ZZ-ZZ-M-C-0001"/>
    <s v="Native Civil Model"/>
    <x v="1"/>
    <s v="In Progress"/>
    <x v="1"/>
    <x v="1"/>
    <x v="1"/>
    <x v="1"/>
    <x v="0"/>
    <b v="1"/>
    <x v="541"/>
    <s v="FS1018-HEX-ZZ-ZZ-M-C-0001"/>
  </r>
  <r>
    <s v="FS1018-HEX-ZZ-ZZ-M-C-0002"/>
    <s v="IFC SPF Civil Model"/>
    <x v="0"/>
    <s v="Completed"/>
    <x v="0"/>
    <x v="8"/>
    <x v="0"/>
    <x v="8"/>
    <x v="0"/>
    <b v="0"/>
    <x v="542"/>
    <s v="FS1018-HEX-ZZ-ZZ-M-C-0002"/>
  </r>
  <r>
    <s v="FS1018-HEX-ZZ-ZZ-M-C-0002"/>
    <s v="IFC SPF Civil Model"/>
    <x v="1"/>
    <s v="In Progress"/>
    <x v="1"/>
    <x v="1"/>
    <x v="1"/>
    <x v="1"/>
    <x v="0"/>
    <b v="1"/>
    <x v="542"/>
    <s v="FS1018-HEX-ZZ-ZZ-M-C-0002"/>
  </r>
  <r>
    <s v="FS1018-HEX-ZZ-ZZ-M-C-0003"/>
    <s v="Navisowrks Civil Model"/>
    <x v="0"/>
    <s v="Completed"/>
    <x v="0"/>
    <x v="8"/>
    <x v="2"/>
    <x v="8"/>
    <x v="115"/>
    <b v="0"/>
    <x v="543"/>
    <s v="FS1018-HEX-ZZ-ZZ-M-C-0003"/>
  </r>
  <r>
    <s v="FS1018-HEX-ZZ-ZZ-M-C-0003"/>
    <s v="Navisworks Civil Model"/>
    <x v="1"/>
    <s v="In Progress"/>
    <x v="1"/>
    <x v="1"/>
    <x v="1"/>
    <x v="1"/>
    <x v="0"/>
    <b v="1"/>
    <x v="544"/>
    <s v="FS1018-HEX-ZZ-ZZ-M-C-0003"/>
  </r>
  <r>
    <s v="FS1018-HEX-ZZ-ZZ-M-S-0001"/>
    <s v="Native Structural Model"/>
    <x v="3"/>
    <s v="Completed"/>
    <x v="0"/>
    <x v="13"/>
    <x v="2"/>
    <x v="6"/>
    <x v="116"/>
    <b v="0"/>
    <x v="545"/>
    <s v="FS1018-HEX-ZZ-ZZ-M-S-0001"/>
  </r>
  <r>
    <s v="FS1018-HEX-ZZ-ZZ-M-S-0001"/>
    <s v="Native Structural Model"/>
    <x v="2"/>
    <s v="Completed"/>
    <x v="6"/>
    <x v="13"/>
    <x v="2"/>
    <x v="2"/>
    <x v="4"/>
    <b v="0"/>
    <x v="545"/>
    <s v="FS1018-HEX-ZZ-ZZ-M-S-0001"/>
  </r>
  <r>
    <s v="FS1018-HEX-ZZ-ZZ-M-S-0001"/>
    <s v="Native Structural Model"/>
    <x v="7"/>
    <s v="In Progress"/>
    <x v="1"/>
    <x v="1"/>
    <x v="1"/>
    <x v="1"/>
    <x v="0"/>
    <b v="0"/>
    <x v="545"/>
    <s v="FS1018-HEX-ZZ-ZZ-M-S-0001"/>
  </r>
  <r>
    <s v="FS1018-HEX-ZZ-ZZ-M-S-0002"/>
    <s v="IFC SPF Structural Model"/>
    <x v="3"/>
    <s v="Completed"/>
    <x v="0"/>
    <x v="13"/>
    <x v="2"/>
    <x v="6"/>
    <x v="117"/>
    <b v="0"/>
    <x v="546"/>
    <s v="FS1018-HEX-ZZ-ZZ-M-S-0002"/>
  </r>
  <r>
    <s v="FS1018-HEX-ZZ-ZZ-M-S-0002"/>
    <s v="IFC SPF Structural Model"/>
    <x v="2"/>
    <s v="Completed"/>
    <x v="6"/>
    <x v="13"/>
    <x v="2"/>
    <x v="2"/>
    <x v="4"/>
    <b v="0"/>
    <x v="546"/>
    <s v="FS1018-HEX-ZZ-ZZ-M-S-0002"/>
  </r>
  <r>
    <s v="FS1018-HEX-ZZ-ZZ-M-S-0002"/>
    <s v="IFC SPF Structural Model"/>
    <x v="7"/>
    <s v="In Progress"/>
    <x v="1"/>
    <x v="1"/>
    <x v="1"/>
    <x v="1"/>
    <x v="0"/>
    <b v="0"/>
    <x v="546"/>
    <s v="FS1018-HEX-ZZ-ZZ-M-S-0002"/>
  </r>
  <r>
    <s v="FS1018-HEX-ZZ-ZZ-M-S-0003"/>
    <s v="Navis Structural Model"/>
    <x v="3"/>
    <s v="Completed"/>
    <x v="0"/>
    <x v="13"/>
    <x v="2"/>
    <x v="6"/>
    <x v="118"/>
    <b v="0"/>
    <x v="547"/>
    <s v="FS1018-HEX-ZZ-ZZ-M-S-0003"/>
  </r>
  <r>
    <s v="FS1018-HEX-ZZ-ZZ-M-S-0003"/>
    <s v="Navis Structural Model"/>
    <x v="2"/>
    <s v="Completed"/>
    <x v="6"/>
    <x v="13"/>
    <x v="2"/>
    <x v="2"/>
    <x v="4"/>
    <b v="0"/>
    <x v="547"/>
    <s v="FS1018-HEX-ZZ-ZZ-M-S-0003"/>
  </r>
  <r>
    <s v="FS1018-HEX-ZZ-ZZ-M-S-0003"/>
    <s v="Navis Structural Model"/>
    <x v="7"/>
    <s v="In Progress"/>
    <x v="1"/>
    <x v="1"/>
    <x v="1"/>
    <x v="1"/>
    <x v="0"/>
    <b v="0"/>
    <x v="547"/>
    <s v="FS1018-HEX-ZZ-ZZ-M-S-0003"/>
  </r>
  <r>
    <s v="FS1018-HEX-ZZ-ZZ-T-C-0001"/>
    <s v="GENERAL NOTES"/>
    <x v="0"/>
    <s v="Completed"/>
    <x v="0"/>
    <x v="8"/>
    <x v="0"/>
    <x v="8"/>
    <x v="0"/>
    <b v="0"/>
    <x v="548"/>
    <s v="FS1018-HEX-ZZ-ZZ-T-C-0001"/>
  </r>
  <r>
    <s v="FS1018-HEX-ZZ-ZZ-T-C-0001"/>
    <s v="General Notes"/>
    <x v="1"/>
    <s v="In Progress"/>
    <x v="1"/>
    <x v="1"/>
    <x v="1"/>
    <x v="1"/>
    <x v="0"/>
    <b v="1"/>
    <x v="548"/>
    <s v="FS1018-HEX-ZZ-ZZ-T-C-0001"/>
  </r>
  <r>
    <s v="FS1018-MAJ-XX-XX-L-X-0090"/>
    <s v="DetailedResponsibilityMatrix"/>
    <x v="0"/>
    <s v="Completed"/>
    <x v="0"/>
    <x v="7"/>
    <x v="0"/>
    <x v="6"/>
    <x v="0"/>
    <b v="0"/>
    <x v="549"/>
    <s v="FS1018-MAJ-XX-XX-L-X-0090"/>
  </r>
  <r>
    <s v="FS1018-MAJ-XX-XX-L-X-0090"/>
    <s v="Detailed Responsibility Matrix"/>
    <x v="1"/>
    <s v="In Progress"/>
    <x v="1"/>
    <x v="1"/>
    <x v="1"/>
    <x v="1"/>
    <x v="0"/>
    <b v="1"/>
    <x v="550"/>
    <s v="FS1018-MAJ-XX-XX-L-X-0090"/>
  </r>
  <r>
    <s v="FS1018-MAJ-XX-XX-L-X-8001"/>
    <s v="AssetRegister"/>
    <x v="0"/>
    <s v="Completed"/>
    <x v="0"/>
    <x v="7"/>
    <x v="3"/>
    <x v="6"/>
    <x v="119"/>
    <b v="0"/>
    <x v="551"/>
    <s v="FS1018-MAJ-XX-XX-L-X-8001"/>
  </r>
  <r>
    <s v="FS1018-MAJ-XX-XX-L-X-8001"/>
    <s v="Asset Register"/>
    <x v="1"/>
    <s v="In Progress"/>
    <x v="1"/>
    <x v="1"/>
    <x v="1"/>
    <x v="1"/>
    <x v="0"/>
    <b v="1"/>
    <x v="552"/>
    <s v="FS1018-MAJ-XX-XX-L-X-8001"/>
  </r>
  <r>
    <s v="FS1018-MAJ-XX-XX-L-X-8002"/>
    <s v="COBieQCReport"/>
    <x v="0"/>
    <s v="Completed"/>
    <x v="0"/>
    <x v="7"/>
    <x v="3"/>
    <x v="6"/>
    <x v="120"/>
    <b v="0"/>
    <x v="553"/>
    <s v="FS1018-MAJ-XX-XX-L-X-8002"/>
  </r>
  <r>
    <s v="FS1018-MAJ-XX-XX-L-X-8002"/>
    <s v="COBie QC Report"/>
    <x v="1"/>
    <s v="In Progress"/>
    <x v="1"/>
    <x v="1"/>
    <x v="1"/>
    <x v="1"/>
    <x v="0"/>
    <b v="1"/>
    <x v="554"/>
    <s v="FS1018-MAJ-XX-XX-L-X-8002"/>
  </r>
  <r>
    <s v="FS1018-MAJ-XX-XX-T-X-0001"/>
    <s v="BIM Execution Plan"/>
    <x v="1"/>
    <s v="Completed"/>
    <x v="0"/>
    <x v="7"/>
    <x v="3"/>
    <x v="6"/>
    <x v="121"/>
    <b v="1"/>
    <x v="555"/>
    <s v="FS1018-MAJ-XX-XX-T-X-0001"/>
  </r>
  <r>
    <s v="FS1018-MAJ-XX-XX-T-X-0001"/>
    <s v="BIM Execution Plan"/>
    <x v="5"/>
    <s v="In Progress"/>
    <x v="1"/>
    <x v="1"/>
    <x v="1"/>
    <x v="1"/>
    <x v="0"/>
    <b v="0"/>
    <x v="555"/>
    <s v="FS1018-MAJ-XX-XX-T-X-0001"/>
  </r>
  <r>
    <s v="FS1018-MAJ-XX-XX-T-X-1001"/>
    <s v="InformationManagersReport"/>
    <x v="0"/>
    <s v="Completed"/>
    <x v="0"/>
    <x v="7"/>
    <x v="2"/>
    <x v="6"/>
    <x v="122"/>
    <b v="0"/>
    <x v="556"/>
    <s v="FS1018-MAJ-XX-XX-T-X-1001"/>
  </r>
  <r>
    <s v="FS1018-MAJ-XX-XX-T-X-1001"/>
    <s v="Information Managers Report"/>
    <x v="2"/>
    <s v="In Progress"/>
    <x v="1"/>
    <x v="1"/>
    <x v="1"/>
    <x v="1"/>
    <x v="0"/>
    <b v="0"/>
    <x v="557"/>
    <s v="FS1018-MAJ-XX-XX-T-X-1001"/>
  </r>
  <r>
    <s v="FS1018-MAJ-ZZ-ZZ-M-X-0001"/>
    <s v="FederatedInformationModel"/>
    <x v="0"/>
    <s v="Completed"/>
    <x v="0"/>
    <x v="7"/>
    <x v="2"/>
    <x v="6"/>
    <x v="123"/>
    <b v="0"/>
    <x v="558"/>
    <s v="FS1018-MAJ-ZZ-ZZ-M-X-0001"/>
  </r>
  <r>
    <s v="FS1018-MAJ-ZZ-ZZ-M-X-0001"/>
    <s v="Federated Information Model"/>
    <x v="5"/>
    <s v="In Progress"/>
    <x v="1"/>
    <x v="1"/>
    <x v="1"/>
    <x v="1"/>
    <x v="0"/>
    <b v="0"/>
    <x v="559"/>
    <s v="FS1018-MAJ-ZZ-ZZ-M-X-0001"/>
  </r>
  <r>
    <s v="FS1018-OFR-XX-00-D-K-0001"/>
    <s v="Fire Safety Mark"/>
    <x v="0"/>
    <s v="Completed"/>
    <x v="22"/>
    <x v="0"/>
    <x v="3"/>
    <x v="0"/>
    <x v="124"/>
    <b v="0"/>
    <x v="560"/>
    <s v="FS1018-OFR-XX-00-D-K-0001"/>
  </r>
  <r>
    <s v="FS1018-OFR-XX-00-D-K-0001"/>
    <s v="Fire Strategy Markup"/>
    <x v="1"/>
    <s v="Completed"/>
    <x v="23"/>
    <x v="2"/>
    <x v="2"/>
    <x v="2"/>
    <x v="4"/>
    <b v="1"/>
    <x v="561"/>
    <s v="FS1018-OFR-XX-00-D-K-0001"/>
  </r>
  <r>
    <s v="FS1018-OFR-XX-01-D-K-0001"/>
    <s v="Fire Safety Mark"/>
    <x v="0"/>
    <s v="Completed"/>
    <x v="22"/>
    <x v="0"/>
    <x v="3"/>
    <x v="0"/>
    <x v="124"/>
    <b v="0"/>
    <x v="562"/>
    <s v="FS1018-OFR-XX-01-D-K-0001"/>
  </r>
  <r>
    <s v="FS1018-OFR-XX-01-D-K-0001"/>
    <s v="Fire Strategy Markup"/>
    <x v="1"/>
    <s v="Completed"/>
    <x v="23"/>
    <x v="2"/>
    <x v="2"/>
    <x v="2"/>
    <x v="4"/>
    <b v="1"/>
    <x v="563"/>
    <s v="FS1018-OFR-XX-01-D-K-0001"/>
  </r>
  <r>
    <s v="FS1018-OFR-XX-02-D-K-0001"/>
    <s v="Fire Safety Mark"/>
    <x v="0"/>
    <s v="Completed"/>
    <x v="22"/>
    <x v="0"/>
    <x v="3"/>
    <x v="0"/>
    <x v="124"/>
    <b v="0"/>
    <x v="564"/>
    <s v="FS1018-OFR-XX-02-D-K-0001"/>
  </r>
  <r>
    <s v="FS1018-OFR-XX-02-D-K-0001"/>
    <s v="Fire Strategy Markup"/>
    <x v="1"/>
    <s v="Completed"/>
    <x v="24"/>
    <x v="2"/>
    <x v="2"/>
    <x v="2"/>
    <x v="4"/>
    <b v="1"/>
    <x v="565"/>
    <s v="FS1018-OFR-XX-02-D-K-0001"/>
  </r>
  <r>
    <s v="FS1018-OFR-XX-RF-D-K-0001"/>
    <s v="Fire Strategy Markup"/>
    <x v="0"/>
    <s v="Completed"/>
    <x v="24"/>
    <x v="2"/>
    <x v="2"/>
    <x v="2"/>
    <x v="4"/>
    <b v="0"/>
    <x v="566"/>
    <s v="FS1018-OFR-XX-RF-D-K-0001"/>
  </r>
  <r>
    <s v="FS1018-OFR-XX-XX-D-K-0001"/>
    <s v="Fire Safety Mark"/>
    <x v="0"/>
    <s v="Completed"/>
    <x v="22"/>
    <x v="0"/>
    <x v="3"/>
    <x v="0"/>
    <x v="124"/>
    <b v="0"/>
    <x v="567"/>
    <s v="FS1018-OFR-XX-XX-D-K-0001"/>
  </r>
  <r>
    <s v="FS1018-OFR-XX-XX-D-K-0001"/>
    <s v="Fire Strategy Markup"/>
    <x v="1"/>
    <s v="Completed"/>
    <x v="23"/>
    <x v="2"/>
    <x v="2"/>
    <x v="2"/>
    <x v="4"/>
    <b v="1"/>
    <x v="568"/>
    <s v="FS1018-OFR-XX-XX-D-K-0001"/>
  </r>
  <r>
    <s v="FS1018-OFR-XX-ZZ-G-K-0001"/>
    <s v="Fire Strategy Report"/>
    <x v="0"/>
    <s v="Completed"/>
    <x v="22"/>
    <x v="0"/>
    <x v="3"/>
    <x v="0"/>
    <x v="125"/>
    <b v="0"/>
    <x v="569"/>
    <s v="FS1018-OFR-XX-ZZ-G-K-0001"/>
  </r>
  <r>
    <s v="FS1018-OFR-XX-ZZ-G-K-0001"/>
    <s v="Fire Strategy Report"/>
    <x v="1"/>
    <s v="Completed"/>
    <x v="24"/>
    <x v="2"/>
    <x v="2"/>
    <x v="2"/>
    <x v="4"/>
    <b v="1"/>
    <x v="569"/>
    <s v="FS1018-OFR-XX-ZZ-G-K-0001"/>
  </r>
  <r>
    <s v="FS1018-OFR-XX-ZZ-G-K-0001"/>
    <s v="Fire Strategy Report"/>
    <x v="14"/>
    <s v="In Progress"/>
    <x v="1"/>
    <x v="1"/>
    <x v="1"/>
    <x v="1"/>
    <x v="0"/>
    <b v="0"/>
    <x v="569"/>
    <s v="FS1018-OFR-XX-ZZ-G-K-0001"/>
  </r>
  <r>
    <s v="FS1018-ONE-00-XX-T-L-0001"/>
    <s v="OutlineSpecification"/>
    <x v="0"/>
    <s v="Completed"/>
    <x v="0"/>
    <x v="14"/>
    <x v="2"/>
    <x v="0"/>
    <x v="126"/>
    <b v="0"/>
    <x v="570"/>
    <s v="FS1018-ONE-00-XX-T-L-0001"/>
  </r>
  <r>
    <s v="FS1018-ONE-XX-XX-T-L-0001"/>
    <s v="Outline Specification"/>
    <x v="1"/>
    <s v="Completed"/>
    <x v="9"/>
    <x v="14"/>
    <x v="2"/>
    <x v="2"/>
    <x v="4"/>
    <b v="1"/>
    <x v="571"/>
    <s v="FS1018-ONE-XX-XX-T-L-0001"/>
  </r>
  <r>
    <s v="FS1018-ONE-XX-XX-T-L-0001"/>
    <s v="Outline Specification"/>
    <x v="2"/>
    <s v="In Progress"/>
    <x v="1"/>
    <x v="1"/>
    <x v="1"/>
    <x v="1"/>
    <x v="0"/>
    <b v="0"/>
    <x v="571"/>
    <s v="FS1018-ONE-XX-XX-T-L-0001"/>
  </r>
  <r>
    <s v="FS1018-ONE-XX-XX-T-L-0002"/>
    <s v="Design Development Schedule"/>
    <x v="0"/>
    <s v="Completed"/>
    <x v="0"/>
    <x v="14"/>
    <x v="2"/>
    <x v="0"/>
    <x v="127"/>
    <b v="0"/>
    <x v="572"/>
    <s v="FS1018-ONE-XX-XX-T-L-0002"/>
  </r>
  <r>
    <s v="FS1018-ONE-XX-XX-T-L-0002"/>
    <s v="Design Development Schedule"/>
    <x v="1"/>
    <s v="In Progress"/>
    <x v="1"/>
    <x v="1"/>
    <x v="1"/>
    <x v="1"/>
    <x v="0"/>
    <b v="1"/>
    <x v="572"/>
    <s v="FS1018-ONE-XX-XX-T-L-0002"/>
  </r>
  <r>
    <s v="FS1018-ONE-XX-XX-T-L-0003"/>
    <s v="Risk Register"/>
    <x v="0"/>
    <s v="Completed"/>
    <x v="4"/>
    <x v="2"/>
    <x v="2"/>
    <x v="2"/>
    <x v="4"/>
    <b v="0"/>
    <x v="573"/>
    <s v="FS1018-ONE-XX-XX-T-L-0003"/>
  </r>
  <r>
    <s v="FS1018-ONE-XX-ZZ-D-L-0001"/>
    <s v="Location Plan"/>
    <x v="1"/>
    <s v="Completed"/>
    <x v="0"/>
    <x v="14"/>
    <x v="0"/>
    <x v="0"/>
    <x v="0"/>
    <b v="1"/>
    <x v="574"/>
    <s v="FS1018-ONE-XX-ZZ-D-L-0001"/>
  </r>
  <r>
    <s v="FS1018-ONE-XX-ZZ-D-L-0001"/>
    <s v="Location Plan"/>
    <x v="1"/>
    <s v="Completed"/>
    <x v="23"/>
    <x v="2"/>
    <x v="2"/>
    <x v="2"/>
    <x v="4"/>
    <b v="1"/>
    <x v="574"/>
    <s v="FS1018-ONE-XX-ZZ-D-L-0001"/>
  </r>
  <r>
    <s v="FS1018-ONE-XX-ZZ-D-L-0001"/>
    <s v="Location Plan"/>
    <x v="14"/>
    <s v="In Progress"/>
    <x v="1"/>
    <x v="1"/>
    <x v="1"/>
    <x v="1"/>
    <x v="0"/>
    <b v="0"/>
    <x v="574"/>
    <s v="FS1018-ONE-XX-ZZ-D-L-0001"/>
  </r>
  <r>
    <s v="FS1018-ONE-XX-ZZ-D-L-0002"/>
    <s v="Existing Site Plan"/>
    <x v="14"/>
    <s v="Completed"/>
    <x v="0"/>
    <x v="14"/>
    <x v="0"/>
    <x v="0"/>
    <x v="0"/>
    <b v="0"/>
    <x v="575"/>
    <s v="FS1018-ONE-XX-ZZ-D-L-0002"/>
  </r>
  <r>
    <s v="FS1018-ONE-XX-ZZ-D-L-0002"/>
    <s v="Existing Site Plan"/>
    <x v="14"/>
    <s v="Completed"/>
    <x v="23"/>
    <x v="2"/>
    <x v="2"/>
    <x v="2"/>
    <x v="4"/>
    <b v="0"/>
    <x v="575"/>
    <s v="FS1018-ONE-XX-ZZ-D-L-0002"/>
  </r>
  <r>
    <s v="FS1018-ONE-XX-ZZ-D-L-0002"/>
    <s v="Existing Site Plan"/>
    <x v="13"/>
    <s v="In Progress"/>
    <x v="1"/>
    <x v="1"/>
    <x v="1"/>
    <x v="1"/>
    <x v="0"/>
    <b v="0"/>
    <x v="575"/>
    <s v="FS1018-ONE-XX-ZZ-D-L-0002"/>
  </r>
  <r>
    <s v="FS1018-ONE-XX-ZZ-D-L-0003"/>
    <s v="Whole Site Plan"/>
    <x v="13"/>
    <s v="Completed"/>
    <x v="0"/>
    <x v="14"/>
    <x v="2"/>
    <x v="0"/>
    <x v="128"/>
    <b v="0"/>
    <x v="576"/>
    <s v="FS1018-ONE-XX-ZZ-D-L-0003"/>
  </r>
  <r>
    <s v="FS1018-ONE-XX-ZZ-D-L-0003"/>
    <s v="Whole Site Plan"/>
    <x v="15"/>
    <s v="Completed"/>
    <x v="4"/>
    <x v="2"/>
    <x v="2"/>
    <x v="2"/>
    <x v="4"/>
    <b v="0"/>
    <x v="576"/>
    <s v="FS1018-ONE-XX-ZZ-D-L-0003"/>
  </r>
  <r>
    <s v="FS1018-ONE-XX-ZZ-D-L-0003"/>
    <s v="Whole Site Plan"/>
    <x v="16"/>
    <s v="In Progress"/>
    <x v="1"/>
    <x v="1"/>
    <x v="1"/>
    <x v="1"/>
    <x v="0"/>
    <b v="0"/>
    <x v="576"/>
    <s v="FS1018-ONE-XX-ZZ-D-L-0003"/>
  </r>
  <r>
    <s v="FS1018-ONE-XX-ZZ-D-L-0004"/>
    <s v="Site Landscaping Plan 1 of 5"/>
    <x v="1"/>
    <s v="Completed"/>
    <x v="0"/>
    <x v="14"/>
    <x v="2"/>
    <x v="0"/>
    <x v="129"/>
    <b v="1"/>
    <x v="577"/>
    <s v="FS1018-ONE-XX-ZZ-D-L-0004"/>
  </r>
  <r>
    <s v="FS1018-ONE-XX-ZZ-D-L-0004"/>
    <s v="Site Landscaping Plan 1 of 5"/>
    <x v="2"/>
    <s v="Completed"/>
    <x v="23"/>
    <x v="2"/>
    <x v="2"/>
    <x v="2"/>
    <x v="4"/>
    <b v="0"/>
    <x v="577"/>
    <s v="FS1018-ONE-XX-ZZ-D-L-0004"/>
  </r>
  <r>
    <s v="FS1018-ONE-XX-ZZ-D-L-0004"/>
    <s v="Site Landscaping Plan 1 of 5"/>
    <x v="13"/>
    <s v="In Progress"/>
    <x v="1"/>
    <x v="1"/>
    <x v="1"/>
    <x v="1"/>
    <x v="0"/>
    <b v="0"/>
    <x v="577"/>
    <s v="FS1018-ONE-XX-ZZ-D-L-0004"/>
  </r>
  <r>
    <s v="FS1018-ONE-XX-ZZ-D-L-0005"/>
    <s v="Site Landscaping Plan 2 of 5"/>
    <x v="1"/>
    <s v="Completed"/>
    <x v="0"/>
    <x v="14"/>
    <x v="2"/>
    <x v="0"/>
    <x v="129"/>
    <b v="1"/>
    <x v="578"/>
    <s v="FS1018-ONE-XX-ZZ-D-L-0005"/>
  </r>
  <r>
    <s v="FS1018-ONE-XX-ZZ-D-L-0005"/>
    <s v="Site Landscaping Plan 2 of 5"/>
    <x v="2"/>
    <s v="Completed"/>
    <x v="23"/>
    <x v="2"/>
    <x v="2"/>
    <x v="2"/>
    <x v="4"/>
    <b v="0"/>
    <x v="578"/>
    <s v="FS1018-ONE-XX-ZZ-D-L-0005"/>
  </r>
  <r>
    <s v="FS1018-ONE-XX-ZZ-D-L-0005"/>
    <s v="Site Landscaping Plan 2 of 5"/>
    <x v="13"/>
    <s v="In Progress"/>
    <x v="1"/>
    <x v="1"/>
    <x v="1"/>
    <x v="1"/>
    <x v="0"/>
    <b v="0"/>
    <x v="578"/>
    <s v="FS1018-ONE-XX-ZZ-D-L-0005"/>
  </r>
  <r>
    <s v="FS1018-ONE-XX-ZZ-D-L-0006"/>
    <s v="Site Landscaping Plan 3 of 5"/>
    <x v="1"/>
    <s v="Completed"/>
    <x v="0"/>
    <x v="14"/>
    <x v="2"/>
    <x v="0"/>
    <x v="129"/>
    <b v="1"/>
    <x v="579"/>
    <s v="FS1018-ONE-XX-ZZ-D-L-0006"/>
  </r>
  <r>
    <s v="FS1018-ONE-XX-ZZ-D-L-0006"/>
    <s v="Site Landscaping Plan 3 of 5"/>
    <x v="2"/>
    <s v="Completed"/>
    <x v="23"/>
    <x v="2"/>
    <x v="2"/>
    <x v="2"/>
    <x v="4"/>
    <b v="0"/>
    <x v="579"/>
    <s v="FS1018-ONE-XX-ZZ-D-L-0006"/>
  </r>
  <r>
    <s v="FS1018-ONE-XX-ZZ-D-L-0006"/>
    <s v="Site Landscaping Plan 3 of 5"/>
    <x v="13"/>
    <s v="In Progress"/>
    <x v="1"/>
    <x v="1"/>
    <x v="1"/>
    <x v="1"/>
    <x v="0"/>
    <b v="0"/>
    <x v="579"/>
    <s v="FS1018-ONE-XX-ZZ-D-L-0006"/>
  </r>
  <r>
    <s v="FS1018-ONE-XX-ZZ-D-L-0007"/>
    <s v="Site Landscaping Plan 4 of 5"/>
    <x v="1"/>
    <s v="Completed"/>
    <x v="0"/>
    <x v="14"/>
    <x v="2"/>
    <x v="0"/>
    <x v="129"/>
    <b v="1"/>
    <x v="580"/>
    <s v="FS1018-ONE-XX-ZZ-D-L-0007"/>
  </r>
  <r>
    <s v="FS1018-ONE-XX-ZZ-D-L-0007"/>
    <s v="Site Landscaping Plan 4 of 5"/>
    <x v="2"/>
    <s v="Completed"/>
    <x v="23"/>
    <x v="2"/>
    <x v="2"/>
    <x v="2"/>
    <x v="4"/>
    <b v="0"/>
    <x v="580"/>
    <s v="FS1018-ONE-XX-ZZ-D-L-0007"/>
  </r>
  <r>
    <s v="FS1018-ONE-XX-ZZ-D-L-0007"/>
    <s v="Site Landscaping Plan 4 of 5"/>
    <x v="13"/>
    <s v="In Progress"/>
    <x v="1"/>
    <x v="1"/>
    <x v="1"/>
    <x v="1"/>
    <x v="0"/>
    <b v="0"/>
    <x v="580"/>
    <s v="FS1018-ONE-XX-ZZ-D-L-0007"/>
  </r>
  <r>
    <s v="FS1018-ONE-XX-ZZ-D-L-0008"/>
    <s v="Site Landscaping Plan 5 of 5"/>
    <x v="1"/>
    <s v="Completed"/>
    <x v="0"/>
    <x v="14"/>
    <x v="2"/>
    <x v="0"/>
    <x v="129"/>
    <b v="1"/>
    <x v="581"/>
    <s v="FS1018-ONE-XX-ZZ-D-L-0008"/>
  </r>
  <r>
    <s v="FS1018-ONE-XX-ZZ-D-L-0008"/>
    <s v="Site Landscaping Plan 5 of 5"/>
    <x v="2"/>
    <s v="Completed"/>
    <x v="23"/>
    <x v="2"/>
    <x v="2"/>
    <x v="2"/>
    <x v="4"/>
    <b v="0"/>
    <x v="581"/>
    <s v="FS1018-ONE-XX-ZZ-D-L-0008"/>
  </r>
  <r>
    <s v="FS1018-ONE-XX-ZZ-D-L-0008"/>
    <s v="Site Landscaping Plan 5 of 5"/>
    <x v="13"/>
    <s v="In Progress"/>
    <x v="1"/>
    <x v="1"/>
    <x v="1"/>
    <x v="1"/>
    <x v="0"/>
    <b v="0"/>
    <x v="581"/>
    <s v="FS1018-ONE-XX-ZZ-D-L-0008"/>
  </r>
  <r>
    <s v="FS1018-ONE-XX-ZZ-D-L-0009"/>
    <s v="Access Security Strategy"/>
    <x v="2"/>
    <s v="Completed"/>
    <x v="0"/>
    <x v="14"/>
    <x v="2"/>
    <x v="0"/>
    <x v="130"/>
    <b v="0"/>
    <x v="582"/>
    <s v="FS1018-ONE-XX-ZZ-D-L-0009"/>
  </r>
  <r>
    <s v="FS1018-ONE-XX-ZZ-D-L-0009"/>
    <s v="Access and Security Strategy (with external fences)"/>
    <x v="5"/>
    <s v="Completed"/>
    <x v="4"/>
    <x v="2"/>
    <x v="2"/>
    <x v="2"/>
    <x v="4"/>
    <b v="0"/>
    <x v="583"/>
    <s v="FS1018-ONE-XX-ZZ-D-L-0009"/>
  </r>
  <r>
    <s v="FS1018-ONE-XX-ZZ-D-L-0009"/>
    <s v="Access and Security Strategy"/>
    <x v="6"/>
    <s v="In Progress"/>
    <x v="1"/>
    <x v="1"/>
    <x v="1"/>
    <x v="1"/>
    <x v="0"/>
    <b v="0"/>
    <x v="584"/>
    <s v="FS1018-ONE-XX-ZZ-D-L-0009"/>
  </r>
  <r>
    <s v="FS1018-ONE-XX-ZZ-D-L-0010"/>
    <s v="Circulation Strategy"/>
    <x v="3"/>
    <s v="Completed"/>
    <x v="0"/>
    <x v="14"/>
    <x v="2"/>
    <x v="0"/>
    <x v="131"/>
    <b v="0"/>
    <x v="585"/>
    <s v="FS1018-ONE-XX-ZZ-D-L-0010"/>
  </r>
  <r>
    <s v="FS1018-ONE-XX-ZZ-D-L-0010"/>
    <s v="Circulation Strategy"/>
    <x v="2"/>
    <s v="Completed"/>
    <x v="23"/>
    <x v="2"/>
    <x v="2"/>
    <x v="2"/>
    <x v="4"/>
    <b v="0"/>
    <x v="585"/>
    <s v="FS1018-ONE-XX-ZZ-D-L-0010"/>
  </r>
  <r>
    <s v="FS1018-ONE-XX-ZZ-D-L-0010"/>
    <s v="Circulation Strategy"/>
    <x v="5"/>
    <s v="In Progress"/>
    <x v="1"/>
    <x v="1"/>
    <x v="1"/>
    <x v="1"/>
    <x v="0"/>
    <b v="0"/>
    <x v="585"/>
    <s v="FS1018-ONE-XX-ZZ-D-L-0010"/>
  </r>
  <r>
    <s v="FS1018-ONE-XX-ZZ-D-L-0011"/>
    <s v="External Sports Provision"/>
    <x v="3"/>
    <s v="Completed"/>
    <x v="0"/>
    <x v="14"/>
    <x v="2"/>
    <x v="0"/>
    <x v="131"/>
    <b v="0"/>
    <x v="586"/>
    <s v="FS1018-ONE-XX-ZZ-D-L-0011"/>
  </r>
  <r>
    <s v="FS1018-ONE-XX-ZZ-D-L-0011"/>
    <s v="External Sports Provision"/>
    <x v="14"/>
    <s v="Completed"/>
    <x v="23"/>
    <x v="2"/>
    <x v="2"/>
    <x v="2"/>
    <x v="4"/>
    <b v="0"/>
    <x v="586"/>
    <s v="FS1018-ONE-XX-ZZ-D-L-0011"/>
  </r>
  <r>
    <s v="FS1018-ONE-XX-ZZ-D-L-0011"/>
    <s v="External Sports Provision"/>
    <x v="13"/>
    <s v="In Progress"/>
    <x v="1"/>
    <x v="1"/>
    <x v="1"/>
    <x v="1"/>
    <x v="0"/>
    <b v="0"/>
    <x v="586"/>
    <s v="FS1018-ONE-XX-ZZ-D-L-0011"/>
  </r>
  <r>
    <s v="FS1018-ONE-XX-ZZ-D-L-0012"/>
    <s v="Green Infrastructure Plan"/>
    <x v="2"/>
    <s v="Completed"/>
    <x v="0"/>
    <x v="14"/>
    <x v="2"/>
    <x v="0"/>
    <x v="132"/>
    <b v="0"/>
    <x v="587"/>
    <s v="FS1018-ONE-XX-ZZ-D-L-0012"/>
  </r>
  <r>
    <s v="FS1018-ONE-XX-ZZ-D-L-0012"/>
    <s v="Green Infrastructure Plan"/>
    <x v="5"/>
    <s v="Completed"/>
    <x v="23"/>
    <x v="2"/>
    <x v="2"/>
    <x v="2"/>
    <x v="4"/>
    <b v="0"/>
    <x v="587"/>
    <s v="FS1018-ONE-XX-ZZ-D-L-0012"/>
  </r>
  <r>
    <s v="FS1018-ONE-XX-ZZ-D-L-0012"/>
    <s v="Green Infrastructure Plan"/>
    <x v="6"/>
    <s v="In Progress"/>
    <x v="1"/>
    <x v="1"/>
    <x v="1"/>
    <x v="1"/>
    <x v="0"/>
    <b v="0"/>
    <x v="587"/>
    <s v="FS1018-ONE-XX-ZZ-D-L-0012"/>
  </r>
  <r>
    <s v="FS1018-ONE-XX-ZZ-D-L-0013"/>
    <s v="BB103 Guidance"/>
    <x v="1"/>
    <s v="Completed"/>
    <x v="0"/>
    <x v="14"/>
    <x v="2"/>
    <x v="0"/>
    <x v="133"/>
    <b v="1"/>
    <x v="588"/>
    <s v="FS1018-ONE-XX-ZZ-D-L-0013"/>
  </r>
  <r>
    <s v="FS1018-ONE-XX-ZZ-D-L-0013"/>
    <s v="BB103 Guidance"/>
    <x v="3"/>
    <s v="Completed"/>
    <x v="23"/>
    <x v="2"/>
    <x v="2"/>
    <x v="2"/>
    <x v="4"/>
    <b v="0"/>
    <x v="588"/>
    <s v="FS1018-ONE-XX-ZZ-D-L-0013"/>
  </r>
  <r>
    <s v="FS1018-ONE-XX-ZZ-D-L-0013"/>
    <s v="BB103 Guidance"/>
    <x v="14"/>
    <s v="In Progress"/>
    <x v="1"/>
    <x v="1"/>
    <x v="1"/>
    <x v="1"/>
    <x v="0"/>
    <b v="0"/>
    <x v="588"/>
    <s v="FS1018-ONE-XX-ZZ-D-L-0013"/>
  </r>
  <r>
    <s v="FS1018-ONE-XX-ZZ-D-L-0014"/>
    <s v="Hazard Identification Plan"/>
    <x v="1"/>
    <s v="Completed"/>
    <x v="0"/>
    <x v="14"/>
    <x v="2"/>
    <x v="0"/>
    <x v="134"/>
    <b v="1"/>
    <x v="589"/>
    <s v="FS1018-ONE-XX-ZZ-D-L-0014"/>
  </r>
  <r>
    <s v="FS1018-ONE-XX-ZZ-D-L-0014"/>
    <s v="Hazard Identification Plan"/>
    <x v="2"/>
    <s v="Completed"/>
    <x v="23"/>
    <x v="2"/>
    <x v="2"/>
    <x v="2"/>
    <x v="4"/>
    <b v="0"/>
    <x v="589"/>
    <s v="FS1018-ONE-XX-ZZ-D-L-0014"/>
  </r>
  <r>
    <s v="FS1018-ONE-XX-ZZ-D-L-0014"/>
    <s v="Hazard Identification Plan"/>
    <x v="5"/>
    <s v="In Progress"/>
    <x v="1"/>
    <x v="1"/>
    <x v="1"/>
    <x v="1"/>
    <x v="0"/>
    <b v="0"/>
    <x v="589"/>
    <s v="FS1018-ONE-XX-ZZ-D-L-0014"/>
  </r>
  <r>
    <s v="FS1018-ONE-XX-ZZ-D-L-0015"/>
    <s v="Refurbishment Remodelling Strategy"/>
    <x v="3"/>
    <s v="Completed"/>
    <x v="0"/>
    <x v="14"/>
    <x v="2"/>
    <x v="0"/>
    <x v="135"/>
    <b v="0"/>
    <x v="590"/>
    <s v="FS1018-ONE-XX-ZZ-D-L-0015"/>
  </r>
  <r>
    <s v="FS1018-ONE-XX-ZZ-D-L-0015"/>
    <s v="Refurbishment Remodelling Strategy"/>
    <x v="13"/>
    <s v="Completed"/>
    <x v="23"/>
    <x v="2"/>
    <x v="2"/>
    <x v="2"/>
    <x v="4"/>
    <b v="0"/>
    <x v="590"/>
    <s v="FS1018-ONE-XX-ZZ-D-L-0015"/>
  </r>
  <r>
    <s v="FS1018-ONE-XX-ZZ-D-L-0015"/>
    <s v="Refurbishment Remodelling Strategy"/>
    <x v="7"/>
    <s v="In Progress"/>
    <x v="1"/>
    <x v="1"/>
    <x v="1"/>
    <x v="1"/>
    <x v="0"/>
    <b v="0"/>
    <x v="590"/>
    <s v="FS1018-ONE-XX-ZZ-D-L-0015"/>
  </r>
  <r>
    <s v="FS1018-ONE-XX-ZZ-D-L-0017"/>
    <s v="Site Sections"/>
    <x v="0"/>
    <s v="Completed"/>
    <x v="23"/>
    <x v="2"/>
    <x v="2"/>
    <x v="2"/>
    <x v="4"/>
    <b v="0"/>
    <x v="591"/>
    <s v="FS1018-ONE-XX-ZZ-D-L-0017"/>
  </r>
  <r>
    <s v="FS1018-ONE-XX-ZZ-D-L-0017"/>
    <s v="Site Sections"/>
    <x v="3"/>
    <s v="In Progress"/>
    <x v="1"/>
    <x v="1"/>
    <x v="1"/>
    <x v="1"/>
    <x v="0"/>
    <b v="0"/>
    <x v="591"/>
    <s v="FS1018-ONE-XX-ZZ-D-L-0017"/>
  </r>
  <r>
    <s v="FS1018-ONE-XX-ZZ-D-L-0021"/>
    <s v="Existing Site Plan 1 of 5"/>
    <x v="1"/>
    <s v="In Progress"/>
    <x v="1"/>
    <x v="1"/>
    <x v="1"/>
    <x v="1"/>
    <x v="0"/>
    <b v="1"/>
    <x v="592"/>
    <s v="FS1018-ONE-XX-ZZ-D-L-0021"/>
  </r>
  <r>
    <s v="FS1018-ONE-XX-ZZ-D-L-0022"/>
    <s v="Existing Site Plan 2 of 5"/>
    <x v="1"/>
    <s v="In Progress"/>
    <x v="1"/>
    <x v="1"/>
    <x v="1"/>
    <x v="1"/>
    <x v="0"/>
    <b v="1"/>
    <x v="593"/>
    <s v="FS1018-ONE-XX-ZZ-D-L-0022"/>
  </r>
  <r>
    <s v="FS1018-ONE-XX-ZZ-D-L-0023"/>
    <s v="Existing Site Plan 3 of 5"/>
    <x v="1"/>
    <s v="In Progress"/>
    <x v="1"/>
    <x v="1"/>
    <x v="1"/>
    <x v="1"/>
    <x v="0"/>
    <b v="1"/>
    <x v="594"/>
    <s v="FS1018-ONE-XX-ZZ-D-L-0023"/>
  </r>
  <r>
    <s v="FS1018-ONE-XX-ZZ-D-L-0024"/>
    <s v="Existing Site Plan 4 of 5"/>
    <x v="1"/>
    <s v="In Progress"/>
    <x v="1"/>
    <x v="1"/>
    <x v="1"/>
    <x v="1"/>
    <x v="0"/>
    <b v="1"/>
    <x v="595"/>
    <s v="FS1018-ONE-XX-ZZ-D-L-0024"/>
  </r>
  <r>
    <s v="FS1018-ONE-XX-ZZ-D-L-0025"/>
    <s v="Existing Site Plan 5 of 5"/>
    <x v="1"/>
    <s v="In Progress"/>
    <x v="1"/>
    <x v="1"/>
    <x v="1"/>
    <x v="1"/>
    <x v="0"/>
    <b v="1"/>
    <x v="596"/>
    <s v="FS1018-ONE-XX-ZZ-D-L-0025"/>
  </r>
  <r>
    <s v="FS1018-ONE-XX-ZZ-D-L-0201"/>
    <s v="Detailed Planting Plan Sheet 1of 5"/>
    <x v="0"/>
    <s v="Completed"/>
    <x v="23"/>
    <x v="2"/>
    <x v="2"/>
    <x v="2"/>
    <x v="4"/>
    <b v="0"/>
    <x v="597"/>
    <s v="FS1018-ONE-XX-ZZ-D-L-0201"/>
  </r>
  <r>
    <s v="FS1018-ONE-XX-ZZ-D-L-0201"/>
    <s v="Detailed Planting Plan Sheet 1 of 5"/>
    <x v="3"/>
    <s v="In Progress"/>
    <x v="1"/>
    <x v="1"/>
    <x v="1"/>
    <x v="1"/>
    <x v="0"/>
    <b v="0"/>
    <x v="598"/>
    <s v="FS1018-ONE-XX-ZZ-D-L-0201"/>
  </r>
  <r>
    <s v="FS1018-ONE-XX-ZZ-D-L-0202"/>
    <s v="Detailed Planting Plan Sheet 2of 5"/>
    <x v="0"/>
    <s v="Completed"/>
    <x v="23"/>
    <x v="2"/>
    <x v="2"/>
    <x v="2"/>
    <x v="4"/>
    <b v="0"/>
    <x v="599"/>
    <s v="FS1018-ONE-XX-ZZ-D-L-0202"/>
  </r>
  <r>
    <s v="FS1018-ONE-XX-ZZ-D-L-0202"/>
    <s v="Detailed Planting Plan Sheet 2 of 5"/>
    <x v="3"/>
    <s v="In Progress"/>
    <x v="1"/>
    <x v="1"/>
    <x v="1"/>
    <x v="1"/>
    <x v="0"/>
    <b v="0"/>
    <x v="600"/>
    <s v="FS1018-ONE-XX-ZZ-D-L-0202"/>
  </r>
  <r>
    <s v="FS1018-ONE-XX-ZZ-D-L-0203"/>
    <s v="Detailed Planting Plan Sheet 3of 5"/>
    <x v="0"/>
    <s v="Completed"/>
    <x v="23"/>
    <x v="2"/>
    <x v="2"/>
    <x v="2"/>
    <x v="4"/>
    <b v="0"/>
    <x v="601"/>
    <s v="FS1018-ONE-XX-ZZ-D-L-0203"/>
  </r>
  <r>
    <s v="FS1018-ONE-XX-ZZ-D-L-0203"/>
    <s v="Detailed Planting Plan Sheet 3 of 5"/>
    <x v="2"/>
    <s v="In Progress"/>
    <x v="1"/>
    <x v="1"/>
    <x v="1"/>
    <x v="1"/>
    <x v="0"/>
    <b v="0"/>
    <x v="602"/>
    <s v="FS1018-ONE-XX-ZZ-D-L-0203"/>
  </r>
  <r>
    <s v="FS1018-ONE-XX-ZZ-D-L-0204"/>
    <s v="Detailed Planting Plan Sheet 4of 5"/>
    <x v="0"/>
    <s v="Completed"/>
    <x v="23"/>
    <x v="2"/>
    <x v="2"/>
    <x v="2"/>
    <x v="4"/>
    <b v="0"/>
    <x v="603"/>
    <s v="FS1018-ONE-XX-ZZ-D-L-0204"/>
  </r>
  <r>
    <s v="FS1018-ONE-XX-ZZ-D-L-0204"/>
    <s v="Detailed Planting Plan Sheet 4 of 5"/>
    <x v="3"/>
    <s v="In Progress"/>
    <x v="1"/>
    <x v="1"/>
    <x v="1"/>
    <x v="1"/>
    <x v="0"/>
    <b v="0"/>
    <x v="604"/>
    <s v="FS1018-ONE-XX-ZZ-D-L-0204"/>
  </r>
  <r>
    <s v="FS1018-ONE-XX-ZZ-D-L-0205"/>
    <s v="Detailed Planting Plan Sheet 5of 5"/>
    <x v="1"/>
    <s v="Completed"/>
    <x v="23"/>
    <x v="2"/>
    <x v="2"/>
    <x v="2"/>
    <x v="4"/>
    <b v="1"/>
    <x v="605"/>
    <s v="FS1018-ONE-XX-ZZ-D-L-0205"/>
  </r>
  <r>
    <s v="FS1018-ONE-XX-ZZ-D-L-0205"/>
    <s v="Detailed Planting Plan Sheet 5 of 5"/>
    <x v="2"/>
    <s v="In Progress"/>
    <x v="1"/>
    <x v="1"/>
    <x v="1"/>
    <x v="1"/>
    <x v="0"/>
    <b v="0"/>
    <x v="606"/>
    <s v="FS1018-ONE-XX-ZZ-D-L-0205"/>
  </r>
  <r>
    <s v="FS1018-ONE-XX-ZZ-D-L-0401"/>
    <s v="Outline Levels Plan 1 of 5"/>
    <x v="1"/>
    <s v="Completed"/>
    <x v="0"/>
    <x v="14"/>
    <x v="2"/>
    <x v="0"/>
    <x v="136"/>
    <b v="1"/>
    <x v="607"/>
    <s v="FS1018-ONE-XX-ZZ-D-L-0401"/>
  </r>
  <r>
    <s v="FS1018-ONE-XX-ZZ-D-L-0401"/>
    <s v="Outline Levels Plan 1of 5"/>
    <x v="2"/>
    <s v="Completed"/>
    <x v="23"/>
    <x v="2"/>
    <x v="2"/>
    <x v="2"/>
    <x v="4"/>
    <b v="0"/>
    <x v="608"/>
    <s v="FS1018-ONE-XX-ZZ-D-L-0401"/>
  </r>
  <r>
    <s v="FS1018-ONE-XX-ZZ-D-L-0401"/>
    <s v="Outline Levels Plan 1 of 5"/>
    <x v="13"/>
    <s v="In Progress"/>
    <x v="1"/>
    <x v="1"/>
    <x v="1"/>
    <x v="1"/>
    <x v="0"/>
    <b v="0"/>
    <x v="607"/>
    <s v="FS1018-ONE-XX-ZZ-D-L-0401"/>
  </r>
  <r>
    <s v="FS1018-ONE-XX-ZZ-D-L-0402"/>
    <s v="Outline Levels Plan 2 of 5"/>
    <x v="1"/>
    <s v="Completed"/>
    <x v="0"/>
    <x v="14"/>
    <x v="2"/>
    <x v="9"/>
    <x v="137"/>
    <b v="1"/>
    <x v="609"/>
    <s v="FS1018-ONE-XX-ZZ-D-L-0402"/>
  </r>
  <r>
    <s v="FS1018-ONE-XX-ZZ-D-L-0402"/>
    <s v="Outline Levels Plan 2of 5"/>
    <x v="2"/>
    <s v="Completed"/>
    <x v="23"/>
    <x v="2"/>
    <x v="2"/>
    <x v="2"/>
    <x v="4"/>
    <b v="0"/>
    <x v="610"/>
    <s v="FS1018-ONE-XX-ZZ-D-L-0402"/>
  </r>
  <r>
    <s v="FS1018-ONE-XX-ZZ-D-L-0402"/>
    <s v="Outline Levels Plan 2 of 5"/>
    <x v="13"/>
    <s v="In Progress"/>
    <x v="1"/>
    <x v="1"/>
    <x v="1"/>
    <x v="1"/>
    <x v="0"/>
    <b v="0"/>
    <x v="609"/>
    <s v="FS1018-ONE-XX-ZZ-D-L-0402"/>
  </r>
  <r>
    <s v="FS1018-ONE-XX-ZZ-D-L-0403"/>
    <s v="Outline Levels Plan 3 of 5"/>
    <x v="1"/>
    <s v="Completed"/>
    <x v="0"/>
    <x v="14"/>
    <x v="2"/>
    <x v="9"/>
    <x v="138"/>
    <b v="1"/>
    <x v="611"/>
    <s v="FS1018-ONE-XX-ZZ-D-L-0403"/>
  </r>
  <r>
    <s v="FS1018-ONE-XX-ZZ-D-L-0403"/>
    <s v="Outline Levels Plan 3of 5"/>
    <x v="2"/>
    <s v="Completed"/>
    <x v="23"/>
    <x v="2"/>
    <x v="2"/>
    <x v="2"/>
    <x v="4"/>
    <b v="0"/>
    <x v="612"/>
    <s v="FS1018-ONE-XX-ZZ-D-L-0403"/>
  </r>
  <r>
    <s v="FS1018-ONE-XX-ZZ-D-L-0403"/>
    <s v="Outline Levels Plan 3 of 5"/>
    <x v="13"/>
    <s v="In Progress"/>
    <x v="1"/>
    <x v="1"/>
    <x v="1"/>
    <x v="1"/>
    <x v="0"/>
    <b v="0"/>
    <x v="611"/>
    <s v="FS1018-ONE-XX-ZZ-D-L-0403"/>
  </r>
  <r>
    <s v="FS1018-ONE-XX-ZZ-D-L-0404"/>
    <s v="Outline Levels Plan 4 of 5"/>
    <x v="1"/>
    <s v="Completed"/>
    <x v="0"/>
    <x v="14"/>
    <x v="2"/>
    <x v="9"/>
    <x v="139"/>
    <b v="1"/>
    <x v="613"/>
    <s v="FS1018-ONE-XX-ZZ-D-L-0404"/>
  </r>
  <r>
    <s v="FS1018-ONE-XX-ZZ-D-L-0404"/>
    <s v="Outline Levels Plan 4of 5"/>
    <x v="2"/>
    <s v="Completed"/>
    <x v="23"/>
    <x v="2"/>
    <x v="2"/>
    <x v="2"/>
    <x v="4"/>
    <b v="0"/>
    <x v="614"/>
    <s v="FS1018-ONE-XX-ZZ-D-L-0404"/>
  </r>
  <r>
    <s v="FS1018-ONE-XX-ZZ-D-L-0404"/>
    <s v="Outline Levels Plan 4 of 5"/>
    <x v="5"/>
    <s v="In Progress"/>
    <x v="1"/>
    <x v="1"/>
    <x v="1"/>
    <x v="1"/>
    <x v="0"/>
    <b v="0"/>
    <x v="613"/>
    <s v="FS1018-ONE-XX-ZZ-D-L-0404"/>
  </r>
  <r>
    <s v="FS1018-ONE-XX-ZZ-D-L-0405"/>
    <s v="Outline Levels Plan 5 of 5"/>
    <x v="1"/>
    <s v="Completed"/>
    <x v="0"/>
    <x v="14"/>
    <x v="2"/>
    <x v="9"/>
    <x v="137"/>
    <b v="1"/>
    <x v="615"/>
    <s v="FS1018-ONE-XX-ZZ-D-L-0405"/>
  </r>
  <r>
    <s v="FS1018-ONE-XX-ZZ-D-L-0405"/>
    <s v="Outline Levels Plan 5of 5"/>
    <x v="2"/>
    <s v="Completed"/>
    <x v="23"/>
    <x v="2"/>
    <x v="2"/>
    <x v="2"/>
    <x v="4"/>
    <b v="0"/>
    <x v="616"/>
    <s v="FS1018-ONE-XX-ZZ-D-L-0405"/>
  </r>
  <r>
    <s v="FS1018-ONE-XX-ZZ-D-L-0405"/>
    <s v="Outline Levels Plan 5 of 5"/>
    <x v="5"/>
    <s v="In Progress"/>
    <x v="1"/>
    <x v="1"/>
    <x v="1"/>
    <x v="1"/>
    <x v="0"/>
    <b v="0"/>
    <x v="615"/>
    <s v="FS1018-ONE-XX-ZZ-D-L-0405"/>
  </r>
  <r>
    <s v="FS1018-ONE-XX-ZZ-D-L-0601"/>
    <s v="Landscape Details Sheet 1"/>
    <x v="3"/>
    <s v="In Progress"/>
    <x v="1"/>
    <x v="1"/>
    <x v="1"/>
    <x v="1"/>
    <x v="0"/>
    <b v="0"/>
    <x v="617"/>
    <s v="FS1018-ONE-XX-ZZ-D-L-0601"/>
  </r>
  <r>
    <s v="FS1018-ONE-XX-ZZ-D-L-0602"/>
    <s v="Landscape Details Sheet 2"/>
    <x v="3"/>
    <s v="In Progress"/>
    <x v="1"/>
    <x v="1"/>
    <x v="1"/>
    <x v="1"/>
    <x v="0"/>
    <b v="0"/>
    <x v="618"/>
    <s v="FS1018-ONE-XX-ZZ-D-L-0602"/>
  </r>
  <r>
    <s v="FS1018-ONE-XX-ZZ-D-L-0603"/>
    <s v="Landscape Details Sheet 3"/>
    <x v="3"/>
    <s v="In Progress"/>
    <x v="1"/>
    <x v="1"/>
    <x v="1"/>
    <x v="1"/>
    <x v="0"/>
    <b v="0"/>
    <x v="619"/>
    <s v="FS1018-ONE-XX-ZZ-D-L-0603"/>
  </r>
  <r>
    <s v="FS1018-ONE-ZZ-XX-T-L-0004"/>
    <s v="Security Statement"/>
    <x v="0"/>
    <s v="Completed"/>
    <x v="4"/>
    <x v="2"/>
    <x v="2"/>
    <x v="2"/>
    <x v="4"/>
    <b v="0"/>
    <x v="620"/>
    <s v="FS1018-ONE-ZZ-XX-T-L-0004"/>
  </r>
  <r>
    <s v="FS1018-ONE-ZZ-XX-T-L-0004"/>
    <s v="Security Statement"/>
    <x v="1"/>
    <s v="In Progress"/>
    <x v="1"/>
    <x v="1"/>
    <x v="1"/>
    <x v="1"/>
    <x v="0"/>
    <b v="1"/>
    <x v="620"/>
    <s v="FS1018-ONE-ZZ-XX-T-L-0004"/>
  </r>
  <r>
    <s v="FS1018-ONE-ZZ-ZZ-M-L-0001"/>
    <s v="Landscape ModelLandscapeModel"/>
    <x v="0"/>
    <s v="Completed"/>
    <x v="0"/>
    <x v="14"/>
    <x v="2"/>
    <x v="8"/>
    <x v="140"/>
    <b v="0"/>
    <x v="621"/>
    <s v="FS1018-ONE-ZZ-ZZ-M-L-0001"/>
  </r>
  <r>
    <s v="FS1018-ONE-ZZ-ZZ-M-L-0001"/>
    <s v="Landscape Model"/>
    <x v="3"/>
    <s v="In Progress"/>
    <x v="1"/>
    <x v="1"/>
    <x v="1"/>
    <x v="1"/>
    <x v="0"/>
    <b v="0"/>
    <x v="622"/>
    <s v="FS1018-ONE-ZZ-ZZ-M-L-0001"/>
  </r>
  <r>
    <s v="FS1018-ONE-ZZ-ZZ-M-L-0002"/>
    <s v="LandscapeModel"/>
    <x v="0"/>
    <s v="Completed"/>
    <x v="0"/>
    <x v="14"/>
    <x v="2"/>
    <x v="8"/>
    <x v="141"/>
    <b v="0"/>
    <x v="623"/>
    <s v="FS1018-ONE-ZZ-ZZ-M-L-0002"/>
  </r>
  <r>
    <s v="FS1018-ONE-ZZ-ZZ-M-L-0002"/>
    <s v="Landscape Model"/>
    <x v="1"/>
    <s v="Completed"/>
    <x v="9"/>
    <x v="14"/>
    <x v="2"/>
    <x v="2"/>
    <x v="4"/>
    <b v="1"/>
    <x v="624"/>
    <s v="FS1018-ONE-ZZ-ZZ-M-L-0002"/>
  </r>
  <r>
    <s v="FS1018-ONE-ZZ-ZZ-M-L-0002"/>
    <s v="Landscape Model"/>
    <x v="3"/>
    <s v="In Progress"/>
    <x v="1"/>
    <x v="1"/>
    <x v="1"/>
    <x v="1"/>
    <x v="0"/>
    <b v="0"/>
    <x v="624"/>
    <s v="FS1018-ONE-ZZ-ZZ-M-L-0002"/>
  </r>
  <r>
    <s v="FS1018-ONE-ZZ-ZZ-M-L-0003"/>
    <s v="LandscapeModel"/>
    <x v="0"/>
    <s v="Completed"/>
    <x v="0"/>
    <x v="14"/>
    <x v="2"/>
    <x v="8"/>
    <x v="142"/>
    <b v="0"/>
    <x v="625"/>
    <s v="FS1018-ONE-ZZ-ZZ-M-L-0003"/>
  </r>
  <r>
    <s v="FS1018-ONE-ZZ-ZZ-M-L-0003"/>
    <s v="Landscape Model"/>
    <x v="1"/>
    <s v="Completed"/>
    <x v="2"/>
    <x v="0"/>
    <x v="2"/>
    <x v="2"/>
    <x v="4"/>
    <b v="1"/>
    <x v="626"/>
    <s v="FS1018-ONE-ZZ-ZZ-M-L-0003"/>
  </r>
  <r>
    <s v="FS1018-ONE-ZZ-ZZ-M-L-0003"/>
    <s v="Landscape Model"/>
    <x v="3"/>
    <s v="In Progress"/>
    <x v="1"/>
    <x v="1"/>
    <x v="1"/>
    <x v="1"/>
    <x v="0"/>
    <b v="0"/>
    <x v="626"/>
    <s v="FS1018-ONE-ZZ-ZZ-M-L-0003"/>
  </r>
  <r>
    <s v="FS1018-PIN-XX-XX-L-O-0003"/>
    <s v="Task Team Risk Register"/>
    <x v="1"/>
    <s v="In Progress"/>
    <x v="1"/>
    <x v="1"/>
    <x v="1"/>
    <x v="1"/>
    <x v="0"/>
    <b v="1"/>
    <x v="627"/>
    <s v="FS1018-PIN-XX-XX-L-O-0003"/>
  </r>
  <r>
    <s v="FS1018-PIN-ZZ-00-D-O-0001"/>
    <s v="GROUND FLOOR GA (1 OF 2)"/>
    <x v="0"/>
    <s v="Completed"/>
    <x v="0"/>
    <x v="15"/>
    <x v="2"/>
    <x v="0"/>
    <x v="128"/>
    <b v="0"/>
    <x v="628"/>
    <s v="FS1018-PIN-ZZ-00-D-O-0001"/>
  </r>
  <r>
    <s v="FS1018-PIN-ZZ-00-D-O-0001"/>
    <s v="Ground Floor GA (1 Of 2)"/>
    <x v="1"/>
    <s v="Completed"/>
    <x v="6"/>
    <x v="15"/>
    <x v="2"/>
    <x v="2"/>
    <x v="4"/>
    <b v="1"/>
    <x v="628"/>
    <s v="FS1018-PIN-ZZ-00-D-O-0001"/>
  </r>
  <r>
    <s v="FS1018-PIN-ZZ-00-D-O-0001"/>
    <s v="Ground Floor GA 1 Of 2"/>
    <x v="14"/>
    <s v="In Progress"/>
    <x v="1"/>
    <x v="1"/>
    <x v="1"/>
    <x v="1"/>
    <x v="0"/>
    <b v="0"/>
    <x v="629"/>
    <s v="FS1018-PIN-ZZ-00-D-O-0001"/>
  </r>
  <r>
    <s v="FS1018-PIN-ZZ-00-D-O-0002"/>
    <s v="GROUND FLOOR GA (2 OF 2)"/>
    <x v="0"/>
    <s v="Completed"/>
    <x v="0"/>
    <x v="15"/>
    <x v="2"/>
    <x v="0"/>
    <x v="143"/>
    <b v="0"/>
    <x v="630"/>
    <s v="FS1018-PIN-ZZ-00-D-O-0002"/>
  </r>
  <r>
    <s v="FS1018-PIN-ZZ-00-D-O-0002"/>
    <s v="Ground Floor GA (2 Of 2)"/>
    <x v="1"/>
    <s v="Completed"/>
    <x v="6"/>
    <x v="15"/>
    <x v="2"/>
    <x v="2"/>
    <x v="4"/>
    <b v="1"/>
    <x v="630"/>
    <s v="FS1018-PIN-ZZ-00-D-O-0002"/>
  </r>
  <r>
    <s v="FS1018-PIN-ZZ-00-D-O-0002"/>
    <s v="Ground Floor GA 2 Of 2"/>
    <x v="14"/>
    <s v="In Progress"/>
    <x v="1"/>
    <x v="1"/>
    <x v="1"/>
    <x v="1"/>
    <x v="0"/>
    <b v="0"/>
    <x v="631"/>
    <s v="FS1018-PIN-ZZ-00-D-O-0002"/>
  </r>
  <r>
    <s v="FS1018-PIN-ZZ-00-D-O-0006"/>
    <s v="Lobby 1"/>
    <x v="0"/>
    <s v="Completed"/>
    <x v="6"/>
    <x v="15"/>
    <x v="2"/>
    <x v="2"/>
    <x v="4"/>
    <b v="0"/>
    <x v="632"/>
    <s v="FS1018-PIN-ZZ-00-D-O-0006"/>
  </r>
  <r>
    <s v="FS1018-PIN-ZZ-00-D-O-0006"/>
    <s v="Lobby 1"/>
    <x v="3"/>
    <s v="In Progress"/>
    <x v="1"/>
    <x v="1"/>
    <x v="1"/>
    <x v="1"/>
    <x v="0"/>
    <b v="0"/>
    <x v="632"/>
    <s v="FS1018-PIN-ZZ-00-D-O-0006"/>
  </r>
  <r>
    <s v="FS1018-PIN-ZZ-00-D-O-0601"/>
    <s v="Food Prep Area, Kitchen (Servery And Wash Up) 1"/>
    <x v="0"/>
    <s v="Completed"/>
    <x v="6"/>
    <x v="15"/>
    <x v="2"/>
    <x v="2"/>
    <x v="4"/>
    <b v="0"/>
    <x v="633"/>
    <s v="FS1018-PIN-ZZ-00-D-O-0601"/>
  </r>
  <r>
    <s v="FS1018-PIN-ZZ-00-D-O-0601"/>
    <s v="Food Prep Area, Kitchen Servery And Wash Up 1"/>
    <x v="2"/>
    <s v="In Progress"/>
    <x v="1"/>
    <x v="1"/>
    <x v="1"/>
    <x v="1"/>
    <x v="0"/>
    <b v="0"/>
    <x v="634"/>
    <s v="FS1018-PIN-ZZ-00-D-O-0601"/>
  </r>
  <r>
    <s v="FS1018-PIN-ZZ-00-D-O-1109"/>
    <s v="MUSIC ROOM"/>
    <x v="0"/>
    <s v="Completed"/>
    <x v="0"/>
    <x v="15"/>
    <x v="2"/>
    <x v="0"/>
    <x v="143"/>
    <b v="0"/>
    <x v="635"/>
    <s v="FS1018-PIN-ZZ-00-D-O-1109"/>
  </r>
  <r>
    <s v="FS1018-PIN-ZZ-00-D-O-1109"/>
    <s v="Music Room"/>
    <x v="1"/>
    <s v="Completed"/>
    <x v="6"/>
    <x v="15"/>
    <x v="2"/>
    <x v="2"/>
    <x v="4"/>
    <b v="1"/>
    <x v="635"/>
    <s v="FS1018-PIN-ZZ-00-D-O-1109"/>
  </r>
  <r>
    <s v="FS1018-PIN-ZZ-00-D-O-1109"/>
    <s v="Music Room"/>
    <x v="2"/>
    <s v="In Progress"/>
    <x v="1"/>
    <x v="1"/>
    <x v="1"/>
    <x v="1"/>
    <x v="0"/>
    <b v="0"/>
    <x v="635"/>
    <s v="FS1018-PIN-ZZ-00-D-O-1109"/>
  </r>
  <r>
    <s v="FS1018-PIN-ZZ-00-D-O-1110"/>
    <s v="DT WORKSHOP 1"/>
    <x v="0"/>
    <s v="Completed"/>
    <x v="0"/>
    <x v="15"/>
    <x v="2"/>
    <x v="0"/>
    <x v="143"/>
    <b v="0"/>
    <x v="636"/>
    <s v="FS1018-PIN-ZZ-00-D-O-1110"/>
  </r>
  <r>
    <s v="FS1018-PIN-ZZ-00-D-O-1110"/>
    <s v="DT WORKSHOP 1"/>
    <x v="3"/>
    <s v="Completed"/>
    <x v="6"/>
    <x v="15"/>
    <x v="2"/>
    <x v="2"/>
    <x v="4"/>
    <b v="0"/>
    <x v="636"/>
    <s v="FS1018-PIN-ZZ-00-D-O-1110"/>
  </r>
  <r>
    <s v="FS1018-PIN-ZZ-00-D-O-1110"/>
    <s v="DT Workshop 1"/>
    <x v="14"/>
    <s v="In Progress"/>
    <x v="1"/>
    <x v="1"/>
    <x v="1"/>
    <x v="1"/>
    <x v="0"/>
    <b v="0"/>
    <x v="636"/>
    <s v="FS1018-PIN-ZZ-00-D-O-1110"/>
  </r>
  <r>
    <s v="FS1018-PIN-ZZ-00-D-O-1111"/>
    <s v="FOOD ROOM 1"/>
    <x v="17"/>
    <s v="Completed"/>
    <x v="0"/>
    <x v="15"/>
    <x v="2"/>
    <x v="0"/>
    <x v="143"/>
    <b v="0"/>
    <x v="637"/>
    <s v="FS1018-PIN-ZZ-00-D-O-1111"/>
  </r>
  <r>
    <s v="FS1018-PIN-ZZ-00-D-O-1111"/>
    <s v="Food Room 1 Option 1"/>
    <x v="1"/>
    <s v="Completed"/>
    <x v="6"/>
    <x v="15"/>
    <x v="2"/>
    <x v="2"/>
    <x v="4"/>
    <b v="1"/>
    <x v="638"/>
    <s v="FS1018-PIN-ZZ-00-D-O-1111"/>
  </r>
  <r>
    <s v="FS1018-PIN-ZZ-00-D-O-1111"/>
    <s v="Food Room 1 Option 1"/>
    <x v="3"/>
    <s v="In Progress"/>
    <x v="1"/>
    <x v="1"/>
    <x v="1"/>
    <x v="1"/>
    <x v="0"/>
    <b v="0"/>
    <x v="638"/>
    <s v="FS1018-PIN-ZZ-00-D-O-1111"/>
  </r>
  <r>
    <s v="FS1018-PIN-ZZ-00-D-O-1112"/>
    <s v="DT STUDIO (GRAPHIC PRODUCTS)"/>
    <x v="0"/>
    <s v="Completed"/>
    <x v="0"/>
    <x v="15"/>
    <x v="2"/>
    <x v="0"/>
    <x v="143"/>
    <b v="0"/>
    <x v="639"/>
    <s v="FS1018-PIN-ZZ-00-D-O-1112"/>
  </r>
  <r>
    <s v="FS1018-PIN-ZZ-00-D-O-1112"/>
    <s v="DT STUDIO (GRAPHIC PRODUCTS)"/>
    <x v="3"/>
    <s v="Completed"/>
    <x v="6"/>
    <x v="15"/>
    <x v="2"/>
    <x v="2"/>
    <x v="4"/>
    <b v="0"/>
    <x v="639"/>
    <s v="FS1018-PIN-ZZ-00-D-O-1112"/>
  </r>
  <r>
    <s v="FS1018-PIN-ZZ-00-D-O-1112"/>
    <s v="DT Studio Graphic Products"/>
    <x v="13"/>
    <s v="In Progress"/>
    <x v="1"/>
    <x v="1"/>
    <x v="1"/>
    <x v="1"/>
    <x v="0"/>
    <b v="0"/>
    <x v="640"/>
    <s v="FS1018-PIN-ZZ-00-D-O-1112"/>
  </r>
  <r>
    <s v="FS1018-PIN-ZZ-00-D-O-1113"/>
    <s v="DT STUDIO (ELECTRONICS &amp; CONTROL)"/>
    <x v="0"/>
    <s v="Completed"/>
    <x v="0"/>
    <x v="15"/>
    <x v="2"/>
    <x v="0"/>
    <x v="143"/>
    <b v="0"/>
    <x v="641"/>
    <s v="FS1018-PIN-ZZ-00-D-O-1113"/>
  </r>
  <r>
    <s v="FS1018-PIN-ZZ-00-D-O-1113"/>
    <s v="DT STUDIO (ELECTRONICS &amp; CONTROL)"/>
    <x v="3"/>
    <s v="Completed"/>
    <x v="6"/>
    <x v="15"/>
    <x v="2"/>
    <x v="2"/>
    <x v="4"/>
    <b v="0"/>
    <x v="641"/>
    <s v="FS1018-PIN-ZZ-00-D-O-1113"/>
  </r>
  <r>
    <s v="FS1018-PIN-ZZ-00-D-O-1113"/>
    <s v="DT Studio Electronics And Control"/>
    <x v="13"/>
    <s v="In Progress"/>
    <x v="1"/>
    <x v="1"/>
    <x v="1"/>
    <x v="1"/>
    <x v="0"/>
    <b v="0"/>
    <x v="642"/>
    <s v="FS1018-PIN-ZZ-00-D-O-1113"/>
  </r>
  <r>
    <s v="FS1018-PIN-ZZ-00-D-O-1211"/>
    <s v="FOOD ROOM 1"/>
    <x v="17"/>
    <s v="Completed"/>
    <x v="0"/>
    <x v="15"/>
    <x v="2"/>
    <x v="0"/>
    <x v="143"/>
    <b v="0"/>
    <x v="643"/>
    <s v="FS1018-PIN-ZZ-00-D-O-1211"/>
  </r>
  <r>
    <s v="FS1018-PIN-ZZ-00-D-O-1211"/>
    <s v="Food Room 1"/>
    <x v="14"/>
    <s v="In Progress"/>
    <x v="1"/>
    <x v="1"/>
    <x v="1"/>
    <x v="1"/>
    <x v="0"/>
    <b v="0"/>
    <x v="643"/>
    <s v="FS1018-PIN-ZZ-00-D-O-1211"/>
  </r>
  <r>
    <s v="FS1018-PIN-ZZ-00-D-O-2001"/>
    <s v="ASSEMBLY HALL, SECONDARY"/>
    <x v="0"/>
    <s v="Completed"/>
    <x v="0"/>
    <x v="15"/>
    <x v="2"/>
    <x v="0"/>
    <x v="143"/>
    <b v="0"/>
    <x v="644"/>
    <s v="FS1018-PIN-ZZ-00-D-O-2001"/>
  </r>
  <r>
    <s v="FS1018-PIN-ZZ-00-D-O-2001"/>
    <s v="ASSEMBLY HALL, SECONDARY"/>
    <x v="3"/>
    <s v="Completed"/>
    <x v="6"/>
    <x v="15"/>
    <x v="2"/>
    <x v="2"/>
    <x v="4"/>
    <b v="0"/>
    <x v="644"/>
    <s v="FS1018-PIN-ZZ-00-D-O-2001"/>
  </r>
  <r>
    <s v="FS1018-PIN-ZZ-00-D-O-2001"/>
    <s v="Assembly Hall, Dining Layout"/>
    <x v="13"/>
    <s v="In Progress"/>
    <x v="1"/>
    <x v="1"/>
    <x v="1"/>
    <x v="1"/>
    <x v="0"/>
    <b v="0"/>
    <x v="645"/>
    <s v="FS1018-PIN-ZZ-00-D-O-2001"/>
  </r>
  <r>
    <s v="FS1018-PIN-ZZ-00-D-O-2002"/>
    <s v="SPORTS HALL (EXAM LAYOUT)"/>
    <x v="0"/>
    <s v="Completed"/>
    <x v="0"/>
    <x v="15"/>
    <x v="0"/>
    <x v="0"/>
    <x v="0"/>
    <b v="0"/>
    <x v="646"/>
    <s v="FS1018-PIN-ZZ-00-D-O-2002"/>
  </r>
  <r>
    <s v="FS1018-PIN-ZZ-00-D-O-2002"/>
    <s v="Sports Hall (Exam Layout)"/>
    <x v="1"/>
    <s v="Completed"/>
    <x v="6"/>
    <x v="15"/>
    <x v="2"/>
    <x v="2"/>
    <x v="4"/>
    <b v="1"/>
    <x v="646"/>
    <s v="FS1018-PIN-ZZ-00-D-O-2002"/>
  </r>
  <r>
    <s v="FS1018-PIN-ZZ-00-D-O-2002"/>
    <s v="Sports Hall Exam Layout"/>
    <x v="2"/>
    <s v="In Progress"/>
    <x v="1"/>
    <x v="1"/>
    <x v="1"/>
    <x v="1"/>
    <x v="0"/>
    <b v="0"/>
    <x v="647"/>
    <s v="FS1018-PIN-ZZ-00-D-O-2002"/>
  </r>
  <r>
    <s v="FS1018-PIN-ZZ-00-D-O-2003"/>
    <s v="ASSEMBLY HALL, SECONDARY LAYOUT 2"/>
    <x v="0"/>
    <s v="Completed"/>
    <x v="6"/>
    <x v="15"/>
    <x v="2"/>
    <x v="2"/>
    <x v="4"/>
    <b v="0"/>
    <x v="648"/>
    <s v="FS1018-PIN-ZZ-00-D-O-2003"/>
  </r>
  <r>
    <s v="FS1018-PIN-ZZ-00-D-O-2003"/>
    <s v="Assembly Hall, Assembly Layout"/>
    <x v="2"/>
    <s v="In Progress"/>
    <x v="1"/>
    <x v="1"/>
    <x v="1"/>
    <x v="1"/>
    <x v="0"/>
    <b v="0"/>
    <x v="649"/>
    <s v="FS1018-PIN-ZZ-00-D-O-2003"/>
  </r>
  <r>
    <s v="FS1018-PIN-ZZ-00-D-O-3001"/>
    <s v="LRC OPTION 1"/>
    <x v="0"/>
    <s v="Completed"/>
    <x v="0"/>
    <x v="15"/>
    <x v="2"/>
    <x v="0"/>
    <x v="143"/>
    <b v="0"/>
    <x v="650"/>
    <s v="FS1018-PIN-ZZ-00-D-O-3001"/>
  </r>
  <r>
    <s v="FS1018-PIN-ZZ-00-D-O-3001"/>
    <s v="LRC Option 1"/>
    <x v="1"/>
    <s v="Completed"/>
    <x v="6"/>
    <x v="15"/>
    <x v="2"/>
    <x v="2"/>
    <x v="4"/>
    <b v="1"/>
    <x v="650"/>
    <s v="FS1018-PIN-ZZ-00-D-O-3001"/>
  </r>
  <r>
    <s v="FS1018-PIN-ZZ-00-D-O-3002"/>
    <s v="Sports Hall (Sport Layout)"/>
    <x v="0"/>
    <s v="Completed"/>
    <x v="6"/>
    <x v="15"/>
    <x v="2"/>
    <x v="2"/>
    <x v="4"/>
    <b v="0"/>
    <x v="651"/>
    <s v="FS1018-PIN-ZZ-00-D-O-3002"/>
  </r>
  <r>
    <s v="FS1018-PIN-ZZ-00-D-O-3002"/>
    <s v="Sports Hall Sport Layout"/>
    <x v="14"/>
    <s v="In Progress"/>
    <x v="1"/>
    <x v="1"/>
    <x v="1"/>
    <x v="1"/>
    <x v="0"/>
    <b v="0"/>
    <x v="652"/>
    <s v="FS1018-PIN-ZZ-00-D-O-3002"/>
  </r>
  <r>
    <s v="FS1018-PIN-ZZ-00-D-O-3004"/>
    <s v="LRC"/>
    <x v="3"/>
    <s v="In Progress"/>
    <x v="1"/>
    <x v="1"/>
    <x v="1"/>
    <x v="1"/>
    <x v="0"/>
    <b v="0"/>
    <x v="653"/>
    <s v="FS1018-PIN-ZZ-00-D-O-3004"/>
  </r>
  <r>
    <s v="FS1018-PIN-ZZ-00-D-O-4003"/>
    <s v="Enclosed Office, Admin (Head) 1"/>
    <x v="0"/>
    <s v="Completed"/>
    <x v="6"/>
    <x v="15"/>
    <x v="2"/>
    <x v="2"/>
    <x v="4"/>
    <b v="0"/>
    <x v="654"/>
    <s v="FS1018-PIN-ZZ-00-D-O-4003"/>
  </r>
  <r>
    <s v="FS1018-PIN-ZZ-00-D-O-4003"/>
    <s v="Enclosed Office, Admin Head 1"/>
    <x v="1"/>
    <s v="In Progress"/>
    <x v="1"/>
    <x v="1"/>
    <x v="1"/>
    <x v="1"/>
    <x v="0"/>
    <b v="1"/>
    <x v="655"/>
    <s v="FS1018-PIN-ZZ-00-D-O-4003"/>
  </r>
  <r>
    <s v="FS1018-PIN-ZZ-00-D-O-4004"/>
    <s v="Enclosed Office, Admin (Pa)1"/>
    <x v="0"/>
    <s v="Completed"/>
    <x v="6"/>
    <x v="15"/>
    <x v="2"/>
    <x v="2"/>
    <x v="4"/>
    <b v="0"/>
    <x v="656"/>
    <s v="FS1018-PIN-ZZ-00-D-O-4004"/>
  </r>
  <r>
    <s v="FS1018-PIN-ZZ-00-D-O-4004"/>
    <s v="Enclosed Office, Admin PA 1"/>
    <x v="1"/>
    <s v="In Progress"/>
    <x v="1"/>
    <x v="1"/>
    <x v="1"/>
    <x v="1"/>
    <x v="0"/>
    <b v="1"/>
    <x v="657"/>
    <s v="FS1018-PIN-ZZ-00-D-O-4004"/>
  </r>
  <r>
    <s v="FS1018-PIN-ZZ-00-D-O-4005"/>
    <s v="Reprographics Room 1"/>
    <x v="0"/>
    <s v="Completed"/>
    <x v="6"/>
    <x v="15"/>
    <x v="2"/>
    <x v="2"/>
    <x v="4"/>
    <b v="0"/>
    <x v="658"/>
    <s v="FS1018-PIN-ZZ-00-D-O-4005"/>
  </r>
  <r>
    <s v="FS1018-PIN-ZZ-00-D-O-4005"/>
    <s v="Reprographics Room 1"/>
    <x v="1"/>
    <s v="In Progress"/>
    <x v="1"/>
    <x v="1"/>
    <x v="1"/>
    <x v="1"/>
    <x v="0"/>
    <b v="1"/>
    <x v="658"/>
    <s v="FS1018-PIN-ZZ-00-D-O-4005"/>
  </r>
  <r>
    <s v="FS1018-PIN-ZZ-00-D-O-4006"/>
    <s v="Enclosed Office, With Recep Desk (And Window) 1"/>
    <x v="0"/>
    <s v="Completed"/>
    <x v="6"/>
    <x v="15"/>
    <x v="2"/>
    <x v="2"/>
    <x v="4"/>
    <b v="0"/>
    <x v="659"/>
    <s v="FS1018-PIN-ZZ-00-D-O-4006"/>
  </r>
  <r>
    <s v="FS1018-PIN-ZZ-00-D-O-4006"/>
    <s v="Enclosed Office, With Recep Desk And Window 1"/>
    <x v="1"/>
    <s v="In Progress"/>
    <x v="1"/>
    <x v="1"/>
    <x v="1"/>
    <x v="1"/>
    <x v="0"/>
    <b v="1"/>
    <x v="660"/>
    <s v="FS1018-PIN-ZZ-00-D-O-4006"/>
  </r>
  <r>
    <s v="FS1018-PIN-ZZ-00-D-O-4008"/>
    <s v="Reception Area, Entrance (50% Circulation)"/>
    <x v="0"/>
    <s v="Completed"/>
    <x v="6"/>
    <x v="15"/>
    <x v="2"/>
    <x v="2"/>
    <x v="4"/>
    <b v="0"/>
    <x v="661"/>
    <s v="FS1018-PIN-ZZ-00-D-O-4008"/>
  </r>
  <r>
    <s v="FS1018-PIN-ZZ-00-D-O-4008"/>
    <s v="Reception Area, Entrance 50% Circulation"/>
    <x v="3"/>
    <s v="In Progress"/>
    <x v="1"/>
    <x v="1"/>
    <x v="1"/>
    <x v="1"/>
    <x v="0"/>
    <b v="0"/>
    <x v="662"/>
    <s v="FS1018-PIN-ZZ-00-D-O-4008"/>
  </r>
  <r>
    <s v="FS1018-PIN-ZZ-00-D-O-4009"/>
    <s v="Confidential Meeting Room (Interview) 1"/>
    <x v="0"/>
    <s v="Completed"/>
    <x v="6"/>
    <x v="15"/>
    <x v="2"/>
    <x v="2"/>
    <x v="4"/>
    <b v="0"/>
    <x v="663"/>
    <s v="FS1018-PIN-ZZ-00-D-O-4009"/>
  </r>
  <r>
    <s v="FS1018-PIN-ZZ-00-D-O-4009"/>
    <s v="Confidential Meeting Room Interview 1"/>
    <x v="3"/>
    <s v="In Progress"/>
    <x v="1"/>
    <x v="1"/>
    <x v="1"/>
    <x v="1"/>
    <x v="0"/>
    <b v="0"/>
    <x v="664"/>
    <s v="FS1018-PIN-ZZ-00-D-O-4009"/>
  </r>
  <r>
    <s v="FS1018-PIN-ZZ-00-D-O-4015"/>
    <s v="Office (With Meeting Area, 2 Person) 4"/>
    <x v="0"/>
    <s v="Completed"/>
    <x v="6"/>
    <x v="15"/>
    <x v="2"/>
    <x v="2"/>
    <x v="4"/>
    <b v="0"/>
    <x v="665"/>
    <s v="FS1018-PIN-ZZ-00-D-O-4015"/>
  </r>
  <r>
    <s v="FS1018-PIN-ZZ-00-D-O-4015"/>
    <s v="Office With Meeting Area, 2 Person 4"/>
    <x v="1"/>
    <s v="In Progress"/>
    <x v="1"/>
    <x v="1"/>
    <x v="1"/>
    <x v="1"/>
    <x v="0"/>
    <b v="1"/>
    <x v="666"/>
    <s v="FS1018-PIN-ZZ-00-D-O-4015"/>
  </r>
  <r>
    <s v="FS1018-PIN-ZZ-00-D-O-4018"/>
    <s v="Staff Workroom (Premises) 1 And Equipment Store, Maintenance 1"/>
    <x v="0"/>
    <s v="Completed"/>
    <x v="6"/>
    <x v="15"/>
    <x v="2"/>
    <x v="2"/>
    <x v="4"/>
    <b v="0"/>
    <x v="667"/>
    <s v="FS1018-PIN-ZZ-00-D-O-4018"/>
  </r>
  <r>
    <s v="FS1018-PIN-ZZ-00-D-O-4018"/>
    <s v="Staff Workroom Premises 1 And Equipment Store, Maintenance 1"/>
    <x v="1"/>
    <s v="In Progress"/>
    <x v="1"/>
    <x v="1"/>
    <x v="1"/>
    <x v="1"/>
    <x v="0"/>
    <b v="1"/>
    <x v="668"/>
    <s v="FS1018-PIN-ZZ-00-D-O-4018"/>
  </r>
  <r>
    <s v="FS1018-PIN-ZZ-00-D-O-5001"/>
    <s v="Assembly Hall, Secondary Option 2"/>
    <x v="0"/>
    <s v="Completed"/>
    <x v="6"/>
    <x v="15"/>
    <x v="2"/>
    <x v="2"/>
    <x v="4"/>
    <b v="0"/>
    <x v="669"/>
    <s v="FS1018-PIN-ZZ-00-D-O-5001"/>
  </r>
  <r>
    <s v="FS1018-PIN-ZZ-00-D-O-5003"/>
    <s v="Confidential Meeting Room (Interview) 1"/>
    <x v="0"/>
    <s v="Completed"/>
    <x v="6"/>
    <x v="15"/>
    <x v="2"/>
    <x v="2"/>
    <x v="4"/>
    <b v="0"/>
    <x v="670"/>
    <s v="FS1018-PIN-ZZ-00-D-O-5003"/>
  </r>
  <r>
    <s v="FS1018-PIN-ZZ-00-D-O-5003"/>
    <s v="Confidential Meeting Room Interview 1"/>
    <x v="3"/>
    <s v="In Progress"/>
    <x v="1"/>
    <x v="1"/>
    <x v="1"/>
    <x v="1"/>
    <x v="0"/>
    <b v="0"/>
    <x v="671"/>
    <s v="FS1018-PIN-ZZ-00-D-O-5003"/>
  </r>
  <r>
    <s v="FS1018-PIN-ZZ-00-D-O-5007"/>
    <s v="Dt Prep Room 1"/>
    <x v="0"/>
    <s v="Completed"/>
    <x v="6"/>
    <x v="15"/>
    <x v="2"/>
    <x v="2"/>
    <x v="4"/>
    <b v="0"/>
    <x v="672"/>
    <s v="FS1018-PIN-ZZ-00-D-O-5007"/>
  </r>
  <r>
    <s v="FS1018-PIN-ZZ-00-D-O-5007"/>
    <s v="DT Prep Room 1"/>
    <x v="1"/>
    <s v="In Progress"/>
    <x v="1"/>
    <x v="1"/>
    <x v="1"/>
    <x v="1"/>
    <x v="0"/>
    <b v="1"/>
    <x v="672"/>
    <s v="FS1018-PIN-ZZ-00-D-O-5007"/>
  </r>
  <r>
    <s v="FS1018-PIN-ZZ-00-D-O-5008"/>
    <s v="Food Prep Room 1"/>
    <x v="0"/>
    <s v="Completed"/>
    <x v="6"/>
    <x v="15"/>
    <x v="2"/>
    <x v="2"/>
    <x v="4"/>
    <b v="0"/>
    <x v="673"/>
    <s v="FS1018-PIN-ZZ-00-D-O-5008"/>
  </r>
  <r>
    <s v="FS1018-PIN-ZZ-00-D-O-5008"/>
    <s v="Food Prep Room 1"/>
    <x v="1"/>
    <s v="In Progress"/>
    <x v="1"/>
    <x v="1"/>
    <x v="1"/>
    <x v="1"/>
    <x v="0"/>
    <b v="1"/>
    <x v="673"/>
    <s v="FS1018-PIN-ZZ-00-D-O-5008"/>
  </r>
  <r>
    <s v="FS1018-PIN-ZZ-00-D-O-5009"/>
    <s v="Teaching Resources Store (Off Dt Studio)"/>
    <x v="0"/>
    <s v="Completed"/>
    <x v="6"/>
    <x v="15"/>
    <x v="2"/>
    <x v="2"/>
    <x v="4"/>
    <b v="0"/>
    <x v="674"/>
    <s v="FS1018-PIN-ZZ-00-D-O-5009"/>
  </r>
  <r>
    <s v="FS1018-PIN-ZZ-00-D-O-5009"/>
    <s v="Teaching Resources Store Off DT Studio"/>
    <x v="3"/>
    <s v="In Progress"/>
    <x v="1"/>
    <x v="1"/>
    <x v="1"/>
    <x v="1"/>
    <x v="0"/>
    <b v="0"/>
    <x v="675"/>
    <s v="FS1018-PIN-ZZ-00-D-O-5009"/>
  </r>
  <r>
    <s v="FS1018-PIN-ZZ-00-D-O-5011"/>
    <s v="Teaching Resources Store (Off Dt Studio)"/>
    <x v="0"/>
    <s v="Completed"/>
    <x v="6"/>
    <x v="15"/>
    <x v="2"/>
    <x v="2"/>
    <x v="4"/>
    <b v="0"/>
    <x v="676"/>
    <s v="FS1018-PIN-ZZ-00-D-O-5011"/>
  </r>
  <r>
    <s v="FS1018-PIN-ZZ-00-D-O-5011"/>
    <s v="Teaching Resources Store Off DT Studio"/>
    <x v="3"/>
    <s v="In Progress"/>
    <x v="1"/>
    <x v="1"/>
    <x v="1"/>
    <x v="1"/>
    <x v="0"/>
    <b v="0"/>
    <x v="677"/>
    <s v="FS1018-PIN-ZZ-00-D-O-5011"/>
  </r>
  <r>
    <s v="FS1018-PIN-ZZ-00-D-O-5013"/>
    <s v="Teaching Resources Store (Music) 1"/>
    <x v="0"/>
    <s v="Completed"/>
    <x v="6"/>
    <x v="15"/>
    <x v="2"/>
    <x v="2"/>
    <x v="4"/>
    <b v="0"/>
    <x v="678"/>
    <s v="FS1018-PIN-ZZ-00-D-O-5013"/>
  </r>
  <r>
    <s v="FS1018-PIN-ZZ-00-D-O-5013"/>
    <s v="Teaching Resources Store Music 1"/>
    <x v="3"/>
    <s v="In Progress"/>
    <x v="1"/>
    <x v="1"/>
    <x v="1"/>
    <x v="1"/>
    <x v="0"/>
    <b v="0"/>
    <x v="679"/>
    <s v="FS1018-PIN-ZZ-00-D-O-5013"/>
  </r>
  <r>
    <s v="FS1018-PIN-ZZ-00-D-O-5018"/>
    <s v="Sports Equipment Store, Internal (Sports Hall) 1"/>
    <x v="0"/>
    <s v="Completed"/>
    <x v="6"/>
    <x v="15"/>
    <x v="2"/>
    <x v="2"/>
    <x v="4"/>
    <b v="0"/>
    <x v="680"/>
    <s v="FS1018-PIN-ZZ-00-D-O-5018"/>
  </r>
  <r>
    <s v="FS1018-PIN-ZZ-00-D-O-5018"/>
    <s v="Sports Equipment Store, Internal Sports Hall 1"/>
    <x v="1"/>
    <s v="In Progress"/>
    <x v="1"/>
    <x v="1"/>
    <x v="1"/>
    <x v="1"/>
    <x v="0"/>
    <b v="1"/>
    <x v="681"/>
    <s v="FS1018-PIN-ZZ-00-D-O-5018"/>
  </r>
  <r>
    <s v="FS1018-PIN-ZZ-00-D-O-5019"/>
    <s v="Sports Equipment Store, External 1"/>
    <x v="0"/>
    <s v="Completed"/>
    <x v="6"/>
    <x v="15"/>
    <x v="2"/>
    <x v="2"/>
    <x v="4"/>
    <b v="0"/>
    <x v="682"/>
    <s v="FS1018-PIN-ZZ-00-D-O-5019"/>
  </r>
  <r>
    <s v="FS1018-PIN-ZZ-00-D-O-5019"/>
    <s v="Sports Equipment Store, External 1"/>
    <x v="1"/>
    <s v="In Progress"/>
    <x v="1"/>
    <x v="1"/>
    <x v="1"/>
    <x v="1"/>
    <x v="0"/>
    <b v="1"/>
    <x v="682"/>
    <s v="FS1018-PIN-ZZ-00-D-O-5019"/>
  </r>
  <r>
    <s v="FS1018-PIN-ZZ-00-D-O-5021"/>
    <s v="DT STUDIO (GRAPHIC PRODUCTS) OPTION 2"/>
    <x v="0"/>
    <s v="Completed"/>
    <x v="6"/>
    <x v="15"/>
    <x v="2"/>
    <x v="2"/>
    <x v="4"/>
    <b v="0"/>
    <x v="683"/>
    <s v="FS1018-PIN-ZZ-00-D-O-5021"/>
  </r>
  <r>
    <s v="FS1018-PIN-ZZ-00-D-O-5103"/>
    <s v="Secure Storeroom 1"/>
    <x v="0"/>
    <s v="Completed"/>
    <x v="6"/>
    <x v="15"/>
    <x v="2"/>
    <x v="2"/>
    <x v="4"/>
    <b v="0"/>
    <x v="684"/>
    <s v="FS1018-PIN-ZZ-00-D-O-5103"/>
  </r>
  <r>
    <s v="FS1018-PIN-ZZ-00-D-O-5103"/>
    <s v="Secure Storeroom 1"/>
    <x v="1"/>
    <s v="In Progress"/>
    <x v="1"/>
    <x v="1"/>
    <x v="1"/>
    <x v="1"/>
    <x v="0"/>
    <b v="1"/>
    <x v="684"/>
    <s v="FS1018-PIN-ZZ-00-D-O-5103"/>
  </r>
  <r>
    <s v="FS1018-PIN-ZZ-00-D-O-5109"/>
    <s v="Coats And Bag Store (Lockers) 1"/>
    <x v="0"/>
    <s v="Completed"/>
    <x v="6"/>
    <x v="15"/>
    <x v="2"/>
    <x v="2"/>
    <x v="4"/>
    <b v="0"/>
    <x v="685"/>
    <s v="FS1018-PIN-ZZ-00-D-O-5109"/>
  </r>
  <r>
    <s v="FS1018-PIN-ZZ-00-D-O-5109"/>
    <s v="Coats And Bag Store Lockers 1"/>
    <x v="3"/>
    <s v="In Progress"/>
    <x v="1"/>
    <x v="1"/>
    <x v="1"/>
    <x v="1"/>
    <x v="0"/>
    <b v="0"/>
    <x v="686"/>
    <s v="FS1018-PIN-ZZ-00-D-O-5109"/>
  </r>
  <r>
    <s v="FS1018-PIN-ZZ-00-D-O-5114"/>
    <s v="Cleaners Store"/>
    <x v="3"/>
    <s v="In Progress"/>
    <x v="1"/>
    <x v="1"/>
    <x v="1"/>
    <x v="1"/>
    <x v="0"/>
    <b v="0"/>
    <x v="687"/>
    <s v="FS1018-PIN-ZZ-00-D-O-5114"/>
  </r>
  <r>
    <s v="FS1018-PIN-ZZ-00-D-O-5117"/>
    <s v="Cleaners Store"/>
    <x v="3"/>
    <s v="In Progress"/>
    <x v="1"/>
    <x v="1"/>
    <x v="1"/>
    <x v="1"/>
    <x v="0"/>
    <b v="0"/>
    <x v="688"/>
    <s v="FS1018-PIN-ZZ-00-D-O-5117"/>
  </r>
  <r>
    <s v="FS1018-PIN-ZZ-00-D-O-6001"/>
    <s v="DINING AND CATERING"/>
    <x v="0"/>
    <s v="Completed"/>
    <x v="0"/>
    <x v="15"/>
    <x v="2"/>
    <x v="0"/>
    <x v="144"/>
    <b v="0"/>
    <x v="689"/>
    <s v="FS1018-PIN-ZZ-00-D-O-6001"/>
  </r>
  <r>
    <s v="FS1018-PIN-ZZ-00-D-O-6001"/>
    <s v="Dining And Catering"/>
    <x v="1"/>
    <s v="Completed"/>
    <x v="6"/>
    <x v="15"/>
    <x v="2"/>
    <x v="2"/>
    <x v="4"/>
    <b v="1"/>
    <x v="689"/>
    <s v="FS1018-PIN-ZZ-00-D-O-6001"/>
  </r>
  <r>
    <s v="FS1018-PIN-ZZ-00-D-O-6001"/>
    <s v="Dining And Catering"/>
    <x v="3"/>
    <s v="In Progress"/>
    <x v="1"/>
    <x v="1"/>
    <x v="1"/>
    <x v="1"/>
    <x v="0"/>
    <b v="0"/>
    <x v="689"/>
    <s v="FS1018-PIN-ZZ-00-D-O-6001"/>
  </r>
  <r>
    <s v="FS1018-PIN-ZZ-00-D-O-6002"/>
    <s v="Office, Kitchen 1"/>
    <x v="0"/>
    <s v="Completed"/>
    <x v="6"/>
    <x v="15"/>
    <x v="2"/>
    <x v="2"/>
    <x v="4"/>
    <b v="0"/>
    <x v="690"/>
    <s v="FS1018-PIN-ZZ-00-D-O-6002"/>
  </r>
  <r>
    <s v="FS1018-PIN-ZZ-00-D-O-6002"/>
    <s v="Office, Kitchen 1"/>
    <x v="1"/>
    <s v="In Progress"/>
    <x v="1"/>
    <x v="1"/>
    <x v="1"/>
    <x v="1"/>
    <x v="0"/>
    <b v="1"/>
    <x v="690"/>
    <s v="FS1018-PIN-ZZ-00-D-O-6002"/>
  </r>
  <r>
    <s v="FS1018-PIN-ZZ-00-D-O-6003"/>
    <s v="Food Store, Kitchen (Dry) 1"/>
    <x v="0"/>
    <s v="Completed"/>
    <x v="6"/>
    <x v="15"/>
    <x v="2"/>
    <x v="2"/>
    <x v="4"/>
    <b v="0"/>
    <x v="691"/>
    <s v="FS1018-PIN-ZZ-00-D-O-6003"/>
  </r>
  <r>
    <s v="FS1018-PIN-ZZ-00-D-O-6003"/>
    <s v="Food Store, Kitchen Dry 1"/>
    <x v="1"/>
    <s v="In Progress"/>
    <x v="1"/>
    <x v="1"/>
    <x v="1"/>
    <x v="1"/>
    <x v="0"/>
    <b v="1"/>
    <x v="692"/>
    <s v="FS1018-PIN-ZZ-00-D-O-6003"/>
  </r>
  <r>
    <s v="FS1018-PIN-ZZ-00-D-O-6004"/>
    <s v="Cold Store, Kitchen 1"/>
    <x v="0"/>
    <s v="Completed"/>
    <x v="6"/>
    <x v="15"/>
    <x v="2"/>
    <x v="2"/>
    <x v="4"/>
    <b v="0"/>
    <x v="693"/>
    <s v="FS1018-PIN-ZZ-00-D-O-6004"/>
  </r>
  <r>
    <s v="FS1018-PIN-ZZ-00-D-O-6004"/>
    <s v="Cold Store, Kitchen 1"/>
    <x v="1"/>
    <s v="In Progress"/>
    <x v="1"/>
    <x v="1"/>
    <x v="1"/>
    <x v="1"/>
    <x v="0"/>
    <b v="1"/>
    <x v="693"/>
    <s v="FS1018-PIN-ZZ-00-D-O-6004"/>
  </r>
  <r>
    <s v="FS1018-PIN-ZZ-00-D-O-6005"/>
    <s v="Cold Store, Kithen (Freezer) 1"/>
    <x v="0"/>
    <s v="Completed"/>
    <x v="6"/>
    <x v="15"/>
    <x v="2"/>
    <x v="2"/>
    <x v="4"/>
    <b v="0"/>
    <x v="694"/>
    <s v="FS1018-PIN-ZZ-00-D-O-6005"/>
  </r>
  <r>
    <s v="FS1018-PIN-ZZ-00-D-O-6005"/>
    <s v="Cold Store, Kitchen Freezer 1"/>
    <x v="3"/>
    <s v="In Progress"/>
    <x v="1"/>
    <x v="1"/>
    <x v="1"/>
    <x v="1"/>
    <x v="0"/>
    <b v="0"/>
    <x v="695"/>
    <s v="FS1018-PIN-ZZ-00-D-O-6005"/>
  </r>
  <r>
    <s v="FS1018-PIN-ZZ-00-D-O-6006"/>
    <s v="Toilet, Kitchen (With Changing Area) 1"/>
    <x v="0"/>
    <s v="Completed"/>
    <x v="6"/>
    <x v="15"/>
    <x v="2"/>
    <x v="2"/>
    <x v="4"/>
    <b v="0"/>
    <x v="696"/>
    <s v="FS1018-PIN-ZZ-00-D-O-6006"/>
  </r>
  <r>
    <s v="FS1018-PIN-ZZ-00-D-O-6006"/>
    <s v="Toilet (With Changing Area) 1"/>
    <x v="1"/>
    <s v="In Progress"/>
    <x v="1"/>
    <x v="1"/>
    <x v="1"/>
    <x v="1"/>
    <x v="0"/>
    <b v="1"/>
    <x v="697"/>
    <s v="FS1018-PIN-ZZ-00-D-O-6006"/>
  </r>
  <r>
    <s v="FS1018-PIN-ZZ-00-D-O-6007"/>
    <s v="Changing Room, With Showers (Pupils) 1 And Toilets, Suite (Pupils, Other) 1"/>
    <x v="0"/>
    <s v="Completed"/>
    <x v="6"/>
    <x v="15"/>
    <x v="2"/>
    <x v="2"/>
    <x v="4"/>
    <b v="0"/>
    <x v="698"/>
    <s v="FS1018-PIN-ZZ-00-D-O-6007"/>
  </r>
  <r>
    <s v="FS1018-PIN-ZZ-00-D-O-6007"/>
    <s v="Changing Room, With Showers Pupils 1 And Toilets, Suite Pupils, Other 1"/>
    <x v="2"/>
    <s v="In Progress"/>
    <x v="1"/>
    <x v="1"/>
    <x v="1"/>
    <x v="1"/>
    <x v="0"/>
    <b v="0"/>
    <x v="699"/>
    <s v="FS1018-PIN-ZZ-00-D-O-6007"/>
  </r>
  <r>
    <s v="FS1018-PIN-ZZ-00-D-O-6008"/>
    <s v="Changing Room, With Showers (Pupils) 2 And Toilets, Suite (Pupils, Other) 2"/>
    <x v="0"/>
    <s v="Completed"/>
    <x v="6"/>
    <x v="15"/>
    <x v="2"/>
    <x v="2"/>
    <x v="4"/>
    <b v="0"/>
    <x v="700"/>
    <s v="FS1018-PIN-ZZ-00-D-O-6008"/>
  </r>
  <r>
    <s v="FS1018-PIN-ZZ-00-D-O-6008"/>
    <s v="Changing Room, With Showers Pupils 2 And Toilets, Suite Pupils, Other 2"/>
    <x v="3"/>
    <s v="In Progress"/>
    <x v="1"/>
    <x v="1"/>
    <x v="1"/>
    <x v="1"/>
    <x v="0"/>
    <b v="0"/>
    <x v="701"/>
    <s v="FS1018-PIN-ZZ-00-D-O-6008"/>
  </r>
  <r>
    <s v="FS1018-PIN-ZZ-00-D-O-6009"/>
    <s v="Music Practice Room 2"/>
    <x v="0"/>
    <s v="Completed"/>
    <x v="6"/>
    <x v="15"/>
    <x v="2"/>
    <x v="2"/>
    <x v="4"/>
    <b v="0"/>
    <x v="702"/>
    <s v="FS1018-PIN-ZZ-00-D-O-6009"/>
  </r>
  <r>
    <s v="FS1018-PIN-ZZ-00-D-O-6009"/>
    <s v="Music Practice Room 2"/>
    <x v="2"/>
    <s v="In Progress"/>
    <x v="1"/>
    <x v="1"/>
    <x v="1"/>
    <x v="1"/>
    <x v="0"/>
    <b v="0"/>
    <x v="702"/>
    <s v="FS1018-PIN-ZZ-00-D-O-6009"/>
  </r>
  <r>
    <s v="FS1018-PIN-ZZ-00-D-O-6011"/>
    <s v="Hygiene Room 1"/>
    <x v="1"/>
    <s v="In Progress"/>
    <x v="1"/>
    <x v="1"/>
    <x v="1"/>
    <x v="1"/>
    <x v="0"/>
    <b v="1"/>
    <x v="703"/>
    <s v="FS1018-PIN-ZZ-00-D-O-6011"/>
  </r>
  <r>
    <s v="FS1018-PIN-ZZ-00-D-O-6042"/>
    <s v="First Aid Post (Sick Bay) 1 And Stairway 7"/>
    <x v="0"/>
    <s v="Completed"/>
    <x v="6"/>
    <x v="15"/>
    <x v="2"/>
    <x v="2"/>
    <x v="4"/>
    <b v="0"/>
    <x v="704"/>
    <s v="FS1018-PIN-ZZ-00-D-O-6042"/>
  </r>
  <r>
    <s v="FS1018-PIN-ZZ-00-D-O-6042"/>
    <s v="First Aid Post Sick Bay 1 And Stairway 7"/>
    <x v="1"/>
    <s v="In Progress"/>
    <x v="1"/>
    <x v="1"/>
    <x v="1"/>
    <x v="1"/>
    <x v="0"/>
    <b v="1"/>
    <x v="705"/>
    <s v="FS1018-PIN-ZZ-00-D-O-6042"/>
  </r>
  <r>
    <s v="FS1018-PIN-ZZ-00-D-O-6069"/>
    <s v="Circulation Space (Horizontal) On And Coats And Bag Store (Lockers) 1"/>
    <x v="0"/>
    <s v="Completed"/>
    <x v="6"/>
    <x v="15"/>
    <x v="2"/>
    <x v="2"/>
    <x v="4"/>
    <b v="0"/>
    <x v="706"/>
    <s v="FS1018-PIN-ZZ-00-D-O-6069"/>
  </r>
  <r>
    <s v="FS1018-PIN-ZZ-00-D-O-6069"/>
    <s v="Circulation Space Horizontal On And Coats And Bag Store Lockers 1"/>
    <x v="1"/>
    <s v="In Progress"/>
    <x v="1"/>
    <x v="1"/>
    <x v="1"/>
    <x v="1"/>
    <x v="0"/>
    <b v="1"/>
    <x v="707"/>
    <s v="FS1018-PIN-ZZ-00-D-O-6069"/>
  </r>
  <r>
    <s v="FS1018-PIN-ZZ-00-D-O-7001"/>
    <s v="DINING AND CATERING 3D"/>
    <x v="0"/>
    <s v="Completed"/>
    <x v="0"/>
    <x v="15"/>
    <x v="2"/>
    <x v="0"/>
    <x v="143"/>
    <b v="0"/>
    <x v="708"/>
    <s v="FS1018-PIN-ZZ-00-D-O-7001"/>
  </r>
  <r>
    <s v="FS1018-PIN-ZZ-00-D-O-7001"/>
    <s v="Dining And Catering 3D"/>
    <x v="1"/>
    <s v="Completed"/>
    <x v="6"/>
    <x v="15"/>
    <x v="2"/>
    <x v="2"/>
    <x v="4"/>
    <b v="1"/>
    <x v="708"/>
    <s v="FS1018-PIN-ZZ-00-D-O-7001"/>
  </r>
  <r>
    <s v="FS1018-PIN-ZZ-00-D-O-7001"/>
    <s v="Dining And Catering 3D"/>
    <x v="2"/>
    <s v="In Progress"/>
    <x v="1"/>
    <x v="1"/>
    <x v="1"/>
    <x v="1"/>
    <x v="0"/>
    <b v="0"/>
    <x v="708"/>
    <s v="FS1018-PIN-ZZ-00-D-O-7001"/>
  </r>
  <r>
    <s v="FS1018-PIN-ZZ-00-D-O-7003"/>
    <s v="Dishwashing"/>
    <x v="0"/>
    <s v="Completed"/>
    <x v="6"/>
    <x v="15"/>
    <x v="2"/>
    <x v="2"/>
    <x v="4"/>
    <b v="0"/>
    <x v="709"/>
    <s v="FS1018-PIN-ZZ-00-D-O-7003"/>
  </r>
  <r>
    <s v="FS1018-PIN-ZZ-00-D-O-7003"/>
    <s v="Dishwashing"/>
    <x v="2"/>
    <s v="In Progress"/>
    <x v="1"/>
    <x v="1"/>
    <x v="1"/>
    <x v="1"/>
    <x v="0"/>
    <b v="0"/>
    <x v="709"/>
    <s v="FS1018-PIN-ZZ-00-D-O-7003"/>
  </r>
  <r>
    <s v="FS1018-PIN-ZZ-00-D-O-7101"/>
    <s v="Food Prep Area, Kitchen Servery And Wash Up 1 Electrical Plan"/>
    <x v="3"/>
    <s v="In Progress"/>
    <x v="1"/>
    <x v="1"/>
    <x v="1"/>
    <x v="1"/>
    <x v="0"/>
    <b v="0"/>
    <x v="710"/>
    <s v="FS1018-PIN-ZZ-00-D-O-7101"/>
  </r>
  <r>
    <s v="FS1018-PIN-ZZ-00-D-O-7201"/>
    <s v="Food Prep Area, Kitchen Servery And Wash Up 1 Electrical Elevations"/>
    <x v="3"/>
    <s v="In Progress"/>
    <x v="1"/>
    <x v="1"/>
    <x v="1"/>
    <x v="1"/>
    <x v="0"/>
    <b v="0"/>
    <x v="711"/>
    <s v="FS1018-PIN-ZZ-00-D-O-7201"/>
  </r>
  <r>
    <s v="FS1018-PIN-ZZ-00-D-O-7301"/>
    <s v="Food Prep Area, Kitchen Servery And Wash Up 1 Mechanical Plan"/>
    <x v="3"/>
    <s v="In Progress"/>
    <x v="1"/>
    <x v="1"/>
    <x v="1"/>
    <x v="1"/>
    <x v="0"/>
    <b v="0"/>
    <x v="712"/>
    <s v="FS1018-PIN-ZZ-00-D-O-7301"/>
  </r>
  <r>
    <s v="FS1018-PIN-ZZ-00-D-O-7401"/>
    <s v="Food Prep Area, Kitchen Servery And Wash Up 1 Mechanical Elevations"/>
    <x v="3"/>
    <s v="In Progress"/>
    <x v="1"/>
    <x v="1"/>
    <x v="1"/>
    <x v="1"/>
    <x v="0"/>
    <b v="0"/>
    <x v="713"/>
    <s v="FS1018-PIN-ZZ-00-D-O-7401"/>
  </r>
  <r>
    <s v="FS1018-PIN-ZZ-00-D-O-7501"/>
    <s v="Dishwash Services Requirements"/>
    <x v="3"/>
    <s v="In Progress"/>
    <x v="1"/>
    <x v="1"/>
    <x v="1"/>
    <x v="1"/>
    <x v="0"/>
    <b v="0"/>
    <x v="714"/>
    <s v="FS1018-PIN-ZZ-00-D-O-7501"/>
  </r>
  <r>
    <s v="FS1018-PIN-ZZ-00-D-O-8001"/>
    <s v="Music Practice Room 1"/>
    <x v="0"/>
    <s v="Completed"/>
    <x v="6"/>
    <x v="15"/>
    <x v="2"/>
    <x v="2"/>
    <x v="4"/>
    <b v="0"/>
    <x v="715"/>
    <s v="FS1018-PIN-ZZ-00-D-O-8001"/>
  </r>
  <r>
    <s v="FS1018-PIN-ZZ-00-D-O-8001"/>
    <s v="Music Practice Room 1"/>
    <x v="2"/>
    <s v="In Progress"/>
    <x v="1"/>
    <x v="1"/>
    <x v="1"/>
    <x v="1"/>
    <x v="0"/>
    <b v="0"/>
    <x v="715"/>
    <s v="FS1018-PIN-ZZ-00-D-O-8001"/>
  </r>
  <r>
    <s v="FS1018-PIN-ZZ-00-D-O-8003"/>
    <s v="Music Practice Room (Extensive) 1"/>
    <x v="0"/>
    <s v="Completed"/>
    <x v="6"/>
    <x v="15"/>
    <x v="2"/>
    <x v="2"/>
    <x v="4"/>
    <b v="0"/>
    <x v="716"/>
    <s v="FS1018-PIN-ZZ-00-D-O-8003"/>
  </r>
  <r>
    <s v="FS1018-PIN-ZZ-00-D-O-8003"/>
    <s v="Music Practice Room Extensive 1"/>
    <x v="2"/>
    <s v="In Progress"/>
    <x v="1"/>
    <x v="1"/>
    <x v="1"/>
    <x v="1"/>
    <x v="0"/>
    <b v="0"/>
    <x v="717"/>
    <s v="FS1018-PIN-ZZ-00-D-O-8003"/>
  </r>
  <r>
    <s v="FS1018-PIN-ZZ-00-D-O-9001"/>
    <s v="Classroom Store, Room (Off Sen Room) 1"/>
    <x v="0"/>
    <s v="Completed"/>
    <x v="6"/>
    <x v="15"/>
    <x v="2"/>
    <x v="2"/>
    <x v="4"/>
    <b v="0"/>
    <x v="718"/>
    <s v="FS1018-PIN-ZZ-00-D-O-9001"/>
  </r>
  <r>
    <s v="FS1018-PIN-ZZ-00-D-O-9001"/>
    <s v="Classroom Store, Room Off Sen Room 1"/>
    <x v="3"/>
    <s v="In Progress"/>
    <x v="1"/>
    <x v="1"/>
    <x v="1"/>
    <x v="1"/>
    <x v="0"/>
    <b v="0"/>
    <x v="719"/>
    <s v="FS1018-PIN-ZZ-00-D-O-9001"/>
  </r>
  <r>
    <s v="FS1018-PIN-ZZ-00-D-O-9003"/>
    <s v="Teaching Resources Store (Music) 2"/>
    <x v="0"/>
    <s v="Completed"/>
    <x v="6"/>
    <x v="15"/>
    <x v="2"/>
    <x v="2"/>
    <x v="4"/>
    <b v="0"/>
    <x v="720"/>
    <s v="FS1018-PIN-ZZ-00-D-O-9003"/>
  </r>
  <r>
    <s v="FS1018-PIN-ZZ-00-D-O-9003"/>
    <s v="Teaching Resources Store Music 2"/>
    <x v="3"/>
    <s v="In Progress"/>
    <x v="1"/>
    <x v="1"/>
    <x v="1"/>
    <x v="1"/>
    <x v="0"/>
    <b v="0"/>
    <x v="721"/>
    <s v="FS1018-PIN-ZZ-00-D-O-9003"/>
  </r>
  <r>
    <s v="FS1018-PIN-ZZ-01-D-O-1000"/>
    <s v="FIRST FLOOR GA (1 OF 2)"/>
    <x v="0"/>
    <s v="Completed"/>
    <x v="0"/>
    <x v="15"/>
    <x v="2"/>
    <x v="0"/>
    <x v="143"/>
    <b v="0"/>
    <x v="722"/>
    <s v="FS1018-PIN-ZZ-01-D-O-1000"/>
  </r>
  <r>
    <s v="FS1018-PIN-ZZ-01-D-O-1000"/>
    <s v="First Floor GA (1 Of 2)"/>
    <x v="1"/>
    <s v="Completed"/>
    <x v="6"/>
    <x v="15"/>
    <x v="2"/>
    <x v="2"/>
    <x v="4"/>
    <b v="1"/>
    <x v="722"/>
    <s v="FS1018-PIN-ZZ-01-D-O-1000"/>
  </r>
  <r>
    <s v="FS1018-PIN-ZZ-01-D-O-1000"/>
    <s v="First Floor GA 1 Of 2"/>
    <x v="14"/>
    <s v="In Progress"/>
    <x v="1"/>
    <x v="1"/>
    <x v="1"/>
    <x v="1"/>
    <x v="0"/>
    <b v="0"/>
    <x v="723"/>
    <s v="FS1018-PIN-ZZ-01-D-O-1000"/>
  </r>
  <r>
    <s v="FS1018-PIN-ZZ-01-D-O-1001"/>
    <s v="FIRST FLOOR GA (2 OF 2)"/>
    <x v="0"/>
    <s v="Completed"/>
    <x v="0"/>
    <x v="15"/>
    <x v="2"/>
    <x v="0"/>
    <x v="143"/>
    <b v="0"/>
    <x v="724"/>
    <s v="FS1018-PIN-ZZ-01-D-O-1001"/>
  </r>
  <r>
    <s v="FS1018-PIN-ZZ-01-D-O-1001"/>
    <s v="First Floor GA (2 Of 2)"/>
    <x v="1"/>
    <s v="Completed"/>
    <x v="6"/>
    <x v="15"/>
    <x v="2"/>
    <x v="2"/>
    <x v="4"/>
    <b v="1"/>
    <x v="724"/>
    <s v="FS1018-PIN-ZZ-01-D-O-1001"/>
  </r>
  <r>
    <s v="FS1018-PIN-ZZ-01-D-O-1001"/>
    <s v="First Floor GA 2 Of 2"/>
    <x v="14"/>
    <s v="In Progress"/>
    <x v="1"/>
    <x v="1"/>
    <x v="1"/>
    <x v="1"/>
    <x v="0"/>
    <b v="0"/>
    <x v="725"/>
    <s v="FS1018-PIN-ZZ-01-D-O-1001"/>
  </r>
  <r>
    <s v="FS1018-PIN-ZZ-01-D-O-1002"/>
    <s v="Classroom (General) 2"/>
    <x v="0"/>
    <s v="Completed"/>
    <x v="6"/>
    <x v="15"/>
    <x v="2"/>
    <x v="2"/>
    <x v="4"/>
    <b v="0"/>
    <x v="726"/>
    <s v="FS1018-PIN-ZZ-01-D-O-1002"/>
  </r>
  <r>
    <s v="FS1018-PIN-ZZ-01-D-O-1002"/>
    <s v="Classroom General 2"/>
    <x v="2"/>
    <s v="In Progress"/>
    <x v="1"/>
    <x v="1"/>
    <x v="1"/>
    <x v="1"/>
    <x v="0"/>
    <b v="0"/>
    <x v="727"/>
    <s v="FS1018-PIN-ZZ-01-D-O-1002"/>
  </r>
  <r>
    <s v="FS1018-PIN-ZZ-01-D-O-1003"/>
    <s v="Classroom (General) 3"/>
    <x v="0"/>
    <s v="Completed"/>
    <x v="6"/>
    <x v="15"/>
    <x v="2"/>
    <x v="2"/>
    <x v="4"/>
    <b v="0"/>
    <x v="728"/>
    <s v="FS1018-PIN-ZZ-01-D-O-1003"/>
  </r>
  <r>
    <s v="FS1018-PIN-ZZ-01-D-O-1003"/>
    <s v="Classroom General 3"/>
    <x v="3"/>
    <s v="In Progress"/>
    <x v="1"/>
    <x v="1"/>
    <x v="1"/>
    <x v="1"/>
    <x v="0"/>
    <b v="0"/>
    <x v="729"/>
    <s v="FS1018-PIN-ZZ-01-D-O-1003"/>
  </r>
  <r>
    <s v="FS1018-PIN-ZZ-01-D-O-1004"/>
    <s v="Classroom (General) 4"/>
    <x v="0"/>
    <s v="Completed"/>
    <x v="6"/>
    <x v="15"/>
    <x v="2"/>
    <x v="2"/>
    <x v="4"/>
    <b v="0"/>
    <x v="730"/>
    <s v="FS1018-PIN-ZZ-01-D-O-1004"/>
  </r>
  <r>
    <s v="FS1018-PIN-ZZ-01-D-O-1004"/>
    <s v="Classroom General 4"/>
    <x v="3"/>
    <s v="In Progress"/>
    <x v="1"/>
    <x v="1"/>
    <x v="1"/>
    <x v="1"/>
    <x v="0"/>
    <b v="0"/>
    <x v="731"/>
    <s v="FS1018-PIN-ZZ-01-D-O-1004"/>
  </r>
  <r>
    <s v="FS1018-PIN-ZZ-01-D-O-1005"/>
    <s v="Classroom (General) 5"/>
    <x v="0"/>
    <s v="Completed"/>
    <x v="6"/>
    <x v="15"/>
    <x v="2"/>
    <x v="2"/>
    <x v="4"/>
    <b v="0"/>
    <x v="732"/>
    <s v="FS1018-PIN-ZZ-01-D-O-1005"/>
  </r>
  <r>
    <s v="FS1018-PIN-ZZ-01-D-O-1005"/>
    <s v="Classroom General 5"/>
    <x v="3"/>
    <s v="In Progress"/>
    <x v="1"/>
    <x v="1"/>
    <x v="1"/>
    <x v="1"/>
    <x v="0"/>
    <b v="0"/>
    <x v="733"/>
    <s v="FS1018-PIN-ZZ-01-D-O-1005"/>
  </r>
  <r>
    <s v="FS1018-PIN-ZZ-01-D-O-1006"/>
    <s v="Classroom (General) 6"/>
    <x v="0"/>
    <s v="Completed"/>
    <x v="6"/>
    <x v="15"/>
    <x v="2"/>
    <x v="2"/>
    <x v="4"/>
    <b v="0"/>
    <x v="734"/>
    <s v="FS1018-PIN-ZZ-01-D-O-1006"/>
  </r>
  <r>
    <s v="FS1018-PIN-ZZ-01-D-O-1006"/>
    <s v="Classroom General 6"/>
    <x v="3"/>
    <s v="In Progress"/>
    <x v="1"/>
    <x v="1"/>
    <x v="1"/>
    <x v="1"/>
    <x v="0"/>
    <b v="0"/>
    <x v="735"/>
    <s v="FS1018-PIN-ZZ-01-D-O-1006"/>
  </r>
  <r>
    <s v="FS1018-PIN-ZZ-01-D-O-1007"/>
    <s v="GENERAL CLASSROOM"/>
    <x v="0"/>
    <s v="Completed"/>
    <x v="0"/>
    <x v="15"/>
    <x v="2"/>
    <x v="0"/>
    <x v="143"/>
    <b v="0"/>
    <x v="736"/>
    <s v="FS1018-PIN-ZZ-01-D-O-1007"/>
  </r>
  <r>
    <s v="FS1018-PIN-ZZ-01-D-O-1007"/>
    <s v="Classroom (General) 7"/>
    <x v="1"/>
    <s v="Completed"/>
    <x v="6"/>
    <x v="15"/>
    <x v="2"/>
    <x v="2"/>
    <x v="4"/>
    <b v="1"/>
    <x v="737"/>
    <s v="FS1018-PIN-ZZ-01-D-O-1007"/>
  </r>
  <r>
    <s v="FS1018-PIN-ZZ-01-D-O-1007"/>
    <s v="Classroom General 7"/>
    <x v="14"/>
    <s v="In Progress"/>
    <x v="1"/>
    <x v="1"/>
    <x v="1"/>
    <x v="1"/>
    <x v="0"/>
    <b v="0"/>
    <x v="738"/>
    <s v="FS1018-PIN-ZZ-01-D-O-1007"/>
  </r>
  <r>
    <s v="FS1018-PIN-ZZ-01-D-O-1008"/>
    <s v="Classroom (General) 8"/>
    <x v="0"/>
    <s v="Completed"/>
    <x v="6"/>
    <x v="15"/>
    <x v="2"/>
    <x v="2"/>
    <x v="4"/>
    <b v="0"/>
    <x v="739"/>
    <s v="FS1018-PIN-ZZ-01-D-O-1008"/>
  </r>
  <r>
    <s v="FS1018-PIN-ZZ-01-D-O-1008"/>
    <s v="Classroom General 8"/>
    <x v="2"/>
    <s v="In Progress"/>
    <x v="1"/>
    <x v="1"/>
    <x v="1"/>
    <x v="1"/>
    <x v="0"/>
    <b v="0"/>
    <x v="740"/>
    <s v="FS1018-PIN-ZZ-01-D-O-1008"/>
  </r>
  <r>
    <s v="FS1018-PIN-ZZ-01-D-O-1009"/>
    <s v="Classroom (General) 9"/>
    <x v="0"/>
    <s v="Completed"/>
    <x v="6"/>
    <x v="15"/>
    <x v="2"/>
    <x v="2"/>
    <x v="4"/>
    <b v="0"/>
    <x v="741"/>
    <s v="FS1018-PIN-ZZ-01-D-O-1009"/>
  </r>
  <r>
    <s v="FS1018-PIN-ZZ-01-D-O-1009"/>
    <s v="Classroom General 9"/>
    <x v="3"/>
    <s v="In Progress"/>
    <x v="1"/>
    <x v="1"/>
    <x v="1"/>
    <x v="1"/>
    <x v="0"/>
    <b v="0"/>
    <x v="742"/>
    <s v="FS1018-PIN-ZZ-01-D-O-1009"/>
  </r>
  <r>
    <s v="FS1018-PIN-ZZ-01-D-O-1021"/>
    <s v="CLASSROOM (GENERAL) 1"/>
    <x v="1"/>
    <s v="Completed"/>
    <x v="6"/>
    <x v="15"/>
    <x v="2"/>
    <x v="2"/>
    <x v="4"/>
    <b v="1"/>
    <x v="743"/>
    <s v="FS1018-PIN-ZZ-01-D-O-1021"/>
  </r>
  <r>
    <s v="FS1018-PIN-ZZ-01-D-O-1021"/>
    <s v="Classroom General 1"/>
    <x v="14"/>
    <s v="In Progress"/>
    <x v="1"/>
    <x v="1"/>
    <x v="1"/>
    <x v="1"/>
    <x v="0"/>
    <b v="0"/>
    <x v="744"/>
    <s v="FS1018-PIN-ZZ-01-D-O-1021"/>
  </r>
  <r>
    <s v="FS1018-PIN-ZZ-01-D-O-1101"/>
    <s v="ICT RICH CLASSROOM 1"/>
    <x v="0"/>
    <s v="Completed"/>
    <x v="0"/>
    <x v="15"/>
    <x v="2"/>
    <x v="0"/>
    <x v="143"/>
    <b v="0"/>
    <x v="745"/>
    <s v="FS1018-PIN-ZZ-01-D-O-1101"/>
  </r>
  <r>
    <s v="FS1018-PIN-ZZ-01-D-O-1101"/>
    <s v="Ict Rich Classroom 1"/>
    <x v="1"/>
    <s v="Completed"/>
    <x v="6"/>
    <x v="15"/>
    <x v="2"/>
    <x v="2"/>
    <x v="4"/>
    <b v="1"/>
    <x v="745"/>
    <s v="FS1018-PIN-ZZ-01-D-O-1101"/>
  </r>
  <r>
    <s v="FS1018-PIN-ZZ-01-D-O-1101"/>
    <s v="ICT Rich Classroom 1"/>
    <x v="5"/>
    <s v="In Progress"/>
    <x v="1"/>
    <x v="1"/>
    <x v="1"/>
    <x v="1"/>
    <x v="0"/>
    <b v="0"/>
    <x v="745"/>
    <s v="FS1018-PIN-ZZ-01-D-O-1101"/>
  </r>
  <r>
    <s v="FS1018-PIN-ZZ-01-D-O-1102"/>
    <s v="ICT RICH CLASSROOM 2"/>
    <x v="0"/>
    <s v="Completed"/>
    <x v="0"/>
    <x v="15"/>
    <x v="2"/>
    <x v="0"/>
    <x v="143"/>
    <b v="0"/>
    <x v="746"/>
    <s v="FS1018-PIN-ZZ-01-D-O-1102"/>
  </r>
  <r>
    <s v="FS1018-PIN-ZZ-01-D-O-1102"/>
    <s v="Ict Rich Classroom 2"/>
    <x v="1"/>
    <s v="Completed"/>
    <x v="6"/>
    <x v="15"/>
    <x v="2"/>
    <x v="2"/>
    <x v="4"/>
    <b v="1"/>
    <x v="746"/>
    <s v="FS1018-PIN-ZZ-01-D-O-1102"/>
  </r>
  <r>
    <s v="FS1018-PIN-ZZ-01-D-O-1102"/>
    <s v="ICT Rich Classroom 2"/>
    <x v="2"/>
    <s v="In Progress"/>
    <x v="1"/>
    <x v="1"/>
    <x v="1"/>
    <x v="1"/>
    <x v="0"/>
    <b v="0"/>
    <x v="746"/>
    <s v="FS1018-PIN-ZZ-01-D-O-1102"/>
  </r>
  <r>
    <s v="FS1018-PIN-ZZ-01-D-O-1108"/>
    <s v="ART ROOM (GENERAL)"/>
    <x v="0"/>
    <s v="Completed"/>
    <x v="0"/>
    <x v="15"/>
    <x v="2"/>
    <x v="0"/>
    <x v="143"/>
    <b v="0"/>
    <x v="747"/>
    <s v="FS1018-PIN-ZZ-01-D-O-1108"/>
  </r>
  <r>
    <s v="FS1018-PIN-ZZ-01-D-O-1108"/>
    <s v="Art Room (General)"/>
    <x v="1"/>
    <s v="Completed"/>
    <x v="6"/>
    <x v="15"/>
    <x v="2"/>
    <x v="2"/>
    <x v="4"/>
    <b v="1"/>
    <x v="747"/>
    <s v="FS1018-PIN-ZZ-01-D-O-1108"/>
  </r>
  <r>
    <s v="FS1018-PIN-ZZ-01-D-O-1108"/>
    <s v="Art Room General"/>
    <x v="14"/>
    <s v="In Progress"/>
    <x v="1"/>
    <x v="1"/>
    <x v="1"/>
    <x v="1"/>
    <x v="0"/>
    <b v="0"/>
    <x v="748"/>
    <s v="FS1018-PIN-ZZ-01-D-O-1108"/>
  </r>
  <r>
    <s v="FS1018-PIN-ZZ-01-D-O-3006"/>
    <s v="Medical Treatment (Mi) Room 1 &amp; 3007 Sen Resource Space 1"/>
    <x v="0"/>
    <s v="Completed"/>
    <x v="6"/>
    <x v="15"/>
    <x v="2"/>
    <x v="2"/>
    <x v="4"/>
    <b v="0"/>
    <x v="749"/>
    <s v="FS1018-PIN-ZZ-01-D-O-3006"/>
  </r>
  <r>
    <s v="FS1018-PIN-ZZ-01-D-O-3006"/>
    <s v="Medical Treatment Mi Room 1 And 3007 Sen Resource Space 1"/>
    <x v="2"/>
    <s v="In Progress"/>
    <x v="1"/>
    <x v="1"/>
    <x v="1"/>
    <x v="1"/>
    <x v="0"/>
    <b v="0"/>
    <x v="750"/>
    <s v="FS1018-PIN-ZZ-01-D-O-3006"/>
  </r>
  <r>
    <s v="FS1018-PIN-ZZ-01-D-O-3009"/>
    <s v="Small Group Room (Large Sen Etc.) 1"/>
    <x v="0"/>
    <s v="Completed"/>
    <x v="6"/>
    <x v="15"/>
    <x v="2"/>
    <x v="2"/>
    <x v="4"/>
    <b v="0"/>
    <x v="751"/>
    <s v="FS1018-PIN-ZZ-01-D-O-3009"/>
  </r>
  <r>
    <s v="FS1018-PIN-ZZ-01-D-O-3009"/>
    <s v="Small Group Room Large Sen Etc. 1"/>
    <x v="3"/>
    <s v="In Progress"/>
    <x v="1"/>
    <x v="1"/>
    <x v="1"/>
    <x v="1"/>
    <x v="0"/>
    <b v="0"/>
    <x v="752"/>
    <s v="FS1018-PIN-ZZ-01-D-O-3009"/>
  </r>
  <r>
    <s v="FS1018-PIN-ZZ-01-D-O-4002"/>
    <s v="Meeting Room (Conference) 1"/>
    <x v="0"/>
    <s v="Completed"/>
    <x v="6"/>
    <x v="15"/>
    <x v="2"/>
    <x v="2"/>
    <x v="4"/>
    <b v="0"/>
    <x v="753"/>
    <s v="FS1018-PIN-ZZ-01-D-O-4002"/>
  </r>
  <r>
    <s v="FS1018-PIN-ZZ-01-D-O-4002"/>
    <s v="Meeting Room Conference 1"/>
    <x v="3"/>
    <s v="In Progress"/>
    <x v="1"/>
    <x v="1"/>
    <x v="1"/>
    <x v="1"/>
    <x v="0"/>
    <b v="0"/>
    <x v="754"/>
    <s v="FS1018-PIN-ZZ-01-D-O-4002"/>
  </r>
  <r>
    <s v="FS1018-PIN-ZZ-01-D-O-4007"/>
    <s v="Office (Pastoral) 1 And 5002 Teaching Resources Store (Itgt Off Corridor) 2"/>
    <x v="0"/>
    <s v="Completed"/>
    <x v="6"/>
    <x v="15"/>
    <x v="2"/>
    <x v="2"/>
    <x v="4"/>
    <b v="0"/>
    <x v="755"/>
    <s v="FS1018-PIN-ZZ-01-D-O-4007"/>
  </r>
  <r>
    <s v="FS1018-PIN-ZZ-01-D-O-4007"/>
    <s v="Office Pastoral 1 And 5002 Teaching Resources Store It Gt Off Corridor 2"/>
    <x v="3"/>
    <s v="In Progress"/>
    <x v="1"/>
    <x v="1"/>
    <x v="1"/>
    <x v="1"/>
    <x v="0"/>
    <b v="0"/>
    <x v="756"/>
    <s v="FS1018-PIN-ZZ-01-D-O-4007"/>
  </r>
  <r>
    <s v="FS1018-PIN-ZZ-01-D-O-4012"/>
    <s v="Office (With Meeting Area, 2 Person) 1"/>
    <x v="0"/>
    <s v="Completed"/>
    <x v="6"/>
    <x v="15"/>
    <x v="2"/>
    <x v="2"/>
    <x v="4"/>
    <b v="0"/>
    <x v="757"/>
    <s v="FS1018-PIN-ZZ-01-D-O-4012"/>
  </r>
  <r>
    <s v="FS1018-PIN-ZZ-01-D-O-4012"/>
    <s v="Office With Meeting Area, 2 Person 1"/>
    <x v="2"/>
    <s v="In Progress"/>
    <x v="1"/>
    <x v="1"/>
    <x v="1"/>
    <x v="1"/>
    <x v="0"/>
    <b v="0"/>
    <x v="758"/>
    <s v="FS1018-PIN-ZZ-01-D-O-4012"/>
  </r>
  <r>
    <s v="FS1018-PIN-ZZ-01-D-O-4013"/>
    <s v="Office (With Meeting Area, 2 Person) 2"/>
    <x v="0"/>
    <s v="Completed"/>
    <x v="6"/>
    <x v="15"/>
    <x v="2"/>
    <x v="2"/>
    <x v="4"/>
    <b v="0"/>
    <x v="759"/>
    <s v="FS1018-PIN-ZZ-01-D-O-4013"/>
  </r>
  <r>
    <s v="FS1018-PIN-ZZ-01-D-O-4013"/>
    <s v="Office With Meeting Area, 2 Person 2"/>
    <x v="2"/>
    <s v="In Progress"/>
    <x v="1"/>
    <x v="1"/>
    <x v="1"/>
    <x v="1"/>
    <x v="0"/>
    <b v="0"/>
    <x v="760"/>
    <s v="FS1018-PIN-ZZ-01-D-O-4013"/>
  </r>
  <r>
    <s v="FS1018-PIN-ZZ-01-D-O-4016"/>
    <s v="Office (Senco, Learning Support) 1"/>
    <x v="0"/>
    <s v="Completed"/>
    <x v="6"/>
    <x v="15"/>
    <x v="2"/>
    <x v="2"/>
    <x v="4"/>
    <b v="0"/>
    <x v="761"/>
    <s v="FS1018-PIN-ZZ-01-D-O-4016"/>
  </r>
  <r>
    <s v="FS1018-PIN-ZZ-01-D-O-4016"/>
    <s v="Office Senco, Learning Support 1"/>
    <x v="3"/>
    <s v="In Progress"/>
    <x v="1"/>
    <x v="1"/>
    <x v="1"/>
    <x v="1"/>
    <x v="0"/>
    <b v="0"/>
    <x v="762"/>
    <s v="FS1018-PIN-ZZ-01-D-O-4016"/>
  </r>
  <r>
    <s v="FS1018-PIN-ZZ-01-D-O-4017"/>
    <s v="Staff Workroom (Ict Technicians) 1"/>
    <x v="0"/>
    <s v="Completed"/>
    <x v="6"/>
    <x v="15"/>
    <x v="2"/>
    <x v="2"/>
    <x v="4"/>
    <b v="0"/>
    <x v="763"/>
    <s v="FS1018-PIN-ZZ-01-D-O-4017"/>
  </r>
  <r>
    <s v="FS1018-PIN-ZZ-01-D-O-4017"/>
    <s v="Staff Workroom ICT Technicians 1"/>
    <x v="1"/>
    <s v="In Progress"/>
    <x v="1"/>
    <x v="1"/>
    <x v="1"/>
    <x v="1"/>
    <x v="0"/>
    <b v="1"/>
    <x v="764"/>
    <s v="FS1018-PIN-ZZ-01-D-O-4017"/>
  </r>
  <r>
    <s v="FS1018-PIN-ZZ-01-D-O-5006"/>
    <s v="Teaching Resources Store (Off Art Room) 1"/>
    <x v="0"/>
    <s v="Completed"/>
    <x v="6"/>
    <x v="15"/>
    <x v="2"/>
    <x v="2"/>
    <x v="4"/>
    <b v="0"/>
    <x v="765"/>
    <s v="FS1018-PIN-ZZ-01-D-O-5006"/>
  </r>
  <r>
    <s v="FS1018-PIN-ZZ-01-D-O-5006"/>
    <s v="Teaching Resources Store Off Art Room 1"/>
    <x v="1"/>
    <s v="In Progress"/>
    <x v="1"/>
    <x v="1"/>
    <x v="1"/>
    <x v="1"/>
    <x v="0"/>
    <b v="1"/>
    <x v="766"/>
    <s v="FS1018-PIN-ZZ-01-D-O-5006"/>
  </r>
  <r>
    <s v="FS1018-PIN-ZZ-01-D-O-5017"/>
    <s v="Classroom Store, Room (Off Sen Room) 1"/>
    <x v="0"/>
    <s v="Completed"/>
    <x v="6"/>
    <x v="15"/>
    <x v="2"/>
    <x v="2"/>
    <x v="4"/>
    <b v="0"/>
    <x v="767"/>
    <s v="FS1018-PIN-ZZ-01-D-O-5017"/>
  </r>
  <r>
    <s v="FS1018-PIN-ZZ-01-D-O-5017"/>
    <s v="Classroom Store, Room Off Sen Room 1"/>
    <x v="3"/>
    <s v="In Progress"/>
    <x v="1"/>
    <x v="1"/>
    <x v="1"/>
    <x v="1"/>
    <x v="0"/>
    <b v="0"/>
    <x v="768"/>
    <s v="FS1018-PIN-ZZ-01-D-O-5017"/>
  </r>
  <r>
    <s v="FS1018-PIN-ZZ-01-D-O-5042"/>
    <s v="66042K Stairway 7 And 5112 Coats And Bag Store (Lockers) 4"/>
    <x v="0"/>
    <s v="Completed"/>
    <x v="6"/>
    <x v="15"/>
    <x v="2"/>
    <x v="2"/>
    <x v="4"/>
    <b v="0"/>
    <x v="769"/>
    <s v="FS1018-PIN-ZZ-01-D-O-5042"/>
  </r>
  <r>
    <s v="FS1018-PIN-ZZ-01-D-O-5104"/>
    <s v="Secure Storeroom 2"/>
    <x v="0"/>
    <s v="Completed"/>
    <x v="6"/>
    <x v="15"/>
    <x v="2"/>
    <x v="2"/>
    <x v="4"/>
    <b v="0"/>
    <x v="770"/>
    <s v="FS1018-PIN-ZZ-01-D-O-5104"/>
  </r>
  <r>
    <s v="FS1018-PIN-ZZ-01-D-O-5104"/>
    <s v="Secure Storeroom 2"/>
    <x v="3"/>
    <s v="In Progress"/>
    <x v="1"/>
    <x v="1"/>
    <x v="1"/>
    <x v="1"/>
    <x v="0"/>
    <b v="0"/>
    <x v="770"/>
    <s v="FS1018-PIN-ZZ-01-D-O-5104"/>
  </r>
  <r>
    <s v="FS1018-PIN-ZZ-01-D-O-5110"/>
    <s v="Coats And Bag Store (Lockers) 2"/>
    <x v="0"/>
    <s v="Completed"/>
    <x v="6"/>
    <x v="15"/>
    <x v="2"/>
    <x v="2"/>
    <x v="4"/>
    <b v="0"/>
    <x v="771"/>
    <s v="FS1018-PIN-ZZ-01-D-O-5110"/>
  </r>
  <r>
    <s v="FS1018-PIN-ZZ-01-D-O-5110"/>
    <s v="Coats And Bag Store Lockers 2"/>
    <x v="3"/>
    <s v="In Progress"/>
    <x v="1"/>
    <x v="1"/>
    <x v="1"/>
    <x v="1"/>
    <x v="0"/>
    <b v="0"/>
    <x v="772"/>
    <s v="FS1018-PIN-ZZ-01-D-O-5110"/>
  </r>
  <r>
    <s v="FS1018-PIN-ZZ-01-D-O-5111"/>
    <s v="Coats And Bag Store (Lockers) 3"/>
    <x v="0"/>
    <s v="Completed"/>
    <x v="6"/>
    <x v="15"/>
    <x v="2"/>
    <x v="2"/>
    <x v="4"/>
    <b v="0"/>
    <x v="773"/>
    <s v="FS1018-PIN-ZZ-01-D-O-5111"/>
  </r>
  <r>
    <s v="FS1018-PIN-ZZ-01-D-O-5111"/>
    <s v="Coats And Bag Store Lockers 3"/>
    <x v="3"/>
    <s v="In Progress"/>
    <x v="1"/>
    <x v="1"/>
    <x v="1"/>
    <x v="1"/>
    <x v="0"/>
    <b v="0"/>
    <x v="774"/>
    <s v="FS1018-PIN-ZZ-01-D-O-5111"/>
  </r>
  <r>
    <s v="FS1018-PIN-ZZ-01-D-O-5112"/>
    <s v="Coats And Bag Store (Lockers) 4"/>
    <x v="0"/>
    <s v="Completed"/>
    <x v="6"/>
    <x v="15"/>
    <x v="2"/>
    <x v="2"/>
    <x v="4"/>
    <b v="0"/>
    <x v="775"/>
    <s v="FS1018-PIN-ZZ-01-D-O-5112"/>
  </r>
  <r>
    <s v="FS1018-PIN-ZZ-01-D-O-5112"/>
    <s v="Coats And Bag Store Lockers 4"/>
    <x v="3"/>
    <s v="In Progress"/>
    <x v="1"/>
    <x v="1"/>
    <x v="1"/>
    <x v="1"/>
    <x v="0"/>
    <b v="0"/>
    <x v="776"/>
    <s v="FS1018-PIN-ZZ-01-D-O-5112"/>
  </r>
  <r>
    <s v="FS1018-PIN-ZZ-01-D-O-5113"/>
    <s v="Coats And Bag Store (Lockers) 5"/>
    <x v="0"/>
    <s v="Completed"/>
    <x v="6"/>
    <x v="15"/>
    <x v="2"/>
    <x v="2"/>
    <x v="4"/>
    <b v="0"/>
    <x v="777"/>
    <s v="FS1018-PIN-ZZ-01-D-O-5113"/>
  </r>
  <r>
    <s v="FS1018-PIN-ZZ-01-D-O-5113"/>
    <s v="Coats And Bag Store Lockers 5"/>
    <x v="3"/>
    <s v="In Progress"/>
    <x v="1"/>
    <x v="1"/>
    <x v="1"/>
    <x v="1"/>
    <x v="0"/>
    <b v="0"/>
    <x v="778"/>
    <s v="FS1018-PIN-ZZ-01-D-O-5113"/>
  </r>
  <r>
    <s v="FS1018-PIN-ZZ-01-D-O-5116"/>
    <s v="Cleaners' Store 3"/>
    <x v="1"/>
    <s v="In Progress"/>
    <x v="1"/>
    <x v="1"/>
    <x v="1"/>
    <x v="1"/>
    <x v="0"/>
    <b v="1"/>
    <x v="779"/>
    <s v="FS1018-PIN-ZZ-01-D-O-5116"/>
  </r>
  <r>
    <s v="FS1018-PIN-ZZ-01-D-O-7042"/>
    <s v="66042L Stairway 7 And 5113 Coats And Bag Store (Lockers) 5"/>
    <x v="0"/>
    <s v="Completed"/>
    <x v="6"/>
    <x v="15"/>
    <x v="2"/>
    <x v="2"/>
    <x v="4"/>
    <b v="0"/>
    <x v="780"/>
    <s v="FS1018-PIN-ZZ-01-D-O-7042"/>
  </r>
  <r>
    <s v="FS1018-PIN-ZZ-01-D-O-8042"/>
    <s v="66042I Stairway 7 And 5110 Coats And Bag Store (Lockers) 2"/>
    <x v="0"/>
    <s v="Completed"/>
    <x v="6"/>
    <x v="15"/>
    <x v="2"/>
    <x v="2"/>
    <x v="4"/>
    <b v="0"/>
    <x v="781"/>
    <s v="FS1018-PIN-ZZ-01-D-O-8042"/>
  </r>
  <r>
    <s v="FS1018-PIN-ZZ-01-D-O-9042"/>
    <s v="66042J Circulation Space (Horizontal) On And 5111 Coats And Bag Store (Lockers) 3"/>
    <x v="0"/>
    <s v="Completed"/>
    <x v="6"/>
    <x v="15"/>
    <x v="2"/>
    <x v="2"/>
    <x v="4"/>
    <b v="0"/>
    <x v="782"/>
    <s v="FS1018-PIN-ZZ-01-D-O-9042"/>
  </r>
  <r>
    <s v="FS1018-PIN-ZZ-02-D-O-1010"/>
    <s v="Classroom (General) 10"/>
    <x v="0"/>
    <s v="Completed"/>
    <x v="6"/>
    <x v="15"/>
    <x v="2"/>
    <x v="2"/>
    <x v="4"/>
    <b v="0"/>
    <x v="783"/>
    <s v="FS1018-PIN-ZZ-02-D-O-1010"/>
  </r>
  <r>
    <s v="FS1018-PIN-ZZ-02-D-O-1010"/>
    <s v="Classroom General 10"/>
    <x v="3"/>
    <s v="In Progress"/>
    <x v="1"/>
    <x v="1"/>
    <x v="1"/>
    <x v="1"/>
    <x v="0"/>
    <b v="0"/>
    <x v="784"/>
    <s v="FS1018-PIN-ZZ-02-D-O-1010"/>
  </r>
  <r>
    <s v="FS1018-PIN-ZZ-02-D-O-1011"/>
    <s v="Classroom (General) 11"/>
    <x v="0"/>
    <s v="Completed"/>
    <x v="6"/>
    <x v="15"/>
    <x v="2"/>
    <x v="2"/>
    <x v="4"/>
    <b v="0"/>
    <x v="785"/>
    <s v="FS1018-PIN-ZZ-02-D-O-1011"/>
  </r>
  <r>
    <s v="FS1018-PIN-ZZ-02-D-O-1011"/>
    <s v="Classroom General 11"/>
    <x v="3"/>
    <s v="In Progress"/>
    <x v="1"/>
    <x v="1"/>
    <x v="1"/>
    <x v="1"/>
    <x v="0"/>
    <b v="0"/>
    <x v="786"/>
    <s v="FS1018-PIN-ZZ-02-D-O-1011"/>
  </r>
  <r>
    <s v="FS1018-PIN-ZZ-02-D-O-1012"/>
    <s v="Classroom (General) 12"/>
    <x v="0"/>
    <s v="Completed"/>
    <x v="6"/>
    <x v="15"/>
    <x v="2"/>
    <x v="2"/>
    <x v="4"/>
    <b v="0"/>
    <x v="787"/>
    <s v="FS1018-PIN-ZZ-02-D-O-1012"/>
  </r>
  <r>
    <s v="FS1018-PIN-ZZ-02-D-O-1012"/>
    <s v="Classroom General 12"/>
    <x v="3"/>
    <s v="In Progress"/>
    <x v="1"/>
    <x v="1"/>
    <x v="1"/>
    <x v="1"/>
    <x v="0"/>
    <b v="0"/>
    <x v="788"/>
    <s v="FS1018-PIN-ZZ-02-D-O-1012"/>
  </r>
  <r>
    <s v="FS1018-PIN-ZZ-02-D-O-1013"/>
    <s v="Classroom (General) 13"/>
    <x v="0"/>
    <s v="Completed"/>
    <x v="6"/>
    <x v="15"/>
    <x v="2"/>
    <x v="2"/>
    <x v="4"/>
    <b v="0"/>
    <x v="789"/>
    <s v="FS1018-PIN-ZZ-02-D-O-1013"/>
  </r>
  <r>
    <s v="FS1018-PIN-ZZ-02-D-O-1013"/>
    <s v="Classroom General 13"/>
    <x v="2"/>
    <s v="In Progress"/>
    <x v="1"/>
    <x v="1"/>
    <x v="1"/>
    <x v="1"/>
    <x v="0"/>
    <b v="0"/>
    <x v="790"/>
    <s v="FS1018-PIN-ZZ-02-D-O-1013"/>
  </r>
  <r>
    <s v="FS1018-PIN-ZZ-02-D-O-1014"/>
    <s v="Classroom (General) 14"/>
    <x v="0"/>
    <s v="Completed"/>
    <x v="6"/>
    <x v="15"/>
    <x v="2"/>
    <x v="2"/>
    <x v="4"/>
    <b v="0"/>
    <x v="791"/>
    <s v="FS1018-PIN-ZZ-02-D-O-1014"/>
  </r>
  <r>
    <s v="FS1018-PIN-ZZ-02-D-O-1014"/>
    <s v="Classroom General 14"/>
    <x v="3"/>
    <s v="In Progress"/>
    <x v="1"/>
    <x v="1"/>
    <x v="1"/>
    <x v="1"/>
    <x v="0"/>
    <b v="0"/>
    <x v="792"/>
    <s v="FS1018-PIN-ZZ-02-D-O-1014"/>
  </r>
  <r>
    <s v="FS1018-PIN-ZZ-02-D-O-1015"/>
    <s v="Classroom (General) 15"/>
    <x v="0"/>
    <s v="Completed"/>
    <x v="6"/>
    <x v="15"/>
    <x v="2"/>
    <x v="2"/>
    <x v="4"/>
    <b v="0"/>
    <x v="793"/>
    <s v="FS1018-PIN-ZZ-02-D-O-1015"/>
  </r>
  <r>
    <s v="FS1018-PIN-ZZ-02-D-O-1015"/>
    <s v="Classroom General 15"/>
    <x v="3"/>
    <s v="In Progress"/>
    <x v="1"/>
    <x v="1"/>
    <x v="1"/>
    <x v="1"/>
    <x v="0"/>
    <b v="0"/>
    <x v="794"/>
    <s v="FS1018-PIN-ZZ-02-D-O-1015"/>
  </r>
  <r>
    <s v="FS1018-PIN-ZZ-02-D-O-1016"/>
    <s v="Classroom (General) 16"/>
    <x v="0"/>
    <s v="Completed"/>
    <x v="6"/>
    <x v="15"/>
    <x v="2"/>
    <x v="2"/>
    <x v="4"/>
    <b v="0"/>
    <x v="795"/>
    <s v="FS1018-PIN-ZZ-02-D-O-1016"/>
  </r>
  <r>
    <s v="FS1018-PIN-ZZ-02-D-O-1016"/>
    <s v="Classroom General 16"/>
    <x v="2"/>
    <s v="In Progress"/>
    <x v="1"/>
    <x v="1"/>
    <x v="1"/>
    <x v="1"/>
    <x v="0"/>
    <b v="0"/>
    <x v="796"/>
    <s v="FS1018-PIN-ZZ-02-D-O-1016"/>
  </r>
  <r>
    <s v="FS1018-PIN-ZZ-02-D-O-1042"/>
    <s v="66042P Stairway 7 &amp; 5113A Coats And Bag Store (Lockers) 5"/>
    <x v="0"/>
    <s v="Completed"/>
    <x v="6"/>
    <x v="15"/>
    <x v="2"/>
    <x v="2"/>
    <x v="4"/>
    <b v="0"/>
    <x v="797"/>
    <s v="FS1018-PIN-ZZ-02-D-O-1042"/>
  </r>
  <r>
    <s v="FS1018-PIN-ZZ-02-D-O-1042"/>
    <s v="6042P Stairway 7 And 5113A Coats And Bag Store Lockers 5"/>
    <x v="3"/>
    <s v="In Progress"/>
    <x v="1"/>
    <x v="1"/>
    <x v="1"/>
    <x v="1"/>
    <x v="0"/>
    <b v="0"/>
    <x v="798"/>
    <s v="FS1018-PIN-ZZ-02-D-O-1042"/>
  </r>
  <r>
    <s v="FS1018-PIN-ZZ-02-D-O-1103"/>
    <s v="SCIENCE LABORATORIES (RESTRICTIVE, EXTG) 1"/>
    <x v="3"/>
    <s v="Completed"/>
    <x v="6"/>
    <x v="15"/>
    <x v="2"/>
    <x v="2"/>
    <x v="4"/>
    <b v="0"/>
    <x v="799"/>
    <s v="FS1018-PIN-ZZ-02-D-O-1103"/>
  </r>
  <r>
    <s v="FS1018-PIN-ZZ-02-D-O-1103"/>
    <s v="Science Laboratories Restrictive, Extg 1"/>
    <x v="14"/>
    <s v="In Progress"/>
    <x v="1"/>
    <x v="1"/>
    <x v="1"/>
    <x v="1"/>
    <x v="0"/>
    <b v="0"/>
    <x v="800"/>
    <s v="FS1018-PIN-ZZ-02-D-O-1103"/>
  </r>
  <r>
    <s v="FS1018-PIN-ZZ-02-D-O-1104"/>
    <s v="Science Laboratories (Restrictive, Extg) 2"/>
    <x v="0"/>
    <s v="Completed"/>
    <x v="6"/>
    <x v="15"/>
    <x v="2"/>
    <x v="2"/>
    <x v="4"/>
    <b v="0"/>
    <x v="801"/>
    <s v="FS1018-PIN-ZZ-02-D-O-1104"/>
  </r>
  <r>
    <s v="FS1018-PIN-ZZ-02-D-O-1104"/>
    <s v="Science Laboratories Restrictive, Extg 2"/>
    <x v="3"/>
    <s v="In Progress"/>
    <x v="1"/>
    <x v="1"/>
    <x v="1"/>
    <x v="1"/>
    <x v="0"/>
    <b v="0"/>
    <x v="802"/>
    <s v="FS1018-PIN-ZZ-02-D-O-1104"/>
  </r>
  <r>
    <s v="FS1018-PIN-ZZ-02-D-O-1105"/>
    <s v="Science Laboratories (Restrictive, Extg) 3"/>
    <x v="0"/>
    <s v="Completed"/>
    <x v="6"/>
    <x v="15"/>
    <x v="2"/>
    <x v="2"/>
    <x v="4"/>
    <b v="0"/>
    <x v="803"/>
    <s v="FS1018-PIN-ZZ-02-D-O-1105"/>
  </r>
  <r>
    <s v="FS1018-PIN-ZZ-02-D-O-1105"/>
    <s v="Science Laboratories Restrictive, Extg 3"/>
    <x v="3"/>
    <s v="In Progress"/>
    <x v="1"/>
    <x v="1"/>
    <x v="1"/>
    <x v="1"/>
    <x v="0"/>
    <b v="0"/>
    <x v="804"/>
    <s v="FS1018-PIN-ZZ-02-D-O-1105"/>
  </r>
  <r>
    <s v="FS1018-PIN-ZZ-02-D-O-1106"/>
    <s v="SCIENCE LAB"/>
    <x v="0"/>
    <s v="Completed"/>
    <x v="0"/>
    <x v="15"/>
    <x v="2"/>
    <x v="0"/>
    <x v="143"/>
    <b v="0"/>
    <x v="805"/>
    <s v="FS1018-PIN-ZZ-02-D-O-1106"/>
  </r>
  <r>
    <s v="FS1018-PIN-ZZ-02-D-O-1106"/>
    <s v="Science Laboratories (Restrictive, Extg) 4"/>
    <x v="1"/>
    <s v="Completed"/>
    <x v="6"/>
    <x v="15"/>
    <x v="2"/>
    <x v="2"/>
    <x v="4"/>
    <b v="1"/>
    <x v="806"/>
    <s v="FS1018-PIN-ZZ-02-D-O-1106"/>
  </r>
  <r>
    <s v="FS1018-PIN-ZZ-02-D-O-1106"/>
    <s v="Science Laboratories Restrictive, Extg 4"/>
    <x v="2"/>
    <s v="In Progress"/>
    <x v="1"/>
    <x v="1"/>
    <x v="1"/>
    <x v="1"/>
    <x v="0"/>
    <b v="0"/>
    <x v="807"/>
    <s v="FS1018-PIN-ZZ-02-D-O-1106"/>
  </r>
  <r>
    <s v="FS1018-PIN-ZZ-02-D-O-1107"/>
    <s v="Science Laboratories (Restrictive, Extg) 5"/>
    <x v="0"/>
    <s v="Completed"/>
    <x v="6"/>
    <x v="15"/>
    <x v="2"/>
    <x v="2"/>
    <x v="4"/>
    <b v="0"/>
    <x v="808"/>
    <s v="FS1018-PIN-ZZ-02-D-O-1107"/>
  </r>
  <r>
    <s v="FS1018-PIN-ZZ-02-D-O-1107"/>
    <s v="Science Laboratories Restrictive, Extg 5"/>
    <x v="3"/>
    <s v="In Progress"/>
    <x v="1"/>
    <x v="1"/>
    <x v="1"/>
    <x v="1"/>
    <x v="0"/>
    <b v="0"/>
    <x v="809"/>
    <s v="FS1018-PIN-ZZ-02-D-O-1107"/>
  </r>
  <r>
    <s v="FS1018-PIN-ZZ-02-D-O-2000"/>
    <s v="SECOND FLOOR GA"/>
    <x v="0"/>
    <s v="Completed"/>
    <x v="0"/>
    <x v="15"/>
    <x v="2"/>
    <x v="0"/>
    <x v="143"/>
    <b v="0"/>
    <x v="810"/>
    <s v="FS1018-PIN-ZZ-02-D-O-2000"/>
  </r>
  <r>
    <s v="FS1018-PIN-ZZ-02-D-O-2000"/>
    <s v="Second Floor GA"/>
    <x v="1"/>
    <s v="Completed"/>
    <x v="6"/>
    <x v="15"/>
    <x v="2"/>
    <x v="2"/>
    <x v="4"/>
    <b v="1"/>
    <x v="810"/>
    <s v="FS1018-PIN-ZZ-02-D-O-2000"/>
  </r>
  <r>
    <s v="FS1018-PIN-ZZ-02-D-O-2000"/>
    <s v="Second Floor GA"/>
    <x v="14"/>
    <s v="In Progress"/>
    <x v="1"/>
    <x v="1"/>
    <x v="1"/>
    <x v="1"/>
    <x v="0"/>
    <b v="0"/>
    <x v="810"/>
    <s v="FS1018-PIN-ZZ-02-D-O-2000"/>
  </r>
  <r>
    <s v="FS1018-PIN-ZZ-02-D-O-2042"/>
    <s v="6042O Stairway 7 &amp; 5113B Coats And Bag Store (Lockers) 5"/>
    <x v="0"/>
    <s v="Completed"/>
    <x v="6"/>
    <x v="15"/>
    <x v="2"/>
    <x v="2"/>
    <x v="4"/>
    <b v="0"/>
    <x v="811"/>
    <s v="FS1018-PIN-ZZ-02-D-O-2042"/>
  </r>
  <r>
    <s v="FS1018-PIN-ZZ-02-D-O-2042"/>
    <s v="6042O Stairway 7 And 5113B Coats And Bag Store Lockers 5"/>
    <x v="3"/>
    <s v="In Progress"/>
    <x v="1"/>
    <x v="1"/>
    <x v="1"/>
    <x v="1"/>
    <x v="0"/>
    <b v="0"/>
    <x v="812"/>
    <s v="FS1018-PIN-ZZ-02-D-O-2042"/>
  </r>
  <r>
    <s v="FS1018-PIN-ZZ-02-D-O-3008"/>
    <s v="Small Group Room (Medium) 1 and 6042T Stairway 7"/>
    <x v="0"/>
    <s v="Completed"/>
    <x v="6"/>
    <x v="15"/>
    <x v="2"/>
    <x v="2"/>
    <x v="4"/>
    <b v="0"/>
    <x v="813"/>
    <s v="FS1018-PIN-ZZ-02-D-O-3008"/>
  </r>
  <r>
    <s v="FS1018-PIN-ZZ-02-D-O-3008"/>
    <s v="Small Group Room Medium 1 And 6042T Stairway 7"/>
    <x v="1"/>
    <s v="In Progress"/>
    <x v="1"/>
    <x v="1"/>
    <x v="1"/>
    <x v="1"/>
    <x v="0"/>
    <b v="1"/>
    <x v="814"/>
    <s v="FS1018-PIN-ZZ-02-D-O-3008"/>
  </r>
  <r>
    <s v="FS1018-PIN-ZZ-02-D-O-3042"/>
    <s v="6042N Stairway 7, 5113C and 5113D Coats And Bag Store (Lockers) 5"/>
    <x v="0"/>
    <s v="Completed"/>
    <x v="6"/>
    <x v="15"/>
    <x v="2"/>
    <x v="2"/>
    <x v="4"/>
    <b v="0"/>
    <x v="815"/>
    <s v="FS1018-PIN-ZZ-02-D-O-3042"/>
  </r>
  <r>
    <s v="FS1018-PIN-ZZ-02-D-O-3042"/>
    <s v="6042N Stairway 7, 5113C And 5113D Coats And Bag Store Lockers 5"/>
    <x v="3"/>
    <s v="In Progress"/>
    <x v="1"/>
    <x v="1"/>
    <x v="1"/>
    <x v="1"/>
    <x v="0"/>
    <b v="0"/>
    <x v="816"/>
    <s v="FS1018-PIN-ZZ-02-D-O-3042"/>
  </r>
  <r>
    <s v="FS1018-PIN-ZZ-02-D-O-4001"/>
    <s v="STAFF WORKROOM"/>
    <x v="0"/>
    <s v="Completed"/>
    <x v="0"/>
    <x v="15"/>
    <x v="2"/>
    <x v="0"/>
    <x v="143"/>
    <b v="0"/>
    <x v="817"/>
    <s v="FS1018-PIN-ZZ-02-D-O-4001"/>
  </r>
  <r>
    <s v="FS1018-PIN-ZZ-02-D-O-4001"/>
    <s v="Staff Workroom (Teaching Staff) 1 And Teaching Resources Store (Itgt Off Corridor) 3"/>
    <x v="1"/>
    <s v="Completed"/>
    <x v="6"/>
    <x v="15"/>
    <x v="2"/>
    <x v="2"/>
    <x v="4"/>
    <b v="1"/>
    <x v="818"/>
    <s v="FS1018-PIN-ZZ-02-D-O-4001"/>
  </r>
  <r>
    <s v="FS1018-PIN-ZZ-02-D-O-4001"/>
    <s v="Staff Workroom Teaching Staff 1 And Teaching Resources Store It Gt Off Corridor 3"/>
    <x v="14"/>
    <s v="In Progress"/>
    <x v="1"/>
    <x v="1"/>
    <x v="1"/>
    <x v="1"/>
    <x v="0"/>
    <b v="0"/>
    <x v="819"/>
    <s v="FS1018-PIN-ZZ-02-D-O-4001"/>
  </r>
  <r>
    <s v="FS1018-PIN-ZZ-02-D-O-4011"/>
    <s v="Office (2 Person) 1"/>
    <x v="0"/>
    <s v="Completed"/>
    <x v="6"/>
    <x v="15"/>
    <x v="2"/>
    <x v="2"/>
    <x v="4"/>
    <b v="0"/>
    <x v="820"/>
    <s v="FS1018-PIN-ZZ-02-D-O-4011"/>
  </r>
  <r>
    <s v="FS1018-PIN-ZZ-02-D-O-4014"/>
    <s v="Office (With Meeting Area, 2 Person) 3"/>
    <x v="0"/>
    <s v="Completed"/>
    <x v="6"/>
    <x v="15"/>
    <x v="2"/>
    <x v="2"/>
    <x v="4"/>
    <b v="0"/>
    <x v="821"/>
    <s v="FS1018-PIN-ZZ-02-D-O-4014"/>
  </r>
  <r>
    <s v="FS1018-PIN-ZZ-02-D-O-4014"/>
    <s v="Office With Meeting Area, 2 Person 3"/>
    <x v="1"/>
    <s v="In Progress"/>
    <x v="1"/>
    <x v="1"/>
    <x v="1"/>
    <x v="1"/>
    <x v="0"/>
    <b v="1"/>
    <x v="822"/>
    <s v="FS1018-PIN-ZZ-02-D-O-4014"/>
  </r>
  <r>
    <s v="FS1018-PIN-ZZ-02-D-O-5004"/>
    <s v="SCIENCE PREP"/>
    <x v="0"/>
    <s v="Completed"/>
    <x v="0"/>
    <x v="15"/>
    <x v="2"/>
    <x v="0"/>
    <x v="143"/>
    <b v="0"/>
    <x v="823"/>
    <s v="FS1018-PIN-ZZ-02-D-O-5004"/>
  </r>
  <r>
    <s v="FS1018-PIN-ZZ-02-D-O-5004"/>
    <s v="Science Prep Option 1"/>
    <x v="1"/>
    <s v="Completed"/>
    <x v="6"/>
    <x v="15"/>
    <x v="2"/>
    <x v="2"/>
    <x v="4"/>
    <b v="1"/>
    <x v="824"/>
    <s v="FS1018-PIN-ZZ-02-D-O-5004"/>
  </r>
  <r>
    <s v="FS1018-PIN-ZZ-02-D-O-5004"/>
    <s v="Science Prep Option 1"/>
    <x v="3"/>
    <s v="In Progress"/>
    <x v="1"/>
    <x v="1"/>
    <x v="1"/>
    <x v="1"/>
    <x v="0"/>
    <b v="0"/>
    <x v="824"/>
    <s v="FS1018-PIN-ZZ-02-D-O-5004"/>
  </r>
  <r>
    <s v="FS1018-PIN-ZZ-02-D-O-5005"/>
    <s v="Chemical Store 1"/>
    <x v="0"/>
    <s v="Completed"/>
    <x v="6"/>
    <x v="15"/>
    <x v="2"/>
    <x v="2"/>
    <x v="4"/>
    <b v="0"/>
    <x v="825"/>
    <s v="FS1018-PIN-ZZ-02-D-O-5005"/>
  </r>
  <r>
    <s v="FS1018-PIN-ZZ-02-D-O-5005"/>
    <s v="Chemical Store 1"/>
    <x v="1"/>
    <s v="In Progress"/>
    <x v="1"/>
    <x v="1"/>
    <x v="1"/>
    <x v="1"/>
    <x v="0"/>
    <b v="1"/>
    <x v="825"/>
    <s v="FS1018-PIN-ZZ-02-D-O-5005"/>
  </r>
  <r>
    <s v="FS1018-PIN-ZZ-02-D-O-5020"/>
    <s v="Science Prep Option 2"/>
    <x v="0"/>
    <s v="Completed"/>
    <x v="6"/>
    <x v="15"/>
    <x v="2"/>
    <x v="2"/>
    <x v="4"/>
    <b v="0"/>
    <x v="826"/>
    <s v="FS1018-PIN-ZZ-02-D-O-5020"/>
  </r>
  <r>
    <s v="FS1018-PIN-ZZ-02-D-O-5020"/>
    <s v="Science Prep"/>
    <x v="3"/>
    <s v="In Progress"/>
    <x v="1"/>
    <x v="1"/>
    <x v="1"/>
    <x v="1"/>
    <x v="0"/>
    <b v="0"/>
    <x v="827"/>
    <s v="FS1018-PIN-ZZ-02-D-O-5020"/>
  </r>
  <r>
    <s v="FS1018-PIN-ZZ-02-D-O-5102"/>
    <s v="General Storeroom (Central Stock) 1"/>
    <x v="0"/>
    <s v="Completed"/>
    <x v="6"/>
    <x v="15"/>
    <x v="2"/>
    <x v="2"/>
    <x v="4"/>
    <b v="0"/>
    <x v="828"/>
    <s v="FS1018-PIN-ZZ-02-D-O-5102"/>
  </r>
  <r>
    <s v="FS1018-PIN-ZZ-02-D-O-5102"/>
    <s v="General Storeroom Central Stock 1"/>
    <x v="1"/>
    <s v="In Progress"/>
    <x v="1"/>
    <x v="1"/>
    <x v="1"/>
    <x v="1"/>
    <x v="0"/>
    <b v="1"/>
    <x v="829"/>
    <s v="FS1018-PIN-ZZ-02-D-O-5102"/>
  </r>
  <r>
    <s v="FS1018-PIN-ZZ-02-D-O-5115"/>
    <s v="Cleaners' Store 2"/>
    <x v="1"/>
    <s v="In Progress"/>
    <x v="1"/>
    <x v="1"/>
    <x v="1"/>
    <x v="1"/>
    <x v="0"/>
    <b v="1"/>
    <x v="830"/>
    <s v="FS1018-PIN-ZZ-02-D-O-5115"/>
  </r>
  <r>
    <s v="FS1018-PIN-ZZ-02-D-O-6113"/>
    <s v="Coats And Bags Store (Lockers) 5"/>
    <x v="0"/>
    <s v="Completed"/>
    <x v="6"/>
    <x v="15"/>
    <x v="2"/>
    <x v="2"/>
    <x v="4"/>
    <b v="0"/>
    <x v="831"/>
    <s v="FS1018-PIN-ZZ-02-D-O-6113"/>
  </r>
  <r>
    <s v="FS1018-PIN-ZZ-02-D-O-6113"/>
    <s v="Coats And Bags Store Lockers 5"/>
    <x v="1"/>
    <s v="In Progress"/>
    <x v="1"/>
    <x v="1"/>
    <x v="1"/>
    <x v="1"/>
    <x v="0"/>
    <b v="1"/>
    <x v="832"/>
    <s v="FS1018-PIN-ZZ-02-D-O-6113"/>
  </r>
  <r>
    <s v="FS1018-PIN-ZZ-02-D-O-7113"/>
    <s v="Coats And Bags Store (Lockers) 5"/>
    <x v="0"/>
    <s v="Completed"/>
    <x v="6"/>
    <x v="15"/>
    <x v="2"/>
    <x v="2"/>
    <x v="4"/>
    <b v="0"/>
    <x v="833"/>
    <s v="FS1018-PIN-ZZ-02-D-O-7113"/>
  </r>
  <r>
    <s v="FS1018-PIN-ZZ-02-D-O-7113"/>
    <s v="Coats And Bags Store Lockers 5"/>
    <x v="1"/>
    <s v="In Progress"/>
    <x v="1"/>
    <x v="1"/>
    <x v="1"/>
    <x v="1"/>
    <x v="0"/>
    <b v="1"/>
    <x v="834"/>
    <s v="FS1018-PIN-ZZ-02-D-O-7113"/>
  </r>
  <r>
    <s v="FS1018-PIN-ZZ-02-D-O-8113"/>
    <s v="Coats And Bags Store (Lockers) 5"/>
    <x v="0"/>
    <s v="Completed"/>
    <x v="6"/>
    <x v="15"/>
    <x v="2"/>
    <x v="2"/>
    <x v="4"/>
    <b v="0"/>
    <x v="835"/>
    <s v="FS1018-PIN-ZZ-02-D-O-8113"/>
  </r>
  <r>
    <s v="FS1018-PIN-ZZ-02-D-O-8113"/>
    <s v="Coats And Bags Store Lockers 5"/>
    <x v="1"/>
    <s v="In Progress"/>
    <x v="1"/>
    <x v="1"/>
    <x v="1"/>
    <x v="1"/>
    <x v="0"/>
    <b v="1"/>
    <x v="836"/>
    <s v="FS1018-PIN-ZZ-02-D-O-8113"/>
  </r>
  <r>
    <s v="FS1018-PIN-ZZ-02-D-O-9113"/>
    <s v="Coats And Bags Store (Lockers) 5"/>
    <x v="0"/>
    <s v="Completed"/>
    <x v="6"/>
    <x v="15"/>
    <x v="2"/>
    <x v="2"/>
    <x v="4"/>
    <b v="0"/>
    <x v="837"/>
    <s v="FS1018-PIN-ZZ-02-D-O-9113"/>
  </r>
  <r>
    <s v="FS1018-PIN-ZZ-02-D-O-9113"/>
    <s v="Coats And Bags Store Lockers 5"/>
    <x v="1"/>
    <s v="In Progress"/>
    <x v="1"/>
    <x v="1"/>
    <x v="1"/>
    <x v="1"/>
    <x v="0"/>
    <b v="1"/>
    <x v="838"/>
    <s v="FS1018-PIN-ZZ-02-D-O-9113"/>
  </r>
  <r>
    <s v="FS1018-PIN-ZZ-ZZ-L-O-0005"/>
    <s v="Wisbech Secondary School Occupancy Schedule"/>
    <x v="0"/>
    <s v="Completed"/>
    <x v="4"/>
    <x v="2"/>
    <x v="2"/>
    <x v="2"/>
    <x v="4"/>
    <b v="0"/>
    <x v="839"/>
    <s v="FS1018-PIN-ZZ-ZZ-L-O-0005"/>
  </r>
  <r>
    <s v="FS1018-PIN-ZZ-ZZ-L-O-0005"/>
    <s v="FFE Gap Analysis and Occupancy Schedule"/>
    <x v="1"/>
    <s v="In Progress"/>
    <x v="1"/>
    <x v="1"/>
    <x v="1"/>
    <x v="1"/>
    <x v="0"/>
    <b v="1"/>
    <x v="840"/>
    <s v="FS1018-PIN-ZZ-ZZ-L-O-0005"/>
  </r>
  <r>
    <s v="FS1018-PIN-ZZ-ZZ-L-O-0006"/>
    <s v="Catering Equipment Schedule"/>
    <x v="0"/>
    <s v="In Progress"/>
    <x v="1"/>
    <x v="1"/>
    <x v="1"/>
    <x v="1"/>
    <x v="0"/>
    <b v="0"/>
    <x v="841"/>
    <s v="FS1018-PIN-ZZ-ZZ-L-O-0006"/>
  </r>
  <r>
    <s v="FS1018-PIN-ZZ-ZZ-L-O-0007"/>
    <s v="FFE Cost Plan"/>
    <x v="0"/>
    <s v="In Progress"/>
    <x v="1"/>
    <x v="1"/>
    <x v="1"/>
    <x v="1"/>
    <x v="0"/>
    <b v="0"/>
    <x v="842"/>
    <s v="FS1018-PIN-ZZ-ZZ-L-O-0007"/>
  </r>
  <r>
    <s v="FS1018-PIN-ZZ-ZZ-M-O-0001"/>
    <s v="FFE REVIT MODEL"/>
    <x v="3"/>
    <s v="Completed"/>
    <x v="25"/>
    <x v="15"/>
    <x v="3"/>
    <x v="6"/>
    <x v="145"/>
    <b v="0"/>
    <x v="843"/>
    <s v="FS1018-PIN-ZZ-ZZ-M-O-0001"/>
  </r>
  <r>
    <s v="FS1018-PIN-ZZ-ZZ-M-O-0001"/>
    <s v="FFE REVIT MODEL"/>
    <x v="2"/>
    <s v="Completed"/>
    <x v="6"/>
    <x v="15"/>
    <x v="2"/>
    <x v="2"/>
    <x v="4"/>
    <b v="0"/>
    <x v="843"/>
    <s v="FS1018-PIN-ZZ-ZZ-M-O-0001"/>
  </r>
  <r>
    <s v="FS1018-PIN-ZZ-ZZ-M-O-0001"/>
    <s v="FFE Revit Model"/>
    <x v="11"/>
    <s v="In Progress"/>
    <x v="1"/>
    <x v="1"/>
    <x v="1"/>
    <x v="1"/>
    <x v="0"/>
    <b v="0"/>
    <x v="843"/>
    <s v="FS1018-PIN-ZZ-ZZ-M-O-0001"/>
  </r>
  <r>
    <s v="FS1018-PIN-ZZ-ZZ-M-O-0002"/>
    <s v="FFE IFC MODEL"/>
    <x v="3"/>
    <s v="Completed"/>
    <x v="25"/>
    <x v="15"/>
    <x v="3"/>
    <x v="6"/>
    <x v="146"/>
    <b v="0"/>
    <x v="844"/>
    <s v="FS1018-PIN-ZZ-ZZ-M-O-0002"/>
  </r>
  <r>
    <s v="FS1018-PIN-ZZ-ZZ-M-O-0002"/>
    <s v="FFE IFC MODEL"/>
    <x v="2"/>
    <s v="Completed"/>
    <x v="6"/>
    <x v="15"/>
    <x v="2"/>
    <x v="2"/>
    <x v="4"/>
    <b v="0"/>
    <x v="844"/>
    <s v="FS1018-PIN-ZZ-ZZ-M-O-0002"/>
  </r>
  <r>
    <s v="FS1018-PIN-ZZ-ZZ-M-O-0002"/>
    <s v="FFE IFC Model"/>
    <x v="7"/>
    <s v="In Progress"/>
    <x v="1"/>
    <x v="1"/>
    <x v="1"/>
    <x v="1"/>
    <x v="0"/>
    <b v="0"/>
    <x v="844"/>
    <s v="FS1018-PIN-ZZ-ZZ-M-O-0002"/>
  </r>
  <r>
    <s v="FS1018-PIN-ZZ-ZZ-M-O-0003"/>
    <s v="FFE NAVIS MODEL"/>
    <x v="3"/>
    <s v="Completed"/>
    <x v="25"/>
    <x v="15"/>
    <x v="3"/>
    <x v="6"/>
    <x v="147"/>
    <b v="0"/>
    <x v="845"/>
    <s v="FS1018-PIN-ZZ-ZZ-M-O-0003"/>
  </r>
  <r>
    <s v="FS1018-PIN-ZZ-ZZ-M-O-0003"/>
    <s v="FFE NAVIS MODEL"/>
    <x v="2"/>
    <s v="Completed"/>
    <x v="6"/>
    <x v="15"/>
    <x v="2"/>
    <x v="2"/>
    <x v="4"/>
    <b v="0"/>
    <x v="845"/>
    <s v="FS1018-PIN-ZZ-ZZ-M-O-0003"/>
  </r>
  <r>
    <s v="FS1018-PIN-ZZ-ZZ-M-O-0003"/>
    <s v="FFE Navis Model"/>
    <x v="13"/>
    <s v="In Progress"/>
    <x v="1"/>
    <x v="1"/>
    <x v="1"/>
    <x v="1"/>
    <x v="0"/>
    <b v="0"/>
    <x v="845"/>
    <s v="FS1018-PIN-ZZ-ZZ-M-O-0003"/>
  </r>
  <r>
    <s v="FS1018-PIN-ZZ-ZZ-M-O-0004"/>
    <s v="CATERING IFC MODEL"/>
    <x v="0"/>
    <s v="Completed"/>
    <x v="25"/>
    <x v="15"/>
    <x v="3"/>
    <x v="6"/>
    <x v="148"/>
    <b v="0"/>
    <x v="846"/>
    <s v="FS1018-PIN-ZZ-ZZ-M-O-0004"/>
  </r>
  <r>
    <s v="FS1018-PIN-ZZ-ZZ-M-O-0004"/>
    <s v="CATERING IFC MODEL"/>
    <x v="1"/>
    <s v="Completed"/>
    <x v="6"/>
    <x v="15"/>
    <x v="2"/>
    <x v="2"/>
    <x v="4"/>
    <b v="1"/>
    <x v="846"/>
    <s v="FS1018-PIN-ZZ-ZZ-M-O-0004"/>
  </r>
  <r>
    <s v="FS1018-PIN-ZZ-ZZ-M-O-0004"/>
    <s v="Catering IFC Model"/>
    <x v="3"/>
    <s v="In Progress"/>
    <x v="1"/>
    <x v="1"/>
    <x v="1"/>
    <x v="1"/>
    <x v="0"/>
    <b v="0"/>
    <x v="846"/>
    <s v="FS1018-PIN-ZZ-ZZ-M-O-0004"/>
  </r>
  <r>
    <s v="FS1018-PIN-ZZ-ZZ-M-O-0005"/>
    <s v="CATERING REVIT MODEL"/>
    <x v="0"/>
    <s v="Completed"/>
    <x v="25"/>
    <x v="15"/>
    <x v="3"/>
    <x v="6"/>
    <x v="148"/>
    <b v="0"/>
    <x v="847"/>
    <s v="FS1018-PIN-ZZ-ZZ-M-O-0005"/>
  </r>
  <r>
    <s v="FS1018-PIN-ZZ-ZZ-M-O-0005"/>
    <s v="CATERING REVIT MODEL"/>
    <x v="1"/>
    <s v="Completed"/>
    <x v="6"/>
    <x v="15"/>
    <x v="2"/>
    <x v="2"/>
    <x v="4"/>
    <b v="1"/>
    <x v="847"/>
    <s v="FS1018-PIN-ZZ-ZZ-M-O-0005"/>
  </r>
  <r>
    <s v="FS1018-PIN-ZZ-ZZ-M-O-0005"/>
    <s v="Catering Revit Model"/>
    <x v="3"/>
    <s v="In Progress"/>
    <x v="1"/>
    <x v="1"/>
    <x v="1"/>
    <x v="1"/>
    <x v="0"/>
    <b v="0"/>
    <x v="847"/>
    <s v="FS1018-PIN-ZZ-ZZ-M-O-0005"/>
  </r>
  <r>
    <s v="FS1018-PIN-ZZ-ZZ-M-O-0006"/>
    <s v="CATERING NWC MODEL"/>
    <x v="0"/>
    <s v="Completed"/>
    <x v="26"/>
    <x v="15"/>
    <x v="0"/>
    <x v="16"/>
    <x v="0"/>
    <b v="0"/>
    <x v="848"/>
    <s v="FS1018-PIN-ZZ-ZZ-M-O-0006"/>
  </r>
  <r>
    <s v="FS1018-PIN-ZZ-ZZ-M-O-0006"/>
    <s v="CATERING NWC MODEL"/>
    <x v="1"/>
    <s v="In Progress"/>
    <x v="1"/>
    <x v="1"/>
    <x v="1"/>
    <x v="1"/>
    <x v="0"/>
    <b v="1"/>
    <x v="848"/>
    <s v="FS1018-PIN-ZZ-ZZ-M-O-00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DC2283-7E55-4D93-8EC3-F64D61342D0F}"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A2:B8" firstHeaderRow="1" firstDataRow="1" firstDataCol="1"/>
  <pivotFields count="5">
    <pivotField showAll="0"/>
    <pivotField showAll="0"/>
    <pivotField showAll="0"/>
    <pivotField showAll="0"/>
    <pivotField axis="axisRow" dataField="1" showAll="0">
      <items count="7">
        <item m="1" x="5"/>
        <item x="0"/>
        <item x="1"/>
        <item x="2"/>
        <item x="3"/>
        <item x="4"/>
        <item t="default"/>
      </items>
    </pivotField>
  </pivotFields>
  <rowFields count="1">
    <field x="4"/>
  </rowFields>
  <rowItems count="6">
    <i>
      <x v="1"/>
    </i>
    <i>
      <x v="2"/>
    </i>
    <i>
      <x v="3"/>
    </i>
    <i>
      <x v="4"/>
    </i>
    <i>
      <x v="5"/>
    </i>
    <i t="grand">
      <x/>
    </i>
  </rowItems>
  <colItems count="1">
    <i/>
  </colItems>
  <dataFields count="1">
    <dataField name="Count of (Helper) Doc Status" fld="4" subtotal="count" baseField="0" baseItem="0"/>
  </dataFields>
  <chartFormats count="5">
    <chartFormat chart="0" format="3" series="1">
      <pivotArea type="data" outline="0" fieldPosition="0">
        <references count="1">
          <reference field="4294967294" count="1" selected="0">
            <x v="0"/>
          </reference>
        </references>
      </pivotArea>
    </chartFormat>
    <chartFormat chart="21" format="22" series="1">
      <pivotArea type="data" outline="0" fieldPosition="0">
        <references count="1">
          <reference field="4294967294" count="1" selected="0">
            <x v="0"/>
          </reference>
        </references>
      </pivotArea>
    </chartFormat>
    <chartFormat chart="21" format="23">
      <pivotArea type="data" outline="0" fieldPosition="0">
        <references count="2">
          <reference field="4294967294" count="1" selected="0">
            <x v="0"/>
          </reference>
          <reference field="4" count="1" selected="0">
            <x v="0"/>
          </reference>
        </references>
      </pivotArea>
    </chartFormat>
    <chartFormat chart="21" format="24">
      <pivotArea type="data" outline="0" fieldPosition="0">
        <references count="2">
          <reference field="4294967294" count="1" selected="0">
            <x v="0"/>
          </reference>
          <reference field="4" count="1" selected="0">
            <x v="1"/>
          </reference>
        </references>
      </pivotArea>
    </chartFormat>
    <chartFormat chart="21" format="2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7769DD-FC86-41B4-A896-71AD79EF0837}" name="PivotTable12" cacheId="24"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chartFormat="8" rowHeaderCaption="">
  <location ref="A5:F1762" firstHeaderRow="1" firstDataRow="1" firstDataCol="6"/>
  <pivotFields count="12">
    <pivotField compact="0" outline="0" showAll="0" defaultSubtotal="0"/>
    <pivotField compact="0" outline="0" showAll="0" defaultSubtotal="0"/>
    <pivotField axis="axisRow" compact="0" outline="0" showAll="0" defaultSubtotal="0">
      <items count="19">
        <item m="1" x="18"/>
        <item x="0"/>
        <item x="1"/>
        <item x="3"/>
        <item x="2"/>
        <item x="4"/>
        <item x="5"/>
        <item x="6"/>
        <item x="7"/>
        <item x="8"/>
        <item x="9"/>
        <item x="10"/>
        <item x="11"/>
        <item x="12"/>
        <item x="13"/>
        <item x="14"/>
        <item x="15"/>
        <item x="16"/>
        <item x="17"/>
      </items>
    </pivotField>
    <pivotField compact="0" outline="0" showAll="0"/>
    <pivotField axis="axisRow" compact="0" outline="0" showAll="0" defaultSubtotal="0">
      <items count="32">
        <item m="1" x="27"/>
        <item m="1" x="28"/>
        <item m="1" x="29"/>
        <item m="1" x="30"/>
        <item m="1" x="31"/>
        <item x="0"/>
        <item x="1"/>
        <item x="2"/>
        <item x="3"/>
        <item x="4"/>
        <item x="5"/>
        <item x="6"/>
        <item x="7"/>
        <item x="8"/>
        <item x="9"/>
        <item x="10"/>
        <item x="11"/>
        <item x="12"/>
        <item x="13"/>
        <item x="14"/>
        <item x="15"/>
        <item x="16"/>
        <item x="17"/>
        <item x="18"/>
        <item x="19"/>
        <item x="20"/>
        <item x="21"/>
        <item x="22"/>
        <item x="23"/>
        <item x="24"/>
        <item x="25"/>
        <item x="26"/>
      </items>
    </pivotField>
    <pivotField axis="axisRow" compact="0" outline="0" showAll="0" defaultSubtotal="0">
      <items count="20">
        <item m="1" x="16"/>
        <item m="1" x="18"/>
        <item m="1" x="19"/>
        <item x="1"/>
        <item x="11"/>
        <item m="1" x="17"/>
        <item x="0"/>
        <item x="2"/>
        <item x="3"/>
        <item x="4"/>
        <item x="5"/>
        <item x="6"/>
        <item x="7"/>
        <item x="8"/>
        <item x="9"/>
        <item x="10"/>
        <item x="12"/>
        <item x="13"/>
        <item x="14"/>
        <item x="15"/>
      </items>
    </pivotField>
    <pivotField axis="axisRow" compact="0" outline="0" showAll="0" defaultSubtotal="0">
      <items count="13">
        <item m="1" x="11"/>
        <item m="1" x="8"/>
        <item m="1" x="12"/>
        <item x="1"/>
        <item m="1" x="9"/>
        <item x="3"/>
        <item x="6"/>
        <item m="1" x="10"/>
        <item x="7"/>
        <item x="0"/>
        <item x="2"/>
        <item x="4"/>
        <item x="5"/>
      </items>
    </pivotField>
    <pivotField axis="axisRow" compact="0" outline="0" showAll="0" sortType="ascending" defaultSubtotal="0">
      <items count="20">
        <item x="10"/>
        <item x="0"/>
        <item x="6"/>
        <item x="8"/>
        <item x="4"/>
        <item x="3"/>
        <item x="5"/>
        <item x="9"/>
        <item x="14"/>
        <item x="7"/>
        <item x="12"/>
        <item x="16"/>
        <item x="13"/>
        <item m="1" x="17"/>
        <item m="1" x="19"/>
        <item x="2"/>
        <item x="11"/>
        <item x="15"/>
        <item m="1" x="18"/>
        <item x="1"/>
      </items>
    </pivotField>
    <pivotField axis="axisRow" compact="0" outline="0" showAll="0" defaultSubtotal="0">
      <items count="161">
        <item m="1" x="159"/>
        <item m="1" x="152"/>
        <item m="1" x="157"/>
        <item m="1" x="156"/>
        <item m="1" x="160"/>
        <item m="1" x="149"/>
        <item m="1" x="154"/>
        <item m="1" x="151"/>
        <item m="1" x="158"/>
        <item x="0"/>
        <item m="1" x="150"/>
        <item x="84"/>
        <item m="1" x="153"/>
        <item m="1" x="155"/>
        <item x="87"/>
        <item x="101"/>
        <item x="10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5"/>
        <item x="86"/>
        <item x="88"/>
        <item x="89"/>
        <item x="90"/>
        <item x="91"/>
        <item x="92"/>
        <item x="93"/>
        <item x="94"/>
        <item x="95"/>
        <item x="96"/>
        <item x="97"/>
        <item x="98"/>
        <item x="99"/>
        <item x="100"/>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compact="0" outline="0" showAll="0"/>
    <pivotField axis="axisRow" subtotalTop="0" showAll="0" insertBlankRow="1" sortType="ascending" defaultSubtotal="0">
      <items count="857">
        <item m="1" x="849"/>
        <item m="1" x="850"/>
        <item m="1" x="851"/>
        <item m="1" x="852"/>
        <item m="1" x="853"/>
        <item m="1" x="854"/>
        <item m="1" x="855"/>
        <item x="0"/>
        <item x="1"/>
        <item x="2"/>
        <item x="3"/>
        <item x="4"/>
        <item x="5"/>
        <item x="6"/>
        <item x="7"/>
        <item x="8"/>
        <item x="9"/>
        <item x="10"/>
        <item x="11"/>
        <item x="13"/>
        <item x="12"/>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4"/>
        <item x="283"/>
        <item x="286"/>
        <item x="285"/>
        <item x="288"/>
        <item x="287"/>
        <item x="289"/>
        <item x="290"/>
        <item x="291"/>
        <item x="292"/>
        <item x="293"/>
        <item x="294"/>
        <item x="295"/>
        <item x="297"/>
        <item x="296"/>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9"/>
        <item x="358"/>
        <item x="361"/>
        <item x="360"/>
        <item x="362"/>
        <item x="363"/>
        <item x="364"/>
        <item x="365"/>
        <item x="366"/>
        <item x="367"/>
        <item x="368"/>
        <item x="369"/>
        <item x="370"/>
        <item x="372"/>
        <item x="371"/>
        <item x="374"/>
        <item x="373"/>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9"/>
        <item x="408"/>
        <item x="411"/>
        <item x="410"/>
        <item x="413"/>
        <item x="412"/>
        <item x="415"/>
        <item x="414"/>
        <item x="416"/>
        <item x="417"/>
        <item x="418"/>
        <item x="419"/>
        <item x="420"/>
        <item x="421"/>
        <item x="422"/>
        <item x="423"/>
        <item x="424"/>
        <item x="425"/>
        <item x="426"/>
        <item x="427"/>
        <item x="428"/>
        <item x="429"/>
        <item x="430"/>
        <item x="431"/>
        <item x="432"/>
        <item x="433"/>
        <item x="434"/>
        <item x="435"/>
        <item x="437"/>
        <item x="436"/>
        <item x="438"/>
        <item x="440"/>
        <item x="439"/>
        <item x="442"/>
        <item x="441"/>
        <item x="443"/>
        <item x="444"/>
        <item x="445"/>
        <item x="446"/>
        <item x="447"/>
        <item x="448"/>
        <item x="449"/>
        <item x="450"/>
        <item x="451"/>
        <item x="452"/>
        <item x="453"/>
        <item x="454"/>
        <item x="455"/>
        <item x="456"/>
        <item x="457"/>
        <item x="458"/>
        <item x="460"/>
        <item x="459"/>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50"/>
        <item x="549"/>
        <item x="552"/>
        <item x="551"/>
        <item x="554"/>
        <item x="553"/>
        <item x="555"/>
        <item x="557"/>
        <item x="556"/>
        <item x="559"/>
        <item x="558"/>
        <item x="560"/>
        <item x="561"/>
        <item x="562"/>
        <item x="563"/>
        <item x="564"/>
        <item x="565"/>
        <item x="566"/>
        <item x="567"/>
        <item x="568"/>
        <item x="569"/>
        <item x="570"/>
        <item x="571"/>
        <item x="572"/>
        <item x="573"/>
        <item x="574"/>
        <item x="575"/>
        <item x="576"/>
        <item x="577"/>
        <item x="578"/>
        <item x="579"/>
        <item x="580"/>
        <item x="581"/>
        <item x="584"/>
        <item x="583"/>
        <item x="582"/>
        <item x="585"/>
        <item x="586"/>
        <item x="587"/>
        <item x="588"/>
        <item x="589"/>
        <item x="590"/>
        <item x="591"/>
        <item x="592"/>
        <item x="593"/>
        <item x="594"/>
        <item x="595"/>
        <item x="596"/>
        <item x="598"/>
        <item x="597"/>
        <item x="600"/>
        <item x="599"/>
        <item x="602"/>
        <item x="601"/>
        <item x="604"/>
        <item x="603"/>
        <item x="606"/>
        <item x="605"/>
        <item x="607"/>
        <item x="608"/>
        <item x="609"/>
        <item x="610"/>
        <item x="611"/>
        <item x="612"/>
        <item x="613"/>
        <item x="614"/>
        <item x="615"/>
        <item x="616"/>
        <item x="617"/>
        <item x="618"/>
        <item x="619"/>
        <item x="620"/>
        <item x="622"/>
        <item x="621"/>
        <item x="624"/>
        <item x="623"/>
        <item x="626"/>
        <item x="625"/>
        <item x="627"/>
        <item x="628"/>
        <item x="629"/>
        <item x="630"/>
        <item x="631"/>
        <item x="632"/>
        <item x="633"/>
        <item x="634"/>
        <item x="635"/>
        <item x="636"/>
        <item x="637"/>
        <item x="638"/>
        <item x="639"/>
        <item x="640"/>
        <item x="641"/>
        <item x="642"/>
        <item x="643"/>
        <item x="645"/>
        <item x="644"/>
        <item x="646"/>
        <item x="647"/>
        <item x="649"/>
        <item x="648"/>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5"/>
        <item x="694"/>
        <item x="697"/>
        <item x="696"/>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7"/>
        <item x="738"/>
        <item x="736"/>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8"/>
        <item x="797"/>
        <item x="799"/>
        <item x="800"/>
        <item x="801"/>
        <item x="802"/>
        <item x="803"/>
        <item x="804"/>
        <item x="805"/>
        <item x="806"/>
        <item x="807"/>
        <item x="808"/>
        <item x="809"/>
        <item x="810"/>
        <item x="811"/>
        <item x="812"/>
        <item x="813"/>
        <item x="814"/>
        <item x="815"/>
        <item x="816"/>
        <item x="817"/>
        <item x="818"/>
        <item x="819"/>
        <item x="820"/>
        <item x="821"/>
        <item x="822"/>
        <item x="823"/>
        <item x="824"/>
        <item x="825"/>
        <item x="827"/>
        <item x="826"/>
        <item x="828"/>
        <item x="829"/>
        <item x="830"/>
        <item x="831"/>
        <item x="832"/>
        <item x="833"/>
        <item x="834"/>
        <item x="835"/>
        <item x="836"/>
        <item x="837"/>
        <item x="838"/>
        <item x="840"/>
        <item x="839"/>
        <item x="841"/>
        <item x="842"/>
        <item x="843"/>
        <item x="844"/>
        <item x="845"/>
        <item x="846"/>
        <item x="847"/>
        <item x="848"/>
        <item m="1" x="856"/>
      </items>
    </pivotField>
    <pivotField compact="0" outline="0" showAll="0"/>
  </pivotFields>
  <rowFields count="7">
    <field x="10"/>
    <field x="2"/>
    <field x="4"/>
    <field x="5"/>
    <field x="6"/>
    <field x="7"/>
    <field x="8"/>
  </rowFields>
  <rowItems count="1757">
    <i>
      <x v="8"/>
    </i>
    <i r="1">
      <x v="2"/>
      <x v="6"/>
      <x v="3"/>
      <x v="3"/>
      <x v="19"/>
      <x v="9"/>
    </i>
    <i t="blank">
      <x v="8"/>
    </i>
    <i>
      <x v="10"/>
    </i>
    <i r="1">
      <x v="2"/>
      <x v="6"/>
      <x v="3"/>
      <x v="3"/>
      <x v="19"/>
      <x v="9"/>
    </i>
    <i t="blank">
      <x v="10"/>
    </i>
    <i>
      <x v="12"/>
    </i>
    <i r="1">
      <x v="2"/>
      <x v="6"/>
      <x v="3"/>
      <x v="3"/>
      <x v="19"/>
      <x v="9"/>
    </i>
    <i t="blank">
      <x v="12"/>
    </i>
    <i>
      <x v="14"/>
    </i>
    <i r="1">
      <x v="2"/>
      <x v="6"/>
      <x v="3"/>
      <x v="3"/>
      <x v="19"/>
      <x v="9"/>
    </i>
    <i t="blank">
      <x v="14"/>
    </i>
    <i>
      <x v="16"/>
    </i>
    <i r="1">
      <x v="2"/>
      <x v="6"/>
      <x v="3"/>
      <x v="3"/>
      <x v="19"/>
      <x v="9"/>
    </i>
    <i t="blank">
      <x v="16"/>
    </i>
    <i>
      <x v="18"/>
    </i>
    <i r="1">
      <x v="2"/>
      <x v="6"/>
      <x v="3"/>
      <x v="3"/>
      <x v="19"/>
      <x v="9"/>
    </i>
    <i t="blank">
      <x v="18"/>
    </i>
    <i>
      <x v="19"/>
    </i>
    <i r="1">
      <x v="2"/>
      <x v="6"/>
      <x v="3"/>
      <x v="3"/>
      <x v="19"/>
      <x v="9"/>
    </i>
    <i t="blank">
      <x v="19"/>
    </i>
    <i>
      <x v="21"/>
    </i>
    <i r="1">
      <x v="2"/>
      <x v="6"/>
      <x v="3"/>
      <x v="3"/>
      <x v="19"/>
      <x v="9"/>
    </i>
    <i t="blank">
      <x v="21"/>
    </i>
    <i>
      <x v="24"/>
    </i>
    <i r="1">
      <x v="1"/>
      <x v="10"/>
      <x v="3"/>
      <x v="3"/>
      <x v="19"/>
      <x v="9"/>
    </i>
    <i t="blank">
      <x v="24"/>
    </i>
    <i>
      <x v="25"/>
    </i>
    <i r="1">
      <x v="1"/>
      <x v="10"/>
      <x v="3"/>
      <x v="3"/>
      <x v="19"/>
      <x v="9"/>
    </i>
    <i t="blank">
      <x v="25"/>
    </i>
    <i>
      <x v="26"/>
    </i>
    <i r="1">
      <x v="1"/>
      <x v="10"/>
      <x v="3"/>
      <x v="3"/>
      <x v="19"/>
      <x v="9"/>
    </i>
    <i t="blank">
      <x v="26"/>
    </i>
    <i>
      <x v="27"/>
    </i>
    <i r="1">
      <x v="1"/>
      <x v="10"/>
      <x v="3"/>
      <x v="3"/>
      <x v="19"/>
      <x v="9"/>
    </i>
    <i t="blank">
      <x v="27"/>
    </i>
    <i>
      <x v="28"/>
    </i>
    <i r="1">
      <x v="1"/>
      <x v="10"/>
      <x v="3"/>
      <x v="3"/>
      <x v="19"/>
      <x v="9"/>
    </i>
    <i t="blank">
      <x v="28"/>
    </i>
    <i>
      <x v="29"/>
    </i>
    <i r="1">
      <x v="1"/>
      <x v="10"/>
      <x v="3"/>
      <x v="3"/>
      <x v="19"/>
      <x v="9"/>
    </i>
    <i t="blank">
      <x v="29"/>
    </i>
    <i>
      <x v="30"/>
    </i>
    <i r="1">
      <x v="1"/>
      <x v="10"/>
      <x v="3"/>
      <x v="3"/>
      <x v="19"/>
      <x v="9"/>
    </i>
    <i t="blank">
      <x v="30"/>
    </i>
    <i>
      <x v="31"/>
    </i>
    <i r="1">
      <x v="1"/>
      <x v="10"/>
      <x v="3"/>
      <x v="3"/>
      <x v="19"/>
      <x v="9"/>
    </i>
    <i t="blank">
      <x v="31"/>
    </i>
    <i>
      <x v="32"/>
    </i>
    <i r="1">
      <x v="1"/>
      <x v="10"/>
      <x v="3"/>
      <x v="3"/>
      <x v="19"/>
      <x v="9"/>
    </i>
    <i t="blank">
      <x v="32"/>
    </i>
    <i>
      <x v="33"/>
    </i>
    <i r="1">
      <x v="1"/>
      <x v="10"/>
      <x v="3"/>
      <x v="3"/>
      <x v="19"/>
      <x v="9"/>
    </i>
    <i t="blank">
      <x v="33"/>
    </i>
    <i>
      <x v="36"/>
    </i>
    <i r="1">
      <x v="1"/>
      <x v="10"/>
      <x v="3"/>
      <x v="3"/>
      <x v="19"/>
      <x v="9"/>
    </i>
    <i t="blank">
      <x v="36"/>
    </i>
    <i>
      <x v="37"/>
    </i>
    <i r="1">
      <x v="1"/>
      <x v="10"/>
      <x v="3"/>
      <x v="3"/>
      <x v="19"/>
      <x v="9"/>
    </i>
    <i t="blank">
      <x v="37"/>
    </i>
    <i>
      <x v="38"/>
    </i>
    <i r="1">
      <x v="1"/>
      <x v="10"/>
      <x v="3"/>
      <x v="3"/>
      <x v="19"/>
      <x v="9"/>
    </i>
    <i t="blank">
      <x v="38"/>
    </i>
    <i>
      <x v="42"/>
    </i>
    <i r="1">
      <x v="1"/>
      <x v="10"/>
      <x v="3"/>
      <x v="3"/>
      <x v="19"/>
      <x v="9"/>
    </i>
    <i t="blank">
      <x v="42"/>
    </i>
    <i>
      <x v="43"/>
    </i>
    <i r="1">
      <x v="1"/>
      <x v="10"/>
      <x v="3"/>
      <x v="3"/>
      <x v="19"/>
      <x v="9"/>
    </i>
    <i t="blank">
      <x v="43"/>
    </i>
    <i>
      <x v="44"/>
    </i>
    <i r="1">
      <x v="1"/>
      <x v="10"/>
      <x v="3"/>
      <x v="3"/>
      <x v="19"/>
      <x v="9"/>
    </i>
    <i t="blank">
      <x v="44"/>
    </i>
    <i>
      <x v="45"/>
    </i>
    <i r="1">
      <x v="1"/>
      <x v="10"/>
      <x v="3"/>
      <x v="3"/>
      <x v="19"/>
      <x v="9"/>
    </i>
    <i t="blank">
      <x v="45"/>
    </i>
    <i>
      <x v="46"/>
    </i>
    <i r="1">
      <x v="1"/>
      <x v="10"/>
      <x v="3"/>
      <x v="3"/>
      <x v="19"/>
      <x v="9"/>
    </i>
    <i t="blank">
      <x v="46"/>
    </i>
    <i>
      <x v="47"/>
    </i>
    <i r="1">
      <x v="1"/>
      <x v="10"/>
      <x v="3"/>
      <x v="3"/>
      <x v="19"/>
      <x v="9"/>
    </i>
    <i t="blank">
      <x v="47"/>
    </i>
    <i>
      <x v="48"/>
    </i>
    <i r="1">
      <x v="1"/>
      <x v="10"/>
      <x v="3"/>
      <x v="3"/>
      <x v="19"/>
      <x v="9"/>
    </i>
    <i t="blank">
      <x v="48"/>
    </i>
    <i>
      <x v="49"/>
    </i>
    <i r="1">
      <x v="1"/>
      <x v="10"/>
      <x v="3"/>
      <x v="3"/>
      <x v="19"/>
      <x v="9"/>
    </i>
    <i t="blank">
      <x v="49"/>
    </i>
    <i>
      <x v="50"/>
    </i>
    <i r="1">
      <x v="1"/>
      <x v="10"/>
      <x v="3"/>
      <x v="3"/>
      <x v="19"/>
      <x v="9"/>
    </i>
    <i t="blank">
      <x v="50"/>
    </i>
    <i>
      <x v="51"/>
    </i>
    <i r="1">
      <x v="1"/>
      <x v="10"/>
      <x v="3"/>
      <x v="3"/>
      <x v="19"/>
      <x v="9"/>
    </i>
    <i t="blank">
      <x v="51"/>
    </i>
    <i>
      <x v="53"/>
    </i>
    <i r="1">
      <x v="2"/>
      <x v="10"/>
      <x v="3"/>
      <x v="3"/>
      <x v="19"/>
      <x v="9"/>
    </i>
    <i t="blank">
      <x v="53"/>
    </i>
    <i>
      <x v="54"/>
    </i>
    <i r="1">
      <x v="2"/>
      <x v="10"/>
      <x v="3"/>
      <x v="3"/>
      <x v="19"/>
      <x v="9"/>
    </i>
    <i t="blank">
      <x v="54"/>
    </i>
    <i>
      <x v="55"/>
    </i>
    <i r="1">
      <x v="2"/>
      <x v="10"/>
      <x v="3"/>
      <x v="3"/>
      <x v="19"/>
      <x v="9"/>
    </i>
    <i t="blank">
      <x v="55"/>
    </i>
    <i>
      <x v="57"/>
    </i>
    <i r="1">
      <x v="2"/>
      <x v="10"/>
      <x v="3"/>
      <x v="3"/>
      <x v="19"/>
      <x v="9"/>
    </i>
    <i t="blank">
      <x v="57"/>
    </i>
    <i>
      <x v="58"/>
    </i>
    <i r="1">
      <x v="2"/>
      <x v="10"/>
      <x v="3"/>
      <x v="3"/>
      <x v="19"/>
      <x v="9"/>
    </i>
    <i t="blank">
      <x v="58"/>
    </i>
    <i>
      <x v="59"/>
    </i>
    <i r="1">
      <x v="2"/>
      <x v="10"/>
      <x v="3"/>
      <x v="3"/>
      <x v="19"/>
      <x v="9"/>
    </i>
    <i t="blank">
      <x v="59"/>
    </i>
    <i>
      <x v="61"/>
    </i>
    <i r="1">
      <x v="2"/>
      <x v="10"/>
      <x v="3"/>
      <x v="3"/>
      <x v="19"/>
      <x v="9"/>
    </i>
    <i t="blank">
      <x v="61"/>
    </i>
    <i>
      <x v="63"/>
    </i>
    <i r="1">
      <x v="1"/>
      <x v="10"/>
      <x v="3"/>
      <x v="3"/>
      <x v="19"/>
      <x v="9"/>
    </i>
    <i t="blank">
      <x v="63"/>
    </i>
    <i>
      <x v="64"/>
    </i>
    <i r="1">
      <x v="1"/>
      <x v="10"/>
      <x v="3"/>
      <x v="3"/>
      <x v="19"/>
      <x v="9"/>
    </i>
    <i t="blank">
      <x v="64"/>
    </i>
    <i>
      <x v="65"/>
    </i>
    <i r="1">
      <x v="1"/>
      <x v="10"/>
      <x v="3"/>
      <x v="3"/>
      <x v="19"/>
      <x v="9"/>
    </i>
    <i t="blank">
      <x v="65"/>
    </i>
    <i>
      <x v="67"/>
    </i>
    <i r="1">
      <x v="2"/>
      <x v="10"/>
      <x v="3"/>
      <x v="3"/>
      <x v="19"/>
      <x v="9"/>
    </i>
    <i t="blank">
      <x v="67"/>
    </i>
    <i>
      <x v="68"/>
    </i>
    <i r="1">
      <x v="2"/>
      <x v="10"/>
      <x v="3"/>
      <x v="3"/>
      <x v="19"/>
      <x v="9"/>
    </i>
    <i t="blank">
      <x v="68"/>
    </i>
    <i>
      <x v="69"/>
    </i>
    <i r="1">
      <x v="2"/>
      <x v="10"/>
      <x v="3"/>
      <x v="3"/>
      <x v="19"/>
      <x v="9"/>
    </i>
    <i t="blank">
      <x v="69"/>
    </i>
    <i>
      <x v="70"/>
    </i>
    <i r="1">
      <x v="1"/>
      <x v="10"/>
      <x v="3"/>
      <x v="3"/>
      <x v="19"/>
      <x v="9"/>
    </i>
    <i t="blank">
      <x v="70"/>
    </i>
    <i>
      <x v="71"/>
    </i>
    <i r="1">
      <x v="1"/>
      <x v="10"/>
      <x v="3"/>
      <x v="3"/>
      <x v="19"/>
      <x v="9"/>
    </i>
    <i t="blank">
      <x v="71"/>
    </i>
    <i>
      <x v="72"/>
    </i>
    <i r="1">
      <x v="1"/>
      <x v="10"/>
      <x v="3"/>
      <x v="3"/>
      <x v="19"/>
      <x v="9"/>
    </i>
    <i t="blank">
      <x v="72"/>
    </i>
    <i>
      <x v="73"/>
    </i>
    <i r="1">
      <x v="1"/>
      <x v="10"/>
      <x v="3"/>
      <x v="3"/>
      <x v="19"/>
      <x v="9"/>
    </i>
    <i t="blank">
      <x v="73"/>
    </i>
    <i>
      <x v="74"/>
    </i>
    <i r="1">
      <x v="1"/>
      <x v="10"/>
      <x v="3"/>
      <x v="3"/>
      <x v="19"/>
      <x v="9"/>
    </i>
    <i t="blank">
      <x v="74"/>
    </i>
    <i>
      <x v="76"/>
    </i>
    <i r="1">
      <x v="1"/>
      <x v="10"/>
      <x v="3"/>
      <x v="3"/>
      <x v="19"/>
      <x v="9"/>
    </i>
    <i t="blank">
      <x v="76"/>
    </i>
    <i>
      <x v="77"/>
    </i>
    <i r="1">
      <x v="1"/>
      <x v="10"/>
      <x v="3"/>
      <x v="3"/>
      <x v="19"/>
      <x v="9"/>
    </i>
    <i t="blank">
      <x v="77"/>
    </i>
    <i>
      <x v="78"/>
    </i>
    <i r="1">
      <x v="1"/>
      <x v="10"/>
      <x v="3"/>
      <x v="3"/>
      <x v="19"/>
      <x v="9"/>
    </i>
    <i t="blank">
      <x v="78"/>
    </i>
    <i>
      <x v="80"/>
    </i>
    <i r="1">
      <x v="1"/>
      <x v="10"/>
      <x v="3"/>
      <x v="3"/>
      <x v="19"/>
      <x v="9"/>
    </i>
    <i t="blank">
      <x v="80"/>
    </i>
    <i>
      <x v="81"/>
    </i>
    <i r="1">
      <x v="1"/>
      <x v="10"/>
      <x v="3"/>
      <x v="3"/>
      <x v="19"/>
      <x v="9"/>
    </i>
    <i t="blank">
      <x v="81"/>
    </i>
    <i>
      <x v="82"/>
    </i>
    <i r="1">
      <x v="1"/>
      <x v="10"/>
      <x v="3"/>
      <x v="3"/>
      <x v="19"/>
      <x v="9"/>
    </i>
    <i t="blank">
      <x v="82"/>
    </i>
    <i>
      <x v="83"/>
    </i>
    <i r="1">
      <x v="1"/>
      <x v="10"/>
      <x v="3"/>
      <x v="3"/>
      <x v="19"/>
      <x v="9"/>
    </i>
    <i t="blank">
      <x v="83"/>
    </i>
    <i>
      <x v="84"/>
    </i>
    <i r="1">
      <x v="1"/>
      <x v="10"/>
      <x v="3"/>
      <x v="3"/>
      <x v="19"/>
      <x v="9"/>
    </i>
    <i t="blank">
      <x v="84"/>
    </i>
    <i>
      <x v="85"/>
    </i>
    <i r="1">
      <x v="1"/>
      <x v="10"/>
      <x v="3"/>
      <x v="3"/>
      <x v="19"/>
      <x v="9"/>
    </i>
    <i t="blank">
      <x v="85"/>
    </i>
    <i>
      <x v="88"/>
    </i>
    <i r="1">
      <x v="1"/>
      <x v="10"/>
      <x v="3"/>
      <x v="3"/>
      <x v="19"/>
      <x v="9"/>
    </i>
    <i t="blank">
      <x v="88"/>
    </i>
    <i>
      <x v="89"/>
    </i>
    <i r="1">
      <x v="1"/>
      <x v="10"/>
      <x v="3"/>
      <x v="3"/>
      <x v="19"/>
      <x v="9"/>
    </i>
    <i t="blank">
      <x v="89"/>
    </i>
    <i>
      <x v="93"/>
    </i>
    <i r="1">
      <x v="1"/>
      <x v="10"/>
      <x v="3"/>
      <x v="3"/>
      <x v="19"/>
      <x v="9"/>
    </i>
    <i t="blank">
      <x v="93"/>
    </i>
    <i>
      <x v="94"/>
    </i>
    <i r="1">
      <x v="1"/>
      <x v="10"/>
      <x v="3"/>
      <x v="3"/>
      <x v="19"/>
      <x v="9"/>
    </i>
    <i t="blank">
      <x v="94"/>
    </i>
    <i>
      <x v="95"/>
    </i>
    <i r="1">
      <x v="1"/>
      <x v="10"/>
      <x v="3"/>
      <x v="3"/>
      <x v="19"/>
      <x v="9"/>
    </i>
    <i t="blank">
      <x v="95"/>
    </i>
    <i>
      <x v="96"/>
    </i>
    <i r="1">
      <x v="1"/>
      <x v="10"/>
      <x v="3"/>
      <x v="3"/>
      <x v="19"/>
      <x v="9"/>
    </i>
    <i t="blank">
      <x v="96"/>
    </i>
    <i>
      <x v="97"/>
    </i>
    <i r="1">
      <x v="1"/>
      <x v="10"/>
      <x v="3"/>
      <x v="3"/>
      <x v="19"/>
      <x v="9"/>
    </i>
    <i t="blank">
      <x v="97"/>
    </i>
    <i>
      <x v="98"/>
    </i>
    <i r="1">
      <x v="1"/>
      <x v="10"/>
      <x v="3"/>
      <x v="3"/>
      <x v="19"/>
      <x v="9"/>
    </i>
    <i t="blank">
      <x v="98"/>
    </i>
    <i>
      <x v="100"/>
    </i>
    <i r="1">
      <x v="2"/>
      <x v="10"/>
      <x v="3"/>
      <x v="3"/>
      <x v="19"/>
      <x v="9"/>
    </i>
    <i t="blank">
      <x v="100"/>
    </i>
    <i>
      <x v="101"/>
    </i>
    <i r="1">
      <x v="2"/>
      <x v="10"/>
      <x v="3"/>
      <x v="3"/>
      <x v="19"/>
      <x v="9"/>
    </i>
    <i t="blank">
      <x v="101"/>
    </i>
    <i>
      <x v="103"/>
    </i>
    <i r="1">
      <x v="2"/>
      <x v="10"/>
      <x v="3"/>
      <x v="3"/>
      <x v="19"/>
      <x v="9"/>
    </i>
    <i t="blank">
      <x v="103"/>
    </i>
    <i>
      <x v="104"/>
    </i>
    <i r="1">
      <x v="2"/>
      <x v="10"/>
      <x v="3"/>
      <x v="3"/>
      <x v="19"/>
      <x v="9"/>
    </i>
    <i t="blank">
      <x v="104"/>
    </i>
    <i>
      <x v="106"/>
    </i>
    <i r="1">
      <x v="2"/>
      <x v="10"/>
      <x v="3"/>
      <x v="3"/>
      <x v="19"/>
      <x v="9"/>
    </i>
    <i t="blank">
      <x v="106"/>
    </i>
    <i>
      <x v="108"/>
    </i>
    <i r="1">
      <x v="1"/>
      <x v="10"/>
      <x v="3"/>
      <x v="3"/>
      <x v="19"/>
      <x v="9"/>
    </i>
    <i t="blank">
      <x v="108"/>
    </i>
    <i>
      <x v="109"/>
    </i>
    <i r="1">
      <x v="1"/>
      <x v="10"/>
      <x v="3"/>
      <x v="3"/>
      <x v="19"/>
      <x v="9"/>
    </i>
    <i t="blank">
      <x v="109"/>
    </i>
    <i>
      <x v="111"/>
    </i>
    <i r="1">
      <x v="2"/>
      <x v="10"/>
      <x v="3"/>
      <x v="3"/>
      <x v="19"/>
      <x v="9"/>
    </i>
    <i t="blank">
      <x v="111"/>
    </i>
    <i>
      <x v="112"/>
    </i>
    <i r="1">
      <x v="2"/>
      <x v="10"/>
      <x v="3"/>
      <x v="3"/>
      <x v="19"/>
      <x v="9"/>
    </i>
    <i t="blank">
      <x v="112"/>
    </i>
    <i>
      <x v="113"/>
    </i>
    <i r="1">
      <x v="1"/>
      <x v="10"/>
      <x v="3"/>
      <x v="3"/>
      <x v="19"/>
      <x v="9"/>
    </i>
    <i t="blank">
      <x v="113"/>
    </i>
    <i>
      <x v="114"/>
    </i>
    <i r="1">
      <x v="1"/>
      <x v="10"/>
      <x v="3"/>
      <x v="3"/>
      <x v="19"/>
      <x v="9"/>
    </i>
    <i t="blank">
      <x v="114"/>
    </i>
    <i>
      <x v="116"/>
    </i>
    <i r="1">
      <x v="1"/>
      <x v="10"/>
      <x v="3"/>
      <x v="3"/>
      <x v="19"/>
      <x v="9"/>
    </i>
    <i t="blank">
      <x v="116"/>
    </i>
    <i>
      <x v="117"/>
    </i>
    <i r="1">
      <x v="1"/>
      <x v="10"/>
      <x v="3"/>
      <x v="3"/>
      <x v="19"/>
      <x v="9"/>
    </i>
    <i t="blank">
      <x v="117"/>
    </i>
    <i>
      <x v="119"/>
    </i>
    <i r="1">
      <x v="1"/>
      <x v="10"/>
      <x v="3"/>
      <x v="3"/>
      <x v="19"/>
      <x v="9"/>
    </i>
    <i t="blank">
      <x v="119"/>
    </i>
    <i>
      <x v="120"/>
    </i>
    <i r="1">
      <x v="1"/>
      <x v="10"/>
      <x v="3"/>
      <x v="3"/>
      <x v="19"/>
      <x v="9"/>
    </i>
    <i t="blank">
      <x v="120"/>
    </i>
    <i>
      <x v="121"/>
    </i>
    <i r="1">
      <x v="1"/>
      <x v="10"/>
      <x v="3"/>
      <x v="3"/>
      <x v="19"/>
      <x v="9"/>
    </i>
    <i t="blank">
      <x v="121"/>
    </i>
    <i>
      <x v="122"/>
    </i>
    <i r="1">
      <x v="1"/>
      <x v="10"/>
      <x v="3"/>
      <x v="3"/>
      <x v="19"/>
      <x v="9"/>
    </i>
    <i t="blank">
      <x v="122"/>
    </i>
    <i>
      <x v="123"/>
    </i>
    <i r="1">
      <x v="1"/>
      <x v="10"/>
      <x v="3"/>
      <x v="3"/>
      <x v="19"/>
      <x v="9"/>
    </i>
    <i t="blank">
      <x v="123"/>
    </i>
    <i>
      <x v="124"/>
    </i>
    <i r="1">
      <x v="1"/>
      <x v="10"/>
      <x v="3"/>
      <x v="3"/>
      <x v="19"/>
      <x v="9"/>
    </i>
    <i t="blank">
      <x v="124"/>
    </i>
    <i>
      <x v="127"/>
    </i>
    <i r="1">
      <x v="1"/>
      <x v="10"/>
      <x v="3"/>
      <x v="3"/>
      <x v="19"/>
      <x v="9"/>
    </i>
    <i t="blank">
      <x v="127"/>
    </i>
    <i>
      <x v="128"/>
    </i>
    <i r="1">
      <x v="1"/>
      <x v="10"/>
      <x v="3"/>
      <x v="3"/>
      <x v="19"/>
      <x v="9"/>
    </i>
    <i t="blank">
      <x v="128"/>
    </i>
    <i>
      <x v="132"/>
    </i>
    <i r="1">
      <x v="1"/>
      <x v="10"/>
      <x v="3"/>
      <x v="3"/>
      <x v="19"/>
      <x v="9"/>
    </i>
    <i t="blank">
      <x v="132"/>
    </i>
    <i>
      <x v="133"/>
    </i>
    <i r="1">
      <x v="1"/>
      <x v="10"/>
      <x v="3"/>
      <x v="3"/>
      <x v="19"/>
      <x v="9"/>
    </i>
    <i t="blank">
      <x v="133"/>
    </i>
    <i>
      <x v="134"/>
    </i>
    <i r="1">
      <x v="1"/>
      <x v="10"/>
      <x v="3"/>
      <x v="3"/>
      <x v="19"/>
      <x v="9"/>
    </i>
    <i t="blank">
      <x v="134"/>
    </i>
    <i>
      <x v="135"/>
    </i>
    <i r="1">
      <x v="1"/>
      <x v="10"/>
      <x v="3"/>
      <x v="3"/>
      <x v="19"/>
      <x v="9"/>
    </i>
    <i t="blank">
      <x v="135"/>
    </i>
    <i>
      <x v="136"/>
    </i>
    <i r="1">
      <x v="1"/>
      <x v="10"/>
      <x v="3"/>
      <x v="3"/>
      <x v="19"/>
      <x v="9"/>
    </i>
    <i t="blank">
      <x v="136"/>
    </i>
    <i>
      <x v="137"/>
    </i>
    <i r="1">
      <x v="1"/>
      <x v="10"/>
      <x v="3"/>
      <x v="3"/>
      <x v="19"/>
      <x v="9"/>
    </i>
    <i t="blank">
      <x v="137"/>
    </i>
    <i>
      <x v="139"/>
    </i>
    <i r="1">
      <x v="2"/>
      <x v="10"/>
      <x v="3"/>
      <x v="3"/>
      <x v="19"/>
      <x v="9"/>
    </i>
    <i t="blank">
      <x v="139"/>
    </i>
    <i>
      <x v="140"/>
    </i>
    <i r="1">
      <x v="2"/>
      <x v="10"/>
      <x v="3"/>
      <x v="3"/>
      <x v="19"/>
      <x v="9"/>
    </i>
    <i t="blank">
      <x v="140"/>
    </i>
    <i>
      <x v="142"/>
    </i>
    <i r="1">
      <x v="2"/>
      <x v="10"/>
      <x v="3"/>
      <x v="3"/>
      <x v="19"/>
      <x v="9"/>
    </i>
    <i t="blank">
      <x v="142"/>
    </i>
    <i>
      <x v="143"/>
    </i>
    <i r="1">
      <x v="2"/>
      <x v="10"/>
      <x v="3"/>
      <x v="3"/>
      <x v="19"/>
      <x v="9"/>
    </i>
    <i t="blank">
      <x v="143"/>
    </i>
    <i>
      <x v="145"/>
    </i>
    <i r="1">
      <x v="2"/>
      <x v="10"/>
      <x v="3"/>
      <x v="3"/>
      <x v="19"/>
      <x v="9"/>
    </i>
    <i t="blank">
      <x v="145"/>
    </i>
    <i>
      <x v="147"/>
    </i>
    <i r="1">
      <x v="1"/>
      <x v="10"/>
      <x v="3"/>
      <x v="3"/>
      <x v="19"/>
      <x v="9"/>
    </i>
    <i t="blank">
      <x v="147"/>
    </i>
    <i>
      <x v="148"/>
    </i>
    <i r="1">
      <x v="1"/>
      <x v="10"/>
      <x v="3"/>
      <x v="3"/>
      <x v="19"/>
      <x v="9"/>
    </i>
    <i t="blank">
      <x v="148"/>
    </i>
    <i>
      <x v="150"/>
    </i>
    <i r="1">
      <x v="2"/>
      <x v="10"/>
      <x v="3"/>
      <x v="3"/>
      <x v="19"/>
      <x v="9"/>
    </i>
    <i t="blank">
      <x v="150"/>
    </i>
    <i>
      <x v="151"/>
    </i>
    <i r="1">
      <x v="2"/>
      <x v="10"/>
      <x v="3"/>
      <x v="3"/>
      <x v="19"/>
      <x v="9"/>
    </i>
    <i t="blank">
      <x v="151"/>
    </i>
    <i>
      <x v="152"/>
    </i>
    <i r="1">
      <x v="1"/>
      <x v="10"/>
      <x v="3"/>
      <x v="3"/>
      <x v="19"/>
      <x v="9"/>
    </i>
    <i t="blank">
      <x v="152"/>
    </i>
    <i>
      <x v="153"/>
    </i>
    <i r="1">
      <x v="1"/>
      <x v="10"/>
      <x v="3"/>
      <x v="3"/>
      <x v="19"/>
      <x v="9"/>
    </i>
    <i t="blank">
      <x v="153"/>
    </i>
    <i>
      <x v="155"/>
    </i>
    <i r="1">
      <x v="1"/>
      <x v="10"/>
      <x v="3"/>
      <x v="3"/>
      <x v="19"/>
      <x v="9"/>
    </i>
    <i t="blank">
      <x v="155"/>
    </i>
    <i>
      <x v="156"/>
    </i>
    <i r="1">
      <x v="1"/>
      <x v="10"/>
      <x v="3"/>
      <x v="3"/>
      <x v="19"/>
      <x v="9"/>
    </i>
    <i t="blank">
      <x v="156"/>
    </i>
    <i>
      <x v="157"/>
    </i>
    <i r="1">
      <x v="1"/>
      <x v="10"/>
      <x v="3"/>
      <x v="3"/>
      <x v="19"/>
      <x v="9"/>
    </i>
    <i t="blank">
      <x v="157"/>
    </i>
    <i>
      <x v="158"/>
    </i>
    <i r="1">
      <x v="1"/>
      <x v="10"/>
      <x v="3"/>
      <x v="3"/>
      <x v="19"/>
      <x v="9"/>
    </i>
    <i t="blank">
      <x v="158"/>
    </i>
    <i>
      <x v="159"/>
    </i>
    <i r="1">
      <x v="1"/>
      <x v="10"/>
      <x v="3"/>
      <x v="3"/>
      <x v="19"/>
      <x v="9"/>
    </i>
    <i t="blank">
      <x v="159"/>
    </i>
    <i>
      <x v="160"/>
    </i>
    <i r="1">
      <x v="1"/>
      <x v="10"/>
      <x v="3"/>
      <x v="3"/>
      <x v="19"/>
      <x v="9"/>
    </i>
    <i t="blank">
      <x v="160"/>
    </i>
    <i>
      <x v="161"/>
    </i>
    <i r="1">
      <x v="1"/>
      <x v="10"/>
      <x v="3"/>
      <x v="3"/>
      <x v="19"/>
      <x v="9"/>
    </i>
    <i t="blank">
      <x v="161"/>
    </i>
    <i>
      <x v="162"/>
    </i>
    <i r="1">
      <x v="1"/>
      <x v="10"/>
      <x v="3"/>
      <x v="3"/>
      <x v="19"/>
      <x v="9"/>
    </i>
    <i t="blank">
      <x v="162"/>
    </i>
    <i>
      <x v="163"/>
    </i>
    <i r="1">
      <x v="2"/>
      <x v="10"/>
      <x v="3"/>
      <x v="3"/>
      <x v="19"/>
      <x v="9"/>
    </i>
    <i t="blank">
      <x v="163"/>
    </i>
    <i>
      <x v="164"/>
    </i>
    <i r="1">
      <x v="2"/>
      <x v="10"/>
      <x v="3"/>
      <x v="3"/>
      <x v="19"/>
      <x v="9"/>
    </i>
    <i t="blank">
      <x v="164"/>
    </i>
    <i>
      <x v="165"/>
    </i>
    <i r="1">
      <x v="2"/>
      <x v="10"/>
      <x v="3"/>
      <x v="3"/>
      <x v="19"/>
      <x v="9"/>
    </i>
    <i t="blank">
      <x v="165"/>
    </i>
    <i>
      <x v="166"/>
    </i>
    <i r="1">
      <x v="2"/>
      <x v="10"/>
      <x v="3"/>
      <x v="3"/>
      <x v="19"/>
      <x v="9"/>
    </i>
    <i t="blank">
      <x v="166"/>
    </i>
    <i>
      <x v="168"/>
    </i>
    <i r="1">
      <x v="2"/>
      <x v="10"/>
      <x v="3"/>
      <x v="3"/>
      <x v="19"/>
      <x v="9"/>
    </i>
    <i t="blank">
      <x v="168"/>
    </i>
    <i>
      <x v="169"/>
    </i>
    <i r="1">
      <x v="2"/>
      <x v="10"/>
      <x v="3"/>
      <x v="3"/>
      <x v="19"/>
      <x v="9"/>
    </i>
    <i t="blank">
      <x v="169"/>
    </i>
    <i>
      <x v="170"/>
    </i>
    <i r="1">
      <x v="2"/>
      <x v="10"/>
      <x v="3"/>
      <x v="3"/>
      <x v="19"/>
      <x v="9"/>
    </i>
    <i t="blank">
      <x v="170"/>
    </i>
    <i>
      <x v="171"/>
    </i>
    <i r="1">
      <x v="1"/>
      <x v="10"/>
      <x v="3"/>
      <x v="3"/>
      <x v="19"/>
      <x v="9"/>
    </i>
    <i t="blank">
      <x v="171"/>
    </i>
    <i>
      <x v="172"/>
    </i>
    <i r="1">
      <x v="1"/>
      <x v="10"/>
      <x v="3"/>
      <x v="3"/>
      <x v="19"/>
      <x v="9"/>
    </i>
    <i t="blank">
      <x v="172"/>
    </i>
    <i>
      <x v="173"/>
    </i>
    <i r="1">
      <x v="1"/>
      <x v="10"/>
      <x v="3"/>
      <x v="3"/>
      <x v="19"/>
      <x v="9"/>
    </i>
    <i t="blank">
      <x v="173"/>
    </i>
    <i>
      <x v="175"/>
    </i>
    <i r="1">
      <x v="2"/>
      <x v="10"/>
      <x v="3"/>
      <x v="3"/>
      <x v="19"/>
      <x v="9"/>
    </i>
    <i t="blank">
      <x v="175"/>
    </i>
    <i>
      <x v="176"/>
    </i>
    <i r="1">
      <x v="2"/>
      <x v="10"/>
      <x v="3"/>
      <x v="3"/>
      <x v="19"/>
      <x v="9"/>
    </i>
    <i t="blank">
      <x v="176"/>
    </i>
    <i>
      <x v="177"/>
    </i>
    <i r="1">
      <x v="2"/>
      <x v="10"/>
      <x v="3"/>
      <x v="3"/>
      <x v="19"/>
      <x v="9"/>
    </i>
    <i t="blank">
      <x v="177"/>
    </i>
    <i>
      <x v="178"/>
    </i>
    <i r="1">
      <x v="1"/>
      <x v="10"/>
      <x v="3"/>
      <x v="3"/>
      <x v="19"/>
      <x v="9"/>
    </i>
    <i t="blank">
      <x v="178"/>
    </i>
    <i>
      <x v="179"/>
    </i>
    <i r="1">
      <x v="1"/>
      <x v="10"/>
      <x v="3"/>
      <x v="3"/>
      <x v="19"/>
      <x v="9"/>
    </i>
    <i t="blank">
      <x v="179"/>
    </i>
    <i>
      <x v="180"/>
    </i>
    <i r="1">
      <x v="1"/>
      <x v="10"/>
      <x v="3"/>
      <x v="3"/>
      <x v="19"/>
      <x v="9"/>
    </i>
    <i t="blank">
      <x v="180"/>
    </i>
    <i>
      <x v="183"/>
    </i>
    <i r="1">
      <x v="4"/>
      <x v="10"/>
      <x v="3"/>
      <x v="3"/>
      <x v="19"/>
      <x v="9"/>
    </i>
    <i t="blank">
      <x v="183"/>
    </i>
    <i>
      <x v="184"/>
    </i>
    <i r="1">
      <x v="2"/>
      <x v="10"/>
      <x v="3"/>
      <x v="3"/>
      <x v="19"/>
      <x v="9"/>
    </i>
    <i t="blank">
      <x v="184"/>
    </i>
    <i>
      <x v="185"/>
    </i>
    <i r="1">
      <x v="1"/>
      <x v="10"/>
      <x v="3"/>
      <x v="3"/>
      <x v="19"/>
      <x v="9"/>
    </i>
    <i t="blank">
      <x v="185"/>
    </i>
    <i>
      <x v="186"/>
    </i>
    <i r="1">
      <x v="1"/>
      <x v="10"/>
      <x v="3"/>
      <x v="3"/>
      <x v="19"/>
      <x v="9"/>
    </i>
    <i t="blank">
      <x v="186"/>
    </i>
    <i>
      <x v="187"/>
    </i>
    <i r="1">
      <x v="3"/>
      <x v="10"/>
      <x v="3"/>
      <x v="3"/>
      <x v="19"/>
      <x v="9"/>
    </i>
    <i t="blank">
      <x v="187"/>
    </i>
    <i>
      <x v="188"/>
    </i>
    <i r="1">
      <x v="1"/>
      <x v="10"/>
      <x v="3"/>
      <x v="3"/>
      <x v="19"/>
      <x v="9"/>
    </i>
    <i t="blank">
      <x v="188"/>
    </i>
    <i>
      <x v="189"/>
    </i>
    <i r="1">
      <x v="1"/>
      <x v="10"/>
      <x v="3"/>
      <x v="3"/>
      <x v="19"/>
      <x v="9"/>
    </i>
    <i t="blank">
      <x v="189"/>
    </i>
    <i>
      <x v="190"/>
    </i>
    <i r="1">
      <x v="1"/>
      <x v="10"/>
      <x v="3"/>
      <x v="3"/>
      <x v="19"/>
      <x v="9"/>
    </i>
    <i t="blank">
      <x v="190"/>
    </i>
    <i>
      <x v="191"/>
    </i>
    <i r="1">
      <x v="1"/>
      <x v="10"/>
      <x v="3"/>
      <x v="3"/>
      <x v="19"/>
      <x v="9"/>
    </i>
    <i t="blank">
      <x v="191"/>
    </i>
    <i>
      <x v="192"/>
    </i>
    <i r="1">
      <x v="1"/>
      <x v="10"/>
      <x v="3"/>
      <x v="3"/>
      <x v="19"/>
      <x v="9"/>
    </i>
    <i t="blank">
      <x v="192"/>
    </i>
    <i>
      <x v="193"/>
    </i>
    <i r="1">
      <x v="1"/>
      <x v="10"/>
      <x v="3"/>
      <x v="3"/>
      <x v="19"/>
      <x v="9"/>
    </i>
    <i t="blank">
      <x v="193"/>
    </i>
    <i>
      <x v="196"/>
    </i>
    <i r="1">
      <x v="1"/>
      <x v="10"/>
      <x v="3"/>
      <x v="3"/>
      <x v="19"/>
      <x v="9"/>
    </i>
    <i t="blank">
      <x v="196"/>
    </i>
    <i>
      <x v="197"/>
    </i>
    <i r="1">
      <x v="1"/>
      <x v="10"/>
      <x v="3"/>
      <x v="3"/>
      <x v="19"/>
      <x v="9"/>
    </i>
    <i t="blank">
      <x v="197"/>
    </i>
    <i>
      <x v="198"/>
    </i>
    <i r="1">
      <x v="1"/>
      <x v="10"/>
      <x v="3"/>
      <x v="3"/>
      <x v="19"/>
      <x v="9"/>
    </i>
    <i t="blank">
      <x v="198"/>
    </i>
    <i>
      <x v="199"/>
    </i>
    <i r="1">
      <x v="1"/>
      <x v="10"/>
      <x v="3"/>
      <x v="3"/>
      <x v="19"/>
      <x v="9"/>
    </i>
    <i t="blank">
      <x v="199"/>
    </i>
    <i>
      <x v="200"/>
    </i>
    <i r="1">
      <x v="1"/>
      <x v="10"/>
      <x v="3"/>
      <x v="3"/>
      <x v="19"/>
      <x v="9"/>
    </i>
    <i t="blank">
      <x v="200"/>
    </i>
    <i>
      <x v="201"/>
    </i>
    <i r="1">
      <x v="1"/>
      <x v="10"/>
      <x v="3"/>
      <x v="3"/>
      <x v="19"/>
      <x v="9"/>
    </i>
    <i t="blank">
      <x v="201"/>
    </i>
    <i>
      <x v="202"/>
    </i>
    <i r="1">
      <x v="1"/>
      <x v="10"/>
      <x v="3"/>
      <x v="3"/>
      <x v="19"/>
      <x v="9"/>
    </i>
    <i t="blank">
      <x v="202"/>
    </i>
    <i>
      <x v="203"/>
    </i>
    <i r="1">
      <x v="1"/>
      <x v="10"/>
      <x v="3"/>
      <x v="3"/>
      <x v="19"/>
      <x v="9"/>
    </i>
    <i t="blank">
      <x v="203"/>
    </i>
    <i>
      <x v="204"/>
    </i>
    <i r="1">
      <x v="1"/>
      <x v="10"/>
      <x v="3"/>
      <x v="3"/>
      <x v="19"/>
      <x v="9"/>
    </i>
    <i t="blank">
      <x v="204"/>
    </i>
    <i>
      <x v="205"/>
    </i>
    <i r="1">
      <x v="1"/>
      <x v="10"/>
      <x v="3"/>
      <x v="3"/>
      <x v="19"/>
      <x v="9"/>
    </i>
    <i t="blank">
      <x v="205"/>
    </i>
    <i>
      <x v="206"/>
    </i>
    <i r="1">
      <x v="1"/>
      <x v="10"/>
      <x v="3"/>
      <x v="3"/>
      <x v="19"/>
      <x v="9"/>
    </i>
    <i t="blank">
      <x v="206"/>
    </i>
    <i>
      <x v="207"/>
    </i>
    <i r="1">
      <x v="1"/>
      <x v="10"/>
      <x v="3"/>
      <x v="3"/>
      <x v="19"/>
      <x v="9"/>
    </i>
    <i t="blank">
      <x v="207"/>
    </i>
    <i>
      <x v="208"/>
    </i>
    <i r="1">
      <x v="1"/>
      <x v="10"/>
      <x v="3"/>
      <x v="3"/>
      <x v="19"/>
      <x v="9"/>
    </i>
    <i t="blank">
      <x v="208"/>
    </i>
    <i>
      <x v="209"/>
    </i>
    <i r="1">
      <x v="1"/>
      <x v="10"/>
      <x v="3"/>
      <x v="3"/>
      <x v="19"/>
      <x v="9"/>
    </i>
    <i t="blank">
      <x v="209"/>
    </i>
    <i>
      <x v="210"/>
    </i>
    <i r="1">
      <x v="1"/>
      <x v="10"/>
      <x v="3"/>
      <x v="3"/>
      <x v="19"/>
      <x v="9"/>
    </i>
    <i t="blank">
      <x v="210"/>
    </i>
    <i>
      <x v="211"/>
    </i>
    <i r="1">
      <x v="1"/>
      <x v="10"/>
      <x v="3"/>
      <x v="3"/>
      <x v="19"/>
      <x v="9"/>
    </i>
    <i t="blank">
      <x v="211"/>
    </i>
    <i>
      <x v="212"/>
    </i>
    <i r="1">
      <x v="1"/>
      <x v="10"/>
      <x v="3"/>
      <x v="3"/>
      <x v="19"/>
      <x v="9"/>
    </i>
    <i t="blank">
      <x v="212"/>
    </i>
    <i>
      <x v="213"/>
    </i>
    <i r="1">
      <x v="1"/>
      <x v="10"/>
      <x v="3"/>
      <x v="3"/>
      <x v="19"/>
      <x v="9"/>
    </i>
    <i t="blank">
      <x v="213"/>
    </i>
    <i>
      <x v="214"/>
    </i>
    <i r="1">
      <x v="1"/>
      <x v="10"/>
      <x v="3"/>
      <x v="3"/>
      <x v="19"/>
      <x v="9"/>
    </i>
    <i t="blank">
      <x v="214"/>
    </i>
    <i>
      <x v="215"/>
    </i>
    <i r="1">
      <x v="1"/>
      <x v="10"/>
      <x v="3"/>
      <x v="3"/>
      <x v="19"/>
      <x v="9"/>
    </i>
    <i t="blank">
      <x v="215"/>
    </i>
    <i>
      <x v="216"/>
    </i>
    <i r="1">
      <x v="1"/>
      <x v="10"/>
      <x v="3"/>
      <x v="3"/>
      <x v="19"/>
      <x v="9"/>
    </i>
    <i t="blank">
      <x v="216"/>
    </i>
    <i>
      <x v="217"/>
    </i>
    <i r="1">
      <x v="1"/>
      <x v="10"/>
      <x v="3"/>
      <x v="3"/>
      <x v="19"/>
      <x v="9"/>
    </i>
    <i t="blank">
      <x v="217"/>
    </i>
    <i>
      <x v="218"/>
    </i>
    <i r="1">
      <x v="1"/>
      <x v="10"/>
      <x v="3"/>
      <x v="3"/>
      <x v="19"/>
      <x v="9"/>
    </i>
    <i t="blank">
      <x v="218"/>
    </i>
    <i>
      <x v="219"/>
    </i>
    <i r="1">
      <x v="1"/>
      <x v="10"/>
      <x v="3"/>
      <x v="3"/>
      <x v="19"/>
      <x v="9"/>
    </i>
    <i t="blank">
      <x v="219"/>
    </i>
    <i>
      <x v="220"/>
    </i>
    <i r="1">
      <x v="1"/>
      <x v="10"/>
      <x v="3"/>
      <x v="3"/>
      <x v="19"/>
      <x v="9"/>
    </i>
    <i t="blank">
      <x v="220"/>
    </i>
    <i>
      <x v="221"/>
    </i>
    <i r="1">
      <x v="1"/>
      <x v="10"/>
      <x v="3"/>
      <x v="3"/>
      <x v="19"/>
      <x v="9"/>
    </i>
    <i t="blank">
      <x v="221"/>
    </i>
    <i>
      <x v="222"/>
    </i>
    <i r="1">
      <x v="1"/>
      <x v="10"/>
      <x v="3"/>
      <x v="3"/>
      <x v="19"/>
      <x v="9"/>
    </i>
    <i t="blank">
      <x v="222"/>
    </i>
    <i>
      <x v="223"/>
    </i>
    <i r="1">
      <x v="1"/>
      <x v="10"/>
      <x v="3"/>
      <x v="3"/>
      <x v="19"/>
      <x v="9"/>
    </i>
    <i t="blank">
      <x v="223"/>
    </i>
    <i>
      <x v="224"/>
    </i>
    <i r="1">
      <x v="1"/>
      <x v="10"/>
      <x v="3"/>
      <x v="3"/>
      <x v="19"/>
      <x v="9"/>
    </i>
    <i t="blank">
      <x v="224"/>
    </i>
    <i>
      <x v="225"/>
    </i>
    <i r="1">
      <x v="1"/>
      <x v="10"/>
      <x v="3"/>
      <x v="3"/>
      <x v="19"/>
      <x v="9"/>
    </i>
    <i t="blank">
      <x v="225"/>
    </i>
    <i>
      <x v="226"/>
    </i>
    <i r="1">
      <x v="1"/>
      <x v="10"/>
      <x v="3"/>
      <x v="3"/>
      <x v="19"/>
      <x v="9"/>
    </i>
    <i t="blank">
      <x v="226"/>
    </i>
    <i>
      <x v="227"/>
    </i>
    <i r="1">
      <x v="1"/>
      <x v="10"/>
      <x v="3"/>
      <x v="3"/>
      <x v="19"/>
      <x v="9"/>
    </i>
    <i t="blank">
      <x v="227"/>
    </i>
    <i>
      <x v="228"/>
    </i>
    <i r="1">
      <x v="1"/>
      <x v="10"/>
      <x v="3"/>
      <x v="3"/>
      <x v="19"/>
      <x v="9"/>
    </i>
    <i t="blank">
      <x v="228"/>
    </i>
    <i>
      <x v="229"/>
    </i>
    <i r="1">
      <x v="1"/>
      <x v="10"/>
      <x v="3"/>
      <x v="3"/>
      <x v="19"/>
      <x v="9"/>
    </i>
    <i t="blank">
      <x v="229"/>
    </i>
    <i>
      <x v="230"/>
    </i>
    <i r="1">
      <x v="1"/>
      <x v="10"/>
      <x v="3"/>
      <x v="3"/>
      <x v="19"/>
      <x v="9"/>
    </i>
    <i t="blank">
      <x v="230"/>
    </i>
    <i>
      <x v="231"/>
    </i>
    <i r="1">
      <x v="1"/>
      <x v="10"/>
      <x v="3"/>
      <x v="3"/>
      <x v="19"/>
      <x v="9"/>
    </i>
    <i t="blank">
      <x v="231"/>
    </i>
    <i>
      <x v="232"/>
    </i>
    <i r="1">
      <x v="1"/>
      <x v="10"/>
      <x v="3"/>
      <x v="3"/>
      <x v="19"/>
      <x v="9"/>
    </i>
    <i t="blank">
      <x v="232"/>
    </i>
    <i>
      <x v="233"/>
    </i>
    <i r="1">
      <x v="1"/>
      <x v="10"/>
      <x v="3"/>
      <x v="3"/>
      <x v="19"/>
      <x v="9"/>
    </i>
    <i t="blank">
      <x v="233"/>
    </i>
    <i>
      <x v="234"/>
    </i>
    <i r="1">
      <x v="1"/>
      <x v="10"/>
      <x v="3"/>
      <x v="3"/>
      <x v="19"/>
      <x v="9"/>
    </i>
    <i t="blank">
      <x v="234"/>
    </i>
    <i>
      <x v="235"/>
    </i>
    <i r="1">
      <x v="1"/>
      <x v="10"/>
      <x v="3"/>
      <x v="3"/>
      <x v="19"/>
      <x v="9"/>
    </i>
    <i t="blank">
      <x v="235"/>
    </i>
    <i>
      <x v="236"/>
    </i>
    <i r="1">
      <x v="1"/>
      <x v="10"/>
      <x v="3"/>
      <x v="3"/>
      <x v="19"/>
      <x v="9"/>
    </i>
    <i t="blank">
      <x v="236"/>
    </i>
    <i>
      <x v="237"/>
    </i>
    <i r="1">
      <x v="1"/>
      <x v="10"/>
      <x v="3"/>
      <x v="3"/>
      <x v="19"/>
      <x v="9"/>
    </i>
    <i t="blank">
      <x v="237"/>
    </i>
    <i>
      <x v="238"/>
    </i>
    <i r="1">
      <x v="1"/>
      <x v="10"/>
      <x v="3"/>
      <x v="3"/>
      <x v="19"/>
      <x v="9"/>
    </i>
    <i t="blank">
      <x v="238"/>
    </i>
    <i>
      <x v="239"/>
    </i>
    <i r="1">
      <x v="1"/>
      <x v="10"/>
      <x v="3"/>
      <x v="3"/>
      <x v="19"/>
      <x v="9"/>
    </i>
    <i t="blank">
      <x v="239"/>
    </i>
    <i>
      <x v="240"/>
    </i>
    <i r="1">
      <x v="1"/>
      <x v="10"/>
      <x v="3"/>
      <x v="3"/>
      <x v="19"/>
      <x v="9"/>
    </i>
    <i t="blank">
      <x v="240"/>
    </i>
    <i>
      <x v="241"/>
    </i>
    <i r="1">
      <x v="2"/>
      <x v="10"/>
      <x v="3"/>
      <x v="3"/>
      <x v="19"/>
      <x v="9"/>
    </i>
    <i t="blank">
      <x v="241"/>
    </i>
    <i>
      <x v="244"/>
    </i>
    <i r="1">
      <x v="1"/>
      <x v="10"/>
      <x v="3"/>
      <x v="3"/>
      <x v="19"/>
      <x v="9"/>
    </i>
    <i t="blank">
      <x v="244"/>
    </i>
    <i>
      <x v="245"/>
    </i>
    <i r="1">
      <x v="1"/>
      <x v="10"/>
      <x v="3"/>
      <x v="3"/>
      <x v="19"/>
      <x v="9"/>
    </i>
    <i t="blank">
      <x v="245"/>
    </i>
    <i>
      <x v="246"/>
    </i>
    <i r="1">
      <x v="2"/>
      <x v="10"/>
      <x v="3"/>
      <x v="3"/>
      <x v="19"/>
      <x v="9"/>
    </i>
    <i t="blank">
      <x v="246"/>
    </i>
    <i>
      <x v="247"/>
    </i>
    <i r="1">
      <x v="1"/>
      <x v="10"/>
      <x v="3"/>
      <x v="3"/>
      <x v="19"/>
      <x v="9"/>
    </i>
    <i t="blank">
      <x v="247"/>
    </i>
    <i>
      <x v="250"/>
    </i>
    <i r="1">
      <x v="2"/>
      <x v="10"/>
      <x v="3"/>
      <x v="3"/>
      <x v="19"/>
      <x v="9"/>
    </i>
    <i t="blank">
      <x v="250"/>
    </i>
    <i>
      <x v="252"/>
    </i>
    <i r="1">
      <x v="1"/>
      <x v="10"/>
      <x v="3"/>
      <x v="3"/>
      <x v="19"/>
      <x v="9"/>
    </i>
    <i t="blank">
      <x v="252"/>
    </i>
    <i>
      <x v="253"/>
    </i>
    <i r="1">
      <x v="1"/>
      <x v="10"/>
      <x v="3"/>
      <x v="3"/>
      <x v="19"/>
      <x v="9"/>
    </i>
    <i t="blank">
      <x v="253"/>
    </i>
    <i>
      <x v="255"/>
    </i>
    <i r="1">
      <x v="1"/>
      <x v="10"/>
      <x v="3"/>
      <x v="3"/>
      <x v="19"/>
      <x v="9"/>
    </i>
    <i t="blank">
      <x v="255"/>
    </i>
    <i>
      <x v="258"/>
    </i>
    <i r="1">
      <x v="1"/>
      <x v="10"/>
      <x v="3"/>
      <x v="3"/>
      <x v="19"/>
      <x v="9"/>
    </i>
    <i t="blank">
      <x v="258"/>
    </i>
    <i>
      <x v="263"/>
    </i>
    <i r="1">
      <x v="1"/>
      <x v="10"/>
      <x v="3"/>
      <x v="3"/>
      <x v="19"/>
      <x v="9"/>
    </i>
    <i t="blank">
      <x v="263"/>
    </i>
    <i>
      <x v="264"/>
    </i>
    <i r="1">
      <x v="1"/>
      <x v="10"/>
      <x v="3"/>
      <x v="3"/>
      <x v="19"/>
      <x v="9"/>
    </i>
    <i t="blank">
      <x v="264"/>
    </i>
    <i>
      <x v="265"/>
    </i>
    <i r="1">
      <x v="1"/>
      <x v="10"/>
      <x v="3"/>
      <x v="3"/>
      <x v="19"/>
      <x v="9"/>
    </i>
    <i t="blank">
      <x v="265"/>
    </i>
    <i>
      <x v="266"/>
    </i>
    <i r="1">
      <x v="1"/>
      <x v="10"/>
      <x v="3"/>
      <x v="3"/>
      <x v="19"/>
      <x v="9"/>
    </i>
    <i t="blank">
      <x v="266"/>
    </i>
    <i>
      <x v="267"/>
    </i>
    <i r="1">
      <x v="1"/>
      <x v="10"/>
      <x v="3"/>
      <x v="3"/>
      <x v="19"/>
      <x v="9"/>
    </i>
    <i t="blank">
      <x v="267"/>
    </i>
    <i>
      <x v="269"/>
    </i>
    <i r="1">
      <x v="1"/>
      <x v="10"/>
      <x v="3"/>
      <x v="3"/>
      <x v="19"/>
      <x v="9"/>
    </i>
    <i t="blank">
      <x v="269"/>
    </i>
    <i>
      <x v="270"/>
    </i>
    <i r="1">
      <x v="1"/>
      <x v="10"/>
      <x v="3"/>
      <x v="3"/>
      <x v="19"/>
      <x v="9"/>
    </i>
    <i t="blank">
      <x v="270"/>
    </i>
    <i>
      <x v="272"/>
    </i>
    <i r="1">
      <x v="1"/>
      <x v="10"/>
      <x v="3"/>
      <x v="3"/>
      <x v="19"/>
      <x v="9"/>
    </i>
    <i t="blank">
      <x v="272"/>
    </i>
    <i>
      <x v="274"/>
    </i>
    <i r="1">
      <x v="1"/>
      <x v="10"/>
      <x v="3"/>
      <x v="3"/>
      <x v="19"/>
      <x v="9"/>
    </i>
    <i t="blank">
      <x v="274"/>
    </i>
    <i>
      <x v="275"/>
    </i>
    <i r="1">
      <x v="1"/>
      <x v="10"/>
      <x v="3"/>
      <x v="3"/>
      <x v="19"/>
      <x v="9"/>
    </i>
    <i t="blank">
      <x v="275"/>
    </i>
    <i>
      <x v="276"/>
    </i>
    <i r="1">
      <x v="1"/>
      <x v="10"/>
      <x v="3"/>
      <x v="3"/>
      <x v="19"/>
      <x v="9"/>
    </i>
    <i t="blank">
      <x v="276"/>
    </i>
    <i>
      <x v="277"/>
    </i>
    <i r="1">
      <x v="1"/>
      <x v="10"/>
      <x v="3"/>
      <x v="3"/>
      <x v="19"/>
      <x v="9"/>
    </i>
    <i t="blank">
      <x v="277"/>
    </i>
    <i>
      <x v="279"/>
    </i>
    <i r="1">
      <x v="1"/>
      <x v="10"/>
      <x v="3"/>
      <x v="3"/>
      <x v="19"/>
      <x v="9"/>
    </i>
    <i t="blank">
      <x v="279"/>
    </i>
    <i>
      <x v="280"/>
    </i>
    <i r="1">
      <x v="1"/>
      <x v="10"/>
      <x v="3"/>
      <x v="3"/>
      <x v="19"/>
      <x v="9"/>
    </i>
    <i t="blank">
      <x v="280"/>
    </i>
    <i>
      <x v="281"/>
    </i>
    <i r="1">
      <x v="1"/>
      <x v="10"/>
      <x v="3"/>
      <x v="3"/>
      <x v="19"/>
      <x v="9"/>
    </i>
    <i t="blank">
      <x v="281"/>
    </i>
    <i>
      <x v="282"/>
    </i>
    <i r="1">
      <x v="1"/>
      <x v="10"/>
      <x v="3"/>
      <x v="3"/>
      <x v="19"/>
      <x v="9"/>
    </i>
    <i t="blank">
      <x v="282"/>
    </i>
    <i>
      <x v="283"/>
    </i>
    <i r="1">
      <x v="1"/>
      <x v="10"/>
      <x v="3"/>
      <x v="3"/>
      <x v="19"/>
      <x v="9"/>
    </i>
    <i t="blank">
      <x v="283"/>
    </i>
    <i>
      <x v="285"/>
    </i>
    <i r="1">
      <x v="1"/>
      <x v="10"/>
      <x v="3"/>
      <x v="3"/>
      <x v="19"/>
      <x v="9"/>
    </i>
    <i t="blank">
      <x v="285"/>
    </i>
    <i>
      <x v="286"/>
    </i>
    <i r="1">
      <x v="1"/>
      <x v="10"/>
      <x v="3"/>
      <x v="3"/>
      <x v="19"/>
      <x v="9"/>
    </i>
    <i t="blank">
      <x v="286"/>
    </i>
    <i>
      <x v="288"/>
    </i>
    <i r="1">
      <x v="1"/>
      <x v="10"/>
      <x v="3"/>
      <x v="3"/>
      <x v="19"/>
      <x v="9"/>
    </i>
    <i t="blank">
      <x v="288"/>
    </i>
    <i>
      <x v="290"/>
    </i>
    <i r="1">
      <x v="5"/>
      <x v="10"/>
      <x v="3"/>
      <x v="3"/>
      <x v="19"/>
      <x v="9"/>
    </i>
    <i t="blank">
      <x v="290"/>
    </i>
    <i>
      <x v="292"/>
    </i>
    <i r="1">
      <x v="5"/>
      <x v="10"/>
      <x v="3"/>
      <x v="3"/>
      <x v="19"/>
      <x v="9"/>
    </i>
    <i t="blank">
      <x v="292"/>
    </i>
    <i>
      <x v="294"/>
    </i>
    <i r="1">
      <x v="5"/>
      <x v="10"/>
      <x v="3"/>
      <x v="3"/>
      <x v="19"/>
      <x v="9"/>
    </i>
    <i t="blank">
      <x v="294"/>
    </i>
    <i>
      <x v="301"/>
    </i>
    <i r="1">
      <x v="6"/>
      <x v="6"/>
      <x v="3"/>
      <x v="3"/>
      <x v="19"/>
      <x v="9"/>
    </i>
    <i t="blank">
      <x v="301"/>
    </i>
    <i>
      <x v="302"/>
    </i>
    <i r="1">
      <x v="4"/>
      <x v="6"/>
      <x v="3"/>
      <x v="3"/>
      <x v="19"/>
      <x v="9"/>
    </i>
    <i t="blank">
      <x v="302"/>
    </i>
    <i>
      <x v="303"/>
    </i>
    <i r="1">
      <x v="8"/>
      <x v="6"/>
      <x v="3"/>
      <x v="3"/>
      <x v="19"/>
      <x v="9"/>
    </i>
    <i t="blank">
      <x v="303"/>
    </i>
    <i>
      <x v="307"/>
    </i>
    <i r="1">
      <x v="1"/>
      <x v="6"/>
      <x v="3"/>
      <x v="3"/>
      <x v="19"/>
      <x v="9"/>
    </i>
    <i t="blank">
      <x v="307"/>
    </i>
    <i>
      <x v="308"/>
    </i>
    <i r="1">
      <x v="2"/>
      <x v="6"/>
      <x v="3"/>
      <x v="3"/>
      <x v="19"/>
      <x v="9"/>
    </i>
    <i t="blank">
      <x v="308"/>
    </i>
    <i>
      <x v="309"/>
    </i>
    <i r="1">
      <x v="1"/>
      <x v="6"/>
      <x v="3"/>
      <x v="3"/>
      <x v="19"/>
      <x v="9"/>
    </i>
    <i t="blank">
      <x v="309"/>
    </i>
    <i>
      <x v="311"/>
    </i>
    <i r="1">
      <x v="10"/>
      <x v="6"/>
      <x v="3"/>
      <x v="3"/>
      <x v="19"/>
      <x v="9"/>
    </i>
    <i t="blank">
      <x v="311"/>
    </i>
    <i>
      <x v="314"/>
    </i>
    <i r="1">
      <x v="11"/>
      <x v="6"/>
      <x v="3"/>
      <x v="3"/>
      <x v="19"/>
      <x v="9"/>
    </i>
    <i t="blank">
      <x v="314"/>
    </i>
    <i>
      <x v="315"/>
    </i>
    <i r="1">
      <x v="2"/>
      <x v="6"/>
      <x v="3"/>
      <x v="3"/>
      <x v="19"/>
      <x v="9"/>
    </i>
    <i t="blank">
      <x v="315"/>
    </i>
    <i>
      <x v="316"/>
    </i>
    <i r="1">
      <x v="1"/>
      <x v="6"/>
      <x v="3"/>
      <x v="3"/>
      <x v="19"/>
      <x v="9"/>
    </i>
    <i t="blank">
      <x v="316"/>
    </i>
    <i>
      <x v="317"/>
    </i>
    <i r="1">
      <x v="4"/>
      <x v="6"/>
      <x v="3"/>
      <x v="3"/>
      <x v="19"/>
      <x v="9"/>
    </i>
    <i t="blank">
      <x v="317"/>
    </i>
    <i>
      <x v="318"/>
    </i>
    <i r="1">
      <x v="1"/>
      <x v="6"/>
      <x v="3"/>
      <x v="3"/>
      <x v="19"/>
      <x v="9"/>
    </i>
    <i t="blank">
      <x v="318"/>
    </i>
    <i>
      <x v="319"/>
    </i>
    <i r="1">
      <x v="2"/>
      <x v="6"/>
      <x v="3"/>
      <x v="3"/>
      <x v="19"/>
      <x v="9"/>
    </i>
    <i t="blank">
      <x v="319"/>
    </i>
    <i>
      <x v="320"/>
    </i>
    <i r="1">
      <x v="2"/>
      <x v="6"/>
      <x v="3"/>
      <x v="3"/>
      <x v="19"/>
      <x v="9"/>
    </i>
    <i t="blank">
      <x v="320"/>
    </i>
    <i>
      <x v="321"/>
    </i>
    <i r="1">
      <x v="1"/>
      <x v="6"/>
      <x v="3"/>
      <x v="3"/>
      <x v="19"/>
      <x v="9"/>
    </i>
    <i t="blank">
      <x v="321"/>
    </i>
    <i>
      <x v="322"/>
    </i>
    <i r="1">
      <x v="1"/>
      <x v="6"/>
      <x v="3"/>
      <x v="3"/>
      <x v="19"/>
      <x v="9"/>
    </i>
    <i t="blank">
      <x v="322"/>
    </i>
    <i>
      <x v="323"/>
    </i>
    <i r="1">
      <x v="1"/>
      <x v="6"/>
      <x v="3"/>
      <x v="3"/>
      <x v="19"/>
      <x v="9"/>
    </i>
    <i t="blank">
      <x v="323"/>
    </i>
    <i>
      <x v="324"/>
    </i>
    <i r="1">
      <x v="2"/>
      <x v="6"/>
      <x v="3"/>
      <x v="3"/>
      <x v="19"/>
      <x v="9"/>
    </i>
    <i t="blank">
      <x v="324"/>
    </i>
    <i>
      <x v="325"/>
    </i>
    <i r="1">
      <x v="1"/>
      <x v="6"/>
      <x v="3"/>
      <x v="3"/>
      <x v="19"/>
      <x v="9"/>
    </i>
    <i t="blank">
      <x v="325"/>
    </i>
    <i>
      <x v="326"/>
    </i>
    <i r="1">
      <x v="1"/>
      <x v="6"/>
      <x v="3"/>
      <x v="3"/>
      <x v="19"/>
      <x v="9"/>
    </i>
    <i t="blank">
      <x v="326"/>
    </i>
    <i>
      <x v="327"/>
    </i>
    <i r="1">
      <x v="1"/>
      <x v="6"/>
      <x v="3"/>
      <x v="3"/>
      <x v="19"/>
      <x v="9"/>
    </i>
    <i t="blank">
      <x v="327"/>
    </i>
    <i>
      <x v="328"/>
    </i>
    <i r="1">
      <x v="1"/>
      <x v="6"/>
      <x v="3"/>
      <x v="3"/>
      <x v="19"/>
      <x v="9"/>
    </i>
    <i t="blank">
      <x v="328"/>
    </i>
    <i>
      <x v="329"/>
    </i>
    <i r="1">
      <x v="2"/>
      <x v="6"/>
      <x v="3"/>
      <x v="3"/>
      <x v="19"/>
      <x v="9"/>
    </i>
    <i t="blank">
      <x v="329"/>
    </i>
    <i>
      <x v="330"/>
    </i>
    <i r="1">
      <x v="1"/>
      <x v="6"/>
      <x v="3"/>
      <x v="3"/>
      <x v="19"/>
      <x v="9"/>
    </i>
    <i t="blank">
      <x v="330"/>
    </i>
    <i>
      <x v="333"/>
    </i>
    <i r="1">
      <x v="13"/>
      <x v="6"/>
      <x v="3"/>
      <x v="3"/>
      <x v="19"/>
      <x v="9"/>
    </i>
    <i t="blank">
      <x v="333"/>
    </i>
    <i>
      <x v="334"/>
    </i>
    <i r="1">
      <x v="1"/>
      <x v="6"/>
      <x v="3"/>
      <x v="3"/>
      <x v="19"/>
      <x v="9"/>
    </i>
    <i t="blank">
      <x v="334"/>
    </i>
    <i>
      <x v="335"/>
    </i>
    <i r="1">
      <x v="1"/>
      <x v="6"/>
      <x v="3"/>
      <x v="3"/>
      <x v="19"/>
      <x v="9"/>
    </i>
    <i t="blank">
      <x v="335"/>
    </i>
    <i>
      <x v="336"/>
    </i>
    <i r="1">
      <x v="1"/>
      <x v="6"/>
      <x v="3"/>
      <x v="3"/>
      <x v="19"/>
      <x v="9"/>
    </i>
    <i t="blank">
      <x v="336"/>
    </i>
    <i>
      <x v="337"/>
    </i>
    <i r="1">
      <x v="4"/>
      <x v="6"/>
      <x v="3"/>
      <x v="3"/>
      <x v="19"/>
      <x v="9"/>
    </i>
    <i t="blank">
      <x v="337"/>
    </i>
    <i>
      <x v="338"/>
    </i>
    <i r="1">
      <x v="2"/>
      <x v="6"/>
      <x v="3"/>
      <x v="3"/>
      <x v="19"/>
      <x v="9"/>
    </i>
    <i t="blank">
      <x v="338"/>
    </i>
    <i>
      <x v="339"/>
    </i>
    <i r="1">
      <x v="1"/>
      <x v="6"/>
      <x v="3"/>
      <x v="3"/>
      <x v="19"/>
      <x v="9"/>
    </i>
    <i t="blank">
      <x v="339"/>
    </i>
    <i>
      <x v="342"/>
    </i>
    <i r="1">
      <x v="11"/>
      <x v="6"/>
      <x v="3"/>
      <x v="3"/>
      <x v="19"/>
      <x v="9"/>
    </i>
    <i t="blank">
      <x v="342"/>
    </i>
    <i>
      <x v="343"/>
    </i>
    <i r="1">
      <x v="1"/>
      <x v="6"/>
      <x v="3"/>
      <x v="3"/>
      <x v="19"/>
      <x v="9"/>
    </i>
    <i t="blank">
      <x v="343"/>
    </i>
    <i>
      <x v="344"/>
    </i>
    <i r="1">
      <x v="4"/>
      <x v="6"/>
      <x v="3"/>
      <x v="3"/>
      <x v="19"/>
      <x v="9"/>
    </i>
    <i t="blank">
      <x v="344"/>
    </i>
    <i>
      <x v="345"/>
    </i>
    <i r="1">
      <x v="2"/>
      <x v="6"/>
      <x v="3"/>
      <x v="3"/>
      <x v="19"/>
      <x v="9"/>
    </i>
    <i t="blank">
      <x v="345"/>
    </i>
    <i>
      <x v="346"/>
    </i>
    <i r="1">
      <x v="5"/>
      <x v="6"/>
      <x v="3"/>
      <x v="3"/>
      <x v="19"/>
      <x v="9"/>
    </i>
    <i t="blank">
      <x v="346"/>
    </i>
    <i>
      <x v="347"/>
    </i>
    <i r="1">
      <x v="2"/>
      <x v="6"/>
      <x v="3"/>
      <x v="3"/>
      <x v="19"/>
      <x v="9"/>
    </i>
    <i t="blank">
      <x v="347"/>
    </i>
    <i>
      <x v="348"/>
    </i>
    <i r="1">
      <x v="2"/>
      <x v="6"/>
      <x v="3"/>
      <x v="3"/>
      <x v="19"/>
      <x v="9"/>
    </i>
    <i t="blank">
      <x v="348"/>
    </i>
    <i>
      <x v="349"/>
    </i>
    <i r="1">
      <x v="4"/>
      <x v="6"/>
      <x v="3"/>
      <x v="3"/>
      <x v="19"/>
      <x v="9"/>
    </i>
    <i t="blank">
      <x v="349"/>
    </i>
    <i>
      <x v="350"/>
    </i>
    <i r="1">
      <x v="1"/>
      <x v="6"/>
      <x v="3"/>
      <x v="3"/>
      <x v="19"/>
      <x v="9"/>
    </i>
    <i t="blank">
      <x v="350"/>
    </i>
    <i>
      <x v="351"/>
    </i>
    <i r="1">
      <x v="1"/>
      <x v="6"/>
      <x v="3"/>
      <x v="3"/>
      <x v="19"/>
      <x v="9"/>
    </i>
    <i t="blank">
      <x v="351"/>
    </i>
    <i>
      <x v="352"/>
    </i>
    <i r="1">
      <x v="1"/>
      <x v="6"/>
      <x v="3"/>
      <x v="3"/>
      <x v="19"/>
      <x v="9"/>
    </i>
    <i t="blank">
      <x v="352"/>
    </i>
    <i>
      <x v="353"/>
    </i>
    <i r="1">
      <x v="1"/>
      <x v="6"/>
      <x v="3"/>
      <x v="3"/>
      <x v="19"/>
      <x v="9"/>
    </i>
    <i t="blank">
      <x v="353"/>
    </i>
    <i>
      <x v="354"/>
    </i>
    <i r="1">
      <x v="3"/>
      <x v="6"/>
      <x v="3"/>
      <x v="3"/>
      <x v="19"/>
      <x v="9"/>
    </i>
    <i t="blank">
      <x v="354"/>
    </i>
    <i>
      <x v="355"/>
    </i>
    <i r="1">
      <x v="3"/>
      <x v="6"/>
      <x v="3"/>
      <x v="3"/>
      <x v="19"/>
      <x v="9"/>
    </i>
    <i t="blank">
      <x v="355"/>
    </i>
    <i>
      <x v="357"/>
    </i>
    <i r="1">
      <x v="3"/>
      <x v="6"/>
      <x v="3"/>
      <x v="3"/>
      <x v="19"/>
      <x v="9"/>
    </i>
    <i t="blank">
      <x v="357"/>
    </i>
    <i>
      <x v="359"/>
    </i>
    <i r="1">
      <x v="3"/>
      <x v="6"/>
      <x v="3"/>
      <x v="3"/>
      <x v="19"/>
      <x v="9"/>
    </i>
    <i t="blank">
      <x v="359"/>
    </i>
    <i>
      <x v="361"/>
    </i>
    <i r="1">
      <x v="15"/>
      <x v="6"/>
      <x v="3"/>
      <x v="3"/>
      <x v="19"/>
      <x v="9"/>
    </i>
    <i t="blank">
      <x v="361"/>
    </i>
    <i>
      <x v="363"/>
    </i>
    <i r="1">
      <x v="4"/>
      <x v="6"/>
      <x v="3"/>
      <x v="3"/>
      <x v="19"/>
      <x v="9"/>
    </i>
    <i t="blank">
      <x v="363"/>
    </i>
    <i>
      <x v="364"/>
    </i>
    <i r="1">
      <x v="1"/>
      <x v="10"/>
      <x v="3"/>
      <x v="3"/>
      <x v="19"/>
      <x v="9"/>
    </i>
    <i t="blank">
      <x v="364"/>
    </i>
    <i>
      <x v="365"/>
    </i>
    <i r="1">
      <x v="7"/>
      <x v="6"/>
      <x v="3"/>
      <x v="3"/>
      <x v="19"/>
      <x v="9"/>
    </i>
    <i t="blank">
      <x v="365"/>
    </i>
    <i>
      <x v="367"/>
    </i>
    <i r="1">
      <x v="6"/>
      <x v="6"/>
      <x v="3"/>
      <x v="3"/>
      <x v="19"/>
      <x v="9"/>
    </i>
    <i t="blank">
      <x v="367"/>
    </i>
    <i>
      <x v="371"/>
    </i>
    <i r="1">
      <x v="7"/>
      <x v="6"/>
      <x v="3"/>
      <x v="3"/>
      <x v="19"/>
      <x v="9"/>
    </i>
    <i t="blank">
      <x v="371"/>
    </i>
    <i>
      <x v="372"/>
    </i>
    <i r="1">
      <x v="6"/>
      <x v="6"/>
      <x v="3"/>
      <x v="3"/>
      <x v="19"/>
      <x v="9"/>
    </i>
    <i t="blank">
      <x v="372"/>
    </i>
    <i>
      <x v="374"/>
    </i>
    <i r="1">
      <x v="15"/>
      <x v="6"/>
      <x v="3"/>
      <x v="3"/>
      <x v="19"/>
      <x v="9"/>
    </i>
    <i t="blank">
      <x v="374"/>
    </i>
    <i>
      <x v="377"/>
    </i>
    <i r="1">
      <x v="2"/>
      <x v="6"/>
      <x v="3"/>
      <x v="3"/>
      <x v="19"/>
      <x v="9"/>
    </i>
    <i t="blank">
      <x v="377"/>
    </i>
    <i>
      <x v="378"/>
    </i>
    <i r="1">
      <x v="3"/>
      <x v="6"/>
      <x v="3"/>
      <x v="3"/>
      <x v="19"/>
      <x v="9"/>
    </i>
    <i t="blank">
      <x v="378"/>
    </i>
    <i>
      <x v="380"/>
    </i>
    <i r="1">
      <x v="3"/>
      <x v="6"/>
      <x v="3"/>
      <x v="3"/>
      <x v="19"/>
      <x v="9"/>
    </i>
    <i t="blank">
      <x v="380"/>
    </i>
    <i>
      <x v="382"/>
    </i>
    <i r="1">
      <x v="1"/>
      <x v="6"/>
      <x v="3"/>
      <x v="3"/>
      <x v="19"/>
      <x v="9"/>
    </i>
    <i t="blank">
      <x v="382"/>
    </i>
    <i>
      <x v="383"/>
    </i>
    <i r="1">
      <x v="4"/>
      <x v="6"/>
      <x v="3"/>
      <x v="3"/>
      <x v="19"/>
      <x v="9"/>
    </i>
    <i t="blank">
      <x v="383"/>
    </i>
    <i>
      <x v="385"/>
    </i>
    <i r="1">
      <x v="2"/>
      <x v="6"/>
      <x v="3"/>
      <x v="3"/>
      <x v="19"/>
      <x v="9"/>
    </i>
    <i t="blank">
      <x v="385"/>
    </i>
    <i>
      <x v="386"/>
    </i>
    <i r="1">
      <x v="3"/>
      <x v="6"/>
      <x v="3"/>
      <x v="3"/>
      <x v="19"/>
      <x v="9"/>
    </i>
    <i t="blank">
      <x v="386"/>
    </i>
    <i>
      <x v="387"/>
    </i>
    <i r="1">
      <x v="2"/>
      <x v="6"/>
      <x v="3"/>
      <x v="3"/>
      <x v="19"/>
      <x v="9"/>
    </i>
    <i t="blank">
      <x v="387"/>
    </i>
    <i>
      <x v="388"/>
    </i>
    <i r="1">
      <x v="1"/>
      <x v="6"/>
      <x v="3"/>
      <x v="3"/>
      <x v="19"/>
      <x v="9"/>
    </i>
    <i t="blank">
      <x v="388"/>
    </i>
    <i>
      <x v="389"/>
    </i>
    <i r="1">
      <x v="1"/>
      <x v="6"/>
      <x v="3"/>
      <x v="3"/>
      <x v="19"/>
      <x v="9"/>
    </i>
    <i t="blank">
      <x v="389"/>
    </i>
    <i>
      <x v="390"/>
    </i>
    <i r="1">
      <x v="1"/>
      <x v="6"/>
      <x v="3"/>
      <x v="3"/>
      <x v="19"/>
      <x v="9"/>
    </i>
    <i t="blank">
      <x v="390"/>
    </i>
    <i>
      <x v="391"/>
    </i>
    <i r="1">
      <x v="1"/>
      <x v="6"/>
      <x v="3"/>
      <x v="3"/>
      <x v="19"/>
      <x v="9"/>
    </i>
    <i t="blank">
      <x v="391"/>
    </i>
    <i>
      <x v="392"/>
    </i>
    <i r="1">
      <x v="1"/>
      <x v="6"/>
      <x v="3"/>
      <x v="3"/>
      <x v="19"/>
      <x v="9"/>
    </i>
    <i t="blank">
      <x v="392"/>
    </i>
    <i>
      <x v="393"/>
    </i>
    <i r="1">
      <x v="1"/>
      <x v="6"/>
      <x v="3"/>
      <x v="3"/>
      <x v="19"/>
      <x v="9"/>
    </i>
    <i t="blank">
      <x v="393"/>
    </i>
    <i>
      <x v="394"/>
    </i>
    <i r="1">
      <x v="1"/>
      <x v="6"/>
      <x v="3"/>
      <x v="3"/>
      <x v="19"/>
      <x v="9"/>
    </i>
    <i t="blank">
      <x v="394"/>
    </i>
    <i>
      <x v="395"/>
    </i>
    <i r="1">
      <x v="1"/>
      <x v="6"/>
      <x v="3"/>
      <x v="3"/>
      <x v="19"/>
      <x v="9"/>
    </i>
    <i t="blank">
      <x v="395"/>
    </i>
    <i>
      <x v="396"/>
    </i>
    <i r="1">
      <x v="1"/>
      <x v="6"/>
      <x v="3"/>
      <x v="3"/>
      <x v="19"/>
      <x v="9"/>
    </i>
    <i t="blank">
      <x v="396"/>
    </i>
    <i>
      <x v="397"/>
    </i>
    <i r="1">
      <x v="1"/>
      <x v="6"/>
      <x v="3"/>
      <x v="3"/>
      <x v="19"/>
      <x v="9"/>
    </i>
    <i t="blank">
      <x v="397"/>
    </i>
    <i>
      <x v="398"/>
    </i>
    <i r="1">
      <x v="1"/>
      <x v="6"/>
      <x v="3"/>
      <x v="3"/>
      <x v="19"/>
      <x v="9"/>
    </i>
    <i t="blank">
      <x v="398"/>
    </i>
    <i>
      <x v="399"/>
    </i>
    <i r="1">
      <x v="1"/>
      <x v="6"/>
      <x v="3"/>
      <x v="3"/>
      <x v="19"/>
      <x v="9"/>
    </i>
    <i t="blank">
      <x v="399"/>
    </i>
    <i>
      <x v="400"/>
    </i>
    <i r="1">
      <x v="4"/>
      <x v="6"/>
      <x v="3"/>
      <x v="3"/>
      <x v="19"/>
      <x v="9"/>
    </i>
    <i t="blank">
      <x v="400"/>
    </i>
    <i>
      <x v="401"/>
    </i>
    <i r="1">
      <x v="4"/>
      <x v="6"/>
      <x v="3"/>
      <x v="3"/>
      <x v="19"/>
      <x v="9"/>
    </i>
    <i t="blank">
      <x v="401"/>
    </i>
    <i>
      <x v="403"/>
    </i>
    <i r="1">
      <x v="1"/>
      <x v="6"/>
      <x v="3"/>
      <x v="3"/>
      <x v="19"/>
      <x v="9"/>
    </i>
    <i t="blank">
      <x v="403"/>
    </i>
    <i>
      <x v="404"/>
    </i>
    <i r="1">
      <x v="2"/>
      <x v="6"/>
      <x v="3"/>
      <x v="3"/>
      <x v="19"/>
      <x v="9"/>
    </i>
    <i t="blank">
      <x v="404"/>
    </i>
    <i>
      <x v="405"/>
    </i>
    <i r="1">
      <x v="1"/>
      <x v="6"/>
      <x v="3"/>
      <x v="3"/>
      <x v="19"/>
      <x v="9"/>
    </i>
    <i t="blank">
      <x v="405"/>
    </i>
    <i>
      <x v="406"/>
    </i>
    <i r="1">
      <x v="2"/>
      <x v="6"/>
      <x v="3"/>
      <x v="3"/>
      <x v="19"/>
      <x v="9"/>
    </i>
    <i t="blank">
      <x v="406"/>
    </i>
    <i>
      <x v="407"/>
    </i>
    <i r="1">
      <x v="1"/>
      <x v="6"/>
      <x v="3"/>
      <x v="3"/>
      <x v="19"/>
      <x v="9"/>
    </i>
    <i t="blank">
      <x v="407"/>
    </i>
    <i>
      <x v="408"/>
    </i>
    <i r="1">
      <x v="1"/>
      <x v="6"/>
      <x v="3"/>
      <x v="3"/>
      <x v="19"/>
      <x v="9"/>
    </i>
    <i t="blank">
      <x v="408"/>
    </i>
    <i>
      <x v="409"/>
    </i>
    <i r="1">
      <x v="1"/>
      <x v="6"/>
      <x v="3"/>
      <x v="3"/>
      <x v="19"/>
      <x v="9"/>
    </i>
    <i t="blank">
      <x v="409"/>
    </i>
    <i>
      <x v="410"/>
    </i>
    <i r="1">
      <x v="1"/>
      <x v="6"/>
      <x v="3"/>
      <x v="3"/>
      <x v="19"/>
      <x v="9"/>
    </i>
    <i t="blank">
      <x v="410"/>
    </i>
    <i>
      <x v="411"/>
    </i>
    <i r="1">
      <x v="3"/>
      <x v="6"/>
      <x v="3"/>
      <x v="3"/>
      <x v="19"/>
      <x v="9"/>
    </i>
    <i t="blank">
      <x v="411"/>
    </i>
    <i>
      <x v="412"/>
    </i>
    <i r="1">
      <x v="1"/>
      <x v="6"/>
      <x v="3"/>
      <x v="3"/>
      <x v="19"/>
      <x v="9"/>
    </i>
    <i t="blank">
      <x v="412"/>
    </i>
    <i>
      <x v="413"/>
    </i>
    <i r="1">
      <x v="1"/>
      <x v="6"/>
      <x v="3"/>
      <x v="3"/>
      <x v="19"/>
      <x v="9"/>
    </i>
    <i t="blank">
      <x v="413"/>
    </i>
    <i>
      <x v="414"/>
    </i>
    <i r="1">
      <x v="3"/>
      <x v="6"/>
      <x v="3"/>
      <x v="3"/>
      <x v="19"/>
      <x v="9"/>
    </i>
    <i t="blank">
      <x v="414"/>
    </i>
    <i>
      <x v="415"/>
    </i>
    <i r="1">
      <x v="10"/>
      <x v="6"/>
      <x v="3"/>
      <x v="3"/>
      <x v="19"/>
      <x v="9"/>
    </i>
    <i t="blank">
      <x v="415"/>
    </i>
    <i>
      <x v="417"/>
    </i>
    <i r="1">
      <x v="10"/>
      <x v="6"/>
      <x v="3"/>
      <x v="3"/>
      <x v="19"/>
      <x v="9"/>
    </i>
    <i t="blank">
      <x v="417"/>
    </i>
    <i>
      <x v="419"/>
    </i>
    <i r="1">
      <x v="10"/>
      <x v="6"/>
      <x v="3"/>
      <x v="3"/>
      <x v="19"/>
      <x v="9"/>
    </i>
    <i t="blank">
      <x v="419"/>
    </i>
    <i>
      <x v="421"/>
    </i>
    <i r="1">
      <x v="1"/>
      <x v="10"/>
      <x v="3"/>
      <x v="3"/>
      <x v="19"/>
      <x v="9"/>
    </i>
    <i t="blank">
      <x v="421"/>
    </i>
    <i>
      <x v="423"/>
    </i>
    <i r="1">
      <x v="1"/>
      <x v="10"/>
      <x v="3"/>
      <x v="3"/>
      <x v="19"/>
      <x v="9"/>
    </i>
    <i t="blank">
      <x v="423"/>
    </i>
    <i>
      <x v="425"/>
    </i>
    <i r="1">
      <x v="3"/>
      <x v="6"/>
      <x v="3"/>
      <x v="3"/>
      <x v="19"/>
      <x v="9"/>
    </i>
    <i t="blank">
      <x v="425"/>
    </i>
    <i>
      <x v="426"/>
    </i>
    <i r="1">
      <x v="3"/>
      <x v="6"/>
      <x v="3"/>
      <x v="3"/>
      <x v="19"/>
      <x v="9"/>
    </i>
    <i t="blank">
      <x v="426"/>
    </i>
    <i>
      <x v="427"/>
    </i>
    <i r="1">
      <x v="1"/>
      <x v="6"/>
      <x v="3"/>
      <x v="3"/>
      <x v="19"/>
      <x v="9"/>
    </i>
    <i t="blank">
      <x v="427"/>
    </i>
    <i>
      <x v="428"/>
    </i>
    <i r="1">
      <x v="1"/>
      <x v="6"/>
      <x v="3"/>
      <x v="3"/>
      <x v="19"/>
      <x v="9"/>
    </i>
    <i t="blank">
      <x v="428"/>
    </i>
    <i>
      <x v="429"/>
    </i>
    <i r="1">
      <x v="2"/>
      <x v="6"/>
      <x v="3"/>
      <x v="3"/>
      <x v="19"/>
      <x v="9"/>
    </i>
    <i t="blank">
      <x v="429"/>
    </i>
    <i>
      <x v="430"/>
    </i>
    <i r="1">
      <x v="2"/>
      <x v="6"/>
      <x v="3"/>
      <x v="3"/>
      <x v="19"/>
      <x v="9"/>
    </i>
    <i t="blank">
      <x v="430"/>
    </i>
    <i>
      <x v="431"/>
    </i>
    <i r="1">
      <x v="2"/>
      <x v="6"/>
      <x v="3"/>
      <x v="3"/>
      <x v="19"/>
      <x v="9"/>
    </i>
    <i t="blank">
      <x v="431"/>
    </i>
    <i>
      <x v="432"/>
    </i>
    <i r="1">
      <x v="1"/>
      <x v="6"/>
      <x v="3"/>
      <x v="3"/>
      <x v="19"/>
      <x v="9"/>
    </i>
    <i t="blank">
      <x v="432"/>
    </i>
    <i>
      <x v="433"/>
    </i>
    <i r="1">
      <x v="2"/>
      <x v="6"/>
      <x v="3"/>
      <x v="3"/>
      <x v="19"/>
      <x v="9"/>
    </i>
    <i t="blank">
      <x v="433"/>
    </i>
    <i>
      <x v="435"/>
    </i>
    <i r="1">
      <x v="1"/>
      <x v="6"/>
      <x v="3"/>
      <x v="3"/>
      <x v="19"/>
      <x v="9"/>
    </i>
    <i t="blank">
      <x v="435"/>
    </i>
    <i>
      <x v="437"/>
    </i>
    <i r="1">
      <x v="1"/>
      <x v="6"/>
      <x v="3"/>
      <x v="3"/>
      <x v="19"/>
      <x v="9"/>
    </i>
    <i t="blank">
      <x v="437"/>
    </i>
    <i>
      <x v="438"/>
    </i>
    <i r="1">
      <x v="1"/>
      <x v="6"/>
      <x v="3"/>
      <x v="3"/>
      <x v="19"/>
      <x v="9"/>
    </i>
    <i t="blank">
      <x v="438"/>
    </i>
    <i>
      <x v="439"/>
    </i>
    <i r="1">
      <x v="1"/>
      <x v="6"/>
      <x v="3"/>
      <x v="3"/>
      <x v="19"/>
      <x v="9"/>
    </i>
    <i t="blank">
      <x v="439"/>
    </i>
    <i>
      <x v="440"/>
    </i>
    <i r="1">
      <x v="1"/>
      <x v="6"/>
      <x v="3"/>
      <x v="3"/>
      <x v="19"/>
      <x v="9"/>
    </i>
    <i t="blank">
      <x v="440"/>
    </i>
    <i>
      <x v="443"/>
    </i>
    <i r="1">
      <x v="1"/>
      <x v="6"/>
      <x v="3"/>
      <x v="5"/>
      <x v="16"/>
      <x v="98"/>
    </i>
    <i r="2">
      <x v="20"/>
      <x v="4"/>
      <x v="3"/>
      <x v="19"/>
      <x v="9"/>
    </i>
    <i t="blank">
      <x v="443"/>
    </i>
    <i>
      <x v="447"/>
    </i>
    <i r="1">
      <x v="2"/>
      <x v="6"/>
      <x v="3"/>
      <x v="6"/>
      <x v="16"/>
      <x v="11"/>
    </i>
    <i t="blank">
      <x v="447"/>
    </i>
    <i>
      <x v="450"/>
    </i>
    <i r="1">
      <x v="2"/>
      <x v="6"/>
      <x v="3"/>
      <x v="8"/>
      <x v="16"/>
      <x v="100"/>
    </i>
    <i r="2">
      <x v="20"/>
      <x v="4"/>
      <x v="3"/>
      <x v="19"/>
      <x v="9"/>
    </i>
    <i t="blank">
      <x v="450"/>
    </i>
    <i>
      <x v="452"/>
    </i>
    <i r="1">
      <x v="1"/>
      <x v="6"/>
      <x v="3"/>
      <x v="8"/>
      <x v="16"/>
      <x v="101"/>
    </i>
    <i r="2">
      <x v="20"/>
      <x v="4"/>
      <x v="3"/>
      <x v="19"/>
      <x v="9"/>
    </i>
    <i t="blank">
      <x v="452"/>
    </i>
    <i>
      <x v="453"/>
    </i>
    <i r="1">
      <x v="1"/>
      <x v="6"/>
      <x v="3"/>
      <x v="8"/>
      <x v="16"/>
      <x v="14"/>
    </i>
    <i r="2">
      <x v="20"/>
      <x v="4"/>
      <x v="3"/>
      <x v="19"/>
      <x v="9"/>
    </i>
    <i t="blank">
      <x v="453"/>
    </i>
    <i>
      <x v="454"/>
    </i>
    <i r="1">
      <x v="5"/>
      <x v="6"/>
      <x v="3"/>
      <x v="3"/>
      <x v="19"/>
      <x v="9"/>
    </i>
    <i t="blank">
      <x v="454"/>
    </i>
    <i>
      <x v="455"/>
    </i>
    <i r="1">
      <x v="2"/>
      <x v="6"/>
      <x v="3"/>
      <x v="8"/>
      <x v="16"/>
      <x v="105"/>
    </i>
    <i r="2">
      <x v="20"/>
      <x v="4"/>
      <x v="3"/>
      <x v="19"/>
      <x v="9"/>
    </i>
    <i t="blank">
      <x v="455"/>
    </i>
    <i>
      <x v="456"/>
    </i>
    <i r="1">
      <x v="2"/>
      <x v="6"/>
      <x v="3"/>
      <x v="8"/>
      <x v="16"/>
      <x v="107"/>
    </i>
    <i r="2">
      <x v="20"/>
      <x v="4"/>
      <x v="3"/>
      <x v="19"/>
      <x v="9"/>
    </i>
    <i t="blank">
      <x v="456"/>
    </i>
    <i>
      <x v="457"/>
    </i>
    <i r="1">
      <x v="2"/>
      <x v="6"/>
      <x v="3"/>
      <x v="8"/>
      <x v="16"/>
      <x v="109"/>
    </i>
    <i r="2">
      <x v="20"/>
      <x v="4"/>
      <x v="3"/>
      <x v="19"/>
      <x v="9"/>
    </i>
    <i t="blank">
      <x v="457"/>
    </i>
    <i>
      <x v="459"/>
    </i>
    <i r="1">
      <x v="2"/>
      <x v="6"/>
      <x v="3"/>
      <x v="3"/>
      <x v="19"/>
      <x v="9"/>
    </i>
    <i t="blank">
      <x v="459"/>
    </i>
    <i>
      <x v="460"/>
    </i>
    <i r="1">
      <x v="2"/>
      <x v="6"/>
      <x v="3"/>
      <x v="8"/>
      <x v="16"/>
      <x v="111"/>
    </i>
    <i r="2">
      <x v="20"/>
      <x v="4"/>
      <x v="3"/>
      <x v="19"/>
      <x v="9"/>
    </i>
    <i t="blank">
      <x v="460"/>
    </i>
    <i>
      <x v="466"/>
    </i>
    <i r="1">
      <x v="2"/>
      <x v="6"/>
      <x v="3"/>
      <x v="3"/>
      <x v="19"/>
      <x v="9"/>
    </i>
    <i t="blank">
      <x v="466"/>
    </i>
    <i>
      <x v="468"/>
    </i>
    <i r="1">
      <x v="3"/>
      <x v="6"/>
      <x v="3"/>
      <x v="3"/>
      <x v="19"/>
      <x v="9"/>
    </i>
    <i t="blank">
      <x v="468"/>
    </i>
    <i>
      <x v="470"/>
    </i>
    <i r="1">
      <x v="2"/>
      <x v="6"/>
      <x v="3"/>
      <x v="3"/>
      <x v="19"/>
      <x v="9"/>
    </i>
    <i t="blank">
      <x v="470"/>
    </i>
    <i>
      <x v="472"/>
    </i>
    <i r="1">
      <x v="2"/>
      <x v="6"/>
      <x v="3"/>
      <x v="3"/>
      <x v="19"/>
      <x v="9"/>
    </i>
    <i t="blank">
      <x v="472"/>
    </i>
    <i>
      <x v="473"/>
    </i>
    <i r="1">
      <x v="1"/>
      <x v="6"/>
      <x v="3"/>
      <x v="3"/>
      <x v="19"/>
      <x v="9"/>
    </i>
    <i t="blank">
      <x v="473"/>
    </i>
    <i>
      <x v="474"/>
    </i>
    <i r="1">
      <x v="1"/>
      <x v="6"/>
      <x v="3"/>
      <x v="3"/>
      <x v="19"/>
      <x v="9"/>
    </i>
    <i t="blank">
      <x v="474"/>
    </i>
    <i>
      <x v="475"/>
    </i>
    <i r="1">
      <x v="2"/>
      <x v="6"/>
      <x v="3"/>
      <x v="3"/>
      <x v="19"/>
      <x v="9"/>
    </i>
    <i t="blank">
      <x v="475"/>
    </i>
    <i>
      <x v="476"/>
    </i>
    <i r="1">
      <x v="3"/>
      <x v="6"/>
      <x v="3"/>
      <x v="3"/>
      <x v="19"/>
      <x v="9"/>
    </i>
    <i t="blank">
      <x v="476"/>
    </i>
    <i>
      <x v="477"/>
    </i>
    <i r="1">
      <x v="1"/>
      <x v="6"/>
      <x v="3"/>
      <x v="5"/>
      <x v="17"/>
      <x v="15"/>
    </i>
    <i r="2">
      <x v="25"/>
      <x v="4"/>
      <x v="3"/>
      <x v="19"/>
      <x v="9"/>
    </i>
    <i t="blank">
      <x v="477"/>
    </i>
    <i>
      <x v="478"/>
    </i>
    <i r="1">
      <x v="2"/>
      <x v="6"/>
      <x v="3"/>
      <x v="3"/>
      <x v="19"/>
      <x v="9"/>
    </i>
    <i t="blank">
      <x v="478"/>
    </i>
    <i>
      <x v="480"/>
    </i>
    <i r="1">
      <x v="15"/>
      <x v="6"/>
      <x v="3"/>
      <x v="3"/>
      <x v="19"/>
      <x v="9"/>
    </i>
    <i t="blank">
      <x v="480"/>
    </i>
    <i>
      <x v="481"/>
    </i>
    <i r="1">
      <x v="1"/>
      <x v="6"/>
      <x v="3"/>
      <x v="5"/>
      <x v="17"/>
      <x v="16"/>
    </i>
    <i r="2">
      <x v="25"/>
      <x v="4"/>
      <x v="3"/>
      <x v="19"/>
      <x v="9"/>
    </i>
    <i t="blank">
      <x v="481"/>
    </i>
    <i>
      <x v="483"/>
    </i>
    <i r="1">
      <x v="3"/>
      <x v="6"/>
      <x v="3"/>
      <x v="3"/>
      <x v="19"/>
      <x v="9"/>
    </i>
    <i t="blank">
      <x v="483"/>
    </i>
    <i>
      <x v="491"/>
    </i>
    <i r="1">
      <x v="1"/>
      <x v="6"/>
      <x v="3"/>
      <x v="3"/>
      <x v="19"/>
      <x v="9"/>
    </i>
    <i t="blank">
      <x v="491"/>
    </i>
    <i>
      <x v="492"/>
    </i>
    <i r="1">
      <x v="1"/>
      <x v="6"/>
      <x v="3"/>
      <x v="3"/>
      <x v="19"/>
      <x v="9"/>
    </i>
    <i t="blank">
      <x v="492"/>
    </i>
    <i>
      <x v="493"/>
    </i>
    <i r="1">
      <x v="1"/>
      <x v="6"/>
      <x v="3"/>
      <x v="3"/>
      <x v="19"/>
      <x v="9"/>
    </i>
    <i t="blank">
      <x v="493"/>
    </i>
    <i>
      <x v="494"/>
    </i>
    <i r="1">
      <x v="1"/>
      <x v="6"/>
      <x v="3"/>
      <x v="3"/>
      <x v="19"/>
      <x v="9"/>
    </i>
    <i t="blank">
      <x v="494"/>
    </i>
    <i>
      <x v="495"/>
    </i>
    <i r="1">
      <x v="1"/>
      <x v="6"/>
      <x v="3"/>
      <x v="3"/>
      <x v="19"/>
      <x v="9"/>
    </i>
    <i t="blank">
      <x v="495"/>
    </i>
    <i>
      <x v="496"/>
    </i>
    <i r="1">
      <x v="1"/>
      <x v="6"/>
      <x v="3"/>
      <x v="3"/>
      <x v="19"/>
      <x v="9"/>
    </i>
    <i t="blank">
      <x v="496"/>
    </i>
    <i>
      <x v="497"/>
    </i>
    <i r="1">
      <x v="1"/>
      <x v="6"/>
      <x v="3"/>
      <x v="3"/>
      <x v="19"/>
      <x v="9"/>
    </i>
    <i t="blank">
      <x v="497"/>
    </i>
    <i>
      <x v="498"/>
    </i>
    <i r="1">
      <x v="1"/>
      <x v="6"/>
      <x v="3"/>
      <x v="3"/>
      <x v="19"/>
      <x v="9"/>
    </i>
    <i t="blank">
      <x v="498"/>
    </i>
    <i>
      <x v="499"/>
    </i>
    <i r="1">
      <x v="1"/>
      <x v="6"/>
      <x v="3"/>
      <x v="3"/>
      <x v="19"/>
      <x v="9"/>
    </i>
    <i t="blank">
      <x v="499"/>
    </i>
    <i>
      <x v="500"/>
    </i>
    <i r="1">
      <x v="1"/>
      <x v="6"/>
      <x v="3"/>
      <x v="3"/>
      <x v="19"/>
      <x v="9"/>
    </i>
    <i t="blank">
      <x v="500"/>
    </i>
    <i>
      <x v="501"/>
    </i>
    <i r="1">
      <x v="1"/>
      <x v="6"/>
      <x v="3"/>
      <x v="3"/>
      <x v="19"/>
      <x v="9"/>
    </i>
    <i t="blank">
      <x v="501"/>
    </i>
    <i>
      <x v="502"/>
    </i>
    <i r="1">
      <x v="1"/>
      <x v="6"/>
      <x v="3"/>
      <x v="3"/>
      <x v="19"/>
      <x v="9"/>
    </i>
    <i t="blank">
      <x v="502"/>
    </i>
    <i>
      <x v="503"/>
    </i>
    <i r="1">
      <x v="1"/>
      <x v="6"/>
      <x v="3"/>
      <x v="3"/>
      <x v="19"/>
      <x v="9"/>
    </i>
    <i t="blank">
      <x v="503"/>
    </i>
    <i>
      <x v="504"/>
    </i>
    <i r="1">
      <x v="1"/>
      <x v="6"/>
      <x v="3"/>
      <x v="3"/>
      <x v="19"/>
      <x v="9"/>
    </i>
    <i t="blank">
      <x v="504"/>
    </i>
    <i>
      <x v="505"/>
    </i>
    <i r="1">
      <x v="1"/>
      <x v="6"/>
      <x v="3"/>
      <x v="3"/>
      <x v="19"/>
      <x v="9"/>
    </i>
    <i t="blank">
      <x v="505"/>
    </i>
    <i>
      <x v="506"/>
    </i>
    <i r="1">
      <x v="1"/>
      <x v="6"/>
      <x v="3"/>
      <x v="3"/>
      <x v="19"/>
      <x v="9"/>
    </i>
    <i t="blank">
      <x v="506"/>
    </i>
    <i>
      <x v="507"/>
    </i>
    <i r="1">
      <x v="1"/>
      <x v="6"/>
      <x v="3"/>
      <x v="8"/>
      <x v="17"/>
      <x v="117"/>
    </i>
    <i r="2">
      <x v="25"/>
      <x v="4"/>
      <x v="3"/>
      <x v="19"/>
      <x v="9"/>
    </i>
    <i t="blank">
      <x v="507"/>
    </i>
    <i>
      <x v="508"/>
    </i>
    <i r="1">
      <x v="1"/>
      <x v="6"/>
      <x v="3"/>
      <x v="3"/>
      <x v="19"/>
      <x v="9"/>
    </i>
    <i t="blank">
      <x v="508"/>
    </i>
    <i>
      <x v="509"/>
    </i>
    <i r="1">
      <x v="1"/>
      <x v="6"/>
      <x v="3"/>
      <x v="3"/>
      <x v="19"/>
      <x v="9"/>
    </i>
    <i t="blank">
      <x v="509"/>
    </i>
    <i>
      <x v="510"/>
    </i>
    <i r="1">
      <x v="1"/>
      <x v="6"/>
      <x v="3"/>
      <x v="3"/>
      <x v="19"/>
      <x v="9"/>
    </i>
    <i t="blank">
      <x v="510"/>
    </i>
    <i>
      <x v="514"/>
    </i>
    <i r="1">
      <x v="2"/>
      <x v="6"/>
      <x v="3"/>
      <x v="3"/>
      <x v="19"/>
      <x v="9"/>
    </i>
    <i t="blank">
      <x v="514"/>
    </i>
    <i>
      <x v="515"/>
    </i>
    <i r="1">
      <x v="3"/>
      <x v="6"/>
      <x v="3"/>
      <x v="3"/>
      <x v="19"/>
      <x v="9"/>
    </i>
    <i t="blank">
      <x v="515"/>
    </i>
    <i>
      <x v="516"/>
    </i>
    <i r="1">
      <x v="1"/>
      <x v="6"/>
      <x v="3"/>
      <x v="3"/>
      <x v="19"/>
      <x v="9"/>
    </i>
    <i t="blank">
      <x v="516"/>
    </i>
    <i>
      <x v="517"/>
    </i>
    <i r="1">
      <x v="1"/>
      <x v="6"/>
      <x v="3"/>
      <x v="3"/>
      <x v="19"/>
      <x v="9"/>
    </i>
    <i t="blank">
      <x v="517"/>
    </i>
    <i>
      <x v="518"/>
    </i>
    <i r="1">
      <x v="2"/>
      <x v="6"/>
      <x v="3"/>
      <x v="3"/>
      <x v="19"/>
      <x v="9"/>
    </i>
    <i t="blank">
      <x v="518"/>
    </i>
    <i>
      <x v="519"/>
    </i>
    <i r="1">
      <x v="2"/>
      <x v="6"/>
      <x v="3"/>
      <x v="3"/>
      <x v="19"/>
      <x v="9"/>
    </i>
    <i t="blank">
      <x v="519"/>
    </i>
    <i>
      <x v="520"/>
    </i>
    <i r="1">
      <x v="1"/>
      <x v="6"/>
      <x v="3"/>
      <x v="3"/>
      <x v="19"/>
      <x v="9"/>
    </i>
    <i t="blank">
      <x v="520"/>
    </i>
    <i>
      <x v="521"/>
    </i>
    <i r="1">
      <x v="1"/>
      <x v="6"/>
      <x v="3"/>
      <x v="3"/>
      <x v="19"/>
      <x v="9"/>
    </i>
    <i t="blank">
      <x v="521"/>
    </i>
    <i>
      <x v="522"/>
    </i>
    <i r="1">
      <x v="1"/>
      <x v="6"/>
      <x v="3"/>
      <x v="3"/>
      <x v="19"/>
      <x v="9"/>
    </i>
    <i t="blank">
      <x v="522"/>
    </i>
    <i>
      <x v="523"/>
    </i>
    <i r="1">
      <x v="3"/>
      <x v="6"/>
      <x v="3"/>
      <x v="3"/>
      <x v="19"/>
      <x v="9"/>
    </i>
    <i t="blank">
      <x v="523"/>
    </i>
    <i>
      <x v="524"/>
    </i>
    <i r="1">
      <x v="1"/>
      <x v="6"/>
      <x v="3"/>
      <x v="3"/>
      <x v="19"/>
      <x v="9"/>
    </i>
    <i t="blank">
      <x v="524"/>
    </i>
    <i>
      <x v="525"/>
    </i>
    <i r="1">
      <x v="3"/>
      <x v="6"/>
      <x v="3"/>
      <x v="3"/>
      <x v="19"/>
      <x v="9"/>
    </i>
    <i t="blank">
      <x v="525"/>
    </i>
    <i>
      <x v="526"/>
    </i>
    <i r="1">
      <x v="3"/>
      <x v="6"/>
      <x v="3"/>
      <x v="3"/>
      <x v="19"/>
      <x v="9"/>
    </i>
    <i t="blank">
      <x v="526"/>
    </i>
    <i>
      <x v="527"/>
    </i>
    <i r="1">
      <x v="3"/>
      <x v="6"/>
      <x v="3"/>
      <x v="3"/>
      <x v="19"/>
      <x v="9"/>
    </i>
    <i t="blank">
      <x v="527"/>
    </i>
    <i>
      <x v="528"/>
    </i>
    <i r="1">
      <x v="3"/>
      <x v="6"/>
      <x v="3"/>
      <x v="3"/>
      <x v="19"/>
      <x v="9"/>
    </i>
    <i t="blank">
      <x v="528"/>
    </i>
    <i>
      <x v="529"/>
    </i>
    <i r="1">
      <x v="3"/>
      <x v="6"/>
      <x v="3"/>
      <x v="3"/>
      <x v="19"/>
      <x v="9"/>
    </i>
    <i t="blank">
      <x v="529"/>
    </i>
    <i>
      <x v="530"/>
    </i>
    <i r="1">
      <x v="3"/>
      <x v="6"/>
      <x v="3"/>
      <x v="3"/>
      <x v="19"/>
      <x v="9"/>
    </i>
    <i t="blank">
      <x v="530"/>
    </i>
    <i>
      <x v="531"/>
    </i>
    <i r="1">
      <x v="2"/>
      <x v="6"/>
      <x v="3"/>
      <x v="3"/>
      <x v="19"/>
      <x v="9"/>
    </i>
    <i t="blank">
      <x v="531"/>
    </i>
    <i>
      <x v="532"/>
    </i>
    <i r="1">
      <x v="15"/>
      <x v="6"/>
      <x v="3"/>
      <x v="3"/>
      <x v="19"/>
      <x v="9"/>
    </i>
    <i t="blank">
      <x v="532"/>
    </i>
    <i>
      <x v="533"/>
    </i>
    <i r="1">
      <x v="15"/>
      <x v="6"/>
      <x v="3"/>
      <x v="3"/>
      <x v="19"/>
      <x v="9"/>
    </i>
    <i t="blank">
      <x v="533"/>
    </i>
    <i>
      <x v="534"/>
    </i>
    <i r="1">
      <x v="4"/>
      <x v="6"/>
      <x v="3"/>
      <x v="3"/>
      <x v="19"/>
      <x v="9"/>
    </i>
    <i t="blank">
      <x v="534"/>
    </i>
    <i>
      <x v="535"/>
    </i>
    <i r="1">
      <x v="3"/>
      <x v="6"/>
      <x v="3"/>
      <x v="3"/>
      <x v="19"/>
      <x v="9"/>
    </i>
    <i t="blank">
      <x v="535"/>
    </i>
    <i>
      <x v="536"/>
    </i>
    <i r="1">
      <x v="3"/>
      <x v="6"/>
      <x v="3"/>
      <x v="3"/>
      <x v="19"/>
      <x v="9"/>
    </i>
    <i t="blank">
      <x v="536"/>
    </i>
    <i>
      <x v="537"/>
    </i>
    <i r="1">
      <x v="1"/>
      <x v="6"/>
      <x v="3"/>
      <x v="3"/>
      <x v="19"/>
      <x v="9"/>
    </i>
    <i t="blank">
      <x v="537"/>
    </i>
    <i>
      <x v="538"/>
    </i>
    <i r="1">
      <x v="2"/>
      <x v="6"/>
      <x v="3"/>
      <x v="3"/>
      <x v="19"/>
      <x v="9"/>
    </i>
    <i t="blank">
      <x v="538"/>
    </i>
    <i>
      <x v="539"/>
    </i>
    <i r="1">
      <x v="2"/>
      <x v="6"/>
      <x v="3"/>
      <x v="3"/>
      <x v="19"/>
      <x v="9"/>
    </i>
    <i t="blank">
      <x v="539"/>
    </i>
    <i>
      <x v="540"/>
    </i>
    <i r="1">
      <x v="2"/>
      <x v="6"/>
      <x v="3"/>
      <x v="3"/>
      <x v="19"/>
      <x v="9"/>
    </i>
    <i t="blank">
      <x v="540"/>
    </i>
    <i>
      <x v="541"/>
    </i>
    <i r="1">
      <x v="3"/>
      <x v="6"/>
      <x v="3"/>
      <x v="3"/>
      <x v="19"/>
      <x v="9"/>
    </i>
    <i t="blank">
      <x v="541"/>
    </i>
    <i>
      <x v="542"/>
    </i>
    <i r="1">
      <x v="3"/>
      <x v="6"/>
      <x v="3"/>
      <x v="3"/>
      <x v="19"/>
      <x v="9"/>
    </i>
    <i t="blank">
      <x v="542"/>
    </i>
    <i>
      <x v="543"/>
    </i>
    <i r="1">
      <x v="3"/>
      <x v="6"/>
      <x v="3"/>
      <x v="3"/>
      <x v="19"/>
      <x v="9"/>
    </i>
    <i t="blank">
      <x v="543"/>
    </i>
    <i>
      <x v="544"/>
    </i>
    <i r="1">
      <x v="3"/>
      <x v="6"/>
      <x v="3"/>
      <x v="3"/>
      <x v="19"/>
      <x v="9"/>
    </i>
    <i t="blank">
      <x v="544"/>
    </i>
    <i>
      <x v="546"/>
    </i>
    <i r="1">
      <x v="3"/>
      <x v="6"/>
      <x v="3"/>
      <x v="3"/>
      <x v="19"/>
      <x v="9"/>
    </i>
    <i t="blank">
      <x v="546"/>
    </i>
    <i>
      <x v="547"/>
    </i>
    <i r="1">
      <x v="1"/>
      <x v="6"/>
      <x v="3"/>
      <x v="3"/>
      <x v="19"/>
      <x v="9"/>
    </i>
    <i t="blank">
      <x v="547"/>
    </i>
    <i>
      <x v="548"/>
    </i>
    <i r="1">
      <x v="2"/>
      <x v="6"/>
      <x v="3"/>
      <x v="3"/>
      <x v="19"/>
      <x v="9"/>
    </i>
    <i t="blank">
      <x v="548"/>
    </i>
    <i>
      <x v="549"/>
    </i>
    <i r="1">
      <x v="2"/>
      <x v="6"/>
      <x v="3"/>
      <x v="3"/>
      <x v="19"/>
      <x v="9"/>
    </i>
    <i t="blank">
      <x v="549"/>
    </i>
    <i>
      <x v="551"/>
    </i>
    <i r="1">
      <x v="2"/>
      <x v="6"/>
      <x v="3"/>
      <x v="3"/>
      <x v="19"/>
      <x v="9"/>
    </i>
    <i t="blank">
      <x v="551"/>
    </i>
    <i>
      <x v="552"/>
    </i>
    <i r="1">
      <x v="8"/>
      <x v="6"/>
      <x v="3"/>
      <x v="3"/>
      <x v="19"/>
      <x v="9"/>
    </i>
    <i t="blank">
      <x v="552"/>
    </i>
    <i>
      <x v="553"/>
    </i>
    <i r="1">
      <x v="8"/>
      <x v="6"/>
      <x v="3"/>
      <x v="3"/>
      <x v="19"/>
      <x v="9"/>
    </i>
    <i t="blank">
      <x v="553"/>
    </i>
    <i>
      <x v="554"/>
    </i>
    <i r="1">
      <x v="8"/>
      <x v="6"/>
      <x v="3"/>
      <x v="3"/>
      <x v="19"/>
      <x v="9"/>
    </i>
    <i t="blank">
      <x v="554"/>
    </i>
    <i>
      <x v="555"/>
    </i>
    <i r="1">
      <x v="2"/>
      <x v="6"/>
      <x v="3"/>
      <x v="3"/>
      <x v="19"/>
      <x v="9"/>
    </i>
    <i t="blank">
      <x v="555"/>
    </i>
    <i>
      <x v="556"/>
    </i>
    <i r="1">
      <x v="2"/>
      <x v="6"/>
      <x v="3"/>
      <x v="3"/>
      <x v="19"/>
      <x v="9"/>
    </i>
    <i t="blank">
      <x v="556"/>
    </i>
    <i>
      <x v="558"/>
    </i>
    <i r="1">
      <x v="2"/>
      <x v="6"/>
      <x v="3"/>
      <x v="3"/>
      <x v="19"/>
      <x v="9"/>
    </i>
    <i t="blank">
      <x v="558"/>
    </i>
    <i>
      <x v="560"/>
    </i>
    <i r="1">
      <x v="2"/>
      <x v="6"/>
      <x v="3"/>
      <x v="3"/>
      <x v="19"/>
      <x v="9"/>
    </i>
    <i t="blank">
      <x v="560"/>
    </i>
    <i>
      <x v="562"/>
    </i>
    <i r="1">
      <x v="6"/>
      <x v="6"/>
      <x v="3"/>
      <x v="3"/>
      <x v="19"/>
      <x v="9"/>
    </i>
    <i t="blank">
      <x v="562"/>
    </i>
    <i>
      <x v="563"/>
    </i>
    <i r="1">
      <x v="4"/>
      <x v="6"/>
      <x v="3"/>
      <x v="3"/>
      <x v="19"/>
      <x v="9"/>
    </i>
    <i t="blank">
      <x v="563"/>
    </i>
    <i>
      <x v="565"/>
    </i>
    <i r="1">
      <x v="6"/>
      <x v="6"/>
      <x v="3"/>
      <x v="3"/>
      <x v="19"/>
      <x v="9"/>
    </i>
    <i t="blank">
      <x v="565"/>
    </i>
    <i>
      <x v="576"/>
    </i>
    <i r="1">
      <x v="15"/>
      <x v="6"/>
      <x v="3"/>
      <x v="3"/>
      <x v="19"/>
      <x v="9"/>
    </i>
    <i t="blank">
      <x v="576"/>
    </i>
    <i>
      <x v="578"/>
    </i>
    <i r="1">
      <x v="4"/>
      <x v="6"/>
      <x v="3"/>
      <x v="3"/>
      <x v="19"/>
      <x v="9"/>
    </i>
    <i t="blank">
      <x v="578"/>
    </i>
    <i>
      <x v="579"/>
    </i>
    <i r="1">
      <x v="2"/>
      <x v="6"/>
      <x v="3"/>
      <x v="3"/>
      <x v="19"/>
      <x v="9"/>
    </i>
    <i t="blank">
      <x v="579"/>
    </i>
    <i>
      <x v="581"/>
    </i>
    <i r="1">
      <x v="15"/>
      <x v="6"/>
      <x v="3"/>
      <x v="3"/>
      <x v="19"/>
      <x v="9"/>
    </i>
    <i t="blank">
      <x v="581"/>
    </i>
    <i>
      <x v="582"/>
    </i>
    <i r="1">
      <x v="14"/>
      <x v="6"/>
      <x v="3"/>
      <x v="3"/>
      <x v="19"/>
      <x v="9"/>
    </i>
    <i t="blank">
      <x v="582"/>
    </i>
    <i>
      <x v="583"/>
    </i>
    <i r="1">
      <x v="17"/>
      <x v="6"/>
      <x v="3"/>
      <x v="3"/>
      <x v="19"/>
      <x v="9"/>
    </i>
    <i t="blank">
      <x v="583"/>
    </i>
    <i>
      <x v="584"/>
    </i>
    <i r="1">
      <x v="14"/>
      <x v="6"/>
      <x v="3"/>
      <x v="3"/>
      <x v="19"/>
      <x v="9"/>
    </i>
    <i t="blank">
      <x v="584"/>
    </i>
    <i>
      <x v="585"/>
    </i>
    <i r="1">
      <x v="14"/>
      <x v="6"/>
      <x v="3"/>
      <x v="3"/>
      <x v="19"/>
      <x v="9"/>
    </i>
    <i t="blank">
      <x v="585"/>
    </i>
    <i>
      <x v="586"/>
    </i>
    <i r="1">
      <x v="14"/>
      <x v="6"/>
      <x v="3"/>
      <x v="3"/>
      <x v="19"/>
      <x v="9"/>
    </i>
    <i t="blank">
      <x v="586"/>
    </i>
    <i>
      <x v="587"/>
    </i>
    <i r="1">
      <x v="14"/>
      <x v="6"/>
      <x v="3"/>
      <x v="3"/>
      <x v="19"/>
      <x v="9"/>
    </i>
    <i t="blank">
      <x v="587"/>
    </i>
    <i>
      <x v="588"/>
    </i>
    <i r="1">
      <x v="14"/>
      <x v="6"/>
      <x v="3"/>
      <x v="3"/>
      <x v="19"/>
      <x v="9"/>
    </i>
    <i t="blank">
      <x v="588"/>
    </i>
    <i>
      <x v="589"/>
    </i>
    <i r="1">
      <x v="7"/>
      <x v="6"/>
      <x v="3"/>
      <x v="3"/>
      <x v="19"/>
      <x v="9"/>
    </i>
    <i t="blank">
      <x v="589"/>
    </i>
    <i>
      <x v="592"/>
    </i>
    <i r="1">
      <x v="6"/>
      <x v="6"/>
      <x v="3"/>
      <x v="3"/>
      <x v="19"/>
      <x v="9"/>
    </i>
    <i t="blank">
      <x v="592"/>
    </i>
    <i>
      <x v="593"/>
    </i>
    <i r="1">
      <x v="14"/>
      <x v="6"/>
      <x v="3"/>
      <x v="3"/>
      <x v="19"/>
      <x v="9"/>
    </i>
    <i t="blank">
      <x v="593"/>
    </i>
    <i>
      <x v="594"/>
    </i>
    <i r="1">
      <x v="7"/>
      <x v="6"/>
      <x v="3"/>
      <x v="3"/>
      <x v="19"/>
      <x v="9"/>
    </i>
    <i t="blank">
      <x v="594"/>
    </i>
    <i>
      <x v="595"/>
    </i>
    <i r="1">
      <x v="15"/>
      <x v="6"/>
      <x v="3"/>
      <x v="3"/>
      <x v="19"/>
      <x v="9"/>
    </i>
    <i t="blank">
      <x v="595"/>
    </i>
    <i>
      <x v="596"/>
    </i>
    <i r="1">
      <x v="6"/>
      <x v="6"/>
      <x v="3"/>
      <x v="3"/>
      <x v="19"/>
      <x v="9"/>
    </i>
    <i t="blank">
      <x v="596"/>
    </i>
    <i>
      <x v="597"/>
    </i>
    <i r="1">
      <x v="8"/>
      <x v="6"/>
      <x v="3"/>
      <x v="3"/>
      <x v="19"/>
      <x v="9"/>
    </i>
    <i t="blank">
      <x v="597"/>
    </i>
    <i>
      <x v="598"/>
    </i>
    <i r="1">
      <x v="3"/>
      <x v="6"/>
      <x v="3"/>
      <x v="3"/>
      <x v="19"/>
      <x v="9"/>
    </i>
    <i t="blank">
      <x v="598"/>
    </i>
    <i>
      <x v="599"/>
    </i>
    <i r="1">
      <x v="2"/>
      <x v="6"/>
      <x v="3"/>
      <x v="3"/>
      <x v="19"/>
      <x v="9"/>
    </i>
    <i t="blank">
      <x v="599"/>
    </i>
    <i>
      <x v="600"/>
    </i>
    <i r="1">
      <x v="2"/>
      <x v="6"/>
      <x v="3"/>
      <x v="3"/>
      <x v="19"/>
      <x v="9"/>
    </i>
    <i t="blank">
      <x v="600"/>
    </i>
    <i>
      <x v="601"/>
    </i>
    <i r="1">
      <x v="2"/>
      <x v="6"/>
      <x v="3"/>
      <x v="3"/>
      <x v="19"/>
      <x v="9"/>
    </i>
    <i t="blank">
      <x v="601"/>
    </i>
    <i>
      <x v="602"/>
    </i>
    <i r="1">
      <x v="2"/>
      <x v="6"/>
      <x v="3"/>
      <x v="3"/>
      <x v="19"/>
      <x v="9"/>
    </i>
    <i t="blank">
      <x v="602"/>
    </i>
    <i>
      <x v="603"/>
    </i>
    <i r="1">
      <x v="2"/>
      <x v="6"/>
      <x v="3"/>
      <x v="3"/>
      <x v="19"/>
      <x v="9"/>
    </i>
    <i t="blank">
      <x v="603"/>
    </i>
    <i>
      <x v="604"/>
    </i>
    <i r="1">
      <x v="3"/>
      <x v="6"/>
      <x v="3"/>
      <x v="3"/>
      <x v="19"/>
      <x v="9"/>
    </i>
    <i t="blank">
      <x v="604"/>
    </i>
    <i>
      <x v="606"/>
    </i>
    <i r="1">
      <x v="3"/>
      <x v="6"/>
      <x v="3"/>
      <x v="3"/>
      <x v="19"/>
      <x v="9"/>
    </i>
    <i t="blank">
      <x v="606"/>
    </i>
    <i>
      <x v="608"/>
    </i>
    <i r="1">
      <x v="4"/>
      <x v="6"/>
      <x v="3"/>
      <x v="3"/>
      <x v="19"/>
      <x v="9"/>
    </i>
    <i t="blank">
      <x v="608"/>
    </i>
    <i>
      <x v="610"/>
    </i>
    <i r="1">
      <x v="3"/>
      <x v="6"/>
      <x v="3"/>
      <x v="3"/>
      <x v="19"/>
      <x v="9"/>
    </i>
    <i t="blank">
      <x v="610"/>
    </i>
    <i>
      <x v="612"/>
    </i>
    <i r="1">
      <x v="4"/>
      <x v="6"/>
      <x v="3"/>
      <x v="3"/>
      <x v="19"/>
      <x v="9"/>
    </i>
    <i t="blank">
      <x v="612"/>
    </i>
    <i>
      <x v="614"/>
    </i>
    <i r="1">
      <x v="14"/>
      <x v="6"/>
      <x v="3"/>
      <x v="3"/>
      <x v="19"/>
      <x v="9"/>
    </i>
    <i t="blank">
      <x v="614"/>
    </i>
    <i>
      <x v="616"/>
    </i>
    <i r="1">
      <x v="14"/>
      <x v="6"/>
      <x v="3"/>
      <x v="3"/>
      <x v="19"/>
      <x v="9"/>
    </i>
    <i t="blank">
      <x v="616"/>
    </i>
    <i>
      <x v="618"/>
    </i>
    <i r="1">
      <x v="14"/>
      <x v="6"/>
      <x v="3"/>
      <x v="3"/>
      <x v="19"/>
      <x v="9"/>
    </i>
    <i t="blank">
      <x v="618"/>
    </i>
    <i>
      <x v="620"/>
    </i>
    <i r="1">
      <x v="6"/>
      <x v="6"/>
      <x v="3"/>
      <x v="3"/>
      <x v="19"/>
      <x v="9"/>
    </i>
    <i t="blank">
      <x v="620"/>
    </i>
    <i>
      <x v="622"/>
    </i>
    <i r="1">
      <x v="6"/>
      <x v="6"/>
      <x v="3"/>
      <x v="3"/>
      <x v="19"/>
      <x v="9"/>
    </i>
    <i t="blank">
      <x v="622"/>
    </i>
    <i>
      <x v="624"/>
    </i>
    <i r="1">
      <x v="3"/>
      <x v="6"/>
      <x v="3"/>
      <x v="3"/>
      <x v="19"/>
      <x v="9"/>
    </i>
    <i t="blank">
      <x v="624"/>
    </i>
    <i>
      <x v="625"/>
    </i>
    <i r="1">
      <x v="3"/>
      <x v="6"/>
      <x v="3"/>
      <x v="3"/>
      <x v="19"/>
      <x v="9"/>
    </i>
    <i t="blank">
      <x v="625"/>
    </i>
    <i>
      <x v="626"/>
    </i>
    <i r="1">
      <x v="3"/>
      <x v="6"/>
      <x v="3"/>
      <x v="3"/>
      <x v="19"/>
      <x v="9"/>
    </i>
    <i t="blank">
      <x v="626"/>
    </i>
    <i>
      <x v="627"/>
    </i>
    <i r="1">
      <x v="2"/>
      <x v="6"/>
      <x v="3"/>
      <x v="3"/>
      <x v="19"/>
      <x v="9"/>
    </i>
    <i t="blank">
      <x v="627"/>
    </i>
    <i>
      <x v="628"/>
    </i>
    <i r="1">
      <x v="3"/>
      <x v="6"/>
      <x v="3"/>
      <x v="3"/>
      <x v="19"/>
      <x v="9"/>
    </i>
    <i t="blank">
      <x v="628"/>
    </i>
    <i>
      <x v="630"/>
    </i>
    <i r="1">
      <x v="3"/>
      <x v="6"/>
      <x v="3"/>
      <x v="3"/>
      <x v="19"/>
      <x v="9"/>
    </i>
    <i t="blank">
      <x v="630"/>
    </i>
    <i>
      <x v="632"/>
    </i>
    <i r="1">
      <x v="3"/>
      <x v="6"/>
      <x v="3"/>
      <x v="3"/>
      <x v="19"/>
      <x v="9"/>
    </i>
    <i t="blank">
      <x v="632"/>
    </i>
    <i>
      <x v="634"/>
    </i>
    <i r="1">
      <x v="2"/>
      <x v="6"/>
      <x v="3"/>
      <x v="3"/>
      <x v="19"/>
      <x v="9"/>
    </i>
    <i t="blank">
      <x v="634"/>
    </i>
    <i>
      <x v="636"/>
    </i>
    <i r="1">
      <x v="15"/>
      <x v="6"/>
      <x v="3"/>
      <x v="3"/>
      <x v="19"/>
      <x v="9"/>
    </i>
    <i t="blank">
      <x v="636"/>
    </i>
    <i>
      <x v="638"/>
    </i>
    <i r="1">
      <x v="15"/>
      <x v="6"/>
      <x v="3"/>
      <x v="3"/>
      <x v="19"/>
      <x v="9"/>
    </i>
    <i t="blank">
      <x v="638"/>
    </i>
    <i>
      <x v="639"/>
    </i>
    <i r="1">
      <x v="3"/>
      <x v="6"/>
      <x v="3"/>
      <x v="3"/>
      <x v="19"/>
      <x v="9"/>
    </i>
    <i t="blank">
      <x v="639"/>
    </i>
    <i>
      <x v="641"/>
    </i>
    <i r="1">
      <x v="4"/>
      <x v="6"/>
      <x v="3"/>
      <x v="3"/>
      <x v="19"/>
      <x v="9"/>
    </i>
    <i t="blank">
      <x v="641"/>
    </i>
    <i>
      <x v="642"/>
    </i>
    <i r="1">
      <x v="4"/>
      <x v="6"/>
      <x v="3"/>
      <x v="3"/>
      <x v="19"/>
      <x v="9"/>
    </i>
    <i t="blank">
      <x v="642"/>
    </i>
    <i>
      <x v="643"/>
    </i>
    <i r="1">
      <x v="15"/>
      <x v="6"/>
      <x v="3"/>
      <x v="3"/>
      <x v="19"/>
      <x v="9"/>
    </i>
    <i t="blank">
      <x v="643"/>
    </i>
    <i>
      <x v="645"/>
    </i>
    <i r="1">
      <x v="3"/>
      <x v="6"/>
      <x v="3"/>
      <x v="3"/>
      <x v="19"/>
      <x v="9"/>
    </i>
    <i t="blank">
      <x v="645"/>
    </i>
    <i>
      <x v="647"/>
    </i>
    <i r="1">
      <x v="14"/>
      <x v="6"/>
      <x v="3"/>
      <x v="3"/>
      <x v="19"/>
      <x v="9"/>
    </i>
    <i t="blank">
      <x v="647"/>
    </i>
    <i>
      <x v="649"/>
    </i>
    <i r="1">
      <x v="14"/>
      <x v="6"/>
      <x v="3"/>
      <x v="3"/>
      <x v="19"/>
      <x v="9"/>
    </i>
    <i t="blank">
      <x v="649"/>
    </i>
    <i>
      <x v="650"/>
    </i>
    <i r="1">
      <x v="15"/>
      <x v="6"/>
      <x v="3"/>
      <x v="3"/>
      <x v="19"/>
      <x v="9"/>
    </i>
    <i t="blank">
      <x v="650"/>
    </i>
    <i>
      <x v="651"/>
    </i>
    <i r="1">
      <x v="14"/>
      <x v="6"/>
      <x v="3"/>
      <x v="3"/>
      <x v="19"/>
      <x v="9"/>
    </i>
    <i t="blank">
      <x v="651"/>
    </i>
    <i>
      <x v="654"/>
    </i>
    <i r="1">
      <x v="4"/>
      <x v="6"/>
      <x v="3"/>
      <x v="3"/>
      <x v="19"/>
      <x v="9"/>
    </i>
    <i t="blank">
      <x v="654"/>
    </i>
    <i>
      <x v="655"/>
    </i>
    <i r="1">
      <x v="4"/>
      <x v="6"/>
      <x v="3"/>
      <x v="3"/>
      <x v="19"/>
      <x v="9"/>
    </i>
    <i t="blank">
      <x v="655"/>
    </i>
    <i>
      <x v="659"/>
    </i>
    <i r="1">
      <x v="15"/>
      <x v="6"/>
      <x v="3"/>
      <x v="3"/>
      <x v="19"/>
      <x v="9"/>
    </i>
    <i t="blank">
      <x v="659"/>
    </i>
    <i>
      <x v="660"/>
    </i>
    <i r="1">
      <x v="3"/>
      <x v="6"/>
      <x v="3"/>
      <x v="3"/>
      <x v="19"/>
      <x v="9"/>
    </i>
    <i t="blank">
      <x v="660"/>
    </i>
    <i>
      <x v="662"/>
    </i>
    <i r="1">
      <x v="2"/>
      <x v="6"/>
      <x v="3"/>
      <x v="3"/>
      <x v="19"/>
      <x v="9"/>
    </i>
    <i t="blank">
      <x v="662"/>
    </i>
    <i>
      <x v="664"/>
    </i>
    <i r="1">
      <x v="2"/>
      <x v="6"/>
      <x v="3"/>
      <x v="3"/>
      <x v="19"/>
      <x v="9"/>
    </i>
    <i t="blank">
      <x v="664"/>
    </i>
    <i>
      <x v="665"/>
    </i>
    <i r="1">
      <x v="2"/>
      <x v="6"/>
      <x v="3"/>
      <x v="3"/>
      <x v="19"/>
      <x v="9"/>
    </i>
    <i t="blank">
      <x v="665"/>
    </i>
    <i>
      <x v="667"/>
    </i>
    <i r="1">
      <x v="2"/>
      <x v="6"/>
      <x v="3"/>
      <x v="3"/>
      <x v="19"/>
      <x v="9"/>
    </i>
    <i t="blank">
      <x v="667"/>
    </i>
    <i>
      <x v="669"/>
    </i>
    <i r="1">
      <x v="3"/>
      <x v="6"/>
      <x v="3"/>
      <x v="3"/>
      <x v="19"/>
      <x v="9"/>
    </i>
    <i t="blank">
      <x v="669"/>
    </i>
    <i>
      <x v="671"/>
    </i>
    <i r="1">
      <x v="3"/>
      <x v="6"/>
      <x v="3"/>
      <x v="3"/>
      <x v="19"/>
      <x v="9"/>
    </i>
    <i t="blank">
      <x v="671"/>
    </i>
    <i>
      <x v="673"/>
    </i>
    <i r="1">
      <x v="2"/>
      <x v="6"/>
      <x v="3"/>
      <x v="3"/>
      <x v="19"/>
      <x v="9"/>
    </i>
    <i t="blank">
      <x v="673"/>
    </i>
    <i>
      <x v="675"/>
    </i>
    <i r="1">
      <x v="2"/>
      <x v="6"/>
      <x v="3"/>
      <x v="3"/>
      <x v="19"/>
      <x v="9"/>
    </i>
    <i t="blank">
      <x v="675"/>
    </i>
    <i>
      <x v="678"/>
    </i>
    <i r="1">
      <x v="3"/>
      <x v="6"/>
      <x v="3"/>
      <x v="3"/>
      <x v="19"/>
      <x v="9"/>
    </i>
    <i t="blank">
      <x v="678"/>
    </i>
    <i>
      <x v="679"/>
    </i>
    <i r="1">
      <x v="2"/>
      <x v="6"/>
      <x v="3"/>
      <x v="3"/>
      <x v="19"/>
      <x v="9"/>
    </i>
    <i t="blank">
      <x v="679"/>
    </i>
    <i>
      <x v="680"/>
    </i>
    <i r="1">
      <x v="2"/>
      <x v="6"/>
      <x v="3"/>
      <x v="3"/>
      <x v="19"/>
      <x v="9"/>
    </i>
    <i t="blank">
      <x v="680"/>
    </i>
    <i>
      <x v="682"/>
    </i>
    <i r="1">
      <x v="3"/>
      <x v="6"/>
      <x v="3"/>
      <x v="3"/>
      <x v="19"/>
      <x v="9"/>
    </i>
    <i t="blank">
      <x v="682"/>
    </i>
    <i>
      <x v="684"/>
    </i>
    <i r="1">
      <x v="3"/>
      <x v="6"/>
      <x v="3"/>
      <x v="3"/>
      <x v="19"/>
      <x v="9"/>
    </i>
    <i t="blank">
      <x v="684"/>
    </i>
    <i>
      <x v="686"/>
    </i>
    <i r="1">
      <x v="3"/>
      <x v="6"/>
      <x v="3"/>
      <x v="3"/>
      <x v="19"/>
      <x v="9"/>
    </i>
    <i t="blank">
      <x v="686"/>
    </i>
    <i>
      <x v="688"/>
    </i>
    <i r="1">
      <x v="2"/>
      <x v="6"/>
      <x v="3"/>
      <x v="3"/>
      <x v="19"/>
      <x v="9"/>
    </i>
    <i t="blank">
      <x v="688"/>
    </i>
    <i>
      <x v="689"/>
    </i>
    <i r="1">
      <x v="2"/>
      <x v="6"/>
      <x v="3"/>
      <x v="3"/>
      <x v="19"/>
      <x v="9"/>
    </i>
    <i t="blank">
      <x v="689"/>
    </i>
    <i>
      <x v="691"/>
    </i>
    <i r="1">
      <x v="2"/>
      <x v="6"/>
      <x v="3"/>
      <x v="3"/>
      <x v="19"/>
      <x v="9"/>
    </i>
    <i t="blank">
      <x v="691"/>
    </i>
    <i>
      <x v="693"/>
    </i>
    <i r="1">
      <x v="3"/>
      <x v="6"/>
      <x v="3"/>
      <x v="3"/>
      <x v="19"/>
      <x v="9"/>
    </i>
    <i t="blank">
      <x v="693"/>
    </i>
    <i>
      <x v="694"/>
    </i>
    <i r="1">
      <x v="3"/>
      <x v="6"/>
      <x v="3"/>
      <x v="3"/>
      <x v="19"/>
      <x v="9"/>
    </i>
    <i t="blank">
      <x v="694"/>
    </i>
    <i>
      <x v="695"/>
    </i>
    <i r="1">
      <x v="3"/>
      <x v="6"/>
      <x v="3"/>
      <x v="3"/>
      <x v="19"/>
      <x v="9"/>
    </i>
    <i t="blank">
      <x v="695"/>
    </i>
    <i>
      <x v="696"/>
    </i>
    <i r="1">
      <x v="3"/>
      <x v="6"/>
      <x v="3"/>
      <x v="3"/>
      <x v="19"/>
      <x v="9"/>
    </i>
    <i t="blank">
      <x v="696"/>
    </i>
    <i>
      <x v="697"/>
    </i>
    <i r="1">
      <x v="2"/>
      <x v="6"/>
      <x v="3"/>
      <x v="3"/>
      <x v="19"/>
      <x v="9"/>
    </i>
    <i t="blank">
      <x v="697"/>
    </i>
    <i>
      <x v="699"/>
    </i>
    <i r="1">
      <x v="2"/>
      <x v="6"/>
      <x v="3"/>
      <x v="3"/>
      <x v="19"/>
      <x v="9"/>
    </i>
    <i t="blank">
      <x v="699"/>
    </i>
    <i>
      <x v="700"/>
    </i>
    <i r="1">
      <x v="2"/>
      <x v="6"/>
      <x v="3"/>
      <x v="3"/>
      <x v="19"/>
      <x v="9"/>
    </i>
    <i t="blank">
      <x v="700"/>
    </i>
    <i>
      <x v="701"/>
    </i>
    <i r="1">
      <x v="3"/>
      <x v="6"/>
      <x v="3"/>
      <x v="3"/>
      <x v="19"/>
      <x v="9"/>
    </i>
    <i t="blank">
      <x v="701"/>
    </i>
    <i>
      <x v="703"/>
    </i>
    <i r="1">
      <x v="2"/>
      <x v="6"/>
      <x v="3"/>
      <x v="3"/>
      <x v="19"/>
      <x v="9"/>
    </i>
    <i t="blank">
      <x v="703"/>
    </i>
    <i>
      <x v="706"/>
    </i>
    <i r="1">
      <x v="4"/>
      <x v="6"/>
      <x v="3"/>
      <x v="3"/>
      <x v="19"/>
      <x v="9"/>
    </i>
    <i t="blank">
      <x v="706"/>
    </i>
    <i>
      <x v="708"/>
    </i>
    <i r="1">
      <x v="3"/>
      <x v="6"/>
      <x v="3"/>
      <x v="3"/>
      <x v="19"/>
      <x v="9"/>
    </i>
    <i t="blank">
      <x v="708"/>
    </i>
    <i>
      <x v="709"/>
    </i>
    <i r="1">
      <x v="4"/>
      <x v="6"/>
      <x v="3"/>
      <x v="3"/>
      <x v="19"/>
      <x v="9"/>
    </i>
    <i t="blank">
      <x v="709"/>
    </i>
    <i>
      <x v="710"/>
    </i>
    <i r="1">
      <x v="2"/>
      <x v="6"/>
      <x v="3"/>
      <x v="3"/>
      <x v="19"/>
      <x v="9"/>
    </i>
    <i t="blank">
      <x v="710"/>
    </i>
    <i>
      <x v="712"/>
    </i>
    <i r="1">
      <x v="2"/>
      <x v="6"/>
      <x v="3"/>
      <x v="3"/>
      <x v="19"/>
      <x v="9"/>
    </i>
    <i t="blank">
      <x v="712"/>
    </i>
    <i>
      <x v="714"/>
    </i>
    <i r="1">
      <x v="2"/>
      <x v="6"/>
      <x v="3"/>
      <x v="3"/>
      <x v="19"/>
      <x v="9"/>
    </i>
    <i t="blank">
      <x v="714"/>
    </i>
    <i>
      <x v="715"/>
    </i>
    <i r="1">
      <x v="4"/>
      <x v="6"/>
      <x v="3"/>
      <x v="3"/>
      <x v="19"/>
      <x v="9"/>
    </i>
    <i t="blank">
      <x v="715"/>
    </i>
    <i>
      <x v="716"/>
    </i>
    <i r="1">
      <x v="4"/>
      <x v="6"/>
      <x v="3"/>
      <x v="3"/>
      <x v="19"/>
      <x v="9"/>
    </i>
    <i t="blank">
      <x v="716"/>
    </i>
    <i>
      <x v="717"/>
    </i>
    <i r="1">
      <x v="3"/>
      <x v="6"/>
      <x v="3"/>
      <x v="3"/>
      <x v="19"/>
      <x v="9"/>
    </i>
    <i t="blank">
      <x v="717"/>
    </i>
    <i>
      <x v="718"/>
    </i>
    <i r="1">
      <x v="3"/>
      <x v="6"/>
      <x v="3"/>
      <x v="3"/>
      <x v="19"/>
      <x v="9"/>
    </i>
    <i t="blank">
      <x v="718"/>
    </i>
    <i>
      <x v="719"/>
    </i>
    <i r="1">
      <x v="3"/>
      <x v="6"/>
      <x v="3"/>
      <x v="3"/>
      <x v="19"/>
      <x v="9"/>
    </i>
    <i t="blank">
      <x v="719"/>
    </i>
    <i>
      <x v="720"/>
    </i>
    <i r="1">
      <x v="3"/>
      <x v="6"/>
      <x v="3"/>
      <x v="3"/>
      <x v="19"/>
      <x v="9"/>
    </i>
    <i t="blank">
      <x v="720"/>
    </i>
    <i>
      <x v="721"/>
    </i>
    <i r="1">
      <x v="3"/>
      <x v="6"/>
      <x v="3"/>
      <x v="3"/>
      <x v="19"/>
      <x v="9"/>
    </i>
    <i t="blank">
      <x v="721"/>
    </i>
    <i>
      <x v="722"/>
    </i>
    <i r="1">
      <x v="4"/>
      <x v="6"/>
      <x v="3"/>
      <x v="3"/>
      <x v="19"/>
      <x v="9"/>
    </i>
    <i t="blank">
      <x v="722"/>
    </i>
    <i>
      <x v="724"/>
    </i>
    <i r="1">
      <x v="4"/>
      <x v="6"/>
      <x v="3"/>
      <x v="3"/>
      <x v="19"/>
      <x v="9"/>
    </i>
    <i t="blank">
      <x v="724"/>
    </i>
    <i>
      <x v="726"/>
    </i>
    <i r="1">
      <x v="3"/>
      <x v="6"/>
      <x v="3"/>
      <x v="3"/>
      <x v="19"/>
      <x v="9"/>
    </i>
    <i t="blank">
      <x v="726"/>
    </i>
    <i>
      <x v="728"/>
    </i>
    <i r="1">
      <x v="3"/>
      <x v="6"/>
      <x v="3"/>
      <x v="3"/>
      <x v="19"/>
      <x v="9"/>
    </i>
    <i t="blank">
      <x v="728"/>
    </i>
    <i>
      <x v="730"/>
    </i>
    <i r="1">
      <x v="15"/>
      <x v="6"/>
      <x v="3"/>
      <x v="3"/>
      <x v="19"/>
      <x v="9"/>
    </i>
    <i t="blank">
      <x v="730"/>
    </i>
    <i>
      <x v="732"/>
    </i>
    <i r="1">
      <x v="15"/>
      <x v="6"/>
      <x v="3"/>
      <x v="3"/>
      <x v="19"/>
      <x v="9"/>
    </i>
    <i t="blank">
      <x v="732"/>
    </i>
    <i>
      <x v="734"/>
    </i>
    <i r="1">
      <x v="4"/>
      <x v="6"/>
      <x v="3"/>
      <x v="3"/>
      <x v="19"/>
      <x v="9"/>
    </i>
    <i t="blank">
      <x v="734"/>
    </i>
    <i>
      <x v="736"/>
    </i>
    <i r="1">
      <x v="3"/>
      <x v="6"/>
      <x v="3"/>
      <x v="3"/>
      <x v="19"/>
      <x v="9"/>
    </i>
    <i t="blank">
      <x v="736"/>
    </i>
    <i>
      <x v="738"/>
    </i>
    <i r="1">
      <x v="3"/>
      <x v="6"/>
      <x v="3"/>
      <x v="3"/>
      <x v="19"/>
      <x v="9"/>
    </i>
    <i t="blank">
      <x v="738"/>
    </i>
    <i>
      <x v="740"/>
    </i>
    <i r="1">
      <x v="3"/>
      <x v="6"/>
      <x v="3"/>
      <x v="3"/>
      <x v="19"/>
      <x v="9"/>
    </i>
    <i t="blank">
      <x v="740"/>
    </i>
    <i>
      <x v="742"/>
    </i>
    <i r="1">
      <x v="3"/>
      <x v="6"/>
      <x v="3"/>
      <x v="3"/>
      <x v="19"/>
      <x v="9"/>
    </i>
    <i t="blank">
      <x v="742"/>
    </i>
    <i>
      <x v="744"/>
    </i>
    <i r="1">
      <x v="15"/>
      <x v="6"/>
      <x v="3"/>
      <x v="3"/>
      <x v="19"/>
      <x v="9"/>
    </i>
    <i t="blank">
      <x v="744"/>
    </i>
    <i>
      <x v="747"/>
    </i>
    <i r="1">
      <x v="4"/>
      <x v="6"/>
      <x v="3"/>
      <x v="3"/>
      <x v="19"/>
      <x v="9"/>
    </i>
    <i t="blank">
      <x v="747"/>
    </i>
    <i>
      <x v="749"/>
    </i>
    <i r="1">
      <x v="3"/>
      <x v="6"/>
      <x v="3"/>
      <x v="3"/>
      <x v="19"/>
      <x v="9"/>
    </i>
    <i t="blank">
      <x v="749"/>
    </i>
    <i>
      <x v="751"/>
    </i>
    <i r="1">
      <x v="15"/>
      <x v="6"/>
      <x v="3"/>
      <x v="3"/>
      <x v="19"/>
      <x v="9"/>
    </i>
    <i t="blank">
      <x v="751"/>
    </i>
    <i>
      <x v="752"/>
    </i>
    <i r="1">
      <x v="6"/>
      <x v="6"/>
      <x v="3"/>
      <x v="3"/>
      <x v="19"/>
      <x v="9"/>
    </i>
    <i t="blank">
      <x v="752"/>
    </i>
    <i>
      <x v="753"/>
    </i>
    <i r="1">
      <x v="4"/>
      <x v="6"/>
      <x v="3"/>
      <x v="3"/>
      <x v="19"/>
      <x v="9"/>
    </i>
    <i t="blank">
      <x v="753"/>
    </i>
    <i>
      <x v="755"/>
    </i>
    <i r="1">
      <x v="15"/>
      <x v="6"/>
      <x v="3"/>
      <x v="3"/>
      <x v="19"/>
      <x v="9"/>
    </i>
    <i t="blank">
      <x v="755"/>
    </i>
    <i>
      <x v="757"/>
    </i>
    <i r="1">
      <x v="4"/>
      <x v="6"/>
      <x v="3"/>
      <x v="3"/>
      <x v="19"/>
      <x v="9"/>
    </i>
    <i t="blank">
      <x v="757"/>
    </i>
    <i>
      <x v="759"/>
    </i>
    <i r="1">
      <x v="3"/>
      <x v="6"/>
      <x v="3"/>
      <x v="3"/>
      <x v="19"/>
      <x v="9"/>
    </i>
    <i t="blank">
      <x v="759"/>
    </i>
    <i>
      <x v="761"/>
    </i>
    <i r="1">
      <x v="3"/>
      <x v="6"/>
      <x v="3"/>
      <x v="3"/>
      <x v="19"/>
      <x v="9"/>
    </i>
    <i t="blank">
      <x v="761"/>
    </i>
    <i>
      <x v="763"/>
    </i>
    <i r="1">
      <x v="3"/>
      <x v="6"/>
      <x v="3"/>
      <x v="3"/>
      <x v="19"/>
      <x v="9"/>
    </i>
    <i t="blank">
      <x v="763"/>
    </i>
    <i>
      <x v="765"/>
    </i>
    <i r="1">
      <x v="4"/>
      <x v="6"/>
      <x v="3"/>
      <x v="3"/>
      <x v="19"/>
      <x v="9"/>
    </i>
    <i t="blank">
      <x v="765"/>
    </i>
    <i>
      <x v="767"/>
    </i>
    <i r="1">
      <x v="4"/>
      <x v="6"/>
      <x v="3"/>
      <x v="3"/>
      <x v="19"/>
      <x v="9"/>
    </i>
    <i t="blank">
      <x v="767"/>
    </i>
    <i>
      <x v="769"/>
    </i>
    <i r="1">
      <x v="3"/>
      <x v="6"/>
      <x v="3"/>
      <x v="3"/>
      <x v="19"/>
      <x v="9"/>
    </i>
    <i t="blank">
      <x v="769"/>
    </i>
    <i>
      <x v="771"/>
    </i>
    <i r="1">
      <x v="2"/>
      <x v="6"/>
      <x v="3"/>
      <x v="3"/>
      <x v="19"/>
      <x v="9"/>
    </i>
    <i t="blank">
      <x v="771"/>
    </i>
    <i>
      <x v="773"/>
    </i>
    <i r="1">
      <x v="2"/>
      <x v="6"/>
      <x v="3"/>
      <x v="3"/>
      <x v="19"/>
      <x v="9"/>
    </i>
    <i t="blank">
      <x v="773"/>
    </i>
    <i>
      <x v="775"/>
    </i>
    <i r="1">
      <x v="3"/>
      <x v="6"/>
      <x v="3"/>
      <x v="3"/>
      <x v="19"/>
      <x v="9"/>
    </i>
    <i t="blank">
      <x v="775"/>
    </i>
    <i>
      <x v="777"/>
    </i>
    <i r="1">
      <x v="3"/>
      <x v="6"/>
      <x v="3"/>
      <x v="3"/>
      <x v="19"/>
      <x v="9"/>
    </i>
    <i t="blank">
      <x v="777"/>
    </i>
    <i>
      <x v="779"/>
    </i>
    <i r="1">
      <x v="3"/>
      <x v="6"/>
      <x v="3"/>
      <x v="3"/>
      <x v="19"/>
      <x v="9"/>
    </i>
    <i t="blank">
      <x v="779"/>
    </i>
    <i>
      <x v="781"/>
    </i>
    <i r="1">
      <x v="3"/>
      <x v="6"/>
      <x v="3"/>
      <x v="3"/>
      <x v="19"/>
      <x v="9"/>
    </i>
    <i t="blank">
      <x v="781"/>
    </i>
    <i>
      <x v="783"/>
    </i>
    <i r="1">
      <x v="3"/>
      <x v="6"/>
      <x v="3"/>
      <x v="3"/>
      <x v="19"/>
      <x v="9"/>
    </i>
    <i t="blank">
      <x v="783"/>
    </i>
    <i>
      <x v="785"/>
    </i>
    <i r="1">
      <x v="3"/>
      <x v="6"/>
      <x v="3"/>
      <x v="3"/>
      <x v="19"/>
      <x v="9"/>
    </i>
    <i t="blank">
      <x v="785"/>
    </i>
    <i>
      <x v="786"/>
    </i>
    <i r="1">
      <x v="2"/>
      <x v="6"/>
      <x v="3"/>
      <x v="3"/>
      <x v="19"/>
      <x v="9"/>
    </i>
    <i t="blank">
      <x v="786"/>
    </i>
    <i>
      <x v="791"/>
    </i>
    <i r="1">
      <x v="3"/>
      <x v="6"/>
      <x v="3"/>
      <x v="3"/>
      <x v="19"/>
      <x v="9"/>
    </i>
    <i t="blank">
      <x v="791"/>
    </i>
    <i>
      <x v="793"/>
    </i>
    <i r="1">
      <x v="3"/>
      <x v="6"/>
      <x v="3"/>
      <x v="3"/>
      <x v="19"/>
      <x v="9"/>
    </i>
    <i t="blank">
      <x v="793"/>
    </i>
    <i>
      <x v="795"/>
    </i>
    <i r="1">
      <x v="3"/>
      <x v="6"/>
      <x v="3"/>
      <x v="3"/>
      <x v="19"/>
      <x v="9"/>
    </i>
    <i t="blank">
      <x v="795"/>
    </i>
    <i>
      <x v="797"/>
    </i>
    <i r="1">
      <x v="4"/>
      <x v="6"/>
      <x v="3"/>
      <x v="3"/>
      <x v="19"/>
      <x v="9"/>
    </i>
    <i t="blank">
      <x v="797"/>
    </i>
    <i>
      <x v="799"/>
    </i>
    <i r="1">
      <x v="3"/>
      <x v="6"/>
      <x v="3"/>
      <x v="3"/>
      <x v="19"/>
      <x v="9"/>
    </i>
    <i t="blank">
      <x v="799"/>
    </i>
    <i>
      <x v="801"/>
    </i>
    <i r="1">
      <x v="3"/>
      <x v="6"/>
      <x v="3"/>
      <x v="3"/>
      <x v="19"/>
      <x v="9"/>
    </i>
    <i t="blank">
      <x v="801"/>
    </i>
    <i>
      <x v="803"/>
    </i>
    <i r="1">
      <x v="4"/>
      <x v="6"/>
      <x v="3"/>
      <x v="3"/>
      <x v="19"/>
      <x v="9"/>
    </i>
    <i t="blank">
      <x v="803"/>
    </i>
    <i>
      <x v="804"/>
    </i>
    <i r="1">
      <x v="3"/>
      <x v="6"/>
      <x v="3"/>
      <x v="3"/>
      <x v="19"/>
      <x v="9"/>
    </i>
    <i t="blank">
      <x v="804"/>
    </i>
    <i>
      <x v="807"/>
    </i>
    <i r="1">
      <x v="15"/>
      <x v="6"/>
      <x v="3"/>
      <x v="3"/>
      <x v="19"/>
      <x v="9"/>
    </i>
    <i t="blank">
      <x v="807"/>
    </i>
    <i>
      <x v="809"/>
    </i>
    <i r="1">
      <x v="3"/>
      <x v="6"/>
      <x v="3"/>
      <x v="3"/>
      <x v="19"/>
      <x v="9"/>
    </i>
    <i t="blank">
      <x v="809"/>
    </i>
    <i>
      <x v="811"/>
    </i>
    <i r="1">
      <x v="3"/>
      <x v="6"/>
      <x v="3"/>
      <x v="3"/>
      <x v="19"/>
      <x v="9"/>
    </i>
    <i t="blank">
      <x v="811"/>
    </i>
    <i>
      <x v="814"/>
    </i>
    <i r="1">
      <x v="4"/>
      <x v="6"/>
      <x v="3"/>
      <x v="3"/>
      <x v="19"/>
      <x v="9"/>
    </i>
    <i t="blank">
      <x v="814"/>
    </i>
    <i>
      <x v="816"/>
    </i>
    <i r="1">
      <x v="3"/>
      <x v="6"/>
      <x v="3"/>
      <x v="3"/>
      <x v="19"/>
      <x v="9"/>
    </i>
    <i t="blank">
      <x v="816"/>
    </i>
    <i>
      <x v="817"/>
    </i>
    <i r="1">
      <x v="15"/>
      <x v="6"/>
      <x v="3"/>
      <x v="3"/>
      <x v="19"/>
      <x v="9"/>
    </i>
    <i t="blank">
      <x v="817"/>
    </i>
    <i>
      <x v="819"/>
    </i>
    <i r="1">
      <x v="3"/>
      <x v="6"/>
      <x v="3"/>
      <x v="3"/>
      <x v="19"/>
      <x v="9"/>
    </i>
    <i t="blank">
      <x v="819"/>
    </i>
    <i>
      <x v="821"/>
    </i>
    <i r="1">
      <x v="2"/>
      <x v="6"/>
      <x v="3"/>
      <x v="3"/>
      <x v="19"/>
      <x v="9"/>
    </i>
    <i t="blank">
      <x v="821"/>
    </i>
    <i>
      <x v="823"/>
    </i>
    <i r="1">
      <x v="3"/>
      <x v="6"/>
      <x v="3"/>
      <x v="3"/>
      <x v="19"/>
      <x v="9"/>
    </i>
    <i t="blank">
      <x v="823"/>
    </i>
    <i>
      <x v="826"/>
    </i>
    <i r="1">
      <x v="15"/>
      <x v="6"/>
      <x v="3"/>
      <x v="3"/>
      <x v="19"/>
      <x v="9"/>
    </i>
    <i t="blank">
      <x v="826"/>
    </i>
    <i>
      <x v="829"/>
    </i>
    <i r="1">
      <x v="2"/>
      <x v="6"/>
      <x v="3"/>
      <x v="3"/>
      <x v="19"/>
      <x v="9"/>
    </i>
    <i t="blank">
      <x v="829"/>
    </i>
    <i>
      <x v="831"/>
    </i>
    <i r="1">
      <x v="3"/>
      <x v="6"/>
      <x v="3"/>
      <x v="3"/>
      <x v="19"/>
      <x v="9"/>
    </i>
    <i t="blank">
      <x v="831"/>
    </i>
    <i>
      <x v="832"/>
    </i>
    <i r="1">
      <x v="2"/>
      <x v="6"/>
      <x v="3"/>
      <x v="3"/>
      <x v="19"/>
      <x v="9"/>
    </i>
    <i t="blank">
      <x v="832"/>
    </i>
    <i>
      <x v="833"/>
    </i>
    <i r="1">
      <x v="3"/>
      <x v="6"/>
      <x v="3"/>
      <x v="3"/>
      <x v="19"/>
      <x v="9"/>
    </i>
    <i t="blank">
      <x v="833"/>
    </i>
    <i>
      <x v="836"/>
    </i>
    <i r="1">
      <x v="2"/>
      <x v="6"/>
      <x v="3"/>
      <x v="3"/>
      <x v="19"/>
      <x v="9"/>
    </i>
    <i t="blank">
      <x v="836"/>
    </i>
    <i>
      <x v="837"/>
    </i>
    <i r="1">
      <x v="2"/>
      <x v="6"/>
      <x v="3"/>
      <x v="3"/>
      <x v="19"/>
      <x v="9"/>
    </i>
    <i t="blank">
      <x v="837"/>
    </i>
    <i>
      <x v="839"/>
    </i>
    <i r="1">
      <x v="2"/>
      <x v="6"/>
      <x v="3"/>
      <x v="3"/>
      <x v="19"/>
      <x v="9"/>
    </i>
    <i t="blank">
      <x v="839"/>
    </i>
    <i>
      <x v="841"/>
    </i>
    <i r="1">
      <x v="2"/>
      <x v="6"/>
      <x v="3"/>
      <x v="3"/>
      <x v="19"/>
      <x v="9"/>
    </i>
    <i t="blank">
      <x v="841"/>
    </i>
    <i>
      <x v="843"/>
    </i>
    <i r="1">
      <x v="2"/>
      <x v="6"/>
      <x v="3"/>
      <x v="3"/>
      <x v="19"/>
      <x v="9"/>
    </i>
    <i t="blank">
      <x v="843"/>
    </i>
    <i>
      <x v="845"/>
    </i>
    <i r="1">
      <x v="2"/>
      <x v="6"/>
      <x v="3"/>
      <x v="3"/>
      <x v="19"/>
      <x v="9"/>
    </i>
    <i t="blank">
      <x v="845"/>
    </i>
    <i>
      <x v="846"/>
    </i>
    <i r="1">
      <x v="2"/>
      <x v="6"/>
      <x v="3"/>
      <x v="3"/>
      <x v="19"/>
      <x v="9"/>
    </i>
    <i t="blank">
      <x v="846"/>
    </i>
    <i>
      <x v="848"/>
    </i>
    <i r="1">
      <x v="1"/>
      <x v="6"/>
      <x v="3"/>
      <x v="3"/>
      <x v="19"/>
      <x v="9"/>
    </i>
    <i t="blank">
      <x v="848"/>
    </i>
    <i>
      <x v="849"/>
    </i>
    <i r="1">
      <x v="1"/>
      <x v="6"/>
      <x v="3"/>
      <x v="3"/>
      <x v="19"/>
      <x v="9"/>
    </i>
    <i t="blank">
      <x v="849"/>
    </i>
    <i>
      <x v="850"/>
    </i>
    <i r="1">
      <x v="12"/>
      <x v="6"/>
      <x v="3"/>
      <x v="3"/>
      <x v="19"/>
      <x v="9"/>
    </i>
    <i t="blank">
      <x v="850"/>
    </i>
    <i>
      <x v="851"/>
    </i>
    <i r="1">
      <x v="8"/>
      <x v="6"/>
      <x v="3"/>
      <x v="3"/>
      <x v="19"/>
      <x v="9"/>
    </i>
    <i t="blank">
      <x v="851"/>
    </i>
    <i>
      <x v="852"/>
    </i>
    <i r="1">
      <x v="14"/>
      <x v="6"/>
      <x v="3"/>
      <x v="3"/>
      <x v="19"/>
      <x v="9"/>
    </i>
    <i t="blank">
      <x v="852"/>
    </i>
    <i>
      <x v="853"/>
    </i>
    <i r="1">
      <x v="3"/>
      <x v="6"/>
      <x v="3"/>
      <x v="3"/>
      <x v="19"/>
      <x v="9"/>
    </i>
    <i t="blank">
      <x v="853"/>
    </i>
    <i>
      <x v="854"/>
    </i>
    <i r="1">
      <x v="3"/>
      <x v="6"/>
      <x v="3"/>
      <x v="3"/>
      <x v="19"/>
      <x v="9"/>
    </i>
    <i t="blank">
      <x v="854"/>
    </i>
    <i>
      <x v="855"/>
    </i>
    <i r="1">
      <x v="2"/>
      <x v="6"/>
      <x v="3"/>
      <x v="3"/>
      <x v="19"/>
      <x v="9"/>
    </i>
    <i t="blank">
      <x v="855"/>
    </i>
  </rowItems>
  <colItems count="1">
    <i/>
  </colItems>
  <formats count="71">
    <format dxfId="304">
      <pivotArea field="10" type="button" dataOnly="0" labelOnly="1" outline="0" axis="axisRow" fieldPosition="0"/>
    </format>
    <format dxfId="303">
      <pivotArea field="4" type="button" dataOnly="0" labelOnly="1" outline="0" axis="axisRow" fieldPosition="2"/>
    </format>
    <format dxfId="302">
      <pivotArea field="5" type="button" dataOnly="0" labelOnly="1" outline="0" axis="axisRow" fieldPosition="3"/>
    </format>
    <format dxfId="301">
      <pivotArea field="6" type="button" dataOnly="0" labelOnly="1" outline="0" axis="axisRow" fieldPosition="4"/>
    </format>
    <format dxfId="300">
      <pivotArea field="7" type="button" dataOnly="0" labelOnly="1" outline="0" axis="axisRow" fieldPosition="5"/>
    </format>
    <format dxfId="299">
      <pivotArea field="8" type="button" dataOnly="0" labelOnly="1" outline="0" axis="axisRow" fieldPosition="6"/>
    </format>
    <format dxfId="298">
      <pivotArea dataOnly="0" labelOnly="1" fieldPosition="0">
        <references count="1">
          <reference field="10" count="0"/>
        </references>
      </pivotArea>
    </format>
    <format dxfId="297">
      <pivotArea dataOnly="0" labelOnly="1" outline="0" fieldPosition="0">
        <references count="2">
          <reference field="2" count="2">
            <x v="2"/>
            <x v="3"/>
          </reference>
          <reference field="10" count="1" selected="0">
            <x v="0"/>
          </reference>
        </references>
      </pivotArea>
    </format>
    <format dxfId="296">
      <pivotArea dataOnly="0" labelOnly="1" outline="0" fieldPosition="0">
        <references count="2">
          <reference field="2" count="2">
            <x v="1"/>
            <x v="2"/>
          </reference>
          <reference field="10" count="1" selected="0">
            <x v="1"/>
          </reference>
        </references>
      </pivotArea>
    </format>
    <format dxfId="295">
      <pivotArea dataOnly="0" labelOnly="1" outline="0" fieldPosition="0">
        <references count="3">
          <reference field="2" count="1" selected="0">
            <x v="2"/>
          </reference>
          <reference field="4" count="1">
            <x v="0"/>
          </reference>
          <reference field="10" count="1" selected="0">
            <x v="0"/>
          </reference>
        </references>
      </pivotArea>
    </format>
    <format dxfId="294">
      <pivotArea dataOnly="0" labelOnly="1" outline="0" fieldPosition="0">
        <references count="3">
          <reference field="2" count="1" selected="0">
            <x v="3"/>
          </reference>
          <reference field="4" count="2">
            <x v="1"/>
            <x v="2"/>
          </reference>
          <reference field="10" count="1" selected="0">
            <x v="0"/>
          </reference>
        </references>
      </pivotArea>
    </format>
    <format dxfId="293">
      <pivotArea dataOnly="0" labelOnly="1" outline="0" fieldPosition="0">
        <references count="3">
          <reference field="2" count="1" selected="0">
            <x v="1"/>
          </reference>
          <reference field="4" count="1">
            <x v="0"/>
          </reference>
          <reference field="10" count="1" selected="0">
            <x v="1"/>
          </reference>
        </references>
      </pivotArea>
    </format>
    <format dxfId="292">
      <pivotArea dataOnly="0" labelOnly="1" outline="0" fieldPosition="0">
        <references count="3">
          <reference field="2" count="1" selected="0">
            <x v="2"/>
          </reference>
          <reference field="4" count="1">
            <x v="1"/>
          </reference>
          <reference field="10" count="1" selected="0">
            <x v="1"/>
          </reference>
        </references>
      </pivotArea>
    </format>
    <format dxfId="291">
      <pivotArea dataOnly="0" labelOnly="1" outline="0" fieldPosition="0">
        <references count="4">
          <reference field="2" count="1" selected="0">
            <x v="2"/>
          </reference>
          <reference field="4" count="1" selected="0">
            <x v="0"/>
          </reference>
          <reference field="5" count="1">
            <x v="0"/>
          </reference>
          <reference field="10" count="1" selected="0">
            <x v="0"/>
          </reference>
        </references>
      </pivotArea>
    </format>
    <format dxfId="290">
      <pivotArea dataOnly="0" labelOnly="1" outline="0" fieldPosition="0">
        <references count="4">
          <reference field="2" count="1" selected="0">
            <x v="3"/>
          </reference>
          <reference field="4" count="1" selected="0">
            <x v="1"/>
          </reference>
          <reference field="5" count="1">
            <x v="3"/>
          </reference>
          <reference field="10" count="1" selected="0">
            <x v="0"/>
          </reference>
        </references>
      </pivotArea>
    </format>
    <format dxfId="289">
      <pivotArea dataOnly="0" labelOnly="1" outline="0" fieldPosition="0">
        <references count="4">
          <reference field="2" count="1" selected="0">
            <x v="3"/>
          </reference>
          <reference field="4" count="1" selected="0">
            <x v="2"/>
          </reference>
          <reference field="5" count="1">
            <x v="4"/>
          </reference>
          <reference field="10" count="1" selected="0">
            <x v="0"/>
          </reference>
        </references>
      </pivotArea>
    </format>
    <format dxfId="288">
      <pivotArea dataOnly="0" labelOnly="1" outline="0" fieldPosition="0">
        <references count="4">
          <reference field="2" count="1" selected="0">
            <x v="1"/>
          </reference>
          <reference field="4" count="1" selected="0">
            <x v="0"/>
          </reference>
          <reference field="5" count="1">
            <x v="0"/>
          </reference>
          <reference field="10" count="1" selected="0">
            <x v="1"/>
          </reference>
        </references>
      </pivotArea>
    </format>
    <format dxfId="287">
      <pivotArea dataOnly="0" labelOnly="1" outline="0" fieldPosition="0">
        <references count="4">
          <reference field="2" count="1" selected="0">
            <x v="2"/>
          </reference>
          <reference field="4" count="1" selected="0">
            <x v="1"/>
          </reference>
          <reference field="5" count="1">
            <x v="3"/>
          </reference>
          <reference field="10" count="1" selected="0">
            <x v="1"/>
          </reference>
        </references>
      </pivotArea>
    </format>
    <format dxfId="286">
      <pivotArea dataOnly="0" labelOnly="1" outline="0" fieldPosition="0">
        <references count="5">
          <reference field="2" count="1" selected="0">
            <x v="2"/>
          </reference>
          <reference field="4" count="1" selected="0">
            <x v="0"/>
          </reference>
          <reference field="5" count="1" selected="0">
            <x v="0"/>
          </reference>
          <reference field="6" count="1">
            <x v="1"/>
          </reference>
          <reference field="10" count="1" selected="0">
            <x v="0"/>
          </reference>
        </references>
      </pivotArea>
    </format>
    <format dxfId="285">
      <pivotArea dataOnly="0" labelOnly="1" outline="0" fieldPosition="0">
        <references count="5">
          <reference field="2" count="1" selected="0">
            <x v="3"/>
          </reference>
          <reference field="4" count="1" selected="0">
            <x v="1"/>
          </reference>
          <reference field="5" count="1" selected="0">
            <x v="3"/>
          </reference>
          <reference field="6" count="1">
            <x v="5"/>
          </reference>
          <reference field="10" count="1" selected="0">
            <x v="0"/>
          </reference>
        </references>
      </pivotArea>
    </format>
    <format dxfId="284">
      <pivotArea dataOnly="0" labelOnly="1" outline="0" fieldPosition="0">
        <references count="5">
          <reference field="2" count="1" selected="0">
            <x v="3"/>
          </reference>
          <reference field="4" count="1" selected="0">
            <x v="2"/>
          </reference>
          <reference field="5" count="1" selected="0">
            <x v="4"/>
          </reference>
          <reference field="6" count="1">
            <x v="3"/>
          </reference>
          <reference field="10" count="1" selected="0">
            <x v="0"/>
          </reference>
        </references>
      </pivotArea>
    </format>
    <format dxfId="283">
      <pivotArea dataOnly="0" labelOnly="1" outline="0" fieldPosition="0">
        <references count="5">
          <reference field="2" count="1" selected="0">
            <x v="1"/>
          </reference>
          <reference field="4" count="1" selected="0">
            <x v="0"/>
          </reference>
          <reference field="5" count="1" selected="0">
            <x v="0"/>
          </reference>
          <reference field="6" count="1">
            <x v="4"/>
          </reference>
          <reference field="10" count="1" selected="0">
            <x v="1"/>
          </reference>
        </references>
      </pivotArea>
    </format>
    <format dxfId="282">
      <pivotArea dataOnly="0" labelOnly="1" outline="0" fieldPosition="0">
        <references count="5">
          <reference field="2" count="1" selected="0">
            <x v="2"/>
          </reference>
          <reference field="4" count="1" selected="0">
            <x v="1"/>
          </reference>
          <reference field="5" count="1" selected="0">
            <x v="3"/>
          </reference>
          <reference field="6" count="1">
            <x v="6"/>
          </reference>
          <reference field="10" count="1" selected="0">
            <x v="1"/>
          </reference>
        </references>
      </pivotArea>
    </format>
    <format dxfId="281">
      <pivotArea dataOnly="0" labelOnly="1" outline="0" fieldPosition="0">
        <references count="6">
          <reference field="2" count="1" selected="0">
            <x v="2"/>
          </reference>
          <reference field="4" count="1" selected="0">
            <x v="0"/>
          </reference>
          <reference field="5" count="1" selected="0">
            <x v="0"/>
          </reference>
          <reference field="6" count="1" selected="0">
            <x v="1"/>
          </reference>
          <reference field="7" count="1">
            <x v="13"/>
          </reference>
          <reference field="10" count="1" selected="0">
            <x v="0"/>
          </reference>
        </references>
      </pivotArea>
    </format>
    <format dxfId="280">
      <pivotArea dataOnly="0" labelOnly="1" outline="0" fieldPosition="0">
        <references count="6">
          <reference field="2" count="1" selected="0">
            <x v="3"/>
          </reference>
          <reference field="4" count="1" selected="0">
            <x v="1"/>
          </reference>
          <reference field="5" count="1" selected="0">
            <x v="3"/>
          </reference>
          <reference field="6" count="1" selected="0">
            <x v="5"/>
          </reference>
          <reference field="7" count="1">
            <x v="18"/>
          </reference>
          <reference field="10" count="1" selected="0">
            <x v="0"/>
          </reference>
        </references>
      </pivotArea>
    </format>
    <format dxfId="279">
      <pivotArea dataOnly="0" labelOnly="1" outline="0" fieldPosition="0">
        <references count="6">
          <reference field="2" count="1" selected="0">
            <x v="3"/>
          </reference>
          <reference field="4" count="1" selected="0">
            <x v="2"/>
          </reference>
          <reference field="5" count="1" selected="0">
            <x v="4"/>
          </reference>
          <reference field="6" count="1" selected="0">
            <x v="3"/>
          </reference>
          <reference field="7" count="1">
            <x v="19"/>
          </reference>
          <reference field="10" count="1" selected="0">
            <x v="0"/>
          </reference>
        </references>
      </pivotArea>
    </format>
    <format dxfId="278">
      <pivotArea dataOnly="0" labelOnly="1" outline="0" fieldPosition="0">
        <references count="6">
          <reference field="2" count="1" selected="0">
            <x v="1"/>
          </reference>
          <reference field="4" count="1" selected="0">
            <x v="0"/>
          </reference>
          <reference field="5" count="1" selected="0">
            <x v="0"/>
          </reference>
          <reference field="6" count="1" selected="0">
            <x v="4"/>
          </reference>
          <reference field="7" count="1">
            <x v="13"/>
          </reference>
          <reference field="10" count="1" selected="0">
            <x v="1"/>
          </reference>
        </references>
      </pivotArea>
    </format>
    <format dxfId="277">
      <pivotArea dataOnly="0" labelOnly="1" outline="0" fieldPosition="0">
        <references count="6">
          <reference field="2" count="1" selected="0">
            <x v="2"/>
          </reference>
          <reference field="4" count="1" selected="0">
            <x v="1"/>
          </reference>
          <reference field="5" count="1" selected="0">
            <x v="3"/>
          </reference>
          <reference field="6" count="1" selected="0">
            <x v="6"/>
          </reference>
          <reference field="7" count="1">
            <x v="18"/>
          </reference>
          <reference field="10" count="1" selected="0">
            <x v="1"/>
          </reference>
        </references>
      </pivotArea>
    </format>
    <format dxfId="276">
      <pivotArea dataOnly="0" labelOnly="1" outline="0" fieldPosition="0">
        <references count="7">
          <reference field="2" count="1" selected="0">
            <x v="2"/>
          </reference>
          <reference field="4" count="1" selected="0">
            <x v="0"/>
          </reference>
          <reference field="5" count="1" selected="0">
            <x v="0"/>
          </reference>
          <reference field="6" count="1" selected="0">
            <x v="1"/>
          </reference>
          <reference field="7" count="1" selected="0">
            <x v="13"/>
          </reference>
          <reference field="8" count="1">
            <x v="5"/>
          </reference>
          <reference field="10" count="1" selected="0">
            <x v="0"/>
          </reference>
        </references>
      </pivotArea>
    </format>
    <format dxfId="275">
      <pivotArea dataOnly="0" labelOnly="1" outline="0" fieldPosition="0">
        <references count="7">
          <reference field="2" count="1" selected="0">
            <x v="3"/>
          </reference>
          <reference field="4" count="1" selected="0">
            <x v="1"/>
          </reference>
          <reference field="5" count="1" selected="0">
            <x v="3"/>
          </reference>
          <reference field="6" count="1" selected="0">
            <x v="5"/>
          </reference>
          <reference field="7" count="1" selected="0">
            <x v="18"/>
          </reference>
          <reference field="8" count="1">
            <x v="10"/>
          </reference>
          <reference field="10" count="1" selected="0">
            <x v="0"/>
          </reference>
        </references>
      </pivotArea>
    </format>
    <format dxfId="274">
      <pivotArea dataOnly="0" labelOnly="1" outline="0" fieldPosition="0">
        <references count="7">
          <reference field="2" count="1" selected="0">
            <x v="3"/>
          </reference>
          <reference field="4" count="1" selected="0">
            <x v="2"/>
          </reference>
          <reference field="5" count="1" selected="0">
            <x v="4"/>
          </reference>
          <reference field="6" count="1" selected="0">
            <x v="3"/>
          </reference>
          <reference field="7" count="1" selected="0">
            <x v="19"/>
          </reference>
          <reference field="8" count="1">
            <x v="9"/>
          </reference>
          <reference field="10" count="1" selected="0">
            <x v="0"/>
          </reference>
        </references>
      </pivotArea>
    </format>
    <format dxfId="273">
      <pivotArea dataOnly="0" labelOnly="1" outline="0" fieldPosition="0">
        <references count="7">
          <reference field="2" count="1" selected="0">
            <x v="1"/>
          </reference>
          <reference field="4" count="1" selected="0">
            <x v="0"/>
          </reference>
          <reference field="5" count="1" selected="0">
            <x v="0"/>
          </reference>
          <reference field="6" count="1" selected="0">
            <x v="4"/>
          </reference>
          <reference field="7" count="1" selected="0">
            <x v="13"/>
          </reference>
          <reference field="8" count="1">
            <x v="7"/>
          </reference>
          <reference field="10" count="1" selected="0">
            <x v="1"/>
          </reference>
        </references>
      </pivotArea>
    </format>
    <format dxfId="272">
      <pivotArea dataOnly="0" labelOnly="1" outline="0" fieldPosition="0">
        <references count="7">
          <reference field="2" count="1" selected="0">
            <x v="2"/>
          </reference>
          <reference field="4" count="1" selected="0">
            <x v="1"/>
          </reference>
          <reference field="5" count="1" selected="0">
            <x v="3"/>
          </reference>
          <reference field="6" count="1" selected="0">
            <x v="6"/>
          </reference>
          <reference field="7" count="1" selected="0">
            <x v="18"/>
          </reference>
          <reference field="8" count="1">
            <x v="11"/>
          </reference>
          <reference field="10" count="1" selected="0">
            <x v="1"/>
          </reference>
        </references>
      </pivotArea>
    </format>
    <format dxfId="271">
      <pivotArea dataOnly="0" labelOnly="1" fieldPosition="0">
        <references count="1">
          <reference field="10" count="1">
            <x v="0"/>
          </reference>
        </references>
      </pivotArea>
    </format>
    <format dxfId="270">
      <pivotArea dataOnly="0" labelOnly="1" fieldPosition="0">
        <references count="1">
          <reference field="10" count="1">
            <x v="1"/>
          </reference>
        </references>
      </pivotArea>
    </format>
    <format dxfId="269">
      <pivotArea dataOnly="0" fieldPosition="0">
        <references count="1">
          <reference field="10" count="1">
            <x v="1"/>
          </reference>
        </references>
      </pivotArea>
    </format>
    <format dxfId="268">
      <pivotArea dataOnly="0" fieldPosition="0">
        <references count="1">
          <reference field="10" count="0"/>
        </references>
      </pivotArea>
    </format>
    <format dxfId="267">
      <pivotArea field="10" type="button" dataOnly="0" labelOnly="1" outline="0" axis="axisRow" fieldPosition="0"/>
    </format>
    <format dxfId="266">
      <pivotArea field="4" type="button" dataOnly="0" labelOnly="1" outline="0" axis="axisRow" fieldPosition="2"/>
    </format>
    <format dxfId="265">
      <pivotArea field="5" type="button" dataOnly="0" labelOnly="1" outline="0" axis="axisRow" fieldPosition="3"/>
    </format>
    <format dxfId="264">
      <pivotArea field="6" type="button" dataOnly="0" labelOnly="1" outline="0" axis="axisRow" fieldPosition="4"/>
    </format>
    <format dxfId="263">
      <pivotArea field="7" type="button" dataOnly="0" labelOnly="1" outline="0" axis="axisRow" fieldPosition="5"/>
    </format>
    <format dxfId="262">
      <pivotArea field="8" type="button" dataOnly="0" labelOnly="1" outline="0" axis="axisRow" fieldPosition="6"/>
    </format>
    <format dxfId="261">
      <pivotArea dataOnly="0" labelOnly="1" fieldPosition="0">
        <references count="1">
          <reference field="10" count="0"/>
        </references>
      </pivotArea>
    </format>
    <format dxfId="260">
      <pivotArea dataOnly="0" labelOnly="1" outline="0" fieldPosition="0">
        <references count="2">
          <reference field="2" count="2">
            <x v="2"/>
            <x v="3"/>
          </reference>
          <reference field="10" count="1" selected="0">
            <x v="0"/>
          </reference>
        </references>
      </pivotArea>
    </format>
    <format dxfId="259">
      <pivotArea dataOnly="0" labelOnly="1" outline="0" fieldPosition="0">
        <references count="2">
          <reference field="2" count="2">
            <x v="1"/>
            <x v="2"/>
          </reference>
          <reference field="10" count="1" selected="0">
            <x v="1"/>
          </reference>
        </references>
      </pivotArea>
    </format>
    <format dxfId="258">
      <pivotArea dataOnly="0" labelOnly="1" outline="0" fieldPosition="0">
        <references count="3">
          <reference field="2" count="1" selected="0">
            <x v="2"/>
          </reference>
          <reference field="4" count="1">
            <x v="0"/>
          </reference>
          <reference field="10" count="1" selected="0">
            <x v="0"/>
          </reference>
        </references>
      </pivotArea>
    </format>
    <format dxfId="257">
      <pivotArea dataOnly="0" labelOnly="1" outline="0" fieldPosition="0">
        <references count="3">
          <reference field="2" count="1" selected="0">
            <x v="3"/>
          </reference>
          <reference field="4" count="2">
            <x v="1"/>
            <x v="2"/>
          </reference>
          <reference field="10" count="1" selected="0">
            <x v="0"/>
          </reference>
        </references>
      </pivotArea>
    </format>
    <format dxfId="256">
      <pivotArea dataOnly="0" labelOnly="1" outline="0" fieldPosition="0">
        <references count="3">
          <reference field="2" count="1" selected="0">
            <x v="1"/>
          </reference>
          <reference field="4" count="1">
            <x v="0"/>
          </reference>
          <reference field="10" count="1" selected="0">
            <x v="1"/>
          </reference>
        </references>
      </pivotArea>
    </format>
    <format dxfId="255">
      <pivotArea dataOnly="0" labelOnly="1" outline="0" fieldPosition="0">
        <references count="3">
          <reference field="2" count="1" selected="0">
            <x v="2"/>
          </reference>
          <reference field="4" count="1">
            <x v="1"/>
          </reference>
          <reference field="10" count="1" selected="0">
            <x v="1"/>
          </reference>
        </references>
      </pivotArea>
    </format>
    <format dxfId="254">
      <pivotArea dataOnly="0" labelOnly="1" outline="0" fieldPosition="0">
        <references count="4">
          <reference field="2" count="1" selected="0">
            <x v="2"/>
          </reference>
          <reference field="4" count="1" selected="0">
            <x v="0"/>
          </reference>
          <reference field="5" count="1">
            <x v="0"/>
          </reference>
          <reference field="10" count="1" selected="0">
            <x v="0"/>
          </reference>
        </references>
      </pivotArea>
    </format>
    <format dxfId="253">
      <pivotArea dataOnly="0" labelOnly="1" outline="0" fieldPosition="0">
        <references count="4">
          <reference field="2" count="1" selected="0">
            <x v="3"/>
          </reference>
          <reference field="4" count="1" selected="0">
            <x v="1"/>
          </reference>
          <reference field="5" count="1">
            <x v="3"/>
          </reference>
          <reference field="10" count="1" selected="0">
            <x v="0"/>
          </reference>
        </references>
      </pivotArea>
    </format>
    <format dxfId="252">
      <pivotArea dataOnly="0" labelOnly="1" outline="0" fieldPosition="0">
        <references count="4">
          <reference field="2" count="1" selected="0">
            <x v="3"/>
          </reference>
          <reference field="4" count="1" selected="0">
            <x v="2"/>
          </reference>
          <reference field="5" count="1">
            <x v="4"/>
          </reference>
          <reference field="10" count="1" selected="0">
            <x v="0"/>
          </reference>
        </references>
      </pivotArea>
    </format>
    <format dxfId="251">
      <pivotArea dataOnly="0" labelOnly="1" outline="0" fieldPosition="0">
        <references count="4">
          <reference field="2" count="1" selected="0">
            <x v="1"/>
          </reference>
          <reference field="4" count="1" selected="0">
            <x v="0"/>
          </reference>
          <reference field="5" count="1">
            <x v="0"/>
          </reference>
          <reference field="10" count="1" selected="0">
            <x v="1"/>
          </reference>
        </references>
      </pivotArea>
    </format>
    <format dxfId="250">
      <pivotArea dataOnly="0" labelOnly="1" outline="0" fieldPosition="0">
        <references count="4">
          <reference field="2" count="1" selected="0">
            <x v="2"/>
          </reference>
          <reference field="4" count="1" selected="0">
            <x v="1"/>
          </reference>
          <reference field="5" count="1">
            <x v="3"/>
          </reference>
          <reference field="10" count="1" selected="0">
            <x v="1"/>
          </reference>
        </references>
      </pivotArea>
    </format>
    <format dxfId="249">
      <pivotArea dataOnly="0" labelOnly="1" outline="0" fieldPosition="0">
        <references count="5">
          <reference field="2" count="1" selected="0">
            <x v="2"/>
          </reference>
          <reference field="4" count="1" selected="0">
            <x v="0"/>
          </reference>
          <reference field="5" count="1" selected="0">
            <x v="0"/>
          </reference>
          <reference field="6" count="1">
            <x v="1"/>
          </reference>
          <reference field="10" count="1" selected="0">
            <x v="0"/>
          </reference>
        </references>
      </pivotArea>
    </format>
    <format dxfId="248">
      <pivotArea dataOnly="0" labelOnly="1" outline="0" fieldPosition="0">
        <references count="5">
          <reference field="2" count="1" selected="0">
            <x v="3"/>
          </reference>
          <reference field="4" count="1" selected="0">
            <x v="1"/>
          </reference>
          <reference field="5" count="1" selected="0">
            <x v="3"/>
          </reference>
          <reference field="6" count="1">
            <x v="5"/>
          </reference>
          <reference field="10" count="1" selected="0">
            <x v="0"/>
          </reference>
        </references>
      </pivotArea>
    </format>
    <format dxfId="247">
      <pivotArea dataOnly="0" labelOnly="1" outline="0" fieldPosition="0">
        <references count="5">
          <reference field="2" count="1" selected="0">
            <x v="3"/>
          </reference>
          <reference field="4" count="1" selected="0">
            <x v="2"/>
          </reference>
          <reference field="5" count="1" selected="0">
            <x v="4"/>
          </reference>
          <reference field="6" count="1">
            <x v="3"/>
          </reference>
          <reference field="10" count="1" selected="0">
            <x v="0"/>
          </reference>
        </references>
      </pivotArea>
    </format>
    <format dxfId="246">
      <pivotArea dataOnly="0" labelOnly="1" outline="0" fieldPosition="0">
        <references count="5">
          <reference field="2" count="1" selected="0">
            <x v="1"/>
          </reference>
          <reference field="4" count="1" selected="0">
            <x v="0"/>
          </reference>
          <reference field="5" count="1" selected="0">
            <x v="0"/>
          </reference>
          <reference field="6" count="1">
            <x v="4"/>
          </reference>
          <reference field="10" count="1" selected="0">
            <x v="1"/>
          </reference>
        </references>
      </pivotArea>
    </format>
    <format dxfId="245">
      <pivotArea dataOnly="0" labelOnly="1" outline="0" fieldPosition="0">
        <references count="5">
          <reference field="2" count="1" selected="0">
            <x v="2"/>
          </reference>
          <reference field="4" count="1" selected="0">
            <x v="1"/>
          </reference>
          <reference field="5" count="1" selected="0">
            <x v="3"/>
          </reference>
          <reference field="6" count="1">
            <x v="6"/>
          </reference>
          <reference field="10" count="1" selected="0">
            <x v="1"/>
          </reference>
        </references>
      </pivotArea>
    </format>
    <format dxfId="244">
      <pivotArea dataOnly="0" labelOnly="1" outline="0" fieldPosition="0">
        <references count="6">
          <reference field="2" count="1" selected="0">
            <x v="2"/>
          </reference>
          <reference field="4" count="1" selected="0">
            <x v="0"/>
          </reference>
          <reference field="5" count="1" selected="0">
            <x v="0"/>
          </reference>
          <reference field="6" count="1" selected="0">
            <x v="1"/>
          </reference>
          <reference field="7" count="1">
            <x v="13"/>
          </reference>
          <reference field="10" count="1" selected="0">
            <x v="0"/>
          </reference>
        </references>
      </pivotArea>
    </format>
    <format dxfId="243">
      <pivotArea dataOnly="0" labelOnly="1" outline="0" fieldPosition="0">
        <references count="6">
          <reference field="2" count="1" selected="0">
            <x v="3"/>
          </reference>
          <reference field="4" count="1" selected="0">
            <x v="1"/>
          </reference>
          <reference field="5" count="1" selected="0">
            <x v="3"/>
          </reference>
          <reference field="6" count="1" selected="0">
            <x v="5"/>
          </reference>
          <reference field="7" count="1">
            <x v="18"/>
          </reference>
          <reference field="10" count="1" selected="0">
            <x v="0"/>
          </reference>
        </references>
      </pivotArea>
    </format>
    <format dxfId="242">
      <pivotArea dataOnly="0" labelOnly="1" outline="0" fieldPosition="0">
        <references count="6">
          <reference field="2" count="1" selected="0">
            <x v="3"/>
          </reference>
          <reference field="4" count="1" selected="0">
            <x v="2"/>
          </reference>
          <reference field="5" count="1" selected="0">
            <x v="4"/>
          </reference>
          <reference field="6" count="1" selected="0">
            <x v="3"/>
          </reference>
          <reference field="7" count="1">
            <x v="19"/>
          </reference>
          <reference field="10" count="1" selected="0">
            <x v="0"/>
          </reference>
        </references>
      </pivotArea>
    </format>
    <format dxfId="241">
      <pivotArea dataOnly="0" labelOnly="1" outline="0" fieldPosition="0">
        <references count="6">
          <reference field="2" count="1" selected="0">
            <x v="1"/>
          </reference>
          <reference field="4" count="1" selected="0">
            <x v="0"/>
          </reference>
          <reference field="5" count="1" selected="0">
            <x v="0"/>
          </reference>
          <reference field="6" count="1" selected="0">
            <x v="4"/>
          </reference>
          <reference field="7" count="1">
            <x v="13"/>
          </reference>
          <reference field="10" count="1" selected="0">
            <x v="1"/>
          </reference>
        </references>
      </pivotArea>
    </format>
    <format dxfId="240">
      <pivotArea dataOnly="0" labelOnly="1" outline="0" fieldPosition="0">
        <references count="6">
          <reference field="2" count="1" selected="0">
            <x v="2"/>
          </reference>
          <reference field="4" count="1" selected="0">
            <x v="1"/>
          </reference>
          <reference field="5" count="1" selected="0">
            <x v="3"/>
          </reference>
          <reference field="6" count="1" selected="0">
            <x v="6"/>
          </reference>
          <reference field="7" count="1">
            <x v="18"/>
          </reference>
          <reference field="10" count="1" selected="0">
            <x v="1"/>
          </reference>
        </references>
      </pivotArea>
    </format>
    <format dxfId="239">
      <pivotArea dataOnly="0" labelOnly="1" outline="0" fieldPosition="0">
        <references count="7">
          <reference field="2" count="1" selected="0">
            <x v="2"/>
          </reference>
          <reference field="4" count="1" selected="0">
            <x v="0"/>
          </reference>
          <reference field="5" count="1" selected="0">
            <x v="0"/>
          </reference>
          <reference field="6" count="1" selected="0">
            <x v="1"/>
          </reference>
          <reference field="7" count="1" selected="0">
            <x v="13"/>
          </reference>
          <reference field="8" count="1">
            <x v="5"/>
          </reference>
          <reference field="10" count="1" selected="0">
            <x v="0"/>
          </reference>
        </references>
      </pivotArea>
    </format>
    <format dxfId="238">
      <pivotArea dataOnly="0" labelOnly="1" outline="0" fieldPosition="0">
        <references count="7">
          <reference field="2" count="1" selected="0">
            <x v="3"/>
          </reference>
          <reference field="4" count="1" selected="0">
            <x v="1"/>
          </reference>
          <reference field="5" count="1" selected="0">
            <x v="3"/>
          </reference>
          <reference field="6" count="1" selected="0">
            <x v="5"/>
          </reference>
          <reference field="7" count="1" selected="0">
            <x v="18"/>
          </reference>
          <reference field="8" count="1">
            <x v="10"/>
          </reference>
          <reference field="10" count="1" selected="0">
            <x v="0"/>
          </reference>
        </references>
      </pivotArea>
    </format>
    <format dxfId="237">
      <pivotArea dataOnly="0" labelOnly="1" outline="0" fieldPosition="0">
        <references count="7">
          <reference field="2" count="1" selected="0">
            <x v="3"/>
          </reference>
          <reference field="4" count="1" selected="0">
            <x v="2"/>
          </reference>
          <reference field="5" count="1" selected="0">
            <x v="4"/>
          </reference>
          <reference field="6" count="1" selected="0">
            <x v="3"/>
          </reference>
          <reference field="7" count="1" selected="0">
            <x v="19"/>
          </reference>
          <reference field="8" count="1">
            <x v="9"/>
          </reference>
          <reference field="10" count="1" selected="0">
            <x v="0"/>
          </reference>
        </references>
      </pivotArea>
    </format>
    <format dxfId="236">
      <pivotArea dataOnly="0" labelOnly="1" outline="0" fieldPosition="0">
        <references count="7">
          <reference field="2" count="1" selected="0">
            <x v="1"/>
          </reference>
          <reference field="4" count="1" selected="0">
            <x v="0"/>
          </reference>
          <reference field="5" count="1" selected="0">
            <x v="0"/>
          </reference>
          <reference field="6" count="1" selected="0">
            <x v="4"/>
          </reference>
          <reference field="7" count="1" selected="0">
            <x v="13"/>
          </reference>
          <reference field="8" count="1">
            <x v="7"/>
          </reference>
          <reference field="10" count="1" selected="0">
            <x v="1"/>
          </reference>
        </references>
      </pivotArea>
    </format>
    <format dxfId="235">
      <pivotArea dataOnly="0" labelOnly="1" outline="0" fieldPosition="0">
        <references count="7">
          <reference field="2" count="1" selected="0">
            <x v="2"/>
          </reference>
          <reference field="4" count="1" selected="0">
            <x v="1"/>
          </reference>
          <reference field="5" count="1" selected="0">
            <x v="3"/>
          </reference>
          <reference field="6" count="1" selected="0">
            <x v="6"/>
          </reference>
          <reference field="7" count="1" selected="0">
            <x v="18"/>
          </reference>
          <reference field="8" count="1">
            <x v="11"/>
          </reference>
          <reference field="10" count="1" selected="0">
            <x v="1"/>
          </reference>
        </references>
      </pivotArea>
    </format>
    <format dxfId="234">
      <pivotArea dataOnly="0" labelOnly="1" fieldPosition="0">
        <references count="1">
          <reference field="10" count="0"/>
        </references>
      </pivotArea>
    </format>
  </formats>
  <pivotTableStyleInfo name="Workflow Tracker" showRowHeaders="1" showColHeaders="1" showRowStripes="0" showColStripes="0" showLastColumn="1"/>
  <filters count="1">
    <filter fld="4" type="dateNewerThan" evalOrder="-1" id="1">
      <autoFilter ref="A1">
        <filterColumn colId="0">
          <customFilters>
            <customFilter operator="greaterThan" val="45717"/>
          </customFilters>
        </filterColumn>
      </autoFilter>
    </filter>
  </filters>
  <extLs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adjustColumnWidth="0" connectionId="3" xr16:uid="{BBEB2CE1-60A2-4049-9B09-A3BA45D8F50E}" autoFormatId="16" applyNumberFormats="0" applyBorderFormats="0" applyFontFormats="0" applyPatternFormats="0" applyAlignmentFormats="0" applyWidthHeightFormats="0">
  <queryTableRefresh nextId="15" unboundColumnsRight="1">
    <queryTableFields count="12">
      <queryTableField id="1" name="Document Number" tableColumnId="1"/>
      <queryTableField id="2" name="Title" tableColumnId="2"/>
      <queryTableField id="3" name="Revision" tableColumnId="3"/>
      <queryTableField id="4" name="Workflow Status" tableColumnId="4"/>
      <queryTableField id="5" name="Date In" tableColumnId="5"/>
      <queryTableField id="6" name="Step Name" tableColumnId="6"/>
      <queryTableField id="7" name="Step Outcome" tableColumnId="7"/>
      <queryTableField id="8" name="Date of Comments" tableColumnId="8"/>
      <queryTableField id="9" name="Comments" tableColumnId="9"/>
      <queryTableField id="10" name="Latest revision?" tableColumnId="10"/>
      <queryTableField id="13" name="(Helper) Num + Title" tableColumnId="13"/>
      <queryTableField id="14"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16445F9F-BC40-4F8A-AC71-B1571CEED0A6}" autoFormatId="16" applyNumberFormats="0" applyBorderFormats="0" applyFontFormats="0" applyPatternFormats="0" applyAlignmentFormats="0" applyWidthHeightFormats="0">
  <queryTableRefresh nextId="3">
    <queryTableFields count="2">
      <queryTableField id="1" name="Project Name" tableColumnId="1"/>
      <queryTableField id="2" name="Date Generated"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63047F-FF9B-4355-8BCA-9BE2E7C08B48}" name="RawData" displayName="RawData" ref="A4:L1078" tableType="queryTable" totalsRowShown="0">
  <autoFilter ref="A4:L1078" xr:uid="{0D63047F-FF9B-4355-8BCA-9BE2E7C08B48}"/>
  <tableColumns count="12">
    <tableColumn id="1" xr3:uid="{BADA64F2-BDBA-47E5-80FC-B4A56EA68A5F}" uniqueName="1" name="Document Number" queryTableFieldId="1" dataDxfId="224"/>
    <tableColumn id="2" xr3:uid="{73FEF870-06F8-454B-90A6-DA0601FC1805}" uniqueName="2" name="Title" queryTableFieldId="2" dataDxfId="223"/>
    <tableColumn id="3" xr3:uid="{A01D87D0-9C31-4CA9-B2AB-5A8C0409AE25}" uniqueName="3" name="Revision" queryTableFieldId="3" dataDxfId="222"/>
    <tableColumn id="4" xr3:uid="{F76830CB-5D60-41A6-B286-3CE06C759A09}" uniqueName="4" name="Workflow Status" queryTableFieldId="4" dataDxfId="221"/>
    <tableColumn id="5" xr3:uid="{0FC64E1E-692E-47DA-95E9-E8559E1E48F6}" uniqueName="5" name="Date In" queryTableFieldId="5" dataDxfId="220"/>
    <tableColumn id="6" xr3:uid="{F19580FF-4E30-4471-9A01-88C64B1824A4}" uniqueName="6" name="Step Name" queryTableFieldId="6" dataDxfId="219"/>
    <tableColumn id="7" xr3:uid="{6A0AFC7F-8606-4E09-B945-03FCA7C4127A}" uniqueName="7" name="Step Outcome" queryTableFieldId="7" dataDxfId="218"/>
    <tableColumn id="8" xr3:uid="{1970E651-0CCD-47BF-B184-D51FA8244748}" uniqueName="8" name="Date of Comments" queryTableFieldId="8" dataDxfId="217"/>
    <tableColumn id="9" xr3:uid="{F7535362-E459-4564-B1D9-01E373450E1A}" uniqueName="9" name="Comments" queryTableFieldId="9" dataDxfId="216"/>
    <tableColumn id="10" xr3:uid="{9D54319D-DE2C-42F5-8506-F60D2AE2133B}" uniqueName="10" name="Latest revision?" queryTableFieldId="10"/>
    <tableColumn id="13" xr3:uid="{9C3EA749-A32D-4994-B884-8E1E95A5DE1B}" uniqueName="13" name="(Helper) Num + Title" queryTableFieldId="13" dataDxfId="215"/>
    <tableColumn id="11" xr3:uid="{CF00106C-4E46-4FD6-B632-EECF1CD65CE9}" uniqueName="11" name="(Helper) Hyperlink" queryTableFieldId="14" dataDxfId="214">
      <calculatedColumnFormula>HYPERLINK("https://uk1.aconex.co.uk/hub/index.html?mainTarget=%2FSearchControlledDoc%3FSEARCH_ACTION%3D15%26tab%3D0%26searchMode%3D1%26searchQuery%3Ddocno:%22"&amp;RawData[[#This Row],[Document Number]]&amp;"%22%20%2Bcversion%253A1",RawData[[#This Row],[Document Number]])</calculatedColumnFormula>
    </tableColumn>
  </tableColumns>
  <tableStyleInfo name="TableStyleLight15 2" showFirstColumn="0" showLastColumn="1"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8C0398-C974-42FB-942C-C16853FFB781}" name="ProjectInfo" displayName="ProjectInfo" ref="A1:B2" tableType="queryTable" totalsRowShown="0">
  <autoFilter ref="A1:B2" xr:uid="{668C0398-C974-42FB-942C-C16853FFB781}"/>
  <tableColumns count="2">
    <tableColumn id="1" xr3:uid="{4CB9339E-02E0-4155-AE93-4EC28802928D}" uniqueName="1" name="Project Name" queryTableFieldId="1" dataDxfId="233"/>
    <tableColumn id="2" xr3:uid="{96759155-4763-441B-BD5A-9E4AAFBE91AA}" uniqueName="2" name="Date Generated" queryTableFieldId="2" dataDxfId="213"/>
  </tableColumns>
  <tableStyleInfo name="TableStyleLight15 2" showFirstColumn="0" showLastColumn="0" showRowStripes="0"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8"/>
  <sheetViews>
    <sheetView zoomScale="130" zoomScaleNormal="130" workbookViewId="0">
      <selection activeCell="B5" sqref="B5"/>
    </sheetView>
  </sheetViews>
  <sheetFormatPr defaultRowHeight="14.4" x14ac:dyDescent="0.3"/>
  <cols>
    <col min="1" max="1" width="33.33203125" bestFit="1" customWidth="1"/>
    <col min="2" max="2" width="25" bestFit="1" customWidth="1"/>
    <col min="3" max="3" width="16.88671875" customWidth="1"/>
    <col min="4" max="4" width="27.6640625" customWidth="1"/>
    <col min="5" max="5" width="13.5546875" customWidth="1"/>
    <col min="6" max="6" width="11.33203125" bestFit="1" customWidth="1"/>
    <col min="7" max="7" width="10.6640625" customWidth="1"/>
  </cols>
  <sheetData>
    <row r="1" spans="1:9" ht="23.4" customHeight="1" x14ac:dyDescent="0.45">
      <c r="D1" s="6" t="s">
        <v>0</v>
      </c>
    </row>
    <row r="2" spans="1:9" ht="15.6" x14ac:dyDescent="0.3">
      <c r="A2" s="2" t="s">
        <v>28</v>
      </c>
      <c r="B2" t="s">
        <v>29</v>
      </c>
      <c r="D2" s="5" t="str">
        <f>"Project Name: " &amp; ProjectInfo[[#This Row],[Project Name]]</f>
        <v>Project Name: FS1018 DfE Wisbech Free School</v>
      </c>
      <c r="I2" t="str">
        <f>"Total number of documents: " &amp; GETPIVOTDATA("(Helper) Doc Status",$A$2)</f>
        <v>Total number of documents: 211</v>
      </c>
    </row>
    <row r="3" spans="1:9" ht="15.6" x14ac:dyDescent="0.3">
      <c r="A3" s="4" t="s">
        <v>4</v>
      </c>
      <c r="B3" s="15">
        <v>123</v>
      </c>
      <c r="D3" s="9" t="str" cm="1">
        <f t="array" ref="D3">"Date Generated: " &amp; TEXT(ProjectInfo[Date Generated],"dd/mm/yyyy")</f>
        <v>Date Generated: 23/03/2025</v>
      </c>
    </row>
    <row r="4" spans="1:9" ht="19.8" customHeight="1" x14ac:dyDescent="0.35">
      <c r="A4" s="4" t="s">
        <v>40</v>
      </c>
      <c r="B4" s="15">
        <v>72</v>
      </c>
      <c r="D4" s="10" t="s">
        <v>3</v>
      </c>
      <c r="E4" s="11"/>
      <c r="F4" s="11"/>
      <c r="G4" s="11"/>
    </row>
    <row r="5" spans="1:9" x14ac:dyDescent="0.3">
      <c r="A5" s="4" t="s">
        <v>22</v>
      </c>
      <c r="B5" s="15">
        <v>4</v>
      </c>
    </row>
    <row r="6" spans="1:9" x14ac:dyDescent="0.3">
      <c r="A6" s="4" t="s">
        <v>1417</v>
      </c>
      <c r="B6" s="15">
        <v>1</v>
      </c>
    </row>
    <row r="7" spans="1:9" x14ac:dyDescent="0.3">
      <c r="A7" s="4" t="s">
        <v>34</v>
      </c>
      <c r="B7" s="15">
        <v>11</v>
      </c>
    </row>
    <row r="8" spans="1:9" x14ac:dyDescent="0.3">
      <c r="A8" s="4" t="s">
        <v>5</v>
      </c>
      <c r="B8" s="15">
        <v>211</v>
      </c>
    </row>
  </sheetData>
  <mergeCells count="1">
    <mergeCell ref="D4:G4"/>
  </mergeCells>
  <pageMargins left="0.70866141732283472" right="0.70866141732283472" top="0.74803149606299213" bottom="0.74803149606299213" header="0.31496062992125984" footer="0.31496062992125984"/>
  <pageSetup paperSize="11" fitToHeight="0" orientation="portrait" r:id="rId2"/>
  <headerFooter>
    <oddHeader>&amp;L&amp;G</oddHeader>
  </headerFooter>
  <drawing r:id="rId3"/>
  <legacyDrawingHF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2773"/>
  <sheetViews>
    <sheetView tabSelected="1" zoomScaleNormal="100" workbookViewId="0">
      <selection activeCell="F11" sqref="F11"/>
    </sheetView>
  </sheetViews>
  <sheetFormatPr defaultRowHeight="14.4" x14ac:dyDescent="0.3"/>
  <cols>
    <col min="1" max="1" width="7.33203125" customWidth="1"/>
    <col min="2" max="2" width="12.77734375" customWidth="1"/>
    <col min="3" max="3" width="14.88671875" customWidth="1"/>
    <col min="4" max="4" width="18.44140625" customWidth="1"/>
    <col min="5" max="5" width="12.88671875" customWidth="1"/>
    <col min="6" max="6" width="149.33203125" customWidth="1"/>
    <col min="7" max="7" width="42.109375" style="1" bestFit="1" customWidth="1"/>
  </cols>
  <sheetData>
    <row r="1" spans="1:6" ht="23.4" x14ac:dyDescent="0.45">
      <c r="A1" s="6" t="s">
        <v>0</v>
      </c>
      <c r="F1" s="7" t="str">
        <f>HYPERLINK("https://uk1.aconex.co.uk/hub/index.html?mainTarget=%2Ftasks%2Fview%3F_action%3DviewAllTasksOfType%26indexName%3Dawaitingreview%26projectid%3D268455658","Click here to go to your outstanding workflows")</f>
        <v>Click here to go to your outstanding workflows</v>
      </c>
    </row>
    <row r="2" spans="1:6" ht="15.6" x14ac:dyDescent="0.3">
      <c r="A2" s="5" t="str">
        <f>ProjectName</f>
        <v>Project Name: FS1018 DfE Wisbech Free School</v>
      </c>
    </row>
    <row r="3" spans="1:6" ht="15.6" x14ac:dyDescent="0.3">
      <c r="A3" s="5" t="str">
        <f>DateGenerated</f>
        <v>Date Generated: 23/03/2025</v>
      </c>
    </row>
    <row r="5" spans="1:6" ht="37.200000000000003" customHeight="1" thickBot="1" x14ac:dyDescent="0.35">
      <c r="A5" s="14" t="s">
        <v>24</v>
      </c>
      <c r="B5" s="14" t="s">
        <v>6</v>
      </c>
      <c r="C5" s="14" t="s">
        <v>7</v>
      </c>
      <c r="D5" s="14" t="s">
        <v>2</v>
      </c>
      <c r="E5" s="14" t="s">
        <v>8</v>
      </c>
      <c r="F5" s="14" t="s">
        <v>9</v>
      </c>
    </row>
    <row r="6" spans="1:6" x14ac:dyDescent="0.3">
      <c r="A6" s="19" t="s">
        <v>37</v>
      </c>
      <c r="B6" s="20"/>
      <c r="C6" s="20"/>
      <c r="D6" s="20"/>
      <c r="E6" s="20"/>
      <c r="F6" s="20"/>
    </row>
    <row r="7" spans="1:6" x14ac:dyDescent="0.3">
      <c r="A7" s="12" t="s">
        <v>10</v>
      </c>
      <c r="B7" s="13">
        <v>45729</v>
      </c>
      <c r="C7" s="4" t="s">
        <v>12</v>
      </c>
      <c r="D7" s="4" t="s">
        <v>4</v>
      </c>
      <c r="E7" s="4" t="s">
        <v>13</v>
      </c>
      <c r="F7" s="4" t="s">
        <v>13</v>
      </c>
    </row>
    <row r="8" spans="1:6" ht="15" thickBot="1" x14ac:dyDescent="0.35">
      <c r="A8" s="4"/>
    </row>
    <row r="9" spans="1:6" x14ac:dyDescent="0.3">
      <c r="A9" s="19" t="s">
        <v>44</v>
      </c>
      <c r="B9" s="20"/>
      <c r="C9" s="20"/>
      <c r="D9" s="20"/>
      <c r="E9" s="20"/>
      <c r="F9" s="20"/>
    </row>
    <row r="10" spans="1:6" x14ac:dyDescent="0.3">
      <c r="A10" s="12" t="s">
        <v>10</v>
      </c>
      <c r="B10" s="13">
        <v>45729</v>
      </c>
      <c r="C10" s="4" t="s">
        <v>12</v>
      </c>
      <c r="D10" s="4" t="s">
        <v>4</v>
      </c>
      <c r="E10" s="4" t="s">
        <v>13</v>
      </c>
      <c r="F10" s="4" t="s">
        <v>13</v>
      </c>
    </row>
    <row r="11" spans="1:6" ht="15" thickBot="1" x14ac:dyDescent="0.35">
      <c r="A11" s="4"/>
    </row>
    <row r="12" spans="1:6" x14ac:dyDescent="0.3">
      <c r="A12" s="19" t="s">
        <v>49</v>
      </c>
      <c r="B12" s="20"/>
      <c r="C12" s="20"/>
      <c r="D12" s="20"/>
      <c r="E12" s="20"/>
      <c r="F12" s="20"/>
    </row>
    <row r="13" spans="1:6" x14ac:dyDescent="0.3">
      <c r="A13" s="12" t="s">
        <v>10</v>
      </c>
      <c r="B13" s="13">
        <v>45729</v>
      </c>
      <c r="C13" s="4" t="s">
        <v>12</v>
      </c>
      <c r="D13" s="4" t="s">
        <v>4</v>
      </c>
      <c r="E13" s="4" t="s">
        <v>13</v>
      </c>
      <c r="F13" s="4" t="s">
        <v>13</v>
      </c>
    </row>
    <row r="14" spans="1:6" ht="15" thickBot="1" x14ac:dyDescent="0.35">
      <c r="A14" s="4"/>
    </row>
    <row r="15" spans="1:6" x14ac:dyDescent="0.3">
      <c r="A15" s="19" t="s">
        <v>55</v>
      </c>
      <c r="B15" s="20"/>
      <c r="C15" s="20"/>
      <c r="D15" s="20"/>
      <c r="E15" s="20"/>
      <c r="F15" s="20"/>
    </row>
    <row r="16" spans="1:6" x14ac:dyDescent="0.3">
      <c r="A16" s="12" t="s">
        <v>10</v>
      </c>
      <c r="B16" s="13">
        <v>45729</v>
      </c>
      <c r="C16" s="4" t="s">
        <v>12</v>
      </c>
      <c r="D16" s="4" t="s">
        <v>4</v>
      </c>
      <c r="E16" s="4" t="s">
        <v>13</v>
      </c>
      <c r="F16" s="4" t="s">
        <v>13</v>
      </c>
    </row>
    <row r="17" spans="1:6" ht="15" thickBot="1" x14ac:dyDescent="0.35">
      <c r="A17" s="4"/>
    </row>
    <row r="18" spans="1:6" x14ac:dyDescent="0.3">
      <c r="A18" s="19" t="s">
        <v>60</v>
      </c>
      <c r="B18" s="20"/>
      <c r="C18" s="20"/>
      <c r="D18" s="20"/>
      <c r="E18" s="20"/>
      <c r="F18" s="20"/>
    </row>
    <row r="19" spans="1:6" x14ac:dyDescent="0.3">
      <c r="A19" s="12" t="s">
        <v>10</v>
      </c>
      <c r="B19" s="13">
        <v>45729</v>
      </c>
      <c r="C19" s="4" t="s">
        <v>12</v>
      </c>
      <c r="D19" s="4" t="s">
        <v>4</v>
      </c>
      <c r="E19" s="4" t="s">
        <v>13</v>
      </c>
      <c r="F19" s="4" t="s">
        <v>13</v>
      </c>
    </row>
    <row r="20" spans="1:6" ht="15" thickBot="1" x14ac:dyDescent="0.35">
      <c r="A20" s="4"/>
    </row>
    <row r="21" spans="1:6" x14ac:dyDescent="0.3">
      <c r="A21" s="19" t="s">
        <v>65</v>
      </c>
      <c r="B21" s="20"/>
      <c r="C21" s="20"/>
      <c r="D21" s="20"/>
      <c r="E21" s="20"/>
      <c r="F21" s="20"/>
    </row>
    <row r="22" spans="1:6" x14ac:dyDescent="0.3">
      <c r="A22" s="12" t="s">
        <v>10</v>
      </c>
      <c r="B22" s="13">
        <v>45729</v>
      </c>
      <c r="C22" s="4" t="s">
        <v>12</v>
      </c>
      <c r="D22" s="4" t="s">
        <v>4</v>
      </c>
      <c r="E22" s="4" t="s">
        <v>13</v>
      </c>
      <c r="F22" s="4" t="s">
        <v>13</v>
      </c>
    </row>
    <row r="23" spans="1:6" ht="15" thickBot="1" x14ac:dyDescent="0.35">
      <c r="A23" s="4"/>
    </row>
    <row r="24" spans="1:6" x14ac:dyDescent="0.3">
      <c r="A24" s="19" t="s">
        <v>72</v>
      </c>
      <c r="B24" s="20"/>
      <c r="C24" s="20"/>
      <c r="D24" s="20"/>
      <c r="E24" s="20"/>
      <c r="F24" s="20"/>
    </row>
    <row r="25" spans="1:6" x14ac:dyDescent="0.3">
      <c r="A25" s="12" t="s">
        <v>10</v>
      </c>
      <c r="B25" s="13">
        <v>45729</v>
      </c>
      <c r="C25" s="4" t="s">
        <v>12</v>
      </c>
      <c r="D25" s="4" t="s">
        <v>4</v>
      </c>
      <c r="E25" s="4" t="s">
        <v>13</v>
      </c>
      <c r="F25" s="4" t="s">
        <v>13</v>
      </c>
    </row>
    <row r="26" spans="1:6" ht="15" thickBot="1" x14ac:dyDescent="0.35">
      <c r="A26" s="4"/>
    </row>
    <row r="27" spans="1:6" x14ac:dyDescent="0.3">
      <c r="A27" s="19" t="s">
        <v>75</v>
      </c>
      <c r="B27" s="20"/>
      <c r="C27" s="20"/>
      <c r="D27" s="20"/>
      <c r="E27" s="20"/>
      <c r="F27" s="20"/>
    </row>
    <row r="28" spans="1:6" x14ac:dyDescent="0.3">
      <c r="A28" s="12" t="s">
        <v>10</v>
      </c>
      <c r="B28" s="13">
        <v>45729</v>
      </c>
      <c r="C28" s="4" t="s">
        <v>12</v>
      </c>
      <c r="D28" s="4" t="s">
        <v>4</v>
      </c>
      <c r="E28" s="4" t="s">
        <v>13</v>
      </c>
      <c r="F28" s="4" t="s">
        <v>13</v>
      </c>
    </row>
    <row r="29" spans="1:6" ht="15" thickBot="1" x14ac:dyDescent="0.35">
      <c r="A29" s="4"/>
    </row>
    <row r="30" spans="1:6" x14ac:dyDescent="0.3">
      <c r="A30" s="19" t="s">
        <v>87</v>
      </c>
      <c r="B30" s="20"/>
      <c r="C30" s="20"/>
      <c r="D30" s="20"/>
      <c r="E30" s="20"/>
      <c r="F30" s="20"/>
    </row>
    <row r="31" spans="1:6" x14ac:dyDescent="0.3">
      <c r="A31" s="12" t="s">
        <v>14</v>
      </c>
      <c r="B31" s="13">
        <v>45730</v>
      </c>
      <c r="C31" s="4" t="s">
        <v>12</v>
      </c>
      <c r="D31" s="4" t="s">
        <v>4</v>
      </c>
      <c r="E31" s="4" t="s">
        <v>13</v>
      </c>
      <c r="F31" s="4" t="s">
        <v>13</v>
      </c>
    </row>
    <row r="32" spans="1:6" ht="15" thickBot="1" x14ac:dyDescent="0.35">
      <c r="A32" s="4"/>
    </row>
    <row r="33" spans="1:6" x14ac:dyDescent="0.3">
      <c r="A33" s="19" t="s">
        <v>90</v>
      </c>
      <c r="B33" s="20"/>
      <c r="C33" s="20"/>
      <c r="D33" s="20"/>
      <c r="E33" s="20"/>
      <c r="F33" s="20"/>
    </row>
    <row r="34" spans="1:6" x14ac:dyDescent="0.3">
      <c r="A34" s="12" t="s">
        <v>14</v>
      </c>
      <c r="B34" s="13">
        <v>45730</v>
      </c>
      <c r="C34" s="4" t="s">
        <v>12</v>
      </c>
      <c r="D34" s="4" t="s">
        <v>4</v>
      </c>
      <c r="E34" s="4" t="s">
        <v>13</v>
      </c>
      <c r="F34" s="4" t="s">
        <v>13</v>
      </c>
    </row>
    <row r="35" spans="1:6" ht="15" thickBot="1" x14ac:dyDescent="0.35">
      <c r="A35" s="4"/>
    </row>
    <row r="36" spans="1:6" x14ac:dyDescent="0.3">
      <c r="A36" s="19" t="s">
        <v>93</v>
      </c>
      <c r="B36" s="20"/>
      <c r="C36" s="20"/>
      <c r="D36" s="20"/>
      <c r="E36" s="20"/>
      <c r="F36" s="20"/>
    </row>
    <row r="37" spans="1:6" x14ac:dyDescent="0.3">
      <c r="A37" s="12" t="s">
        <v>14</v>
      </c>
      <c r="B37" s="13">
        <v>45730</v>
      </c>
      <c r="C37" s="4" t="s">
        <v>12</v>
      </c>
      <c r="D37" s="4" t="s">
        <v>4</v>
      </c>
      <c r="E37" s="4" t="s">
        <v>13</v>
      </c>
      <c r="F37" s="4" t="s">
        <v>13</v>
      </c>
    </row>
    <row r="38" spans="1:6" ht="15" thickBot="1" x14ac:dyDescent="0.35">
      <c r="A38" s="4"/>
    </row>
    <row r="39" spans="1:6" x14ac:dyDescent="0.3">
      <c r="A39" s="19" t="s">
        <v>96</v>
      </c>
      <c r="B39" s="20"/>
      <c r="C39" s="20"/>
      <c r="D39" s="20"/>
      <c r="E39" s="20"/>
      <c r="F39" s="20"/>
    </row>
    <row r="40" spans="1:6" x14ac:dyDescent="0.3">
      <c r="A40" s="12" t="s">
        <v>14</v>
      </c>
      <c r="B40" s="13">
        <v>45730</v>
      </c>
      <c r="C40" s="4" t="s">
        <v>12</v>
      </c>
      <c r="D40" s="4" t="s">
        <v>4</v>
      </c>
      <c r="E40" s="4" t="s">
        <v>13</v>
      </c>
      <c r="F40" s="4" t="s">
        <v>13</v>
      </c>
    </row>
    <row r="41" spans="1:6" ht="15" thickBot="1" x14ac:dyDescent="0.35">
      <c r="A41" s="4"/>
    </row>
    <row r="42" spans="1:6" x14ac:dyDescent="0.3">
      <c r="A42" s="19" t="s">
        <v>99</v>
      </c>
      <c r="B42" s="20"/>
      <c r="C42" s="20"/>
      <c r="D42" s="20"/>
      <c r="E42" s="20"/>
      <c r="F42" s="20"/>
    </row>
    <row r="43" spans="1:6" x14ac:dyDescent="0.3">
      <c r="A43" s="12" t="s">
        <v>14</v>
      </c>
      <c r="B43" s="13">
        <v>45730</v>
      </c>
      <c r="C43" s="4" t="s">
        <v>12</v>
      </c>
      <c r="D43" s="4" t="s">
        <v>4</v>
      </c>
      <c r="E43" s="4" t="s">
        <v>13</v>
      </c>
      <c r="F43" s="4" t="s">
        <v>13</v>
      </c>
    </row>
    <row r="44" spans="1:6" ht="15" thickBot="1" x14ac:dyDescent="0.35">
      <c r="A44" s="4"/>
    </row>
    <row r="45" spans="1:6" x14ac:dyDescent="0.3">
      <c r="A45" s="19" t="s">
        <v>102</v>
      </c>
      <c r="B45" s="20"/>
      <c r="C45" s="20"/>
      <c r="D45" s="20"/>
      <c r="E45" s="20"/>
      <c r="F45" s="20"/>
    </row>
    <row r="46" spans="1:6" x14ac:dyDescent="0.3">
      <c r="A46" s="12" t="s">
        <v>14</v>
      </c>
      <c r="B46" s="13">
        <v>45730</v>
      </c>
      <c r="C46" s="4" t="s">
        <v>12</v>
      </c>
      <c r="D46" s="4" t="s">
        <v>4</v>
      </c>
      <c r="E46" s="4" t="s">
        <v>13</v>
      </c>
      <c r="F46" s="4" t="s">
        <v>13</v>
      </c>
    </row>
    <row r="47" spans="1:6" ht="15" thickBot="1" x14ac:dyDescent="0.35">
      <c r="A47" s="4"/>
    </row>
    <row r="48" spans="1:6" x14ac:dyDescent="0.3">
      <c r="A48" s="19" t="s">
        <v>105</v>
      </c>
      <c r="B48" s="20"/>
      <c r="C48" s="20"/>
      <c r="D48" s="20"/>
      <c r="E48" s="20"/>
      <c r="F48" s="20"/>
    </row>
    <row r="49" spans="1:6" x14ac:dyDescent="0.3">
      <c r="A49" s="12" t="s">
        <v>14</v>
      </c>
      <c r="B49" s="13">
        <v>45730</v>
      </c>
      <c r="C49" s="4" t="s">
        <v>12</v>
      </c>
      <c r="D49" s="4" t="s">
        <v>4</v>
      </c>
      <c r="E49" s="4" t="s">
        <v>13</v>
      </c>
      <c r="F49" s="4" t="s">
        <v>13</v>
      </c>
    </row>
    <row r="50" spans="1:6" ht="15" thickBot="1" x14ac:dyDescent="0.35">
      <c r="A50" s="4"/>
    </row>
    <row r="51" spans="1:6" x14ac:dyDescent="0.3">
      <c r="A51" s="19" t="s">
        <v>108</v>
      </c>
      <c r="B51" s="20"/>
      <c r="C51" s="20"/>
      <c r="D51" s="20"/>
      <c r="E51" s="20"/>
      <c r="F51" s="20"/>
    </row>
    <row r="52" spans="1:6" x14ac:dyDescent="0.3">
      <c r="A52" s="12" t="s">
        <v>14</v>
      </c>
      <c r="B52" s="13">
        <v>45730</v>
      </c>
      <c r="C52" s="4" t="s">
        <v>12</v>
      </c>
      <c r="D52" s="4" t="s">
        <v>4</v>
      </c>
      <c r="E52" s="4" t="s">
        <v>13</v>
      </c>
      <c r="F52" s="4" t="s">
        <v>13</v>
      </c>
    </row>
    <row r="53" spans="1:6" ht="15" thickBot="1" x14ac:dyDescent="0.35">
      <c r="A53" s="4"/>
    </row>
    <row r="54" spans="1:6" x14ac:dyDescent="0.3">
      <c r="A54" s="19" t="s">
        <v>111</v>
      </c>
      <c r="B54" s="20"/>
      <c r="C54" s="20"/>
      <c r="D54" s="20"/>
      <c r="E54" s="20"/>
      <c r="F54" s="20"/>
    </row>
    <row r="55" spans="1:6" x14ac:dyDescent="0.3">
      <c r="A55" s="12" t="s">
        <v>14</v>
      </c>
      <c r="B55" s="13">
        <v>45730</v>
      </c>
      <c r="C55" s="4" t="s">
        <v>12</v>
      </c>
      <c r="D55" s="4" t="s">
        <v>4</v>
      </c>
      <c r="E55" s="4" t="s">
        <v>13</v>
      </c>
      <c r="F55" s="4" t="s">
        <v>13</v>
      </c>
    </row>
    <row r="56" spans="1:6" ht="15" thickBot="1" x14ac:dyDescent="0.35">
      <c r="A56" s="4"/>
    </row>
    <row r="57" spans="1:6" x14ac:dyDescent="0.3">
      <c r="A57" s="19" t="s">
        <v>114</v>
      </c>
      <c r="B57" s="20"/>
      <c r="C57" s="20"/>
      <c r="D57" s="20"/>
      <c r="E57" s="20"/>
      <c r="F57" s="20"/>
    </row>
    <row r="58" spans="1:6" x14ac:dyDescent="0.3">
      <c r="A58" s="12" t="s">
        <v>14</v>
      </c>
      <c r="B58" s="13">
        <v>45730</v>
      </c>
      <c r="C58" s="4" t="s">
        <v>12</v>
      </c>
      <c r="D58" s="4" t="s">
        <v>4</v>
      </c>
      <c r="E58" s="4" t="s">
        <v>13</v>
      </c>
      <c r="F58" s="4" t="s">
        <v>13</v>
      </c>
    </row>
    <row r="59" spans="1:6" ht="15" thickBot="1" x14ac:dyDescent="0.35">
      <c r="A59" s="4"/>
    </row>
    <row r="60" spans="1:6" x14ac:dyDescent="0.3">
      <c r="A60" s="19" t="s">
        <v>124</v>
      </c>
      <c r="B60" s="20"/>
      <c r="C60" s="20"/>
      <c r="D60" s="20"/>
      <c r="E60" s="20"/>
      <c r="F60" s="20"/>
    </row>
    <row r="61" spans="1:6" x14ac:dyDescent="0.3">
      <c r="A61" s="12" t="s">
        <v>14</v>
      </c>
      <c r="B61" s="13">
        <v>45730</v>
      </c>
      <c r="C61" s="4" t="s">
        <v>12</v>
      </c>
      <c r="D61" s="4" t="s">
        <v>4</v>
      </c>
      <c r="E61" s="4" t="s">
        <v>13</v>
      </c>
      <c r="F61" s="4" t="s">
        <v>13</v>
      </c>
    </row>
    <row r="62" spans="1:6" ht="15" thickBot="1" x14ac:dyDescent="0.35">
      <c r="A62" s="4"/>
    </row>
    <row r="63" spans="1:6" x14ac:dyDescent="0.3">
      <c r="A63" s="19" t="s">
        <v>127</v>
      </c>
      <c r="B63" s="20"/>
      <c r="C63" s="20"/>
      <c r="D63" s="20"/>
      <c r="E63" s="20"/>
      <c r="F63" s="20"/>
    </row>
    <row r="64" spans="1:6" x14ac:dyDescent="0.3">
      <c r="A64" s="12" t="s">
        <v>14</v>
      </c>
      <c r="B64" s="13">
        <v>45730</v>
      </c>
      <c r="C64" s="4" t="s">
        <v>12</v>
      </c>
      <c r="D64" s="4" t="s">
        <v>4</v>
      </c>
      <c r="E64" s="4" t="s">
        <v>13</v>
      </c>
      <c r="F64" s="4" t="s">
        <v>13</v>
      </c>
    </row>
    <row r="65" spans="1:6" ht="15" thickBot="1" x14ac:dyDescent="0.35">
      <c r="A65" s="4"/>
    </row>
    <row r="66" spans="1:6" x14ac:dyDescent="0.3">
      <c r="A66" s="19" t="s">
        <v>130</v>
      </c>
      <c r="B66" s="20"/>
      <c r="C66" s="20"/>
      <c r="D66" s="20"/>
      <c r="E66" s="20"/>
      <c r="F66" s="20"/>
    </row>
    <row r="67" spans="1:6" x14ac:dyDescent="0.3">
      <c r="A67" s="12" t="s">
        <v>14</v>
      </c>
      <c r="B67" s="13">
        <v>45730</v>
      </c>
      <c r="C67" s="4" t="s">
        <v>12</v>
      </c>
      <c r="D67" s="4" t="s">
        <v>4</v>
      </c>
      <c r="E67" s="4" t="s">
        <v>13</v>
      </c>
      <c r="F67" s="4" t="s">
        <v>13</v>
      </c>
    </row>
    <row r="68" spans="1:6" ht="15" thickBot="1" x14ac:dyDescent="0.35">
      <c r="A68" s="4"/>
    </row>
    <row r="69" spans="1:6" x14ac:dyDescent="0.3">
      <c r="A69" s="19" t="s">
        <v>145</v>
      </c>
      <c r="B69" s="20"/>
      <c r="C69" s="20"/>
      <c r="D69" s="20"/>
      <c r="E69" s="20"/>
      <c r="F69" s="20"/>
    </row>
    <row r="70" spans="1:6" x14ac:dyDescent="0.3">
      <c r="A70" s="12" t="s">
        <v>14</v>
      </c>
      <c r="B70" s="13">
        <v>45730</v>
      </c>
      <c r="C70" s="4" t="s">
        <v>12</v>
      </c>
      <c r="D70" s="4" t="s">
        <v>4</v>
      </c>
      <c r="E70" s="4" t="s">
        <v>13</v>
      </c>
      <c r="F70" s="4" t="s">
        <v>13</v>
      </c>
    </row>
    <row r="71" spans="1:6" ht="15" thickBot="1" x14ac:dyDescent="0.35">
      <c r="A71" s="4"/>
    </row>
    <row r="72" spans="1:6" x14ac:dyDescent="0.3">
      <c r="A72" s="19" t="s">
        <v>148</v>
      </c>
      <c r="B72" s="20"/>
      <c r="C72" s="20"/>
      <c r="D72" s="20"/>
      <c r="E72" s="20"/>
      <c r="F72" s="20"/>
    </row>
    <row r="73" spans="1:6" x14ac:dyDescent="0.3">
      <c r="A73" s="12" t="s">
        <v>14</v>
      </c>
      <c r="B73" s="13">
        <v>45730</v>
      </c>
      <c r="C73" s="4" t="s">
        <v>12</v>
      </c>
      <c r="D73" s="4" t="s">
        <v>4</v>
      </c>
      <c r="E73" s="4" t="s">
        <v>13</v>
      </c>
      <c r="F73" s="4" t="s">
        <v>13</v>
      </c>
    </row>
    <row r="74" spans="1:6" ht="15" thickBot="1" x14ac:dyDescent="0.35">
      <c r="A74" s="4"/>
    </row>
    <row r="75" spans="1:6" x14ac:dyDescent="0.3">
      <c r="A75" s="19" t="s">
        <v>151</v>
      </c>
      <c r="B75" s="20"/>
      <c r="C75" s="20"/>
      <c r="D75" s="20"/>
      <c r="E75" s="20"/>
      <c r="F75" s="20"/>
    </row>
    <row r="76" spans="1:6" x14ac:dyDescent="0.3">
      <c r="A76" s="12" t="s">
        <v>14</v>
      </c>
      <c r="B76" s="13">
        <v>45730</v>
      </c>
      <c r="C76" s="4" t="s">
        <v>12</v>
      </c>
      <c r="D76" s="4" t="s">
        <v>4</v>
      </c>
      <c r="E76" s="4" t="s">
        <v>13</v>
      </c>
      <c r="F76" s="4" t="s">
        <v>13</v>
      </c>
    </row>
    <row r="77" spans="1:6" ht="15" thickBot="1" x14ac:dyDescent="0.35">
      <c r="A77" s="4"/>
    </row>
    <row r="78" spans="1:6" x14ac:dyDescent="0.3">
      <c r="A78" s="19" t="s">
        <v>154</v>
      </c>
      <c r="B78" s="20"/>
      <c r="C78" s="20"/>
      <c r="D78" s="20"/>
      <c r="E78" s="20"/>
      <c r="F78" s="20"/>
    </row>
    <row r="79" spans="1:6" x14ac:dyDescent="0.3">
      <c r="A79" s="12" t="s">
        <v>14</v>
      </c>
      <c r="B79" s="13">
        <v>45730</v>
      </c>
      <c r="C79" s="4" t="s">
        <v>12</v>
      </c>
      <c r="D79" s="4" t="s">
        <v>4</v>
      </c>
      <c r="E79" s="4" t="s">
        <v>13</v>
      </c>
      <c r="F79" s="4" t="s">
        <v>13</v>
      </c>
    </row>
    <row r="80" spans="1:6" ht="15" thickBot="1" x14ac:dyDescent="0.35">
      <c r="A80" s="4"/>
    </row>
    <row r="81" spans="1:6" x14ac:dyDescent="0.3">
      <c r="A81" s="19" t="s">
        <v>157</v>
      </c>
      <c r="B81" s="20"/>
      <c r="C81" s="20"/>
      <c r="D81" s="20"/>
      <c r="E81" s="20"/>
      <c r="F81" s="20"/>
    </row>
    <row r="82" spans="1:6" x14ac:dyDescent="0.3">
      <c r="A82" s="12" t="s">
        <v>14</v>
      </c>
      <c r="B82" s="13">
        <v>45730</v>
      </c>
      <c r="C82" s="4" t="s">
        <v>12</v>
      </c>
      <c r="D82" s="4" t="s">
        <v>4</v>
      </c>
      <c r="E82" s="4" t="s">
        <v>13</v>
      </c>
      <c r="F82" s="4" t="s">
        <v>13</v>
      </c>
    </row>
    <row r="83" spans="1:6" ht="15" thickBot="1" x14ac:dyDescent="0.35">
      <c r="A83" s="4"/>
    </row>
    <row r="84" spans="1:6" x14ac:dyDescent="0.3">
      <c r="A84" s="19" t="s">
        <v>160</v>
      </c>
      <c r="B84" s="20"/>
      <c r="C84" s="20"/>
      <c r="D84" s="20"/>
      <c r="E84" s="20"/>
      <c r="F84" s="20"/>
    </row>
    <row r="85" spans="1:6" x14ac:dyDescent="0.3">
      <c r="A85" s="12" t="s">
        <v>14</v>
      </c>
      <c r="B85" s="13">
        <v>45730</v>
      </c>
      <c r="C85" s="4" t="s">
        <v>12</v>
      </c>
      <c r="D85" s="4" t="s">
        <v>4</v>
      </c>
      <c r="E85" s="4" t="s">
        <v>13</v>
      </c>
      <c r="F85" s="4" t="s">
        <v>13</v>
      </c>
    </row>
    <row r="86" spans="1:6" ht="15" thickBot="1" x14ac:dyDescent="0.35">
      <c r="A86" s="4"/>
    </row>
    <row r="87" spans="1:6" x14ac:dyDescent="0.3">
      <c r="A87" s="19" t="s">
        <v>163</v>
      </c>
      <c r="B87" s="20"/>
      <c r="C87" s="20"/>
      <c r="D87" s="20"/>
      <c r="E87" s="20"/>
      <c r="F87" s="20"/>
    </row>
    <row r="88" spans="1:6" x14ac:dyDescent="0.3">
      <c r="A88" s="12" t="s">
        <v>14</v>
      </c>
      <c r="B88" s="13">
        <v>45730</v>
      </c>
      <c r="C88" s="4" t="s">
        <v>12</v>
      </c>
      <c r="D88" s="4" t="s">
        <v>4</v>
      </c>
      <c r="E88" s="4" t="s">
        <v>13</v>
      </c>
      <c r="F88" s="4" t="s">
        <v>13</v>
      </c>
    </row>
    <row r="89" spans="1:6" ht="15" thickBot="1" x14ac:dyDescent="0.35">
      <c r="A89" s="4"/>
    </row>
    <row r="90" spans="1:6" x14ac:dyDescent="0.3">
      <c r="A90" s="19" t="s">
        <v>166</v>
      </c>
      <c r="B90" s="20"/>
      <c r="C90" s="20"/>
      <c r="D90" s="20"/>
      <c r="E90" s="20"/>
      <c r="F90" s="20"/>
    </row>
    <row r="91" spans="1:6" x14ac:dyDescent="0.3">
      <c r="A91" s="12" t="s">
        <v>14</v>
      </c>
      <c r="B91" s="13">
        <v>45730</v>
      </c>
      <c r="C91" s="4" t="s">
        <v>12</v>
      </c>
      <c r="D91" s="4" t="s">
        <v>4</v>
      </c>
      <c r="E91" s="4" t="s">
        <v>13</v>
      </c>
      <c r="F91" s="4" t="s">
        <v>13</v>
      </c>
    </row>
    <row r="92" spans="1:6" ht="15" thickBot="1" x14ac:dyDescent="0.35">
      <c r="A92" s="4"/>
    </row>
    <row r="93" spans="1:6" x14ac:dyDescent="0.3">
      <c r="A93" s="19" t="s">
        <v>169</v>
      </c>
      <c r="B93" s="20"/>
      <c r="C93" s="20"/>
      <c r="D93" s="20"/>
      <c r="E93" s="20"/>
      <c r="F93" s="20"/>
    </row>
    <row r="94" spans="1:6" x14ac:dyDescent="0.3">
      <c r="A94" s="12" t="s">
        <v>14</v>
      </c>
      <c r="B94" s="13">
        <v>45730</v>
      </c>
      <c r="C94" s="4" t="s">
        <v>12</v>
      </c>
      <c r="D94" s="4" t="s">
        <v>4</v>
      </c>
      <c r="E94" s="4" t="s">
        <v>13</v>
      </c>
      <c r="F94" s="4" t="s">
        <v>13</v>
      </c>
    </row>
    <row r="95" spans="1:6" ht="15" thickBot="1" x14ac:dyDescent="0.35">
      <c r="A95" s="4"/>
    </row>
    <row r="96" spans="1:6" x14ac:dyDescent="0.3">
      <c r="A96" s="19" t="s">
        <v>172</v>
      </c>
      <c r="B96" s="20"/>
      <c r="C96" s="20"/>
      <c r="D96" s="20"/>
      <c r="E96" s="20"/>
      <c r="F96" s="20"/>
    </row>
    <row r="97" spans="1:6" x14ac:dyDescent="0.3">
      <c r="A97" s="12" t="s">
        <v>14</v>
      </c>
      <c r="B97" s="13">
        <v>45730</v>
      </c>
      <c r="C97" s="4" t="s">
        <v>12</v>
      </c>
      <c r="D97" s="4" t="s">
        <v>4</v>
      </c>
      <c r="E97" s="4" t="s">
        <v>13</v>
      </c>
      <c r="F97" s="4" t="s">
        <v>13</v>
      </c>
    </row>
    <row r="98" spans="1:6" ht="15" thickBot="1" x14ac:dyDescent="0.35">
      <c r="A98" s="4"/>
    </row>
    <row r="99" spans="1:6" x14ac:dyDescent="0.3">
      <c r="A99" s="19" t="s">
        <v>180</v>
      </c>
      <c r="B99" s="20"/>
      <c r="C99" s="20"/>
      <c r="D99" s="20"/>
      <c r="E99" s="20"/>
      <c r="F99" s="20"/>
    </row>
    <row r="100" spans="1:6" x14ac:dyDescent="0.3">
      <c r="A100" s="12" t="s">
        <v>10</v>
      </c>
      <c r="B100" s="13">
        <v>45730</v>
      </c>
      <c r="C100" s="4" t="s">
        <v>12</v>
      </c>
      <c r="D100" s="4" t="s">
        <v>4</v>
      </c>
      <c r="E100" s="4" t="s">
        <v>13</v>
      </c>
      <c r="F100" s="4" t="s">
        <v>13</v>
      </c>
    </row>
    <row r="101" spans="1:6" ht="15" thickBot="1" x14ac:dyDescent="0.35">
      <c r="A101" s="4"/>
    </row>
    <row r="102" spans="1:6" x14ac:dyDescent="0.3">
      <c r="A102" s="19" t="s">
        <v>183</v>
      </c>
      <c r="B102" s="20"/>
      <c r="C102" s="20"/>
      <c r="D102" s="20"/>
      <c r="E102" s="20"/>
      <c r="F102" s="20"/>
    </row>
    <row r="103" spans="1:6" x14ac:dyDescent="0.3">
      <c r="A103" s="12" t="s">
        <v>10</v>
      </c>
      <c r="B103" s="13">
        <v>45730</v>
      </c>
      <c r="C103" s="4" t="s">
        <v>12</v>
      </c>
      <c r="D103" s="4" t="s">
        <v>4</v>
      </c>
      <c r="E103" s="4" t="s">
        <v>13</v>
      </c>
      <c r="F103" s="4" t="s">
        <v>13</v>
      </c>
    </row>
    <row r="104" spans="1:6" ht="15" thickBot="1" x14ac:dyDescent="0.35">
      <c r="A104" s="4"/>
    </row>
    <row r="105" spans="1:6" x14ac:dyDescent="0.3">
      <c r="A105" s="19" t="s">
        <v>186</v>
      </c>
      <c r="B105" s="20"/>
      <c r="C105" s="20"/>
      <c r="D105" s="20"/>
      <c r="E105" s="20"/>
      <c r="F105" s="20"/>
    </row>
    <row r="106" spans="1:6" x14ac:dyDescent="0.3">
      <c r="A106" s="12" t="s">
        <v>10</v>
      </c>
      <c r="B106" s="13">
        <v>45730</v>
      </c>
      <c r="C106" s="4" t="s">
        <v>12</v>
      </c>
      <c r="D106" s="4" t="s">
        <v>4</v>
      </c>
      <c r="E106" s="4" t="s">
        <v>13</v>
      </c>
      <c r="F106" s="4" t="s">
        <v>13</v>
      </c>
    </row>
    <row r="107" spans="1:6" ht="15" thickBot="1" x14ac:dyDescent="0.35">
      <c r="A107" s="4"/>
    </row>
    <row r="108" spans="1:6" x14ac:dyDescent="0.3">
      <c r="A108" s="19" t="s">
        <v>192</v>
      </c>
      <c r="B108" s="20"/>
      <c r="C108" s="20"/>
      <c r="D108" s="20"/>
      <c r="E108" s="20"/>
      <c r="F108" s="20"/>
    </row>
    <row r="109" spans="1:6" x14ac:dyDescent="0.3">
      <c r="A109" s="12" t="s">
        <v>10</v>
      </c>
      <c r="B109" s="13">
        <v>45730</v>
      </c>
      <c r="C109" s="4" t="s">
        <v>12</v>
      </c>
      <c r="D109" s="4" t="s">
        <v>4</v>
      </c>
      <c r="E109" s="4" t="s">
        <v>13</v>
      </c>
      <c r="F109" s="4" t="s">
        <v>13</v>
      </c>
    </row>
    <row r="110" spans="1:6" ht="15" thickBot="1" x14ac:dyDescent="0.35">
      <c r="A110" s="4"/>
    </row>
    <row r="111" spans="1:6" x14ac:dyDescent="0.3">
      <c r="A111" s="19" t="s">
        <v>195</v>
      </c>
      <c r="B111" s="20"/>
      <c r="C111" s="20"/>
      <c r="D111" s="20"/>
      <c r="E111" s="20"/>
      <c r="F111" s="20"/>
    </row>
    <row r="112" spans="1:6" x14ac:dyDescent="0.3">
      <c r="A112" s="12" t="s">
        <v>10</v>
      </c>
      <c r="B112" s="13">
        <v>45730</v>
      </c>
      <c r="C112" s="4" t="s">
        <v>12</v>
      </c>
      <c r="D112" s="4" t="s">
        <v>4</v>
      </c>
      <c r="E112" s="4" t="s">
        <v>13</v>
      </c>
      <c r="F112" s="4" t="s">
        <v>13</v>
      </c>
    </row>
    <row r="113" spans="1:6" ht="15" thickBot="1" x14ac:dyDescent="0.35">
      <c r="A113" s="4"/>
    </row>
    <row r="114" spans="1:6" x14ac:dyDescent="0.3">
      <c r="A114" s="19" t="s">
        <v>198</v>
      </c>
      <c r="B114" s="20"/>
      <c r="C114" s="20"/>
      <c r="D114" s="20"/>
      <c r="E114" s="20"/>
      <c r="F114" s="20"/>
    </row>
    <row r="115" spans="1:6" x14ac:dyDescent="0.3">
      <c r="A115" s="12" t="s">
        <v>10</v>
      </c>
      <c r="B115" s="13">
        <v>45730</v>
      </c>
      <c r="C115" s="4" t="s">
        <v>12</v>
      </c>
      <c r="D115" s="4" t="s">
        <v>4</v>
      </c>
      <c r="E115" s="4" t="s">
        <v>13</v>
      </c>
      <c r="F115" s="4" t="s">
        <v>13</v>
      </c>
    </row>
    <row r="116" spans="1:6" ht="15" thickBot="1" x14ac:dyDescent="0.35">
      <c r="A116" s="4"/>
    </row>
    <row r="117" spans="1:6" x14ac:dyDescent="0.3">
      <c r="A117" s="19" t="s">
        <v>205</v>
      </c>
      <c r="B117" s="20"/>
      <c r="C117" s="20"/>
      <c r="D117" s="20"/>
      <c r="E117" s="20"/>
      <c r="F117" s="20"/>
    </row>
    <row r="118" spans="1:6" x14ac:dyDescent="0.3">
      <c r="A118" s="12" t="s">
        <v>10</v>
      </c>
      <c r="B118" s="13">
        <v>45730</v>
      </c>
      <c r="C118" s="4" t="s">
        <v>12</v>
      </c>
      <c r="D118" s="4" t="s">
        <v>4</v>
      </c>
      <c r="E118" s="4" t="s">
        <v>13</v>
      </c>
      <c r="F118" s="4" t="s">
        <v>13</v>
      </c>
    </row>
    <row r="119" spans="1:6" ht="15" thickBot="1" x14ac:dyDescent="0.35">
      <c r="A119" s="4"/>
    </row>
    <row r="120" spans="1:6" x14ac:dyDescent="0.3">
      <c r="A120" s="19" t="s">
        <v>212</v>
      </c>
      <c r="B120" s="20"/>
      <c r="C120" s="20"/>
      <c r="D120" s="20"/>
      <c r="E120" s="20"/>
      <c r="F120" s="20"/>
    </row>
    <row r="121" spans="1:6" x14ac:dyDescent="0.3">
      <c r="A121" s="12" t="s">
        <v>14</v>
      </c>
      <c r="B121" s="13">
        <v>45730</v>
      </c>
      <c r="C121" s="4" t="s">
        <v>12</v>
      </c>
      <c r="D121" s="4" t="s">
        <v>4</v>
      </c>
      <c r="E121" s="4" t="s">
        <v>13</v>
      </c>
      <c r="F121" s="4" t="s">
        <v>13</v>
      </c>
    </row>
    <row r="122" spans="1:6" ht="15" thickBot="1" x14ac:dyDescent="0.35">
      <c r="A122" s="4"/>
    </row>
    <row r="123" spans="1:6" x14ac:dyDescent="0.3">
      <c r="A123" s="19" t="s">
        <v>215</v>
      </c>
      <c r="B123" s="20"/>
      <c r="C123" s="20"/>
      <c r="D123" s="20"/>
      <c r="E123" s="20"/>
      <c r="F123" s="20"/>
    </row>
    <row r="124" spans="1:6" x14ac:dyDescent="0.3">
      <c r="A124" s="12" t="s">
        <v>14</v>
      </c>
      <c r="B124" s="13">
        <v>45730</v>
      </c>
      <c r="C124" s="4" t="s">
        <v>12</v>
      </c>
      <c r="D124" s="4" t="s">
        <v>4</v>
      </c>
      <c r="E124" s="4" t="s">
        <v>13</v>
      </c>
      <c r="F124" s="4" t="s">
        <v>13</v>
      </c>
    </row>
    <row r="125" spans="1:6" ht="15" thickBot="1" x14ac:dyDescent="0.35">
      <c r="A125" s="4"/>
    </row>
    <row r="126" spans="1:6" x14ac:dyDescent="0.3">
      <c r="A126" s="19" t="s">
        <v>218</v>
      </c>
      <c r="B126" s="20"/>
      <c r="C126" s="20"/>
      <c r="D126" s="20"/>
      <c r="E126" s="20"/>
      <c r="F126" s="20"/>
    </row>
    <row r="127" spans="1:6" x14ac:dyDescent="0.3">
      <c r="A127" s="12" t="s">
        <v>14</v>
      </c>
      <c r="B127" s="13">
        <v>45730</v>
      </c>
      <c r="C127" s="4" t="s">
        <v>12</v>
      </c>
      <c r="D127" s="4" t="s">
        <v>4</v>
      </c>
      <c r="E127" s="4" t="s">
        <v>13</v>
      </c>
      <c r="F127" s="4" t="s">
        <v>13</v>
      </c>
    </row>
    <row r="128" spans="1:6" ht="15" thickBot="1" x14ac:dyDescent="0.35">
      <c r="A128" s="4"/>
    </row>
    <row r="129" spans="1:6" x14ac:dyDescent="0.3">
      <c r="A129" s="19" t="s">
        <v>225</v>
      </c>
      <c r="B129" s="20"/>
      <c r="C129" s="20"/>
      <c r="D129" s="20"/>
      <c r="E129" s="20"/>
      <c r="F129" s="20"/>
    </row>
    <row r="130" spans="1:6" x14ac:dyDescent="0.3">
      <c r="A130" s="12" t="s">
        <v>10</v>
      </c>
      <c r="B130" s="13">
        <v>45730</v>
      </c>
      <c r="C130" s="4" t="s">
        <v>12</v>
      </c>
      <c r="D130" s="4" t="s">
        <v>4</v>
      </c>
      <c r="E130" s="4" t="s">
        <v>13</v>
      </c>
      <c r="F130" s="4" t="s">
        <v>13</v>
      </c>
    </row>
    <row r="131" spans="1:6" ht="15" thickBot="1" x14ac:dyDescent="0.35">
      <c r="A131" s="4"/>
    </row>
    <row r="132" spans="1:6" x14ac:dyDescent="0.3">
      <c r="A132" s="19" t="s">
        <v>228</v>
      </c>
      <c r="B132" s="20"/>
      <c r="C132" s="20"/>
      <c r="D132" s="20"/>
      <c r="E132" s="20"/>
      <c r="F132" s="20"/>
    </row>
    <row r="133" spans="1:6" x14ac:dyDescent="0.3">
      <c r="A133" s="12" t="s">
        <v>10</v>
      </c>
      <c r="B133" s="13">
        <v>45730</v>
      </c>
      <c r="C133" s="4" t="s">
        <v>12</v>
      </c>
      <c r="D133" s="4" t="s">
        <v>4</v>
      </c>
      <c r="E133" s="4" t="s">
        <v>13</v>
      </c>
      <c r="F133" s="4" t="s">
        <v>13</v>
      </c>
    </row>
    <row r="134" spans="1:6" ht="15" thickBot="1" x14ac:dyDescent="0.35">
      <c r="A134" s="4"/>
    </row>
    <row r="135" spans="1:6" x14ac:dyDescent="0.3">
      <c r="A135" s="19" t="s">
        <v>231</v>
      </c>
      <c r="B135" s="20"/>
      <c r="C135" s="20"/>
      <c r="D135" s="20"/>
      <c r="E135" s="20"/>
      <c r="F135" s="20"/>
    </row>
    <row r="136" spans="1:6" x14ac:dyDescent="0.3">
      <c r="A136" s="12" t="s">
        <v>10</v>
      </c>
      <c r="B136" s="13">
        <v>45730</v>
      </c>
      <c r="C136" s="4" t="s">
        <v>12</v>
      </c>
      <c r="D136" s="4" t="s">
        <v>4</v>
      </c>
      <c r="E136" s="4" t="s">
        <v>13</v>
      </c>
      <c r="F136" s="4" t="s">
        <v>13</v>
      </c>
    </row>
    <row r="137" spans="1:6" ht="15" thickBot="1" x14ac:dyDescent="0.35">
      <c r="A137" s="4"/>
    </row>
    <row r="138" spans="1:6" x14ac:dyDescent="0.3">
      <c r="A138" s="19" t="s">
        <v>234</v>
      </c>
      <c r="B138" s="20"/>
      <c r="C138" s="20"/>
      <c r="D138" s="20"/>
      <c r="E138" s="20"/>
      <c r="F138" s="20"/>
    </row>
    <row r="139" spans="1:6" x14ac:dyDescent="0.3">
      <c r="A139" s="12" t="s">
        <v>14</v>
      </c>
      <c r="B139" s="13">
        <v>45730</v>
      </c>
      <c r="C139" s="4" t="s">
        <v>12</v>
      </c>
      <c r="D139" s="4" t="s">
        <v>4</v>
      </c>
      <c r="E139" s="4" t="s">
        <v>13</v>
      </c>
      <c r="F139" s="4" t="s">
        <v>13</v>
      </c>
    </row>
    <row r="140" spans="1:6" ht="15" thickBot="1" x14ac:dyDescent="0.35">
      <c r="A140" s="4"/>
    </row>
    <row r="141" spans="1:6" x14ac:dyDescent="0.3">
      <c r="A141" s="19" t="s">
        <v>237</v>
      </c>
      <c r="B141" s="20"/>
      <c r="C141" s="20"/>
      <c r="D141" s="20"/>
      <c r="E141" s="20"/>
      <c r="F141" s="20"/>
    </row>
    <row r="142" spans="1:6" x14ac:dyDescent="0.3">
      <c r="A142" s="12" t="s">
        <v>14</v>
      </c>
      <c r="B142" s="13">
        <v>45730</v>
      </c>
      <c r="C142" s="4" t="s">
        <v>12</v>
      </c>
      <c r="D142" s="4" t="s">
        <v>4</v>
      </c>
      <c r="E142" s="4" t="s">
        <v>13</v>
      </c>
      <c r="F142" s="4" t="s">
        <v>13</v>
      </c>
    </row>
    <row r="143" spans="1:6" ht="15" thickBot="1" x14ac:dyDescent="0.35">
      <c r="A143" s="4"/>
    </row>
    <row r="144" spans="1:6" x14ac:dyDescent="0.3">
      <c r="A144" s="19" t="s">
        <v>240</v>
      </c>
      <c r="B144" s="20"/>
      <c r="C144" s="20"/>
      <c r="D144" s="20"/>
      <c r="E144" s="20"/>
      <c r="F144" s="20"/>
    </row>
    <row r="145" spans="1:6" x14ac:dyDescent="0.3">
      <c r="A145" s="12" t="s">
        <v>14</v>
      </c>
      <c r="B145" s="13">
        <v>45730</v>
      </c>
      <c r="C145" s="4" t="s">
        <v>12</v>
      </c>
      <c r="D145" s="4" t="s">
        <v>4</v>
      </c>
      <c r="E145" s="4" t="s">
        <v>13</v>
      </c>
      <c r="F145" s="4" t="s">
        <v>13</v>
      </c>
    </row>
    <row r="146" spans="1:6" ht="15" thickBot="1" x14ac:dyDescent="0.35">
      <c r="A146" s="4"/>
    </row>
    <row r="147" spans="1:6" x14ac:dyDescent="0.3">
      <c r="A147" s="19" t="s">
        <v>243</v>
      </c>
      <c r="B147" s="20"/>
      <c r="C147" s="20"/>
      <c r="D147" s="20"/>
      <c r="E147" s="20"/>
      <c r="F147" s="20"/>
    </row>
    <row r="148" spans="1:6" x14ac:dyDescent="0.3">
      <c r="A148" s="12" t="s">
        <v>14</v>
      </c>
      <c r="B148" s="13">
        <v>45730</v>
      </c>
      <c r="C148" s="4" t="s">
        <v>12</v>
      </c>
      <c r="D148" s="4" t="s">
        <v>4</v>
      </c>
      <c r="E148" s="4" t="s">
        <v>13</v>
      </c>
      <c r="F148" s="4" t="s">
        <v>13</v>
      </c>
    </row>
    <row r="149" spans="1:6" ht="15" thickBot="1" x14ac:dyDescent="0.35">
      <c r="A149" s="4"/>
    </row>
    <row r="150" spans="1:6" x14ac:dyDescent="0.3">
      <c r="A150" s="19" t="s">
        <v>246</v>
      </c>
      <c r="B150" s="20"/>
      <c r="C150" s="20"/>
      <c r="D150" s="20"/>
      <c r="E150" s="20"/>
      <c r="F150" s="20"/>
    </row>
    <row r="151" spans="1:6" x14ac:dyDescent="0.3">
      <c r="A151" s="12" t="s">
        <v>14</v>
      </c>
      <c r="B151" s="13">
        <v>45730</v>
      </c>
      <c r="C151" s="4" t="s">
        <v>12</v>
      </c>
      <c r="D151" s="4" t="s">
        <v>4</v>
      </c>
      <c r="E151" s="4" t="s">
        <v>13</v>
      </c>
      <c r="F151" s="4" t="s">
        <v>13</v>
      </c>
    </row>
    <row r="152" spans="1:6" ht="15" thickBot="1" x14ac:dyDescent="0.35">
      <c r="A152" s="4"/>
    </row>
    <row r="153" spans="1:6" x14ac:dyDescent="0.3">
      <c r="A153" s="19" t="s">
        <v>254</v>
      </c>
      <c r="B153" s="20"/>
      <c r="C153" s="20"/>
      <c r="D153" s="20"/>
      <c r="E153" s="20"/>
      <c r="F153" s="20"/>
    </row>
    <row r="154" spans="1:6" x14ac:dyDescent="0.3">
      <c r="A154" s="12" t="s">
        <v>14</v>
      </c>
      <c r="B154" s="13">
        <v>45730</v>
      </c>
      <c r="C154" s="4" t="s">
        <v>12</v>
      </c>
      <c r="D154" s="4" t="s">
        <v>4</v>
      </c>
      <c r="E154" s="4" t="s">
        <v>13</v>
      </c>
      <c r="F154" s="4" t="s">
        <v>13</v>
      </c>
    </row>
    <row r="155" spans="1:6" ht="15" thickBot="1" x14ac:dyDescent="0.35">
      <c r="A155" s="4"/>
    </row>
    <row r="156" spans="1:6" x14ac:dyDescent="0.3">
      <c r="A156" s="19" t="s">
        <v>257</v>
      </c>
      <c r="B156" s="20"/>
      <c r="C156" s="20"/>
      <c r="D156" s="20"/>
      <c r="E156" s="20"/>
      <c r="F156" s="20"/>
    </row>
    <row r="157" spans="1:6" x14ac:dyDescent="0.3">
      <c r="A157" s="12" t="s">
        <v>14</v>
      </c>
      <c r="B157" s="13">
        <v>45730</v>
      </c>
      <c r="C157" s="4" t="s">
        <v>12</v>
      </c>
      <c r="D157" s="4" t="s">
        <v>4</v>
      </c>
      <c r="E157" s="4" t="s">
        <v>13</v>
      </c>
      <c r="F157" s="4" t="s">
        <v>13</v>
      </c>
    </row>
    <row r="158" spans="1:6" ht="15" thickBot="1" x14ac:dyDescent="0.35">
      <c r="A158" s="4"/>
    </row>
    <row r="159" spans="1:6" x14ac:dyDescent="0.3">
      <c r="A159" s="19" t="s">
        <v>260</v>
      </c>
      <c r="B159" s="20"/>
      <c r="C159" s="20"/>
      <c r="D159" s="20"/>
      <c r="E159" s="20"/>
      <c r="F159" s="20"/>
    </row>
    <row r="160" spans="1:6" x14ac:dyDescent="0.3">
      <c r="A160" s="12" t="s">
        <v>14</v>
      </c>
      <c r="B160" s="13">
        <v>45730</v>
      </c>
      <c r="C160" s="4" t="s">
        <v>12</v>
      </c>
      <c r="D160" s="4" t="s">
        <v>4</v>
      </c>
      <c r="E160" s="4" t="s">
        <v>13</v>
      </c>
      <c r="F160" s="4" t="s">
        <v>13</v>
      </c>
    </row>
    <row r="161" spans="1:6" ht="15" thickBot="1" x14ac:dyDescent="0.35">
      <c r="A161" s="4"/>
    </row>
    <row r="162" spans="1:6" x14ac:dyDescent="0.3">
      <c r="A162" s="19" t="s">
        <v>267</v>
      </c>
      <c r="B162" s="20"/>
      <c r="C162" s="20"/>
      <c r="D162" s="20"/>
      <c r="E162" s="20"/>
      <c r="F162" s="20"/>
    </row>
    <row r="163" spans="1:6" x14ac:dyDescent="0.3">
      <c r="A163" s="12" t="s">
        <v>14</v>
      </c>
      <c r="B163" s="13">
        <v>45730</v>
      </c>
      <c r="C163" s="4" t="s">
        <v>12</v>
      </c>
      <c r="D163" s="4" t="s">
        <v>4</v>
      </c>
      <c r="E163" s="4" t="s">
        <v>13</v>
      </c>
      <c r="F163" s="4" t="s">
        <v>13</v>
      </c>
    </row>
    <row r="164" spans="1:6" ht="15" thickBot="1" x14ac:dyDescent="0.35">
      <c r="A164" s="4"/>
    </row>
    <row r="165" spans="1:6" x14ac:dyDescent="0.3">
      <c r="A165" s="19" t="s">
        <v>270</v>
      </c>
      <c r="B165" s="20"/>
      <c r="C165" s="20"/>
      <c r="D165" s="20"/>
      <c r="E165" s="20"/>
      <c r="F165" s="20"/>
    </row>
    <row r="166" spans="1:6" x14ac:dyDescent="0.3">
      <c r="A166" s="12" t="s">
        <v>14</v>
      </c>
      <c r="B166" s="13">
        <v>45730</v>
      </c>
      <c r="C166" s="4" t="s">
        <v>12</v>
      </c>
      <c r="D166" s="4" t="s">
        <v>4</v>
      </c>
      <c r="E166" s="4" t="s">
        <v>13</v>
      </c>
      <c r="F166" s="4" t="s">
        <v>13</v>
      </c>
    </row>
    <row r="167" spans="1:6" ht="15" thickBot="1" x14ac:dyDescent="0.35">
      <c r="A167" s="4"/>
    </row>
    <row r="168" spans="1:6" x14ac:dyDescent="0.3">
      <c r="A168" s="19" t="s">
        <v>273</v>
      </c>
      <c r="B168" s="20"/>
      <c r="C168" s="20"/>
      <c r="D168" s="20"/>
      <c r="E168" s="20"/>
      <c r="F168" s="20"/>
    </row>
    <row r="169" spans="1:6" x14ac:dyDescent="0.3">
      <c r="A169" s="12" t="s">
        <v>14</v>
      </c>
      <c r="B169" s="13">
        <v>45730</v>
      </c>
      <c r="C169" s="4" t="s">
        <v>12</v>
      </c>
      <c r="D169" s="4" t="s">
        <v>4</v>
      </c>
      <c r="E169" s="4" t="s">
        <v>13</v>
      </c>
      <c r="F169" s="4" t="s">
        <v>13</v>
      </c>
    </row>
    <row r="170" spans="1:6" ht="15" thickBot="1" x14ac:dyDescent="0.35">
      <c r="A170" s="4"/>
    </row>
    <row r="171" spans="1:6" x14ac:dyDescent="0.3">
      <c r="A171" s="19" t="s">
        <v>276</v>
      </c>
      <c r="B171" s="20"/>
      <c r="C171" s="20"/>
      <c r="D171" s="20"/>
      <c r="E171" s="20"/>
      <c r="F171" s="20"/>
    </row>
    <row r="172" spans="1:6" x14ac:dyDescent="0.3">
      <c r="A172" s="12" t="s">
        <v>14</v>
      </c>
      <c r="B172" s="13">
        <v>45730</v>
      </c>
      <c r="C172" s="4" t="s">
        <v>12</v>
      </c>
      <c r="D172" s="4" t="s">
        <v>4</v>
      </c>
      <c r="E172" s="4" t="s">
        <v>13</v>
      </c>
      <c r="F172" s="4" t="s">
        <v>13</v>
      </c>
    </row>
    <row r="173" spans="1:6" ht="15" thickBot="1" x14ac:dyDescent="0.35">
      <c r="A173" s="4"/>
    </row>
    <row r="174" spans="1:6" x14ac:dyDescent="0.3">
      <c r="A174" s="19" t="s">
        <v>279</v>
      </c>
      <c r="B174" s="20"/>
      <c r="C174" s="20"/>
      <c r="D174" s="20"/>
      <c r="E174" s="20"/>
      <c r="F174" s="20"/>
    </row>
    <row r="175" spans="1:6" x14ac:dyDescent="0.3">
      <c r="A175" s="12" t="s">
        <v>14</v>
      </c>
      <c r="B175" s="13">
        <v>45730</v>
      </c>
      <c r="C175" s="4" t="s">
        <v>12</v>
      </c>
      <c r="D175" s="4" t="s">
        <v>4</v>
      </c>
      <c r="E175" s="4" t="s">
        <v>13</v>
      </c>
      <c r="F175" s="4" t="s">
        <v>13</v>
      </c>
    </row>
    <row r="176" spans="1:6" ht="15" thickBot="1" x14ac:dyDescent="0.35">
      <c r="A176" s="4"/>
    </row>
    <row r="177" spans="1:6" x14ac:dyDescent="0.3">
      <c r="A177" s="19" t="s">
        <v>282</v>
      </c>
      <c r="B177" s="20"/>
      <c r="C177" s="20"/>
      <c r="D177" s="20"/>
      <c r="E177" s="20"/>
      <c r="F177" s="20"/>
    </row>
    <row r="178" spans="1:6" x14ac:dyDescent="0.3">
      <c r="A178" s="12" t="s">
        <v>14</v>
      </c>
      <c r="B178" s="13">
        <v>45730</v>
      </c>
      <c r="C178" s="4" t="s">
        <v>12</v>
      </c>
      <c r="D178" s="4" t="s">
        <v>4</v>
      </c>
      <c r="E178" s="4" t="s">
        <v>13</v>
      </c>
      <c r="F178" s="4" t="s">
        <v>13</v>
      </c>
    </row>
    <row r="179" spans="1:6" ht="15" thickBot="1" x14ac:dyDescent="0.35">
      <c r="A179" s="4"/>
    </row>
    <row r="180" spans="1:6" x14ac:dyDescent="0.3">
      <c r="A180" s="19" t="s">
        <v>292</v>
      </c>
      <c r="B180" s="20"/>
      <c r="C180" s="20"/>
      <c r="D180" s="20"/>
      <c r="E180" s="20"/>
      <c r="F180" s="20"/>
    </row>
    <row r="181" spans="1:6" x14ac:dyDescent="0.3">
      <c r="A181" s="12" t="s">
        <v>14</v>
      </c>
      <c r="B181" s="13">
        <v>45730</v>
      </c>
      <c r="C181" s="4" t="s">
        <v>12</v>
      </c>
      <c r="D181" s="4" t="s">
        <v>4</v>
      </c>
      <c r="E181" s="4" t="s">
        <v>13</v>
      </c>
      <c r="F181" s="4" t="s">
        <v>13</v>
      </c>
    </row>
    <row r="182" spans="1:6" ht="15" thickBot="1" x14ac:dyDescent="0.35">
      <c r="A182" s="4"/>
    </row>
    <row r="183" spans="1:6" x14ac:dyDescent="0.3">
      <c r="A183" s="19" t="s">
        <v>295</v>
      </c>
      <c r="B183" s="20"/>
      <c r="C183" s="20"/>
      <c r="D183" s="20"/>
      <c r="E183" s="20"/>
      <c r="F183" s="20"/>
    </row>
    <row r="184" spans="1:6" x14ac:dyDescent="0.3">
      <c r="A184" s="12" t="s">
        <v>14</v>
      </c>
      <c r="B184" s="13">
        <v>45730</v>
      </c>
      <c r="C184" s="4" t="s">
        <v>12</v>
      </c>
      <c r="D184" s="4" t="s">
        <v>4</v>
      </c>
      <c r="E184" s="4" t="s">
        <v>13</v>
      </c>
      <c r="F184" s="4" t="s">
        <v>13</v>
      </c>
    </row>
    <row r="185" spans="1:6" ht="15" thickBot="1" x14ac:dyDescent="0.35">
      <c r="A185" s="4"/>
    </row>
    <row r="186" spans="1:6" x14ac:dyDescent="0.3">
      <c r="A186" s="19" t="s">
        <v>308</v>
      </c>
      <c r="B186" s="20"/>
      <c r="C186" s="20"/>
      <c r="D186" s="20"/>
      <c r="E186" s="20"/>
      <c r="F186" s="20"/>
    </row>
    <row r="187" spans="1:6" x14ac:dyDescent="0.3">
      <c r="A187" s="12" t="s">
        <v>14</v>
      </c>
      <c r="B187" s="13">
        <v>45730</v>
      </c>
      <c r="C187" s="4" t="s">
        <v>12</v>
      </c>
      <c r="D187" s="4" t="s">
        <v>4</v>
      </c>
      <c r="E187" s="4" t="s">
        <v>13</v>
      </c>
      <c r="F187" s="4" t="s">
        <v>13</v>
      </c>
    </row>
    <row r="188" spans="1:6" ht="15" thickBot="1" x14ac:dyDescent="0.35">
      <c r="A188" s="4"/>
    </row>
    <row r="189" spans="1:6" x14ac:dyDescent="0.3">
      <c r="A189" s="19" t="s">
        <v>311</v>
      </c>
      <c r="B189" s="20"/>
      <c r="C189" s="20"/>
      <c r="D189" s="20"/>
      <c r="E189" s="20"/>
      <c r="F189" s="20"/>
    </row>
    <row r="190" spans="1:6" x14ac:dyDescent="0.3">
      <c r="A190" s="12" t="s">
        <v>14</v>
      </c>
      <c r="B190" s="13">
        <v>45730</v>
      </c>
      <c r="C190" s="4" t="s">
        <v>12</v>
      </c>
      <c r="D190" s="4" t="s">
        <v>4</v>
      </c>
      <c r="E190" s="4" t="s">
        <v>13</v>
      </c>
      <c r="F190" s="4" t="s">
        <v>13</v>
      </c>
    </row>
    <row r="191" spans="1:6" ht="15" thickBot="1" x14ac:dyDescent="0.35">
      <c r="A191" s="4"/>
    </row>
    <row r="192" spans="1:6" x14ac:dyDescent="0.3">
      <c r="A192" s="19" t="s">
        <v>314</v>
      </c>
      <c r="B192" s="20"/>
      <c r="C192" s="20"/>
      <c r="D192" s="20"/>
      <c r="E192" s="20"/>
      <c r="F192" s="20"/>
    </row>
    <row r="193" spans="1:6" x14ac:dyDescent="0.3">
      <c r="A193" s="12" t="s">
        <v>14</v>
      </c>
      <c r="B193" s="13">
        <v>45730</v>
      </c>
      <c r="C193" s="4" t="s">
        <v>12</v>
      </c>
      <c r="D193" s="4" t="s">
        <v>4</v>
      </c>
      <c r="E193" s="4" t="s">
        <v>13</v>
      </c>
      <c r="F193" s="4" t="s">
        <v>13</v>
      </c>
    </row>
    <row r="194" spans="1:6" ht="15" thickBot="1" x14ac:dyDescent="0.35">
      <c r="A194" s="4"/>
    </row>
    <row r="195" spans="1:6" x14ac:dyDescent="0.3">
      <c r="A195" s="19" t="s">
        <v>317</v>
      </c>
      <c r="B195" s="20"/>
      <c r="C195" s="20"/>
      <c r="D195" s="20"/>
      <c r="E195" s="20"/>
      <c r="F195" s="20"/>
    </row>
    <row r="196" spans="1:6" x14ac:dyDescent="0.3">
      <c r="A196" s="12" t="s">
        <v>14</v>
      </c>
      <c r="B196" s="13">
        <v>45730</v>
      </c>
      <c r="C196" s="4" t="s">
        <v>12</v>
      </c>
      <c r="D196" s="4" t="s">
        <v>4</v>
      </c>
      <c r="E196" s="4" t="s">
        <v>13</v>
      </c>
      <c r="F196" s="4" t="s">
        <v>13</v>
      </c>
    </row>
    <row r="197" spans="1:6" ht="15" thickBot="1" x14ac:dyDescent="0.35">
      <c r="A197" s="4"/>
    </row>
    <row r="198" spans="1:6" x14ac:dyDescent="0.3">
      <c r="A198" s="19" t="s">
        <v>320</v>
      </c>
      <c r="B198" s="20"/>
      <c r="C198" s="20"/>
      <c r="D198" s="20"/>
      <c r="E198" s="20"/>
      <c r="F198" s="20"/>
    </row>
    <row r="199" spans="1:6" x14ac:dyDescent="0.3">
      <c r="A199" s="12" t="s">
        <v>14</v>
      </c>
      <c r="B199" s="13">
        <v>45730</v>
      </c>
      <c r="C199" s="4" t="s">
        <v>12</v>
      </c>
      <c r="D199" s="4" t="s">
        <v>4</v>
      </c>
      <c r="E199" s="4" t="s">
        <v>13</v>
      </c>
      <c r="F199" s="4" t="s">
        <v>13</v>
      </c>
    </row>
    <row r="200" spans="1:6" ht="15" thickBot="1" x14ac:dyDescent="0.35">
      <c r="A200" s="4"/>
    </row>
    <row r="201" spans="1:6" x14ac:dyDescent="0.3">
      <c r="A201" s="19" t="s">
        <v>323</v>
      </c>
      <c r="B201" s="20"/>
      <c r="C201" s="20"/>
      <c r="D201" s="20"/>
      <c r="E201" s="20"/>
      <c r="F201" s="20"/>
    </row>
    <row r="202" spans="1:6" x14ac:dyDescent="0.3">
      <c r="A202" s="12" t="s">
        <v>14</v>
      </c>
      <c r="B202" s="13">
        <v>45730</v>
      </c>
      <c r="C202" s="4" t="s">
        <v>12</v>
      </c>
      <c r="D202" s="4" t="s">
        <v>4</v>
      </c>
      <c r="E202" s="4" t="s">
        <v>13</v>
      </c>
      <c r="F202" s="4" t="s">
        <v>13</v>
      </c>
    </row>
    <row r="203" spans="1:6" ht="15" thickBot="1" x14ac:dyDescent="0.35">
      <c r="A203" s="4"/>
    </row>
    <row r="204" spans="1:6" x14ac:dyDescent="0.3">
      <c r="A204" s="19" t="s">
        <v>329</v>
      </c>
      <c r="B204" s="20"/>
      <c r="C204" s="20"/>
      <c r="D204" s="20"/>
      <c r="E204" s="20"/>
      <c r="F204" s="20"/>
    </row>
    <row r="205" spans="1:6" x14ac:dyDescent="0.3">
      <c r="A205" s="12" t="s">
        <v>10</v>
      </c>
      <c r="B205" s="13">
        <v>45730</v>
      </c>
      <c r="C205" s="4" t="s">
        <v>12</v>
      </c>
      <c r="D205" s="4" t="s">
        <v>4</v>
      </c>
      <c r="E205" s="4" t="s">
        <v>13</v>
      </c>
      <c r="F205" s="4" t="s">
        <v>13</v>
      </c>
    </row>
    <row r="206" spans="1:6" ht="15" thickBot="1" x14ac:dyDescent="0.35">
      <c r="A206" s="4"/>
    </row>
    <row r="207" spans="1:6" x14ac:dyDescent="0.3">
      <c r="A207" s="19" t="s">
        <v>332</v>
      </c>
      <c r="B207" s="20"/>
      <c r="C207" s="20"/>
      <c r="D207" s="20"/>
      <c r="E207" s="20"/>
      <c r="F207" s="20"/>
    </row>
    <row r="208" spans="1:6" x14ac:dyDescent="0.3">
      <c r="A208" s="12" t="s">
        <v>10</v>
      </c>
      <c r="B208" s="13">
        <v>45730</v>
      </c>
      <c r="C208" s="4" t="s">
        <v>12</v>
      </c>
      <c r="D208" s="4" t="s">
        <v>4</v>
      </c>
      <c r="E208" s="4" t="s">
        <v>13</v>
      </c>
      <c r="F208" s="4" t="s">
        <v>13</v>
      </c>
    </row>
    <row r="209" spans="1:6" ht="15" thickBot="1" x14ac:dyDescent="0.35">
      <c r="A209" s="4"/>
    </row>
    <row r="210" spans="1:6" x14ac:dyDescent="0.3">
      <c r="A210" s="19" t="s">
        <v>338</v>
      </c>
      <c r="B210" s="20"/>
      <c r="C210" s="20"/>
      <c r="D210" s="20"/>
      <c r="E210" s="20"/>
      <c r="F210" s="20"/>
    </row>
    <row r="211" spans="1:6" x14ac:dyDescent="0.3">
      <c r="A211" s="12" t="s">
        <v>10</v>
      </c>
      <c r="B211" s="13">
        <v>45730</v>
      </c>
      <c r="C211" s="4" t="s">
        <v>12</v>
      </c>
      <c r="D211" s="4" t="s">
        <v>4</v>
      </c>
      <c r="E211" s="4" t="s">
        <v>13</v>
      </c>
      <c r="F211" s="4" t="s">
        <v>13</v>
      </c>
    </row>
    <row r="212" spans="1:6" ht="15" thickBot="1" x14ac:dyDescent="0.35">
      <c r="A212" s="4"/>
    </row>
    <row r="213" spans="1:6" x14ac:dyDescent="0.3">
      <c r="A213" s="19" t="s">
        <v>341</v>
      </c>
      <c r="B213" s="20"/>
      <c r="C213" s="20"/>
      <c r="D213" s="20"/>
      <c r="E213" s="20"/>
      <c r="F213" s="20"/>
    </row>
    <row r="214" spans="1:6" x14ac:dyDescent="0.3">
      <c r="A214" s="12" t="s">
        <v>10</v>
      </c>
      <c r="B214" s="13">
        <v>45730</v>
      </c>
      <c r="C214" s="4" t="s">
        <v>12</v>
      </c>
      <c r="D214" s="4" t="s">
        <v>4</v>
      </c>
      <c r="E214" s="4" t="s">
        <v>13</v>
      </c>
      <c r="F214" s="4" t="s">
        <v>13</v>
      </c>
    </row>
    <row r="215" spans="1:6" ht="15" thickBot="1" x14ac:dyDescent="0.35">
      <c r="A215" s="4"/>
    </row>
    <row r="216" spans="1:6" x14ac:dyDescent="0.3">
      <c r="A216" s="19" t="s">
        <v>347</v>
      </c>
      <c r="B216" s="20"/>
      <c r="C216" s="20"/>
      <c r="D216" s="20"/>
      <c r="E216" s="20"/>
      <c r="F216" s="20"/>
    </row>
    <row r="217" spans="1:6" x14ac:dyDescent="0.3">
      <c r="A217" s="12" t="s">
        <v>10</v>
      </c>
      <c r="B217" s="13">
        <v>45730</v>
      </c>
      <c r="C217" s="4" t="s">
        <v>12</v>
      </c>
      <c r="D217" s="4" t="s">
        <v>4</v>
      </c>
      <c r="E217" s="4" t="s">
        <v>13</v>
      </c>
      <c r="F217" s="4" t="s">
        <v>13</v>
      </c>
    </row>
    <row r="218" spans="1:6" ht="15" thickBot="1" x14ac:dyDescent="0.35">
      <c r="A218" s="4"/>
    </row>
    <row r="219" spans="1:6" x14ac:dyDescent="0.3">
      <c r="A219" s="19" t="s">
        <v>353</v>
      </c>
      <c r="B219" s="20"/>
      <c r="C219" s="20"/>
      <c r="D219" s="20"/>
      <c r="E219" s="20"/>
      <c r="F219" s="20"/>
    </row>
    <row r="220" spans="1:6" x14ac:dyDescent="0.3">
      <c r="A220" s="12" t="s">
        <v>14</v>
      </c>
      <c r="B220" s="13">
        <v>45730</v>
      </c>
      <c r="C220" s="4" t="s">
        <v>12</v>
      </c>
      <c r="D220" s="4" t="s">
        <v>4</v>
      </c>
      <c r="E220" s="4" t="s">
        <v>13</v>
      </c>
      <c r="F220" s="4" t="s">
        <v>13</v>
      </c>
    </row>
    <row r="221" spans="1:6" ht="15" thickBot="1" x14ac:dyDescent="0.35">
      <c r="A221" s="4"/>
    </row>
    <row r="222" spans="1:6" x14ac:dyDescent="0.3">
      <c r="A222" s="19" t="s">
        <v>356</v>
      </c>
      <c r="B222" s="20"/>
      <c r="C222" s="20"/>
      <c r="D222" s="20"/>
      <c r="E222" s="20"/>
      <c r="F222" s="20"/>
    </row>
    <row r="223" spans="1:6" x14ac:dyDescent="0.3">
      <c r="A223" s="12" t="s">
        <v>14</v>
      </c>
      <c r="B223" s="13">
        <v>45730</v>
      </c>
      <c r="C223" s="4" t="s">
        <v>12</v>
      </c>
      <c r="D223" s="4" t="s">
        <v>4</v>
      </c>
      <c r="E223" s="4" t="s">
        <v>13</v>
      </c>
      <c r="F223" s="4" t="s">
        <v>13</v>
      </c>
    </row>
    <row r="224" spans="1:6" ht="15" thickBot="1" x14ac:dyDescent="0.35">
      <c r="A224" s="4"/>
    </row>
    <row r="225" spans="1:6" x14ac:dyDescent="0.3">
      <c r="A225" s="19" t="s">
        <v>362</v>
      </c>
      <c r="B225" s="20"/>
      <c r="C225" s="20"/>
      <c r="D225" s="20"/>
      <c r="E225" s="20"/>
      <c r="F225" s="20"/>
    </row>
    <row r="226" spans="1:6" x14ac:dyDescent="0.3">
      <c r="A226" s="12" t="s">
        <v>10</v>
      </c>
      <c r="B226" s="13">
        <v>45730</v>
      </c>
      <c r="C226" s="4" t="s">
        <v>12</v>
      </c>
      <c r="D226" s="4" t="s">
        <v>4</v>
      </c>
      <c r="E226" s="4" t="s">
        <v>13</v>
      </c>
      <c r="F226" s="4" t="s">
        <v>13</v>
      </c>
    </row>
    <row r="227" spans="1:6" ht="15" thickBot="1" x14ac:dyDescent="0.35">
      <c r="A227" s="4"/>
    </row>
    <row r="228" spans="1:6" x14ac:dyDescent="0.3">
      <c r="A228" s="19" t="s">
        <v>365</v>
      </c>
      <c r="B228" s="20"/>
      <c r="C228" s="20"/>
      <c r="D228" s="20"/>
      <c r="E228" s="20"/>
      <c r="F228" s="20"/>
    </row>
    <row r="229" spans="1:6" x14ac:dyDescent="0.3">
      <c r="A229" s="12" t="s">
        <v>10</v>
      </c>
      <c r="B229" s="13">
        <v>45730</v>
      </c>
      <c r="C229" s="4" t="s">
        <v>12</v>
      </c>
      <c r="D229" s="4" t="s">
        <v>4</v>
      </c>
      <c r="E229" s="4" t="s">
        <v>13</v>
      </c>
      <c r="F229" s="4" t="s">
        <v>13</v>
      </c>
    </row>
    <row r="230" spans="1:6" ht="15" thickBot="1" x14ac:dyDescent="0.35">
      <c r="A230" s="4"/>
    </row>
    <row r="231" spans="1:6" x14ac:dyDescent="0.3">
      <c r="A231" s="19" t="s">
        <v>368</v>
      </c>
      <c r="B231" s="20"/>
      <c r="C231" s="20"/>
      <c r="D231" s="20"/>
      <c r="E231" s="20"/>
      <c r="F231" s="20"/>
    </row>
    <row r="232" spans="1:6" x14ac:dyDescent="0.3">
      <c r="A232" s="12" t="s">
        <v>14</v>
      </c>
      <c r="B232" s="13">
        <v>45730</v>
      </c>
      <c r="C232" s="4" t="s">
        <v>12</v>
      </c>
      <c r="D232" s="4" t="s">
        <v>4</v>
      </c>
      <c r="E232" s="4" t="s">
        <v>13</v>
      </c>
      <c r="F232" s="4" t="s">
        <v>13</v>
      </c>
    </row>
    <row r="233" spans="1:6" ht="15" thickBot="1" x14ac:dyDescent="0.35">
      <c r="A233" s="4"/>
    </row>
    <row r="234" spans="1:6" x14ac:dyDescent="0.3">
      <c r="A234" s="19" t="s">
        <v>371</v>
      </c>
      <c r="B234" s="20"/>
      <c r="C234" s="20"/>
      <c r="D234" s="20"/>
      <c r="E234" s="20"/>
      <c r="F234" s="20"/>
    </row>
    <row r="235" spans="1:6" x14ac:dyDescent="0.3">
      <c r="A235" s="12" t="s">
        <v>14</v>
      </c>
      <c r="B235" s="13">
        <v>45730</v>
      </c>
      <c r="C235" s="4" t="s">
        <v>12</v>
      </c>
      <c r="D235" s="4" t="s">
        <v>4</v>
      </c>
      <c r="E235" s="4" t="s">
        <v>13</v>
      </c>
      <c r="F235" s="4" t="s">
        <v>13</v>
      </c>
    </row>
    <row r="236" spans="1:6" ht="15" thickBot="1" x14ac:dyDescent="0.35">
      <c r="A236" s="4"/>
    </row>
    <row r="237" spans="1:6" x14ac:dyDescent="0.3">
      <c r="A237" s="19" t="s">
        <v>377</v>
      </c>
      <c r="B237" s="20"/>
      <c r="C237" s="20"/>
      <c r="D237" s="20"/>
      <c r="E237" s="20"/>
      <c r="F237" s="20"/>
    </row>
    <row r="238" spans="1:6" x14ac:dyDescent="0.3">
      <c r="A238" s="12" t="s">
        <v>14</v>
      </c>
      <c r="B238" s="13">
        <v>45730</v>
      </c>
      <c r="C238" s="4" t="s">
        <v>12</v>
      </c>
      <c r="D238" s="4" t="s">
        <v>4</v>
      </c>
      <c r="E238" s="4" t="s">
        <v>13</v>
      </c>
      <c r="F238" s="4" t="s">
        <v>13</v>
      </c>
    </row>
    <row r="239" spans="1:6" ht="15" thickBot="1" x14ac:dyDescent="0.35">
      <c r="A239" s="4"/>
    </row>
    <row r="240" spans="1:6" x14ac:dyDescent="0.3">
      <c r="A240" s="19" t="s">
        <v>380</v>
      </c>
      <c r="B240" s="20"/>
      <c r="C240" s="20"/>
      <c r="D240" s="20"/>
      <c r="E240" s="20"/>
      <c r="F240" s="20"/>
    </row>
    <row r="241" spans="1:6" x14ac:dyDescent="0.3">
      <c r="A241" s="12" t="s">
        <v>14</v>
      </c>
      <c r="B241" s="13">
        <v>45730</v>
      </c>
      <c r="C241" s="4" t="s">
        <v>12</v>
      </c>
      <c r="D241" s="4" t="s">
        <v>4</v>
      </c>
      <c r="E241" s="4" t="s">
        <v>13</v>
      </c>
      <c r="F241" s="4" t="s">
        <v>13</v>
      </c>
    </row>
    <row r="242" spans="1:6" ht="15" thickBot="1" x14ac:dyDescent="0.35">
      <c r="A242" s="4"/>
    </row>
    <row r="243" spans="1:6" x14ac:dyDescent="0.3">
      <c r="A243" s="19" t="s">
        <v>386</v>
      </c>
      <c r="B243" s="20"/>
      <c r="C243" s="20"/>
      <c r="D243" s="20"/>
      <c r="E243" s="20"/>
      <c r="F243" s="20"/>
    </row>
    <row r="244" spans="1:6" x14ac:dyDescent="0.3">
      <c r="A244" s="12" t="s">
        <v>14</v>
      </c>
      <c r="B244" s="13">
        <v>45730</v>
      </c>
      <c r="C244" s="4" t="s">
        <v>12</v>
      </c>
      <c r="D244" s="4" t="s">
        <v>4</v>
      </c>
      <c r="E244" s="4" t="s">
        <v>13</v>
      </c>
      <c r="F244" s="4" t="s">
        <v>13</v>
      </c>
    </row>
    <row r="245" spans="1:6" ht="15" thickBot="1" x14ac:dyDescent="0.35">
      <c r="A245" s="4"/>
    </row>
    <row r="246" spans="1:6" x14ac:dyDescent="0.3">
      <c r="A246" s="19" t="s">
        <v>389</v>
      </c>
      <c r="B246" s="20"/>
      <c r="C246" s="20"/>
      <c r="D246" s="20"/>
      <c r="E246" s="20"/>
      <c r="F246" s="20"/>
    </row>
    <row r="247" spans="1:6" x14ac:dyDescent="0.3">
      <c r="A247" s="12" t="s">
        <v>14</v>
      </c>
      <c r="B247" s="13">
        <v>45730</v>
      </c>
      <c r="C247" s="4" t="s">
        <v>12</v>
      </c>
      <c r="D247" s="4" t="s">
        <v>4</v>
      </c>
      <c r="E247" s="4" t="s">
        <v>13</v>
      </c>
      <c r="F247" s="4" t="s">
        <v>13</v>
      </c>
    </row>
    <row r="248" spans="1:6" ht="15" thickBot="1" x14ac:dyDescent="0.35">
      <c r="A248" s="4"/>
    </row>
    <row r="249" spans="1:6" x14ac:dyDescent="0.3">
      <c r="A249" s="19" t="s">
        <v>392</v>
      </c>
      <c r="B249" s="20"/>
      <c r="C249" s="20"/>
      <c r="D249" s="20"/>
      <c r="E249" s="20"/>
      <c r="F249" s="20"/>
    </row>
    <row r="250" spans="1:6" x14ac:dyDescent="0.3">
      <c r="A250" s="12" t="s">
        <v>14</v>
      </c>
      <c r="B250" s="13">
        <v>45730</v>
      </c>
      <c r="C250" s="4" t="s">
        <v>12</v>
      </c>
      <c r="D250" s="4" t="s">
        <v>4</v>
      </c>
      <c r="E250" s="4" t="s">
        <v>13</v>
      </c>
      <c r="F250" s="4" t="s">
        <v>13</v>
      </c>
    </row>
    <row r="251" spans="1:6" ht="15" thickBot="1" x14ac:dyDescent="0.35">
      <c r="A251" s="4"/>
    </row>
    <row r="252" spans="1:6" x14ac:dyDescent="0.3">
      <c r="A252" s="19" t="s">
        <v>395</v>
      </c>
      <c r="B252" s="20"/>
      <c r="C252" s="20"/>
      <c r="D252" s="20"/>
      <c r="E252" s="20"/>
      <c r="F252" s="20"/>
    </row>
    <row r="253" spans="1:6" x14ac:dyDescent="0.3">
      <c r="A253" s="12" t="s">
        <v>14</v>
      </c>
      <c r="B253" s="13">
        <v>45730</v>
      </c>
      <c r="C253" s="4" t="s">
        <v>12</v>
      </c>
      <c r="D253" s="4" t="s">
        <v>4</v>
      </c>
      <c r="E253" s="4" t="s">
        <v>13</v>
      </c>
      <c r="F253" s="4" t="s">
        <v>13</v>
      </c>
    </row>
    <row r="254" spans="1:6" ht="15" thickBot="1" x14ac:dyDescent="0.35">
      <c r="A254" s="4"/>
    </row>
    <row r="255" spans="1:6" x14ac:dyDescent="0.3">
      <c r="A255" s="19" t="s">
        <v>398</v>
      </c>
      <c r="B255" s="20"/>
      <c r="C255" s="20"/>
      <c r="D255" s="20"/>
      <c r="E255" s="20"/>
      <c r="F255" s="20"/>
    </row>
    <row r="256" spans="1:6" x14ac:dyDescent="0.3">
      <c r="A256" s="12" t="s">
        <v>14</v>
      </c>
      <c r="B256" s="13">
        <v>45730</v>
      </c>
      <c r="C256" s="4" t="s">
        <v>12</v>
      </c>
      <c r="D256" s="4" t="s">
        <v>4</v>
      </c>
      <c r="E256" s="4" t="s">
        <v>13</v>
      </c>
      <c r="F256" s="4" t="s">
        <v>13</v>
      </c>
    </row>
    <row r="257" spans="1:6" ht="15" thickBot="1" x14ac:dyDescent="0.35">
      <c r="A257" s="4"/>
    </row>
    <row r="258" spans="1:6" x14ac:dyDescent="0.3">
      <c r="A258" s="19" t="s">
        <v>401</v>
      </c>
      <c r="B258" s="20"/>
      <c r="C258" s="20"/>
      <c r="D258" s="20"/>
      <c r="E258" s="20"/>
      <c r="F258" s="20"/>
    </row>
    <row r="259" spans="1:6" x14ac:dyDescent="0.3">
      <c r="A259" s="12" t="s">
        <v>14</v>
      </c>
      <c r="B259" s="13">
        <v>45730</v>
      </c>
      <c r="C259" s="4" t="s">
        <v>12</v>
      </c>
      <c r="D259" s="4" t="s">
        <v>4</v>
      </c>
      <c r="E259" s="4" t="s">
        <v>13</v>
      </c>
      <c r="F259" s="4" t="s">
        <v>13</v>
      </c>
    </row>
    <row r="260" spans="1:6" ht="15" thickBot="1" x14ac:dyDescent="0.35">
      <c r="A260" s="4"/>
    </row>
    <row r="261" spans="1:6" x14ac:dyDescent="0.3">
      <c r="A261" s="19" t="s">
        <v>411</v>
      </c>
      <c r="B261" s="20"/>
      <c r="C261" s="20"/>
      <c r="D261" s="20"/>
      <c r="E261" s="20"/>
      <c r="F261" s="20"/>
    </row>
    <row r="262" spans="1:6" x14ac:dyDescent="0.3">
      <c r="A262" s="12" t="s">
        <v>14</v>
      </c>
      <c r="B262" s="13">
        <v>45730</v>
      </c>
      <c r="C262" s="4" t="s">
        <v>12</v>
      </c>
      <c r="D262" s="4" t="s">
        <v>4</v>
      </c>
      <c r="E262" s="4" t="s">
        <v>13</v>
      </c>
      <c r="F262" s="4" t="s">
        <v>13</v>
      </c>
    </row>
    <row r="263" spans="1:6" ht="15" thickBot="1" x14ac:dyDescent="0.35">
      <c r="A263" s="4"/>
    </row>
    <row r="264" spans="1:6" x14ac:dyDescent="0.3">
      <c r="A264" s="19" t="s">
        <v>414</v>
      </c>
      <c r="B264" s="20"/>
      <c r="C264" s="20"/>
      <c r="D264" s="20"/>
      <c r="E264" s="20"/>
      <c r="F264" s="20"/>
    </row>
    <row r="265" spans="1:6" x14ac:dyDescent="0.3">
      <c r="A265" s="12" t="s">
        <v>14</v>
      </c>
      <c r="B265" s="13">
        <v>45730</v>
      </c>
      <c r="C265" s="4" t="s">
        <v>12</v>
      </c>
      <c r="D265" s="4" t="s">
        <v>4</v>
      </c>
      <c r="E265" s="4" t="s">
        <v>13</v>
      </c>
      <c r="F265" s="4" t="s">
        <v>13</v>
      </c>
    </row>
    <row r="266" spans="1:6" ht="15" thickBot="1" x14ac:dyDescent="0.35">
      <c r="A266" s="4"/>
    </row>
    <row r="267" spans="1:6" x14ac:dyDescent="0.3">
      <c r="A267" s="19" t="s">
        <v>426</v>
      </c>
      <c r="B267" s="20"/>
      <c r="C267" s="20"/>
      <c r="D267" s="20"/>
      <c r="E267" s="20"/>
      <c r="F267" s="20"/>
    </row>
    <row r="268" spans="1:6" x14ac:dyDescent="0.3">
      <c r="A268" s="12" t="s">
        <v>14</v>
      </c>
      <c r="B268" s="13">
        <v>45730</v>
      </c>
      <c r="C268" s="4" t="s">
        <v>12</v>
      </c>
      <c r="D268" s="4" t="s">
        <v>4</v>
      </c>
      <c r="E268" s="4" t="s">
        <v>13</v>
      </c>
      <c r="F268" s="4" t="s">
        <v>13</v>
      </c>
    </row>
    <row r="269" spans="1:6" ht="15" thickBot="1" x14ac:dyDescent="0.35">
      <c r="A269" s="4"/>
    </row>
    <row r="270" spans="1:6" x14ac:dyDescent="0.3">
      <c r="A270" s="19" t="s">
        <v>429</v>
      </c>
      <c r="B270" s="20"/>
      <c r="C270" s="20"/>
      <c r="D270" s="20"/>
      <c r="E270" s="20"/>
      <c r="F270" s="20"/>
    </row>
    <row r="271" spans="1:6" x14ac:dyDescent="0.3">
      <c r="A271" s="12" t="s">
        <v>14</v>
      </c>
      <c r="B271" s="13">
        <v>45730</v>
      </c>
      <c r="C271" s="4" t="s">
        <v>12</v>
      </c>
      <c r="D271" s="4" t="s">
        <v>4</v>
      </c>
      <c r="E271" s="4" t="s">
        <v>13</v>
      </c>
      <c r="F271" s="4" t="s">
        <v>13</v>
      </c>
    </row>
    <row r="272" spans="1:6" ht="15" thickBot="1" x14ac:dyDescent="0.35">
      <c r="A272" s="4"/>
    </row>
    <row r="273" spans="1:6" x14ac:dyDescent="0.3">
      <c r="A273" s="19" t="s">
        <v>432</v>
      </c>
      <c r="B273" s="20"/>
      <c r="C273" s="20"/>
      <c r="D273" s="20"/>
      <c r="E273" s="20"/>
      <c r="F273" s="20"/>
    </row>
    <row r="274" spans="1:6" x14ac:dyDescent="0.3">
      <c r="A274" s="12" t="s">
        <v>14</v>
      </c>
      <c r="B274" s="13">
        <v>45730</v>
      </c>
      <c r="C274" s="4" t="s">
        <v>12</v>
      </c>
      <c r="D274" s="4" t="s">
        <v>4</v>
      </c>
      <c r="E274" s="4" t="s">
        <v>13</v>
      </c>
      <c r="F274" s="4" t="s">
        <v>13</v>
      </c>
    </row>
    <row r="275" spans="1:6" ht="15" thickBot="1" x14ac:dyDescent="0.35">
      <c r="A275" s="4"/>
    </row>
    <row r="276" spans="1:6" x14ac:dyDescent="0.3">
      <c r="A276" s="19" t="s">
        <v>435</v>
      </c>
      <c r="B276" s="20"/>
      <c r="C276" s="20"/>
      <c r="D276" s="20"/>
      <c r="E276" s="20"/>
      <c r="F276" s="20"/>
    </row>
    <row r="277" spans="1:6" x14ac:dyDescent="0.3">
      <c r="A277" s="12" t="s">
        <v>14</v>
      </c>
      <c r="B277" s="13">
        <v>45730</v>
      </c>
      <c r="C277" s="4" t="s">
        <v>12</v>
      </c>
      <c r="D277" s="4" t="s">
        <v>4</v>
      </c>
      <c r="E277" s="4" t="s">
        <v>13</v>
      </c>
      <c r="F277" s="4" t="s">
        <v>13</v>
      </c>
    </row>
    <row r="278" spans="1:6" ht="15" thickBot="1" x14ac:dyDescent="0.35">
      <c r="A278" s="4"/>
    </row>
    <row r="279" spans="1:6" x14ac:dyDescent="0.3">
      <c r="A279" s="19" t="s">
        <v>438</v>
      </c>
      <c r="B279" s="20"/>
      <c r="C279" s="20"/>
      <c r="D279" s="20"/>
      <c r="E279" s="20"/>
      <c r="F279" s="20"/>
    </row>
    <row r="280" spans="1:6" x14ac:dyDescent="0.3">
      <c r="A280" s="12" t="s">
        <v>14</v>
      </c>
      <c r="B280" s="13">
        <v>45730</v>
      </c>
      <c r="C280" s="4" t="s">
        <v>12</v>
      </c>
      <c r="D280" s="4" t="s">
        <v>4</v>
      </c>
      <c r="E280" s="4" t="s">
        <v>13</v>
      </c>
      <c r="F280" s="4" t="s">
        <v>13</v>
      </c>
    </row>
    <row r="281" spans="1:6" ht="15" thickBot="1" x14ac:dyDescent="0.35">
      <c r="A281" s="4"/>
    </row>
    <row r="282" spans="1:6" x14ac:dyDescent="0.3">
      <c r="A282" s="19" t="s">
        <v>441</v>
      </c>
      <c r="B282" s="20"/>
      <c r="C282" s="20"/>
      <c r="D282" s="20"/>
      <c r="E282" s="20"/>
      <c r="F282" s="20"/>
    </row>
    <row r="283" spans="1:6" x14ac:dyDescent="0.3">
      <c r="A283" s="12" t="s">
        <v>14</v>
      </c>
      <c r="B283" s="13">
        <v>45730</v>
      </c>
      <c r="C283" s="4" t="s">
        <v>12</v>
      </c>
      <c r="D283" s="4" t="s">
        <v>4</v>
      </c>
      <c r="E283" s="4" t="s">
        <v>13</v>
      </c>
      <c r="F283" s="4" t="s">
        <v>13</v>
      </c>
    </row>
    <row r="284" spans="1:6" ht="15" thickBot="1" x14ac:dyDescent="0.35">
      <c r="A284" s="4"/>
    </row>
    <row r="285" spans="1:6" x14ac:dyDescent="0.3">
      <c r="A285" s="19" t="s">
        <v>447</v>
      </c>
      <c r="B285" s="20"/>
      <c r="C285" s="20"/>
      <c r="D285" s="20"/>
      <c r="E285" s="20"/>
      <c r="F285" s="20"/>
    </row>
    <row r="286" spans="1:6" x14ac:dyDescent="0.3">
      <c r="A286" s="12" t="s">
        <v>10</v>
      </c>
      <c r="B286" s="13">
        <v>45730</v>
      </c>
      <c r="C286" s="4" t="s">
        <v>12</v>
      </c>
      <c r="D286" s="4" t="s">
        <v>4</v>
      </c>
      <c r="E286" s="4" t="s">
        <v>13</v>
      </c>
      <c r="F286" s="4" t="s">
        <v>13</v>
      </c>
    </row>
    <row r="287" spans="1:6" ht="15" thickBot="1" x14ac:dyDescent="0.35">
      <c r="A287" s="4"/>
    </row>
    <row r="288" spans="1:6" x14ac:dyDescent="0.3">
      <c r="A288" s="19" t="s">
        <v>450</v>
      </c>
      <c r="B288" s="20"/>
      <c r="C288" s="20"/>
      <c r="D288" s="20"/>
      <c r="E288" s="20"/>
      <c r="F288" s="20"/>
    </row>
    <row r="289" spans="1:6" x14ac:dyDescent="0.3">
      <c r="A289" s="12" t="s">
        <v>10</v>
      </c>
      <c r="B289" s="13">
        <v>45730</v>
      </c>
      <c r="C289" s="4" t="s">
        <v>12</v>
      </c>
      <c r="D289" s="4" t="s">
        <v>4</v>
      </c>
      <c r="E289" s="4" t="s">
        <v>13</v>
      </c>
      <c r="F289" s="4" t="s">
        <v>13</v>
      </c>
    </row>
    <row r="290" spans="1:6" ht="15" thickBot="1" x14ac:dyDescent="0.35">
      <c r="A290" s="4"/>
    </row>
    <row r="291" spans="1:6" x14ac:dyDescent="0.3">
      <c r="A291" s="19" t="s">
        <v>456</v>
      </c>
      <c r="B291" s="20"/>
      <c r="C291" s="20"/>
      <c r="D291" s="20"/>
      <c r="E291" s="20"/>
      <c r="F291" s="20"/>
    </row>
    <row r="292" spans="1:6" x14ac:dyDescent="0.3">
      <c r="A292" s="12" t="s">
        <v>10</v>
      </c>
      <c r="B292" s="13">
        <v>45730</v>
      </c>
      <c r="C292" s="4" t="s">
        <v>12</v>
      </c>
      <c r="D292" s="4" t="s">
        <v>4</v>
      </c>
      <c r="E292" s="4" t="s">
        <v>13</v>
      </c>
      <c r="F292" s="4" t="s">
        <v>13</v>
      </c>
    </row>
    <row r="293" spans="1:6" ht="15" thickBot="1" x14ac:dyDescent="0.35">
      <c r="A293" s="4"/>
    </row>
    <row r="294" spans="1:6" x14ac:dyDescent="0.3">
      <c r="A294" s="19" t="s">
        <v>459</v>
      </c>
      <c r="B294" s="20"/>
      <c r="C294" s="20"/>
      <c r="D294" s="20"/>
      <c r="E294" s="20"/>
      <c r="F294" s="20"/>
    </row>
    <row r="295" spans="1:6" x14ac:dyDescent="0.3">
      <c r="A295" s="12" t="s">
        <v>10</v>
      </c>
      <c r="B295" s="13">
        <v>45730</v>
      </c>
      <c r="C295" s="4" t="s">
        <v>12</v>
      </c>
      <c r="D295" s="4" t="s">
        <v>4</v>
      </c>
      <c r="E295" s="4" t="s">
        <v>13</v>
      </c>
      <c r="F295" s="4" t="s">
        <v>13</v>
      </c>
    </row>
    <row r="296" spans="1:6" ht="15" thickBot="1" x14ac:dyDescent="0.35">
      <c r="A296" s="4"/>
    </row>
    <row r="297" spans="1:6" x14ac:dyDescent="0.3">
      <c r="A297" s="19" t="s">
        <v>465</v>
      </c>
      <c r="B297" s="20"/>
      <c r="C297" s="20"/>
      <c r="D297" s="20"/>
      <c r="E297" s="20"/>
      <c r="F297" s="20"/>
    </row>
    <row r="298" spans="1:6" x14ac:dyDescent="0.3">
      <c r="A298" s="12" t="s">
        <v>10</v>
      </c>
      <c r="B298" s="13">
        <v>45730</v>
      </c>
      <c r="C298" s="4" t="s">
        <v>12</v>
      </c>
      <c r="D298" s="4" t="s">
        <v>4</v>
      </c>
      <c r="E298" s="4" t="s">
        <v>13</v>
      </c>
      <c r="F298" s="4" t="s">
        <v>13</v>
      </c>
    </row>
    <row r="299" spans="1:6" ht="15" thickBot="1" x14ac:dyDescent="0.35">
      <c r="A299" s="4"/>
    </row>
    <row r="300" spans="1:6" x14ac:dyDescent="0.3">
      <c r="A300" s="19" t="s">
        <v>471</v>
      </c>
      <c r="B300" s="20"/>
      <c r="C300" s="20"/>
      <c r="D300" s="20"/>
      <c r="E300" s="20"/>
      <c r="F300" s="20"/>
    </row>
    <row r="301" spans="1:6" x14ac:dyDescent="0.3">
      <c r="A301" s="12" t="s">
        <v>14</v>
      </c>
      <c r="B301" s="13">
        <v>45730</v>
      </c>
      <c r="C301" s="4" t="s">
        <v>12</v>
      </c>
      <c r="D301" s="4" t="s">
        <v>4</v>
      </c>
      <c r="E301" s="4" t="s">
        <v>13</v>
      </c>
      <c r="F301" s="4" t="s">
        <v>13</v>
      </c>
    </row>
    <row r="302" spans="1:6" ht="15" thickBot="1" x14ac:dyDescent="0.35">
      <c r="A302" s="4"/>
    </row>
    <row r="303" spans="1:6" x14ac:dyDescent="0.3">
      <c r="A303" s="19" t="s">
        <v>474</v>
      </c>
      <c r="B303" s="20"/>
      <c r="C303" s="20"/>
      <c r="D303" s="20"/>
      <c r="E303" s="20"/>
      <c r="F303" s="20"/>
    </row>
    <row r="304" spans="1:6" x14ac:dyDescent="0.3">
      <c r="A304" s="12" t="s">
        <v>14</v>
      </c>
      <c r="B304" s="13">
        <v>45730</v>
      </c>
      <c r="C304" s="4" t="s">
        <v>12</v>
      </c>
      <c r="D304" s="4" t="s">
        <v>4</v>
      </c>
      <c r="E304" s="4" t="s">
        <v>13</v>
      </c>
      <c r="F304" s="4" t="s">
        <v>13</v>
      </c>
    </row>
    <row r="305" spans="1:6" ht="15" thickBot="1" x14ac:dyDescent="0.35">
      <c r="A305" s="4"/>
    </row>
    <row r="306" spans="1:6" x14ac:dyDescent="0.3">
      <c r="A306" s="19" t="s">
        <v>480</v>
      </c>
      <c r="B306" s="20"/>
      <c r="C306" s="20"/>
      <c r="D306" s="20"/>
      <c r="E306" s="20"/>
      <c r="F306" s="20"/>
    </row>
    <row r="307" spans="1:6" x14ac:dyDescent="0.3">
      <c r="A307" s="12" t="s">
        <v>10</v>
      </c>
      <c r="B307" s="13">
        <v>45730</v>
      </c>
      <c r="C307" s="4" t="s">
        <v>12</v>
      </c>
      <c r="D307" s="4" t="s">
        <v>4</v>
      </c>
      <c r="E307" s="4" t="s">
        <v>13</v>
      </c>
      <c r="F307" s="4" t="s">
        <v>13</v>
      </c>
    </row>
    <row r="308" spans="1:6" ht="15" thickBot="1" x14ac:dyDescent="0.35">
      <c r="A308" s="4"/>
    </row>
    <row r="309" spans="1:6" x14ac:dyDescent="0.3">
      <c r="A309" s="19" t="s">
        <v>483</v>
      </c>
      <c r="B309" s="20"/>
      <c r="C309" s="20"/>
      <c r="D309" s="20"/>
      <c r="E309" s="20"/>
      <c r="F309" s="20"/>
    </row>
    <row r="310" spans="1:6" x14ac:dyDescent="0.3">
      <c r="A310" s="12" t="s">
        <v>10</v>
      </c>
      <c r="B310" s="13">
        <v>45730</v>
      </c>
      <c r="C310" s="4" t="s">
        <v>12</v>
      </c>
      <c r="D310" s="4" t="s">
        <v>4</v>
      </c>
      <c r="E310" s="4" t="s">
        <v>13</v>
      </c>
      <c r="F310" s="4" t="s">
        <v>13</v>
      </c>
    </row>
    <row r="311" spans="1:6" ht="15" thickBot="1" x14ac:dyDescent="0.35">
      <c r="A311" s="4"/>
    </row>
    <row r="312" spans="1:6" x14ac:dyDescent="0.3">
      <c r="A312" s="19" t="s">
        <v>486</v>
      </c>
      <c r="B312" s="20"/>
      <c r="C312" s="20"/>
      <c r="D312" s="20"/>
      <c r="E312" s="20"/>
      <c r="F312" s="20"/>
    </row>
    <row r="313" spans="1:6" x14ac:dyDescent="0.3">
      <c r="A313" s="12" t="s">
        <v>14</v>
      </c>
      <c r="B313" s="13">
        <v>45730</v>
      </c>
      <c r="C313" s="4" t="s">
        <v>12</v>
      </c>
      <c r="D313" s="4" t="s">
        <v>4</v>
      </c>
      <c r="E313" s="4" t="s">
        <v>13</v>
      </c>
      <c r="F313" s="4" t="s">
        <v>13</v>
      </c>
    </row>
    <row r="314" spans="1:6" ht="15" thickBot="1" x14ac:dyDescent="0.35">
      <c r="A314" s="4"/>
    </row>
    <row r="315" spans="1:6" x14ac:dyDescent="0.3">
      <c r="A315" s="19" t="s">
        <v>489</v>
      </c>
      <c r="B315" s="20"/>
      <c r="C315" s="20"/>
      <c r="D315" s="20"/>
      <c r="E315" s="20"/>
      <c r="F315" s="20"/>
    </row>
    <row r="316" spans="1:6" x14ac:dyDescent="0.3">
      <c r="A316" s="12" t="s">
        <v>14</v>
      </c>
      <c r="B316" s="13">
        <v>45730</v>
      </c>
      <c r="C316" s="4" t="s">
        <v>12</v>
      </c>
      <c r="D316" s="4" t="s">
        <v>4</v>
      </c>
      <c r="E316" s="4" t="s">
        <v>13</v>
      </c>
      <c r="F316" s="4" t="s">
        <v>13</v>
      </c>
    </row>
    <row r="317" spans="1:6" ht="15" thickBot="1" x14ac:dyDescent="0.35">
      <c r="A317" s="4"/>
    </row>
    <row r="318" spans="1:6" x14ac:dyDescent="0.3">
      <c r="A318" s="19" t="s">
        <v>495</v>
      </c>
      <c r="B318" s="20"/>
      <c r="C318" s="20"/>
      <c r="D318" s="20"/>
      <c r="E318" s="20"/>
      <c r="F318" s="20"/>
    </row>
    <row r="319" spans="1:6" x14ac:dyDescent="0.3">
      <c r="A319" s="12" t="s">
        <v>14</v>
      </c>
      <c r="B319" s="13">
        <v>45730</v>
      </c>
      <c r="C319" s="4" t="s">
        <v>12</v>
      </c>
      <c r="D319" s="4" t="s">
        <v>4</v>
      </c>
      <c r="E319" s="4" t="s">
        <v>13</v>
      </c>
      <c r="F319" s="4" t="s">
        <v>13</v>
      </c>
    </row>
    <row r="320" spans="1:6" ht="15" thickBot="1" x14ac:dyDescent="0.35">
      <c r="A320" s="4"/>
    </row>
    <row r="321" spans="1:6" x14ac:dyDescent="0.3">
      <c r="A321" s="19" t="s">
        <v>498</v>
      </c>
      <c r="B321" s="20"/>
      <c r="C321" s="20"/>
      <c r="D321" s="20"/>
      <c r="E321" s="20"/>
      <c r="F321" s="20"/>
    </row>
    <row r="322" spans="1:6" x14ac:dyDescent="0.3">
      <c r="A322" s="12" t="s">
        <v>14</v>
      </c>
      <c r="B322" s="13">
        <v>45730</v>
      </c>
      <c r="C322" s="4" t="s">
        <v>12</v>
      </c>
      <c r="D322" s="4" t="s">
        <v>4</v>
      </c>
      <c r="E322" s="4" t="s">
        <v>13</v>
      </c>
      <c r="F322" s="4" t="s">
        <v>13</v>
      </c>
    </row>
    <row r="323" spans="1:6" ht="15" thickBot="1" x14ac:dyDescent="0.35">
      <c r="A323" s="4"/>
    </row>
    <row r="324" spans="1:6" x14ac:dyDescent="0.3">
      <c r="A324" s="19" t="s">
        <v>501</v>
      </c>
      <c r="B324" s="20"/>
      <c r="C324" s="20"/>
      <c r="D324" s="20"/>
      <c r="E324" s="20"/>
      <c r="F324" s="20"/>
    </row>
    <row r="325" spans="1:6" x14ac:dyDescent="0.3">
      <c r="A325" s="12" t="s">
        <v>14</v>
      </c>
      <c r="B325" s="13">
        <v>45730</v>
      </c>
      <c r="C325" s="4" t="s">
        <v>12</v>
      </c>
      <c r="D325" s="4" t="s">
        <v>4</v>
      </c>
      <c r="E325" s="4" t="s">
        <v>13</v>
      </c>
      <c r="F325" s="4" t="s">
        <v>13</v>
      </c>
    </row>
    <row r="326" spans="1:6" ht="15" thickBot="1" x14ac:dyDescent="0.35">
      <c r="A326" s="4"/>
    </row>
    <row r="327" spans="1:6" x14ac:dyDescent="0.3">
      <c r="A327" s="19" t="s">
        <v>504</v>
      </c>
      <c r="B327" s="20"/>
      <c r="C327" s="20"/>
      <c r="D327" s="20"/>
      <c r="E327" s="20"/>
      <c r="F327" s="20"/>
    </row>
    <row r="328" spans="1:6" x14ac:dyDescent="0.3">
      <c r="A328" s="12" t="s">
        <v>14</v>
      </c>
      <c r="B328" s="13">
        <v>45730</v>
      </c>
      <c r="C328" s="4" t="s">
        <v>12</v>
      </c>
      <c r="D328" s="4" t="s">
        <v>4</v>
      </c>
      <c r="E328" s="4" t="s">
        <v>13</v>
      </c>
      <c r="F328" s="4" t="s">
        <v>13</v>
      </c>
    </row>
    <row r="329" spans="1:6" ht="15" thickBot="1" x14ac:dyDescent="0.35">
      <c r="A329" s="4"/>
    </row>
    <row r="330" spans="1:6" x14ac:dyDescent="0.3">
      <c r="A330" s="19" t="s">
        <v>507</v>
      </c>
      <c r="B330" s="20"/>
      <c r="C330" s="20"/>
      <c r="D330" s="20"/>
      <c r="E330" s="20"/>
      <c r="F330" s="20"/>
    </row>
    <row r="331" spans="1:6" x14ac:dyDescent="0.3">
      <c r="A331" s="12" t="s">
        <v>14</v>
      </c>
      <c r="B331" s="13">
        <v>45730</v>
      </c>
      <c r="C331" s="4" t="s">
        <v>12</v>
      </c>
      <c r="D331" s="4" t="s">
        <v>4</v>
      </c>
      <c r="E331" s="4" t="s">
        <v>13</v>
      </c>
      <c r="F331" s="4" t="s">
        <v>13</v>
      </c>
    </row>
    <row r="332" spans="1:6" ht="15" thickBot="1" x14ac:dyDescent="0.35">
      <c r="A332" s="4"/>
    </row>
    <row r="333" spans="1:6" x14ac:dyDescent="0.3">
      <c r="A333" s="19" t="s">
        <v>510</v>
      </c>
      <c r="B333" s="20"/>
      <c r="C333" s="20"/>
      <c r="D333" s="20"/>
      <c r="E333" s="20"/>
      <c r="F333" s="20"/>
    </row>
    <row r="334" spans="1:6" x14ac:dyDescent="0.3">
      <c r="A334" s="12" t="s">
        <v>14</v>
      </c>
      <c r="B334" s="13">
        <v>45730</v>
      </c>
      <c r="C334" s="4" t="s">
        <v>12</v>
      </c>
      <c r="D334" s="4" t="s">
        <v>4</v>
      </c>
      <c r="E334" s="4" t="s">
        <v>13</v>
      </c>
      <c r="F334" s="4" t="s">
        <v>13</v>
      </c>
    </row>
    <row r="335" spans="1:6" ht="15" thickBot="1" x14ac:dyDescent="0.35">
      <c r="A335" s="4"/>
    </row>
    <row r="336" spans="1:6" x14ac:dyDescent="0.3">
      <c r="A336" s="19" t="s">
        <v>513</v>
      </c>
      <c r="B336" s="20"/>
      <c r="C336" s="20"/>
      <c r="D336" s="20"/>
      <c r="E336" s="20"/>
      <c r="F336" s="20"/>
    </row>
    <row r="337" spans="1:6" x14ac:dyDescent="0.3">
      <c r="A337" s="12" t="s">
        <v>14</v>
      </c>
      <c r="B337" s="13">
        <v>45730</v>
      </c>
      <c r="C337" s="4" t="s">
        <v>12</v>
      </c>
      <c r="D337" s="4" t="s">
        <v>4</v>
      </c>
      <c r="E337" s="4" t="s">
        <v>13</v>
      </c>
      <c r="F337" s="4" t="s">
        <v>13</v>
      </c>
    </row>
    <row r="338" spans="1:6" ht="15" thickBot="1" x14ac:dyDescent="0.35">
      <c r="A338" s="4"/>
    </row>
    <row r="339" spans="1:6" x14ac:dyDescent="0.3">
      <c r="A339" s="19" t="s">
        <v>516</v>
      </c>
      <c r="B339" s="20"/>
      <c r="C339" s="20"/>
      <c r="D339" s="20"/>
      <c r="E339" s="20"/>
      <c r="F339" s="20"/>
    </row>
    <row r="340" spans="1:6" x14ac:dyDescent="0.3">
      <c r="A340" s="12" t="s">
        <v>14</v>
      </c>
      <c r="B340" s="13">
        <v>45730</v>
      </c>
      <c r="C340" s="4" t="s">
        <v>12</v>
      </c>
      <c r="D340" s="4" t="s">
        <v>4</v>
      </c>
      <c r="E340" s="4" t="s">
        <v>13</v>
      </c>
      <c r="F340" s="4" t="s">
        <v>13</v>
      </c>
    </row>
    <row r="341" spans="1:6" ht="15" thickBot="1" x14ac:dyDescent="0.35">
      <c r="A341" s="4"/>
    </row>
    <row r="342" spans="1:6" x14ac:dyDescent="0.3">
      <c r="A342" s="19" t="s">
        <v>519</v>
      </c>
      <c r="B342" s="20"/>
      <c r="C342" s="20"/>
      <c r="D342" s="20"/>
      <c r="E342" s="20"/>
      <c r="F342" s="20"/>
    </row>
    <row r="343" spans="1:6" x14ac:dyDescent="0.3">
      <c r="A343" s="12" t="s">
        <v>10</v>
      </c>
      <c r="B343" s="13">
        <v>45730</v>
      </c>
      <c r="C343" s="4" t="s">
        <v>12</v>
      </c>
      <c r="D343" s="4" t="s">
        <v>4</v>
      </c>
      <c r="E343" s="4" t="s">
        <v>13</v>
      </c>
      <c r="F343" s="4" t="s">
        <v>13</v>
      </c>
    </row>
    <row r="344" spans="1:6" ht="15" thickBot="1" x14ac:dyDescent="0.35">
      <c r="A344" s="4"/>
    </row>
    <row r="345" spans="1:6" x14ac:dyDescent="0.3">
      <c r="A345" s="19" t="s">
        <v>522</v>
      </c>
      <c r="B345" s="20"/>
      <c r="C345" s="20"/>
      <c r="D345" s="20"/>
      <c r="E345" s="20"/>
      <c r="F345" s="20"/>
    </row>
    <row r="346" spans="1:6" x14ac:dyDescent="0.3">
      <c r="A346" s="12" t="s">
        <v>10</v>
      </c>
      <c r="B346" s="13">
        <v>45730</v>
      </c>
      <c r="C346" s="4" t="s">
        <v>12</v>
      </c>
      <c r="D346" s="4" t="s">
        <v>4</v>
      </c>
      <c r="E346" s="4" t="s">
        <v>13</v>
      </c>
      <c r="F346" s="4" t="s">
        <v>13</v>
      </c>
    </row>
    <row r="347" spans="1:6" ht="15" thickBot="1" x14ac:dyDescent="0.35">
      <c r="A347" s="4"/>
    </row>
    <row r="348" spans="1:6" x14ac:dyDescent="0.3">
      <c r="A348" s="19" t="s">
        <v>525</v>
      </c>
      <c r="B348" s="20"/>
      <c r="C348" s="20"/>
      <c r="D348" s="20"/>
      <c r="E348" s="20"/>
      <c r="F348" s="20"/>
    </row>
    <row r="349" spans="1:6" x14ac:dyDescent="0.3">
      <c r="A349" s="12" t="s">
        <v>10</v>
      </c>
      <c r="B349" s="13">
        <v>45730</v>
      </c>
      <c r="C349" s="4" t="s">
        <v>12</v>
      </c>
      <c r="D349" s="4" t="s">
        <v>4</v>
      </c>
      <c r="E349" s="4" t="s">
        <v>13</v>
      </c>
      <c r="F349" s="4" t="s">
        <v>13</v>
      </c>
    </row>
    <row r="350" spans="1:6" ht="15" thickBot="1" x14ac:dyDescent="0.35">
      <c r="A350" s="4"/>
    </row>
    <row r="351" spans="1:6" x14ac:dyDescent="0.3">
      <c r="A351" s="19" t="s">
        <v>528</v>
      </c>
      <c r="B351" s="20"/>
      <c r="C351" s="20"/>
      <c r="D351" s="20"/>
      <c r="E351" s="20"/>
      <c r="F351" s="20"/>
    </row>
    <row r="352" spans="1:6" x14ac:dyDescent="0.3">
      <c r="A352" s="12" t="s">
        <v>10</v>
      </c>
      <c r="B352" s="13">
        <v>45730</v>
      </c>
      <c r="C352" s="4" t="s">
        <v>12</v>
      </c>
      <c r="D352" s="4" t="s">
        <v>4</v>
      </c>
      <c r="E352" s="4" t="s">
        <v>13</v>
      </c>
      <c r="F352" s="4" t="s">
        <v>13</v>
      </c>
    </row>
    <row r="353" spans="1:6" ht="15" thickBot="1" x14ac:dyDescent="0.35">
      <c r="A353" s="4"/>
    </row>
    <row r="354" spans="1:6" x14ac:dyDescent="0.3">
      <c r="A354" s="19" t="s">
        <v>534</v>
      </c>
      <c r="B354" s="20"/>
      <c r="C354" s="20"/>
      <c r="D354" s="20"/>
      <c r="E354" s="20"/>
      <c r="F354" s="20"/>
    </row>
    <row r="355" spans="1:6" x14ac:dyDescent="0.3">
      <c r="A355" s="12" t="s">
        <v>10</v>
      </c>
      <c r="B355" s="13">
        <v>45730</v>
      </c>
      <c r="C355" s="4" t="s">
        <v>12</v>
      </c>
      <c r="D355" s="4" t="s">
        <v>4</v>
      </c>
      <c r="E355" s="4" t="s">
        <v>13</v>
      </c>
      <c r="F355" s="4" t="s">
        <v>13</v>
      </c>
    </row>
    <row r="356" spans="1:6" ht="15" thickBot="1" x14ac:dyDescent="0.35">
      <c r="A356" s="4"/>
    </row>
    <row r="357" spans="1:6" x14ac:dyDescent="0.3">
      <c r="A357" s="19" t="s">
        <v>537</v>
      </c>
      <c r="B357" s="20"/>
      <c r="C357" s="20"/>
      <c r="D357" s="20"/>
      <c r="E357" s="20"/>
      <c r="F357" s="20"/>
    </row>
    <row r="358" spans="1:6" x14ac:dyDescent="0.3">
      <c r="A358" s="12" t="s">
        <v>10</v>
      </c>
      <c r="B358" s="13">
        <v>45730</v>
      </c>
      <c r="C358" s="4" t="s">
        <v>12</v>
      </c>
      <c r="D358" s="4" t="s">
        <v>4</v>
      </c>
      <c r="E358" s="4" t="s">
        <v>13</v>
      </c>
      <c r="F358" s="4" t="s">
        <v>13</v>
      </c>
    </row>
    <row r="359" spans="1:6" ht="15" thickBot="1" x14ac:dyDescent="0.35">
      <c r="A359" s="4"/>
    </row>
    <row r="360" spans="1:6" x14ac:dyDescent="0.3">
      <c r="A360" s="19" t="s">
        <v>540</v>
      </c>
      <c r="B360" s="20"/>
      <c r="C360" s="20"/>
      <c r="D360" s="20"/>
      <c r="E360" s="20"/>
      <c r="F360" s="20"/>
    </row>
    <row r="361" spans="1:6" x14ac:dyDescent="0.3">
      <c r="A361" s="12" t="s">
        <v>10</v>
      </c>
      <c r="B361" s="13">
        <v>45730</v>
      </c>
      <c r="C361" s="4" t="s">
        <v>12</v>
      </c>
      <c r="D361" s="4" t="s">
        <v>4</v>
      </c>
      <c r="E361" s="4" t="s">
        <v>13</v>
      </c>
      <c r="F361" s="4" t="s">
        <v>13</v>
      </c>
    </row>
    <row r="362" spans="1:6" ht="15" thickBot="1" x14ac:dyDescent="0.35">
      <c r="A362" s="4"/>
    </row>
    <row r="363" spans="1:6" x14ac:dyDescent="0.3">
      <c r="A363" s="19" t="s">
        <v>543</v>
      </c>
      <c r="B363" s="20"/>
      <c r="C363" s="20"/>
      <c r="D363" s="20"/>
      <c r="E363" s="20"/>
      <c r="F363" s="20"/>
    </row>
    <row r="364" spans="1:6" x14ac:dyDescent="0.3">
      <c r="A364" s="12" t="s">
        <v>14</v>
      </c>
      <c r="B364" s="13">
        <v>45730</v>
      </c>
      <c r="C364" s="4" t="s">
        <v>12</v>
      </c>
      <c r="D364" s="4" t="s">
        <v>4</v>
      </c>
      <c r="E364" s="4" t="s">
        <v>13</v>
      </c>
      <c r="F364" s="4" t="s">
        <v>13</v>
      </c>
    </row>
    <row r="365" spans="1:6" ht="15" thickBot="1" x14ac:dyDescent="0.35">
      <c r="A365" s="4"/>
    </row>
    <row r="366" spans="1:6" x14ac:dyDescent="0.3">
      <c r="A366" s="19" t="s">
        <v>546</v>
      </c>
      <c r="B366" s="20"/>
      <c r="C366" s="20"/>
      <c r="D366" s="20"/>
      <c r="E366" s="20"/>
      <c r="F366" s="20"/>
    </row>
    <row r="367" spans="1:6" x14ac:dyDescent="0.3">
      <c r="A367" s="12" t="s">
        <v>14</v>
      </c>
      <c r="B367" s="13">
        <v>45730</v>
      </c>
      <c r="C367" s="4" t="s">
        <v>12</v>
      </c>
      <c r="D367" s="4" t="s">
        <v>4</v>
      </c>
      <c r="E367" s="4" t="s">
        <v>13</v>
      </c>
      <c r="F367" s="4" t="s">
        <v>13</v>
      </c>
    </row>
    <row r="368" spans="1:6" ht="15" thickBot="1" x14ac:dyDescent="0.35">
      <c r="A368" s="4"/>
    </row>
    <row r="369" spans="1:6" x14ac:dyDescent="0.3">
      <c r="A369" s="19" t="s">
        <v>549</v>
      </c>
      <c r="B369" s="20"/>
      <c r="C369" s="20"/>
      <c r="D369" s="20"/>
      <c r="E369" s="20"/>
      <c r="F369" s="20"/>
    </row>
    <row r="370" spans="1:6" x14ac:dyDescent="0.3">
      <c r="A370" s="12" t="s">
        <v>14</v>
      </c>
      <c r="B370" s="13">
        <v>45730</v>
      </c>
      <c r="C370" s="4" t="s">
        <v>12</v>
      </c>
      <c r="D370" s="4" t="s">
        <v>4</v>
      </c>
      <c r="E370" s="4" t="s">
        <v>13</v>
      </c>
      <c r="F370" s="4" t="s">
        <v>13</v>
      </c>
    </row>
    <row r="371" spans="1:6" ht="15" thickBot="1" x14ac:dyDescent="0.35">
      <c r="A371" s="4"/>
    </row>
    <row r="372" spans="1:6" x14ac:dyDescent="0.3">
      <c r="A372" s="19" t="s">
        <v>556</v>
      </c>
      <c r="B372" s="20"/>
      <c r="C372" s="20"/>
      <c r="D372" s="20"/>
      <c r="E372" s="20"/>
      <c r="F372" s="20"/>
    </row>
    <row r="373" spans="1:6" x14ac:dyDescent="0.3">
      <c r="A373" s="12" t="s">
        <v>10</v>
      </c>
      <c r="B373" s="13">
        <v>45730</v>
      </c>
      <c r="C373" s="4" t="s">
        <v>12</v>
      </c>
      <c r="D373" s="4" t="s">
        <v>4</v>
      </c>
      <c r="E373" s="4" t="s">
        <v>13</v>
      </c>
      <c r="F373" s="4" t="s">
        <v>13</v>
      </c>
    </row>
    <row r="374" spans="1:6" ht="15" thickBot="1" x14ac:dyDescent="0.35">
      <c r="A374" s="4"/>
    </row>
    <row r="375" spans="1:6" x14ac:dyDescent="0.3">
      <c r="A375" s="19" t="s">
        <v>559</v>
      </c>
      <c r="B375" s="20"/>
      <c r="C375" s="20"/>
      <c r="D375" s="20"/>
      <c r="E375" s="20"/>
      <c r="F375" s="20"/>
    </row>
    <row r="376" spans="1:6" x14ac:dyDescent="0.3">
      <c r="A376" s="12" t="s">
        <v>10</v>
      </c>
      <c r="B376" s="13">
        <v>45730</v>
      </c>
      <c r="C376" s="4" t="s">
        <v>12</v>
      </c>
      <c r="D376" s="4" t="s">
        <v>4</v>
      </c>
      <c r="E376" s="4" t="s">
        <v>13</v>
      </c>
      <c r="F376" s="4" t="s">
        <v>13</v>
      </c>
    </row>
    <row r="377" spans="1:6" ht="15" thickBot="1" x14ac:dyDescent="0.35">
      <c r="A377" s="4"/>
    </row>
    <row r="378" spans="1:6" x14ac:dyDescent="0.3">
      <c r="A378" s="19" t="s">
        <v>562</v>
      </c>
      <c r="B378" s="20"/>
      <c r="C378" s="20"/>
      <c r="D378" s="20"/>
      <c r="E378" s="20"/>
      <c r="F378" s="20"/>
    </row>
    <row r="379" spans="1:6" x14ac:dyDescent="0.3">
      <c r="A379" s="12" t="s">
        <v>10</v>
      </c>
      <c r="B379" s="13">
        <v>45730</v>
      </c>
      <c r="C379" s="4" t="s">
        <v>12</v>
      </c>
      <c r="D379" s="4" t="s">
        <v>4</v>
      </c>
      <c r="E379" s="4" t="s">
        <v>13</v>
      </c>
      <c r="F379" s="4" t="s">
        <v>13</v>
      </c>
    </row>
    <row r="380" spans="1:6" ht="15" thickBot="1" x14ac:dyDescent="0.35">
      <c r="A380" s="4"/>
    </row>
    <row r="381" spans="1:6" x14ac:dyDescent="0.3">
      <c r="A381" s="19" t="s">
        <v>565</v>
      </c>
      <c r="B381" s="20"/>
      <c r="C381" s="20"/>
      <c r="D381" s="20"/>
      <c r="E381" s="20"/>
      <c r="F381" s="20"/>
    </row>
    <row r="382" spans="1:6" x14ac:dyDescent="0.3">
      <c r="A382" s="12" t="s">
        <v>14</v>
      </c>
      <c r="B382" s="13">
        <v>45730</v>
      </c>
      <c r="C382" s="4" t="s">
        <v>12</v>
      </c>
      <c r="D382" s="4" t="s">
        <v>4</v>
      </c>
      <c r="E382" s="4" t="s">
        <v>13</v>
      </c>
      <c r="F382" s="4" t="s">
        <v>13</v>
      </c>
    </row>
    <row r="383" spans="1:6" ht="15" thickBot="1" x14ac:dyDescent="0.35">
      <c r="A383" s="4"/>
    </row>
    <row r="384" spans="1:6" x14ac:dyDescent="0.3">
      <c r="A384" s="19" t="s">
        <v>568</v>
      </c>
      <c r="B384" s="20"/>
      <c r="C384" s="20"/>
      <c r="D384" s="20"/>
      <c r="E384" s="20"/>
      <c r="F384" s="20"/>
    </row>
    <row r="385" spans="1:6" x14ac:dyDescent="0.3">
      <c r="A385" s="12" t="s">
        <v>14</v>
      </c>
      <c r="B385" s="13">
        <v>45730</v>
      </c>
      <c r="C385" s="4" t="s">
        <v>12</v>
      </c>
      <c r="D385" s="4" t="s">
        <v>4</v>
      </c>
      <c r="E385" s="4" t="s">
        <v>13</v>
      </c>
      <c r="F385" s="4" t="s">
        <v>13</v>
      </c>
    </row>
    <row r="386" spans="1:6" ht="15" thickBot="1" x14ac:dyDescent="0.35">
      <c r="A386" s="4"/>
    </row>
    <row r="387" spans="1:6" x14ac:dyDescent="0.3">
      <c r="A387" s="19" t="s">
        <v>571</v>
      </c>
      <c r="B387" s="20"/>
      <c r="C387" s="20"/>
      <c r="D387" s="20"/>
      <c r="E387" s="20"/>
      <c r="F387" s="20"/>
    </row>
    <row r="388" spans="1:6" x14ac:dyDescent="0.3">
      <c r="A388" s="12" t="s">
        <v>14</v>
      </c>
      <c r="B388" s="13">
        <v>45730</v>
      </c>
      <c r="C388" s="4" t="s">
        <v>12</v>
      </c>
      <c r="D388" s="4" t="s">
        <v>4</v>
      </c>
      <c r="E388" s="4" t="s">
        <v>13</v>
      </c>
      <c r="F388" s="4" t="s">
        <v>13</v>
      </c>
    </row>
    <row r="389" spans="1:6" ht="15" thickBot="1" x14ac:dyDescent="0.35">
      <c r="A389" s="4"/>
    </row>
    <row r="390" spans="1:6" x14ac:dyDescent="0.3">
      <c r="A390" s="19" t="s">
        <v>582</v>
      </c>
      <c r="B390" s="20"/>
      <c r="C390" s="20"/>
      <c r="D390" s="20"/>
      <c r="E390" s="20"/>
      <c r="F390" s="20"/>
    </row>
    <row r="391" spans="1:6" x14ac:dyDescent="0.3">
      <c r="A391" s="12" t="s">
        <v>583</v>
      </c>
      <c r="B391" s="13">
        <v>45730</v>
      </c>
      <c r="C391" s="4" t="s">
        <v>12</v>
      </c>
      <c r="D391" s="4" t="s">
        <v>4</v>
      </c>
      <c r="E391" s="4" t="s">
        <v>13</v>
      </c>
      <c r="F391" s="4" t="s">
        <v>13</v>
      </c>
    </row>
    <row r="392" spans="1:6" ht="15" thickBot="1" x14ac:dyDescent="0.35">
      <c r="A392" s="4"/>
    </row>
    <row r="393" spans="1:6" x14ac:dyDescent="0.3">
      <c r="A393" s="19" t="s">
        <v>587</v>
      </c>
      <c r="B393" s="20"/>
      <c r="C393" s="20"/>
      <c r="D393" s="20"/>
      <c r="E393" s="20"/>
      <c r="F393" s="20"/>
    </row>
    <row r="394" spans="1:6" x14ac:dyDescent="0.3">
      <c r="A394" s="12" t="s">
        <v>10</v>
      </c>
      <c r="B394" s="13">
        <v>45730</v>
      </c>
      <c r="C394" s="4" t="s">
        <v>12</v>
      </c>
      <c r="D394" s="4" t="s">
        <v>4</v>
      </c>
      <c r="E394" s="4" t="s">
        <v>13</v>
      </c>
      <c r="F394" s="4" t="s">
        <v>13</v>
      </c>
    </row>
    <row r="395" spans="1:6" ht="15" thickBot="1" x14ac:dyDescent="0.35">
      <c r="A395" s="4"/>
    </row>
    <row r="396" spans="1:6" x14ac:dyDescent="0.3">
      <c r="A396" s="19" t="s">
        <v>590</v>
      </c>
      <c r="B396" s="20"/>
      <c r="C396" s="20"/>
      <c r="D396" s="20"/>
      <c r="E396" s="20"/>
      <c r="F396" s="20"/>
    </row>
    <row r="397" spans="1:6" x14ac:dyDescent="0.3">
      <c r="A397" s="12" t="s">
        <v>14</v>
      </c>
      <c r="B397" s="13">
        <v>45730</v>
      </c>
      <c r="C397" s="4" t="s">
        <v>12</v>
      </c>
      <c r="D397" s="4" t="s">
        <v>4</v>
      </c>
      <c r="E397" s="4" t="s">
        <v>13</v>
      </c>
      <c r="F397" s="4" t="s">
        <v>13</v>
      </c>
    </row>
    <row r="398" spans="1:6" ht="15" thickBot="1" x14ac:dyDescent="0.35">
      <c r="A398" s="4"/>
    </row>
    <row r="399" spans="1:6" x14ac:dyDescent="0.3">
      <c r="A399" s="19" t="s">
        <v>593</v>
      </c>
      <c r="B399" s="20"/>
      <c r="C399" s="20"/>
      <c r="D399" s="20"/>
      <c r="E399" s="20"/>
      <c r="F399" s="20"/>
    </row>
    <row r="400" spans="1:6" x14ac:dyDescent="0.3">
      <c r="A400" s="12" t="s">
        <v>14</v>
      </c>
      <c r="B400" s="13">
        <v>45730</v>
      </c>
      <c r="C400" s="4" t="s">
        <v>12</v>
      </c>
      <c r="D400" s="4" t="s">
        <v>4</v>
      </c>
      <c r="E400" s="4" t="s">
        <v>13</v>
      </c>
      <c r="F400" s="4" t="s">
        <v>13</v>
      </c>
    </row>
    <row r="401" spans="1:6" ht="15" thickBot="1" x14ac:dyDescent="0.35">
      <c r="A401" s="4"/>
    </row>
    <row r="402" spans="1:6" x14ac:dyDescent="0.3">
      <c r="A402" s="19" t="s">
        <v>596</v>
      </c>
      <c r="B402" s="20"/>
      <c r="C402" s="20"/>
      <c r="D402" s="20"/>
      <c r="E402" s="20"/>
      <c r="F402" s="20"/>
    </row>
    <row r="403" spans="1:6" x14ac:dyDescent="0.3">
      <c r="A403" s="12" t="s">
        <v>11</v>
      </c>
      <c r="B403" s="13">
        <v>45730</v>
      </c>
      <c r="C403" s="4" t="s">
        <v>12</v>
      </c>
      <c r="D403" s="4" t="s">
        <v>4</v>
      </c>
      <c r="E403" s="4" t="s">
        <v>13</v>
      </c>
      <c r="F403" s="4" t="s">
        <v>13</v>
      </c>
    </row>
    <row r="404" spans="1:6" ht="15" thickBot="1" x14ac:dyDescent="0.35">
      <c r="A404" s="4"/>
    </row>
    <row r="405" spans="1:6" x14ac:dyDescent="0.3">
      <c r="A405" s="19" t="s">
        <v>599</v>
      </c>
      <c r="B405" s="20"/>
      <c r="C405" s="20"/>
      <c r="D405" s="20"/>
      <c r="E405" s="20"/>
      <c r="F405" s="20"/>
    </row>
    <row r="406" spans="1:6" x14ac:dyDescent="0.3">
      <c r="A406" s="12" t="s">
        <v>14</v>
      </c>
      <c r="B406" s="13">
        <v>45730</v>
      </c>
      <c r="C406" s="4" t="s">
        <v>12</v>
      </c>
      <c r="D406" s="4" t="s">
        <v>4</v>
      </c>
      <c r="E406" s="4" t="s">
        <v>13</v>
      </c>
      <c r="F406" s="4" t="s">
        <v>13</v>
      </c>
    </row>
    <row r="407" spans="1:6" ht="15" thickBot="1" x14ac:dyDescent="0.35">
      <c r="A407" s="4"/>
    </row>
    <row r="408" spans="1:6" x14ac:dyDescent="0.3">
      <c r="A408" s="19" t="s">
        <v>602</v>
      </c>
      <c r="B408" s="20"/>
      <c r="C408" s="20"/>
      <c r="D408" s="20"/>
      <c r="E408" s="20"/>
      <c r="F408" s="20"/>
    </row>
    <row r="409" spans="1:6" x14ac:dyDescent="0.3">
      <c r="A409" s="12" t="s">
        <v>14</v>
      </c>
      <c r="B409" s="13">
        <v>45730</v>
      </c>
      <c r="C409" s="4" t="s">
        <v>12</v>
      </c>
      <c r="D409" s="4" t="s">
        <v>4</v>
      </c>
      <c r="E409" s="4" t="s">
        <v>13</v>
      </c>
      <c r="F409" s="4" t="s">
        <v>13</v>
      </c>
    </row>
    <row r="410" spans="1:6" ht="15" thickBot="1" x14ac:dyDescent="0.35">
      <c r="A410" s="4"/>
    </row>
    <row r="411" spans="1:6" x14ac:dyDescent="0.3">
      <c r="A411" s="19" t="s">
        <v>605</v>
      </c>
      <c r="B411" s="20"/>
      <c r="C411" s="20"/>
      <c r="D411" s="20"/>
      <c r="E411" s="20"/>
      <c r="F411" s="20"/>
    </row>
    <row r="412" spans="1:6" x14ac:dyDescent="0.3">
      <c r="A412" s="12" t="s">
        <v>14</v>
      </c>
      <c r="B412" s="13">
        <v>45730</v>
      </c>
      <c r="C412" s="4" t="s">
        <v>12</v>
      </c>
      <c r="D412" s="4" t="s">
        <v>4</v>
      </c>
      <c r="E412" s="4" t="s">
        <v>13</v>
      </c>
      <c r="F412" s="4" t="s">
        <v>13</v>
      </c>
    </row>
    <row r="413" spans="1:6" ht="15" thickBot="1" x14ac:dyDescent="0.35">
      <c r="A413" s="4"/>
    </row>
    <row r="414" spans="1:6" x14ac:dyDescent="0.3">
      <c r="A414" s="19" t="s">
        <v>608</v>
      </c>
      <c r="B414" s="20"/>
      <c r="C414" s="20"/>
      <c r="D414" s="20"/>
      <c r="E414" s="20"/>
      <c r="F414" s="20"/>
    </row>
    <row r="415" spans="1:6" x14ac:dyDescent="0.3">
      <c r="A415" s="12" t="s">
        <v>14</v>
      </c>
      <c r="B415" s="13">
        <v>45730</v>
      </c>
      <c r="C415" s="4" t="s">
        <v>12</v>
      </c>
      <c r="D415" s="4" t="s">
        <v>4</v>
      </c>
      <c r="E415" s="4" t="s">
        <v>13</v>
      </c>
      <c r="F415" s="4" t="s">
        <v>13</v>
      </c>
    </row>
    <row r="416" spans="1:6" ht="15" thickBot="1" x14ac:dyDescent="0.35">
      <c r="A416" s="4"/>
    </row>
    <row r="417" spans="1:6" x14ac:dyDescent="0.3">
      <c r="A417" s="19" t="s">
        <v>611</v>
      </c>
      <c r="B417" s="20"/>
      <c r="C417" s="20"/>
      <c r="D417" s="20"/>
      <c r="E417" s="20"/>
      <c r="F417" s="20"/>
    </row>
    <row r="418" spans="1:6" x14ac:dyDescent="0.3">
      <c r="A418" s="12" t="s">
        <v>14</v>
      </c>
      <c r="B418" s="13">
        <v>45730</v>
      </c>
      <c r="C418" s="4" t="s">
        <v>12</v>
      </c>
      <c r="D418" s="4" t="s">
        <v>4</v>
      </c>
      <c r="E418" s="4" t="s">
        <v>13</v>
      </c>
      <c r="F418" s="4" t="s">
        <v>13</v>
      </c>
    </row>
    <row r="419" spans="1:6" ht="15" thickBot="1" x14ac:dyDescent="0.35">
      <c r="A419" s="4"/>
    </row>
    <row r="420" spans="1:6" x14ac:dyDescent="0.3">
      <c r="A420" s="19" t="s">
        <v>614</v>
      </c>
      <c r="B420" s="20"/>
      <c r="C420" s="20"/>
      <c r="D420" s="20"/>
      <c r="E420" s="20"/>
      <c r="F420" s="20"/>
    </row>
    <row r="421" spans="1:6" x14ac:dyDescent="0.3">
      <c r="A421" s="12" t="s">
        <v>14</v>
      </c>
      <c r="B421" s="13">
        <v>45730</v>
      </c>
      <c r="C421" s="4" t="s">
        <v>12</v>
      </c>
      <c r="D421" s="4" t="s">
        <v>4</v>
      </c>
      <c r="E421" s="4" t="s">
        <v>13</v>
      </c>
      <c r="F421" s="4" t="s">
        <v>13</v>
      </c>
    </row>
    <row r="422" spans="1:6" ht="15" thickBot="1" x14ac:dyDescent="0.35">
      <c r="A422" s="4"/>
    </row>
    <row r="423" spans="1:6" x14ac:dyDescent="0.3">
      <c r="A423" s="19" t="s">
        <v>625</v>
      </c>
      <c r="B423" s="20"/>
      <c r="C423" s="20"/>
      <c r="D423" s="20"/>
      <c r="E423" s="20"/>
      <c r="F423" s="20"/>
    </row>
    <row r="424" spans="1:6" x14ac:dyDescent="0.3">
      <c r="A424" s="12" t="s">
        <v>14</v>
      </c>
      <c r="B424" s="13">
        <v>45730</v>
      </c>
      <c r="C424" s="4" t="s">
        <v>12</v>
      </c>
      <c r="D424" s="4" t="s">
        <v>4</v>
      </c>
      <c r="E424" s="4" t="s">
        <v>13</v>
      </c>
      <c r="F424" s="4" t="s">
        <v>13</v>
      </c>
    </row>
    <row r="425" spans="1:6" ht="15" thickBot="1" x14ac:dyDescent="0.35">
      <c r="A425" s="4"/>
    </row>
    <row r="426" spans="1:6" x14ac:dyDescent="0.3">
      <c r="A426" s="19" t="s">
        <v>628</v>
      </c>
      <c r="B426" s="20"/>
      <c r="C426" s="20"/>
      <c r="D426" s="20"/>
      <c r="E426" s="20"/>
      <c r="F426" s="20"/>
    </row>
    <row r="427" spans="1:6" x14ac:dyDescent="0.3">
      <c r="A427" s="12" t="s">
        <v>14</v>
      </c>
      <c r="B427" s="13">
        <v>45730</v>
      </c>
      <c r="C427" s="4" t="s">
        <v>12</v>
      </c>
      <c r="D427" s="4" t="s">
        <v>4</v>
      </c>
      <c r="E427" s="4" t="s">
        <v>13</v>
      </c>
      <c r="F427" s="4" t="s">
        <v>13</v>
      </c>
    </row>
    <row r="428" spans="1:6" ht="15" thickBot="1" x14ac:dyDescent="0.35">
      <c r="A428" s="4"/>
    </row>
    <row r="429" spans="1:6" x14ac:dyDescent="0.3">
      <c r="A429" s="19" t="s">
        <v>631</v>
      </c>
      <c r="B429" s="20"/>
      <c r="C429" s="20"/>
      <c r="D429" s="20"/>
      <c r="E429" s="20"/>
      <c r="F429" s="20"/>
    </row>
    <row r="430" spans="1:6" x14ac:dyDescent="0.3">
      <c r="A430" s="12" t="s">
        <v>14</v>
      </c>
      <c r="B430" s="13">
        <v>45730</v>
      </c>
      <c r="C430" s="4" t="s">
        <v>12</v>
      </c>
      <c r="D430" s="4" t="s">
        <v>4</v>
      </c>
      <c r="E430" s="4" t="s">
        <v>13</v>
      </c>
      <c r="F430" s="4" t="s">
        <v>13</v>
      </c>
    </row>
    <row r="431" spans="1:6" ht="15" thickBot="1" x14ac:dyDescent="0.35">
      <c r="A431" s="4"/>
    </row>
    <row r="432" spans="1:6" x14ac:dyDescent="0.3">
      <c r="A432" s="19" t="s">
        <v>634</v>
      </c>
      <c r="B432" s="20"/>
      <c r="C432" s="20"/>
      <c r="D432" s="20"/>
      <c r="E432" s="20"/>
      <c r="F432" s="20"/>
    </row>
    <row r="433" spans="1:6" x14ac:dyDescent="0.3">
      <c r="A433" s="12" t="s">
        <v>14</v>
      </c>
      <c r="B433" s="13">
        <v>45730</v>
      </c>
      <c r="C433" s="4" t="s">
        <v>12</v>
      </c>
      <c r="D433" s="4" t="s">
        <v>4</v>
      </c>
      <c r="E433" s="4" t="s">
        <v>13</v>
      </c>
      <c r="F433" s="4" t="s">
        <v>13</v>
      </c>
    </row>
    <row r="434" spans="1:6" ht="15" thickBot="1" x14ac:dyDescent="0.35">
      <c r="A434" s="4"/>
    </row>
    <row r="435" spans="1:6" x14ac:dyDescent="0.3">
      <c r="A435" s="19" t="s">
        <v>637</v>
      </c>
      <c r="B435" s="20"/>
      <c r="C435" s="20"/>
      <c r="D435" s="20"/>
      <c r="E435" s="20"/>
      <c r="F435" s="20"/>
    </row>
    <row r="436" spans="1:6" x14ac:dyDescent="0.3">
      <c r="A436" s="12" t="s">
        <v>14</v>
      </c>
      <c r="B436" s="13">
        <v>45730</v>
      </c>
      <c r="C436" s="4" t="s">
        <v>12</v>
      </c>
      <c r="D436" s="4" t="s">
        <v>4</v>
      </c>
      <c r="E436" s="4" t="s">
        <v>13</v>
      </c>
      <c r="F436" s="4" t="s">
        <v>13</v>
      </c>
    </row>
    <row r="437" spans="1:6" ht="15" thickBot="1" x14ac:dyDescent="0.35">
      <c r="A437" s="4"/>
    </row>
    <row r="438" spans="1:6" x14ac:dyDescent="0.3">
      <c r="A438" s="19" t="s">
        <v>640</v>
      </c>
      <c r="B438" s="20"/>
      <c r="C438" s="20"/>
      <c r="D438" s="20"/>
      <c r="E438" s="20"/>
      <c r="F438" s="20"/>
    </row>
    <row r="439" spans="1:6" x14ac:dyDescent="0.3">
      <c r="A439" s="12" t="s">
        <v>14</v>
      </c>
      <c r="B439" s="13">
        <v>45730</v>
      </c>
      <c r="C439" s="4" t="s">
        <v>12</v>
      </c>
      <c r="D439" s="4" t="s">
        <v>4</v>
      </c>
      <c r="E439" s="4" t="s">
        <v>13</v>
      </c>
      <c r="F439" s="4" t="s">
        <v>13</v>
      </c>
    </row>
    <row r="440" spans="1:6" ht="15" thickBot="1" x14ac:dyDescent="0.35">
      <c r="A440" s="4"/>
    </row>
    <row r="441" spans="1:6" x14ac:dyDescent="0.3">
      <c r="A441" s="19" t="s">
        <v>643</v>
      </c>
      <c r="B441" s="20"/>
      <c r="C441" s="20"/>
      <c r="D441" s="20"/>
      <c r="E441" s="20"/>
      <c r="F441" s="20"/>
    </row>
    <row r="442" spans="1:6" x14ac:dyDescent="0.3">
      <c r="A442" s="12" t="s">
        <v>14</v>
      </c>
      <c r="B442" s="13">
        <v>45730</v>
      </c>
      <c r="C442" s="4" t="s">
        <v>12</v>
      </c>
      <c r="D442" s="4" t="s">
        <v>4</v>
      </c>
      <c r="E442" s="4" t="s">
        <v>13</v>
      </c>
      <c r="F442" s="4" t="s">
        <v>13</v>
      </c>
    </row>
    <row r="443" spans="1:6" ht="15" thickBot="1" x14ac:dyDescent="0.35">
      <c r="A443" s="4"/>
    </row>
    <row r="444" spans="1:6" x14ac:dyDescent="0.3">
      <c r="A444" s="19" t="s">
        <v>646</v>
      </c>
      <c r="B444" s="20"/>
      <c r="C444" s="20"/>
      <c r="D444" s="20"/>
      <c r="E444" s="20"/>
      <c r="F444" s="20"/>
    </row>
    <row r="445" spans="1:6" x14ac:dyDescent="0.3">
      <c r="A445" s="12" t="s">
        <v>14</v>
      </c>
      <c r="B445" s="13">
        <v>45730</v>
      </c>
      <c r="C445" s="4" t="s">
        <v>12</v>
      </c>
      <c r="D445" s="4" t="s">
        <v>4</v>
      </c>
      <c r="E445" s="4" t="s">
        <v>13</v>
      </c>
      <c r="F445" s="4" t="s">
        <v>13</v>
      </c>
    </row>
    <row r="446" spans="1:6" ht="15" thickBot="1" x14ac:dyDescent="0.35">
      <c r="A446" s="4"/>
    </row>
    <row r="447" spans="1:6" x14ac:dyDescent="0.3">
      <c r="A447" s="19" t="s">
        <v>649</v>
      </c>
      <c r="B447" s="20"/>
      <c r="C447" s="20"/>
      <c r="D447" s="20"/>
      <c r="E447" s="20"/>
      <c r="F447" s="20"/>
    </row>
    <row r="448" spans="1:6" x14ac:dyDescent="0.3">
      <c r="A448" s="12" t="s">
        <v>14</v>
      </c>
      <c r="B448" s="13">
        <v>45730</v>
      </c>
      <c r="C448" s="4" t="s">
        <v>12</v>
      </c>
      <c r="D448" s="4" t="s">
        <v>4</v>
      </c>
      <c r="E448" s="4" t="s">
        <v>13</v>
      </c>
      <c r="F448" s="4" t="s">
        <v>13</v>
      </c>
    </row>
    <row r="449" spans="1:6" ht="15" thickBot="1" x14ac:dyDescent="0.35">
      <c r="A449" s="4"/>
    </row>
    <row r="450" spans="1:6" x14ac:dyDescent="0.3">
      <c r="A450" s="19" t="s">
        <v>652</v>
      </c>
      <c r="B450" s="20"/>
      <c r="C450" s="20"/>
      <c r="D450" s="20"/>
      <c r="E450" s="20"/>
      <c r="F450" s="20"/>
    </row>
    <row r="451" spans="1:6" x14ac:dyDescent="0.3">
      <c r="A451" s="12" t="s">
        <v>14</v>
      </c>
      <c r="B451" s="13">
        <v>45730</v>
      </c>
      <c r="C451" s="4" t="s">
        <v>12</v>
      </c>
      <c r="D451" s="4" t="s">
        <v>4</v>
      </c>
      <c r="E451" s="4" t="s">
        <v>13</v>
      </c>
      <c r="F451" s="4" t="s">
        <v>13</v>
      </c>
    </row>
    <row r="452" spans="1:6" ht="15" thickBot="1" x14ac:dyDescent="0.35">
      <c r="A452" s="4"/>
    </row>
    <row r="453" spans="1:6" x14ac:dyDescent="0.3">
      <c r="A453" s="19" t="s">
        <v>655</v>
      </c>
      <c r="B453" s="20"/>
      <c r="C453" s="20"/>
      <c r="D453" s="20"/>
      <c r="E453" s="20"/>
      <c r="F453" s="20"/>
    </row>
    <row r="454" spans="1:6" x14ac:dyDescent="0.3">
      <c r="A454" s="12" t="s">
        <v>14</v>
      </c>
      <c r="B454" s="13">
        <v>45730</v>
      </c>
      <c r="C454" s="4" t="s">
        <v>12</v>
      </c>
      <c r="D454" s="4" t="s">
        <v>4</v>
      </c>
      <c r="E454" s="4" t="s">
        <v>13</v>
      </c>
      <c r="F454" s="4" t="s">
        <v>13</v>
      </c>
    </row>
    <row r="455" spans="1:6" ht="15" thickBot="1" x14ac:dyDescent="0.35">
      <c r="A455" s="4"/>
    </row>
    <row r="456" spans="1:6" x14ac:dyDescent="0.3">
      <c r="A456" s="19" t="s">
        <v>658</v>
      </c>
      <c r="B456" s="20"/>
      <c r="C456" s="20"/>
      <c r="D456" s="20"/>
      <c r="E456" s="20"/>
      <c r="F456" s="20"/>
    </row>
    <row r="457" spans="1:6" x14ac:dyDescent="0.3">
      <c r="A457" s="12" t="s">
        <v>14</v>
      </c>
      <c r="B457" s="13">
        <v>45730</v>
      </c>
      <c r="C457" s="4" t="s">
        <v>12</v>
      </c>
      <c r="D457" s="4" t="s">
        <v>4</v>
      </c>
      <c r="E457" s="4" t="s">
        <v>13</v>
      </c>
      <c r="F457" s="4" t="s">
        <v>13</v>
      </c>
    </row>
    <row r="458" spans="1:6" ht="15" thickBot="1" x14ac:dyDescent="0.35">
      <c r="A458" s="4"/>
    </row>
    <row r="459" spans="1:6" x14ac:dyDescent="0.3">
      <c r="A459" s="19" t="s">
        <v>661</v>
      </c>
      <c r="B459" s="20"/>
      <c r="C459" s="20"/>
      <c r="D459" s="20"/>
      <c r="E459" s="20"/>
      <c r="F459" s="20"/>
    </row>
    <row r="460" spans="1:6" x14ac:dyDescent="0.3">
      <c r="A460" s="12" t="s">
        <v>14</v>
      </c>
      <c r="B460" s="13">
        <v>45730</v>
      </c>
      <c r="C460" s="4" t="s">
        <v>12</v>
      </c>
      <c r="D460" s="4" t="s">
        <v>4</v>
      </c>
      <c r="E460" s="4" t="s">
        <v>13</v>
      </c>
      <c r="F460" s="4" t="s">
        <v>13</v>
      </c>
    </row>
    <row r="461" spans="1:6" ht="15" thickBot="1" x14ac:dyDescent="0.35">
      <c r="A461" s="4"/>
    </row>
    <row r="462" spans="1:6" x14ac:dyDescent="0.3">
      <c r="A462" s="19" t="s">
        <v>664</v>
      </c>
      <c r="B462" s="20"/>
      <c r="C462" s="20"/>
      <c r="D462" s="20"/>
      <c r="E462" s="20"/>
      <c r="F462" s="20"/>
    </row>
    <row r="463" spans="1:6" x14ac:dyDescent="0.3">
      <c r="A463" s="12" t="s">
        <v>14</v>
      </c>
      <c r="B463" s="13">
        <v>45730</v>
      </c>
      <c r="C463" s="4" t="s">
        <v>12</v>
      </c>
      <c r="D463" s="4" t="s">
        <v>4</v>
      </c>
      <c r="E463" s="4" t="s">
        <v>13</v>
      </c>
      <c r="F463" s="4" t="s">
        <v>13</v>
      </c>
    </row>
    <row r="464" spans="1:6" ht="15" thickBot="1" x14ac:dyDescent="0.35">
      <c r="A464" s="4"/>
    </row>
    <row r="465" spans="1:6" x14ac:dyDescent="0.3">
      <c r="A465" s="19" t="s">
        <v>667</v>
      </c>
      <c r="B465" s="20"/>
      <c r="C465" s="20"/>
      <c r="D465" s="20"/>
      <c r="E465" s="20"/>
      <c r="F465" s="20"/>
    </row>
    <row r="466" spans="1:6" x14ac:dyDescent="0.3">
      <c r="A466" s="12" t="s">
        <v>14</v>
      </c>
      <c r="B466" s="13">
        <v>45730</v>
      </c>
      <c r="C466" s="4" t="s">
        <v>12</v>
      </c>
      <c r="D466" s="4" t="s">
        <v>4</v>
      </c>
      <c r="E466" s="4" t="s">
        <v>13</v>
      </c>
      <c r="F466" s="4" t="s">
        <v>13</v>
      </c>
    </row>
    <row r="467" spans="1:6" ht="15" thickBot="1" x14ac:dyDescent="0.35">
      <c r="A467" s="4"/>
    </row>
    <row r="468" spans="1:6" x14ac:dyDescent="0.3">
      <c r="A468" s="19" t="s">
        <v>670</v>
      </c>
      <c r="B468" s="20"/>
      <c r="C468" s="20"/>
      <c r="D468" s="20"/>
      <c r="E468" s="20"/>
      <c r="F468" s="20"/>
    </row>
    <row r="469" spans="1:6" x14ac:dyDescent="0.3">
      <c r="A469" s="12" t="s">
        <v>14</v>
      </c>
      <c r="B469" s="13">
        <v>45730</v>
      </c>
      <c r="C469" s="4" t="s">
        <v>12</v>
      </c>
      <c r="D469" s="4" t="s">
        <v>4</v>
      </c>
      <c r="E469" s="4" t="s">
        <v>13</v>
      </c>
      <c r="F469" s="4" t="s">
        <v>13</v>
      </c>
    </row>
    <row r="470" spans="1:6" ht="15" thickBot="1" x14ac:dyDescent="0.35">
      <c r="A470" s="4"/>
    </row>
    <row r="471" spans="1:6" x14ac:dyDescent="0.3">
      <c r="A471" s="19" t="s">
        <v>673</v>
      </c>
      <c r="B471" s="20"/>
      <c r="C471" s="20"/>
      <c r="D471" s="20"/>
      <c r="E471" s="20"/>
      <c r="F471" s="20"/>
    </row>
    <row r="472" spans="1:6" x14ac:dyDescent="0.3">
      <c r="A472" s="12" t="s">
        <v>14</v>
      </c>
      <c r="B472" s="13">
        <v>45730</v>
      </c>
      <c r="C472" s="4" t="s">
        <v>12</v>
      </c>
      <c r="D472" s="4" t="s">
        <v>4</v>
      </c>
      <c r="E472" s="4" t="s">
        <v>13</v>
      </c>
      <c r="F472" s="4" t="s">
        <v>13</v>
      </c>
    </row>
    <row r="473" spans="1:6" ht="15" thickBot="1" x14ac:dyDescent="0.35">
      <c r="A473" s="4"/>
    </row>
    <row r="474" spans="1:6" x14ac:dyDescent="0.3">
      <c r="A474" s="19" t="s">
        <v>676</v>
      </c>
      <c r="B474" s="20"/>
      <c r="C474" s="20"/>
      <c r="D474" s="20"/>
      <c r="E474" s="20"/>
      <c r="F474" s="20"/>
    </row>
    <row r="475" spans="1:6" x14ac:dyDescent="0.3">
      <c r="A475" s="12" t="s">
        <v>14</v>
      </c>
      <c r="B475" s="13">
        <v>45730</v>
      </c>
      <c r="C475" s="4" t="s">
        <v>12</v>
      </c>
      <c r="D475" s="4" t="s">
        <v>4</v>
      </c>
      <c r="E475" s="4" t="s">
        <v>13</v>
      </c>
      <c r="F475" s="4" t="s">
        <v>13</v>
      </c>
    </row>
    <row r="476" spans="1:6" ht="15" thickBot="1" x14ac:dyDescent="0.35">
      <c r="A476" s="4"/>
    </row>
    <row r="477" spans="1:6" x14ac:dyDescent="0.3">
      <c r="A477" s="19" t="s">
        <v>679</v>
      </c>
      <c r="B477" s="20"/>
      <c r="C477" s="20"/>
      <c r="D477" s="20"/>
      <c r="E477" s="20"/>
      <c r="F477" s="20"/>
    </row>
    <row r="478" spans="1:6" x14ac:dyDescent="0.3">
      <c r="A478" s="12" t="s">
        <v>14</v>
      </c>
      <c r="B478" s="13">
        <v>45730</v>
      </c>
      <c r="C478" s="4" t="s">
        <v>12</v>
      </c>
      <c r="D478" s="4" t="s">
        <v>4</v>
      </c>
      <c r="E478" s="4" t="s">
        <v>13</v>
      </c>
      <c r="F478" s="4" t="s">
        <v>13</v>
      </c>
    </row>
    <row r="479" spans="1:6" ht="15" thickBot="1" x14ac:dyDescent="0.35">
      <c r="A479" s="4"/>
    </row>
    <row r="480" spans="1:6" x14ac:dyDescent="0.3">
      <c r="A480" s="19" t="s">
        <v>682</v>
      </c>
      <c r="B480" s="20"/>
      <c r="C480" s="20"/>
      <c r="D480" s="20"/>
      <c r="E480" s="20"/>
      <c r="F480" s="20"/>
    </row>
    <row r="481" spans="1:6" x14ac:dyDescent="0.3">
      <c r="A481" s="12" t="s">
        <v>14</v>
      </c>
      <c r="B481" s="13">
        <v>45730</v>
      </c>
      <c r="C481" s="4" t="s">
        <v>12</v>
      </c>
      <c r="D481" s="4" t="s">
        <v>4</v>
      </c>
      <c r="E481" s="4" t="s">
        <v>13</v>
      </c>
      <c r="F481" s="4" t="s">
        <v>13</v>
      </c>
    </row>
    <row r="482" spans="1:6" ht="15" thickBot="1" x14ac:dyDescent="0.35">
      <c r="A482" s="4"/>
    </row>
    <row r="483" spans="1:6" x14ac:dyDescent="0.3">
      <c r="A483" s="19" t="s">
        <v>685</v>
      </c>
      <c r="B483" s="20"/>
      <c r="C483" s="20"/>
      <c r="D483" s="20"/>
      <c r="E483" s="20"/>
      <c r="F483" s="20"/>
    </row>
    <row r="484" spans="1:6" x14ac:dyDescent="0.3">
      <c r="A484" s="12" t="s">
        <v>14</v>
      </c>
      <c r="B484" s="13">
        <v>45730</v>
      </c>
      <c r="C484" s="4" t="s">
        <v>12</v>
      </c>
      <c r="D484" s="4" t="s">
        <v>4</v>
      </c>
      <c r="E484" s="4" t="s">
        <v>13</v>
      </c>
      <c r="F484" s="4" t="s">
        <v>13</v>
      </c>
    </row>
    <row r="485" spans="1:6" ht="15" thickBot="1" x14ac:dyDescent="0.35">
      <c r="A485" s="4"/>
    </row>
    <row r="486" spans="1:6" x14ac:dyDescent="0.3">
      <c r="A486" s="19" t="s">
        <v>688</v>
      </c>
      <c r="B486" s="20"/>
      <c r="C486" s="20"/>
      <c r="D486" s="20"/>
      <c r="E486" s="20"/>
      <c r="F486" s="20"/>
    </row>
    <row r="487" spans="1:6" x14ac:dyDescent="0.3">
      <c r="A487" s="12" t="s">
        <v>14</v>
      </c>
      <c r="B487" s="13">
        <v>45730</v>
      </c>
      <c r="C487" s="4" t="s">
        <v>12</v>
      </c>
      <c r="D487" s="4" t="s">
        <v>4</v>
      </c>
      <c r="E487" s="4" t="s">
        <v>13</v>
      </c>
      <c r="F487" s="4" t="s">
        <v>13</v>
      </c>
    </row>
    <row r="488" spans="1:6" ht="15" thickBot="1" x14ac:dyDescent="0.35">
      <c r="A488" s="4"/>
    </row>
    <row r="489" spans="1:6" x14ac:dyDescent="0.3">
      <c r="A489" s="19" t="s">
        <v>691</v>
      </c>
      <c r="B489" s="20"/>
      <c r="C489" s="20"/>
      <c r="D489" s="20"/>
      <c r="E489" s="20"/>
      <c r="F489" s="20"/>
    </row>
    <row r="490" spans="1:6" x14ac:dyDescent="0.3">
      <c r="A490" s="12" t="s">
        <v>14</v>
      </c>
      <c r="B490" s="13">
        <v>45730</v>
      </c>
      <c r="C490" s="4" t="s">
        <v>12</v>
      </c>
      <c r="D490" s="4" t="s">
        <v>4</v>
      </c>
      <c r="E490" s="4" t="s">
        <v>13</v>
      </c>
      <c r="F490" s="4" t="s">
        <v>13</v>
      </c>
    </row>
    <row r="491" spans="1:6" ht="15" thickBot="1" x14ac:dyDescent="0.35">
      <c r="A491" s="4"/>
    </row>
    <row r="492" spans="1:6" x14ac:dyDescent="0.3">
      <c r="A492" s="19" t="s">
        <v>694</v>
      </c>
      <c r="B492" s="20"/>
      <c r="C492" s="20"/>
      <c r="D492" s="20"/>
      <c r="E492" s="20"/>
      <c r="F492" s="20"/>
    </row>
    <row r="493" spans="1:6" x14ac:dyDescent="0.3">
      <c r="A493" s="12" t="s">
        <v>14</v>
      </c>
      <c r="B493" s="13">
        <v>45730</v>
      </c>
      <c r="C493" s="4" t="s">
        <v>12</v>
      </c>
      <c r="D493" s="4" t="s">
        <v>4</v>
      </c>
      <c r="E493" s="4" t="s">
        <v>13</v>
      </c>
      <c r="F493" s="4" t="s">
        <v>13</v>
      </c>
    </row>
    <row r="494" spans="1:6" ht="15" thickBot="1" x14ac:dyDescent="0.35">
      <c r="A494" s="4"/>
    </row>
    <row r="495" spans="1:6" x14ac:dyDescent="0.3">
      <c r="A495" s="19" t="s">
        <v>697</v>
      </c>
      <c r="B495" s="20"/>
      <c r="C495" s="20"/>
      <c r="D495" s="20"/>
      <c r="E495" s="20"/>
      <c r="F495" s="20"/>
    </row>
    <row r="496" spans="1:6" x14ac:dyDescent="0.3">
      <c r="A496" s="12" t="s">
        <v>14</v>
      </c>
      <c r="B496" s="13">
        <v>45730</v>
      </c>
      <c r="C496" s="4" t="s">
        <v>12</v>
      </c>
      <c r="D496" s="4" t="s">
        <v>4</v>
      </c>
      <c r="E496" s="4" t="s">
        <v>13</v>
      </c>
      <c r="F496" s="4" t="s">
        <v>13</v>
      </c>
    </row>
    <row r="497" spans="1:6" ht="15" thickBot="1" x14ac:dyDescent="0.35">
      <c r="A497" s="4"/>
    </row>
    <row r="498" spans="1:6" x14ac:dyDescent="0.3">
      <c r="A498" s="19" t="s">
        <v>700</v>
      </c>
      <c r="B498" s="20"/>
      <c r="C498" s="20"/>
      <c r="D498" s="20"/>
      <c r="E498" s="20"/>
      <c r="F498" s="20"/>
    </row>
    <row r="499" spans="1:6" x14ac:dyDescent="0.3">
      <c r="A499" s="12" t="s">
        <v>14</v>
      </c>
      <c r="B499" s="13">
        <v>45730</v>
      </c>
      <c r="C499" s="4" t="s">
        <v>12</v>
      </c>
      <c r="D499" s="4" t="s">
        <v>4</v>
      </c>
      <c r="E499" s="4" t="s">
        <v>13</v>
      </c>
      <c r="F499" s="4" t="s">
        <v>13</v>
      </c>
    </row>
    <row r="500" spans="1:6" ht="15" thickBot="1" x14ac:dyDescent="0.35">
      <c r="A500" s="4"/>
    </row>
    <row r="501" spans="1:6" x14ac:dyDescent="0.3">
      <c r="A501" s="19" t="s">
        <v>703</v>
      </c>
      <c r="B501" s="20"/>
      <c r="C501" s="20"/>
      <c r="D501" s="20"/>
      <c r="E501" s="20"/>
      <c r="F501" s="20"/>
    </row>
    <row r="502" spans="1:6" x14ac:dyDescent="0.3">
      <c r="A502" s="12" t="s">
        <v>14</v>
      </c>
      <c r="B502" s="13">
        <v>45730</v>
      </c>
      <c r="C502" s="4" t="s">
        <v>12</v>
      </c>
      <c r="D502" s="4" t="s">
        <v>4</v>
      </c>
      <c r="E502" s="4" t="s">
        <v>13</v>
      </c>
      <c r="F502" s="4" t="s">
        <v>13</v>
      </c>
    </row>
    <row r="503" spans="1:6" ht="15" thickBot="1" x14ac:dyDescent="0.35">
      <c r="A503" s="4"/>
    </row>
    <row r="504" spans="1:6" x14ac:dyDescent="0.3">
      <c r="A504" s="19" t="s">
        <v>706</v>
      </c>
      <c r="B504" s="20"/>
      <c r="C504" s="20"/>
      <c r="D504" s="20"/>
      <c r="E504" s="20"/>
      <c r="F504" s="20"/>
    </row>
    <row r="505" spans="1:6" x14ac:dyDescent="0.3">
      <c r="A505" s="12" t="s">
        <v>14</v>
      </c>
      <c r="B505" s="13">
        <v>45730</v>
      </c>
      <c r="C505" s="4" t="s">
        <v>12</v>
      </c>
      <c r="D505" s="4" t="s">
        <v>4</v>
      </c>
      <c r="E505" s="4" t="s">
        <v>13</v>
      </c>
      <c r="F505" s="4" t="s">
        <v>13</v>
      </c>
    </row>
    <row r="506" spans="1:6" ht="15" thickBot="1" x14ac:dyDescent="0.35">
      <c r="A506" s="4"/>
    </row>
    <row r="507" spans="1:6" x14ac:dyDescent="0.3">
      <c r="A507" s="19" t="s">
        <v>709</v>
      </c>
      <c r="B507" s="20"/>
      <c r="C507" s="20"/>
      <c r="D507" s="20"/>
      <c r="E507" s="20"/>
      <c r="F507" s="20"/>
    </row>
    <row r="508" spans="1:6" x14ac:dyDescent="0.3">
      <c r="A508" s="12" t="s">
        <v>14</v>
      </c>
      <c r="B508" s="13">
        <v>45730</v>
      </c>
      <c r="C508" s="4" t="s">
        <v>12</v>
      </c>
      <c r="D508" s="4" t="s">
        <v>4</v>
      </c>
      <c r="E508" s="4" t="s">
        <v>13</v>
      </c>
      <c r="F508" s="4" t="s">
        <v>13</v>
      </c>
    </row>
    <row r="509" spans="1:6" ht="15" thickBot="1" x14ac:dyDescent="0.35">
      <c r="A509" s="4"/>
    </row>
    <row r="510" spans="1:6" x14ac:dyDescent="0.3">
      <c r="A510" s="19" t="s">
        <v>712</v>
      </c>
      <c r="B510" s="20"/>
      <c r="C510" s="20"/>
      <c r="D510" s="20"/>
      <c r="E510" s="20"/>
      <c r="F510" s="20"/>
    </row>
    <row r="511" spans="1:6" x14ac:dyDescent="0.3">
      <c r="A511" s="12" t="s">
        <v>14</v>
      </c>
      <c r="B511" s="13">
        <v>45730</v>
      </c>
      <c r="C511" s="4" t="s">
        <v>12</v>
      </c>
      <c r="D511" s="4" t="s">
        <v>4</v>
      </c>
      <c r="E511" s="4" t="s">
        <v>13</v>
      </c>
      <c r="F511" s="4" t="s">
        <v>13</v>
      </c>
    </row>
    <row r="512" spans="1:6" ht="15" thickBot="1" x14ac:dyDescent="0.35">
      <c r="A512" s="4"/>
    </row>
    <row r="513" spans="1:6" x14ac:dyDescent="0.3">
      <c r="A513" s="19" t="s">
        <v>715</v>
      </c>
      <c r="B513" s="20"/>
      <c r="C513" s="20"/>
      <c r="D513" s="20"/>
      <c r="E513" s="20"/>
      <c r="F513" s="20"/>
    </row>
    <row r="514" spans="1:6" x14ac:dyDescent="0.3">
      <c r="A514" s="12" t="s">
        <v>14</v>
      </c>
      <c r="B514" s="13">
        <v>45730</v>
      </c>
      <c r="C514" s="4" t="s">
        <v>12</v>
      </c>
      <c r="D514" s="4" t="s">
        <v>4</v>
      </c>
      <c r="E514" s="4" t="s">
        <v>13</v>
      </c>
      <c r="F514" s="4" t="s">
        <v>13</v>
      </c>
    </row>
    <row r="515" spans="1:6" ht="15" thickBot="1" x14ac:dyDescent="0.35">
      <c r="A515" s="4"/>
    </row>
    <row r="516" spans="1:6" x14ac:dyDescent="0.3">
      <c r="A516" s="19" t="s">
        <v>718</v>
      </c>
      <c r="B516" s="20"/>
      <c r="C516" s="20"/>
      <c r="D516" s="20"/>
      <c r="E516" s="20"/>
      <c r="F516" s="20"/>
    </row>
    <row r="517" spans="1:6" x14ac:dyDescent="0.3">
      <c r="A517" s="12" t="s">
        <v>14</v>
      </c>
      <c r="B517" s="13">
        <v>45730</v>
      </c>
      <c r="C517" s="4" t="s">
        <v>12</v>
      </c>
      <c r="D517" s="4" t="s">
        <v>4</v>
      </c>
      <c r="E517" s="4" t="s">
        <v>13</v>
      </c>
      <c r="F517" s="4" t="s">
        <v>13</v>
      </c>
    </row>
    <row r="518" spans="1:6" ht="15" thickBot="1" x14ac:dyDescent="0.35">
      <c r="A518" s="4"/>
    </row>
    <row r="519" spans="1:6" x14ac:dyDescent="0.3">
      <c r="A519" s="19" t="s">
        <v>721</v>
      </c>
      <c r="B519" s="20"/>
      <c r="C519" s="20"/>
      <c r="D519" s="20"/>
      <c r="E519" s="20"/>
      <c r="F519" s="20"/>
    </row>
    <row r="520" spans="1:6" x14ac:dyDescent="0.3">
      <c r="A520" s="12" t="s">
        <v>14</v>
      </c>
      <c r="B520" s="13">
        <v>45730</v>
      </c>
      <c r="C520" s="4" t="s">
        <v>12</v>
      </c>
      <c r="D520" s="4" t="s">
        <v>4</v>
      </c>
      <c r="E520" s="4" t="s">
        <v>13</v>
      </c>
      <c r="F520" s="4" t="s">
        <v>13</v>
      </c>
    </row>
    <row r="521" spans="1:6" ht="15" thickBot="1" x14ac:dyDescent="0.35">
      <c r="A521" s="4"/>
    </row>
    <row r="522" spans="1:6" x14ac:dyDescent="0.3">
      <c r="A522" s="19" t="s">
        <v>724</v>
      </c>
      <c r="B522" s="20"/>
      <c r="C522" s="20"/>
      <c r="D522" s="20"/>
      <c r="E522" s="20"/>
      <c r="F522" s="20"/>
    </row>
    <row r="523" spans="1:6" x14ac:dyDescent="0.3">
      <c r="A523" s="12" t="s">
        <v>14</v>
      </c>
      <c r="B523" s="13">
        <v>45730</v>
      </c>
      <c r="C523" s="4" t="s">
        <v>12</v>
      </c>
      <c r="D523" s="4" t="s">
        <v>4</v>
      </c>
      <c r="E523" s="4" t="s">
        <v>13</v>
      </c>
      <c r="F523" s="4" t="s">
        <v>13</v>
      </c>
    </row>
    <row r="524" spans="1:6" ht="15" thickBot="1" x14ac:dyDescent="0.35">
      <c r="A524" s="4"/>
    </row>
    <row r="525" spans="1:6" x14ac:dyDescent="0.3">
      <c r="A525" s="19" t="s">
        <v>727</v>
      </c>
      <c r="B525" s="20"/>
      <c r="C525" s="20"/>
      <c r="D525" s="20"/>
      <c r="E525" s="20"/>
      <c r="F525" s="20"/>
    </row>
    <row r="526" spans="1:6" x14ac:dyDescent="0.3">
      <c r="A526" s="12" t="s">
        <v>14</v>
      </c>
      <c r="B526" s="13">
        <v>45730</v>
      </c>
      <c r="C526" s="4" t="s">
        <v>12</v>
      </c>
      <c r="D526" s="4" t="s">
        <v>4</v>
      </c>
      <c r="E526" s="4" t="s">
        <v>13</v>
      </c>
      <c r="F526" s="4" t="s">
        <v>13</v>
      </c>
    </row>
    <row r="527" spans="1:6" ht="15" thickBot="1" x14ac:dyDescent="0.35">
      <c r="A527" s="4"/>
    </row>
    <row r="528" spans="1:6" x14ac:dyDescent="0.3">
      <c r="A528" s="19" t="s">
        <v>730</v>
      </c>
      <c r="B528" s="20"/>
      <c r="C528" s="20"/>
      <c r="D528" s="20"/>
      <c r="E528" s="20"/>
      <c r="F528" s="20"/>
    </row>
    <row r="529" spans="1:6" x14ac:dyDescent="0.3">
      <c r="A529" s="12" t="s">
        <v>14</v>
      </c>
      <c r="B529" s="13">
        <v>45730</v>
      </c>
      <c r="C529" s="4" t="s">
        <v>12</v>
      </c>
      <c r="D529" s="4" t="s">
        <v>4</v>
      </c>
      <c r="E529" s="4" t="s">
        <v>13</v>
      </c>
      <c r="F529" s="4" t="s">
        <v>13</v>
      </c>
    </row>
    <row r="530" spans="1:6" ht="15" thickBot="1" x14ac:dyDescent="0.35">
      <c r="A530" s="4"/>
    </row>
    <row r="531" spans="1:6" x14ac:dyDescent="0.3">
      <c r="A531" s="19" t="s">
        <v>733</v>
      </c>
      <c r="B531" s="20"/>
      <c r="C531" s="20"/>
      <c r="D531" s="20"/>
      <c r="E531" s="20"/>
      <c r="F531" s="20"/>
    </row>
    <row r="532" spans="1:6" x14ac:dyDescent="0.3">
      <c r="A532" s="12" t="s">
        <v>14</v>
      </c>
      <c r="B532" s="13">
        <v>45730</v>
      </c>
      <c r="C532" s="4" t="s">
        <v>12</v>
      </c>
      <c r="D532" s="4" t="s">
        <v>4</v>
      </c>
      <c r="E532" s="4" t="s">
        <v>13</v>
      </c>
      <c r="F532" s="4" t="s">
        <v>13</v>
      </c>
    </row>
    <row r="533" spans="1:6" ht="15" thickBot="1" x14ac:dyDescent="0.35">
      <c r="A533" s="4"/>
    </row>
    <row r="534" spans="1:6" x14ac:dyDescent="0.3">
      <c r="A534" s="19" t="s">
        <v>736</v>
      </c>
      <c r="B534" s="20"/>
      <c r="C534" s="20"/>
      <c r="D534" s="20"/>
      <c r="E534" s="20"/>
      <c r="F534" s="20"/>
    </row>
    <row r="535" spans="1:6" x14ac:dyDescent="0.3">
      <c r="A535" s="12" t="s">
        <v>14</v>
      </c>
      <c r="B535" s="13">
        <v>45730</v>
      </c>
      <c r="C535" s="4" t="s">
        <v>12</v>
      </c>
      <c r="D535" s="4" t="s">
        <v>4</v>
      </c>
      <c r="E535" s="4" t="s">
        <v>13</v>
      </c>
      <c r="F535" s="4" t="s">
        <v>13</v>
      </c>
    </row>
    <row r="536" spans="1:6" ht="15" thickBot="1" x14ac:dyDescent="0.35">
      <c r="A536" s="4"/>
    </row>
    <row r="537" spans="1:6" x14ac:dyDescent="0.3">
      <c r="A537" s="19" t="s">
        <v>739</v>
      </c>
      <c r="B537" s="20"/>
      <c r="C537" s="20"/>
      <c r="D537" s="20"/>
      <c r="E537" s="20"/>
      <c r="F537" s="20"/>
    </row>
    <row r="538" spans="1:6" x14ac:dyDescent="0.3">
      <c r="A538" s="12" t="s">
        <v>14</v>
      </c>
      <c r="B538" s="13">
        <v>45730</v>
      </c>
      <c r="C538" s="4" t="s">
        <v>12</v>
      </c>
      <c r="D538" s="4" t="s">
        <v>4</v>
      </c>
      <c r="E538" s="4" t="s">
        <v>13</v>
      </c>
      <c r="F538" s="4" t="s">
        <v>13</v>
      </c>
    </row>
    <row r="539" spans="1:6" ht="15" thickBot="1" x14ac:dyDescent="0.35">
      <c r="A539" s="4"/>
    </row>
    <row r="540" spans="1:6" x14ac:dyDescent="0.3">
      <c r="A540" s="19" t="s">
        <v>742</v>
      </c>
      <c r="B540" s="20"/>
      <c r="C540" s="20"/>
      <c r="D540" s="20"/>
      <c r="E540" s="20"/>
      <c r="F540" s="20"/>
    </row>
    <row r="541" spans="1:6" x14ac:dyDescent="0.3">
      <c r="A541" s="12" t="s">
        <v>14</v>
      </c>
      <c r="B541" s="13">
        <v>45730</v>
      </c>
      <c r="C541" s="4" t="s">
        <v>12</v>
      </c>
      <c r="D541" s="4" t="s">
        <v>4</v>
      </c>
      <c r="E541" s="4" t="s">
        <v>13</v>
      </c>
      <c r="F541" s="4" t="s">
        <v>13</v>
      </c>
    </row>
    <row r="542" spans="1:6" ht="15" thickBot="1" x14ac:dyDescent="0.35">
      <c r="A542" s="4"/>
    </row>
    <row r="543" spans="1:6" x14ac:dyDescent="0.3">
      <c r="A543" s="19" t="s">
        <v>745</v>
      </c>
      <c r="B543" s="20"/>
      <c r="C543" s="20"/>
      <c r="D543" s="20"/>
      <c r="E543" s="20"/>
      <c r="F543" s="20"/>
    </row>
    <row r="544" spans="1:6" x14ac:dyDescent="0.3">
      <c r="A544" s="12" t="s">
        <v>14</v>
      </c>
      <c r="B544" s="13">
        <v>45730</v>
      </c>
      <c r="C544" s="4" t="s">
        <v>12</v>
      </c>
      <c r="D544" s="4" t="s">
        <v>4</v>
      </c>
      <c r="E544" s="4" t="s">
        <v>13</v>
      </c>
      <c r="F544" s="4" t="s">
        <v>13</v>
      </c>
    </row>
    <row r="545" spans="1:6" ht="15" thickBot="1" x14ac:dyDescent="0.35">
      <c r="A545" s="4"/>
    </row>
    <row r="546" spans="1:6" x14ac:dyDescent="0.3">
      <c r="A546" s="19" t="s">
        <v>748</v>
      </c>
      <c r="B546" s="20"/>
      <c r="C546" s="20"/>
      <c r="D546" s="20"/>
      <c r="E546" s="20"/>
      <c r="F546" s="20"/>
    </row>
    <row r="547" spans="1:6" x14ac:dyDescent="0.3">
      <c r="A547" s="12" t="s">
        <v>14</v>
      </c>
      <c r="B547" s="13">
        <v>45730</v>
      </c>
      <c r="C547" s="4" t="s">
        <v>12</v>
      </c>
      <c r="D547" s="4" t="s">
        <v>4</v>
      </c>
      <c r="E547" s="4" t="s">
        <v>13</v>
      </c>
      <c r="F547" s="4" t="s">
        <v>13</v>
      </c>
    </row>
    <row r="548" spans="1:6" ht="15" thickBot="1" x14ac:dyDescent="0.35">
      <c r="A548" s="4"/>
    </row>
    <row r="549" spans="1:6" x14ac:dyDescent="0.3">
      <c r="A549" s="19" t="s">
        <v>751</v>
      </c>
      <c r="B549" s="20"/>
      <c r="C549" s="20"/>
      <c r="D549" s="20"/>
      <c r="E549" s="20"/>
      <c r="F549" s="20"/>
    </row>
    <row r="550" spans="1:6" x14ac:dyDescent="0.3">
      <c r="A550" s="12" t="s">
        <v>14</v>
      </c>
      <c r="B550" s="13">
        <v>45730</v>
      </c>
      <c r="C550" s="4" t="s">
        <v>12</v>
      </c>
      <c r="D550" s="4" t="s">
        <v>4</v>
      </c>
      <c r="E550" s="4" t="s">
        <v>13</v>
      </c>
      <c r="F550" s="4" t="s">
        <v>13</v>
      </c>
    </row>
    <row r="551" spans="1:6" ht="15" thickBot="1" x14ac:dyDescent="0.35">
      <c r="A551" s="4"/>
    </row>
    <row r="552" spans="1:6" x14ac:dyDescent="0.3">
      <c r="A552" s="19" t="s">
        <v>754</v>
      </c>
      <c r="B552" s="20"/>
      <c r="C552" s="20"/>
      <c r="D552" s="20"/>
      <c r="E552" s="20"/>
      <c r="F552" s="20"/>
    </row>
    <row r="553" spans="1:6" x14ac:dyDescent="0.3">
      <c r="A553" s="12" t="s">
        <v>14</v>
      </c>
      <c r="B553" s="13">
        <v>45730</v>
      </c>
      <c r="C553" s="4" t="s">
        <v>12</v>
      </c>
      <c r="D553" s="4" t="s">
        <v>4</v>
      </c>
      <c r="E553" s="4" t="s">
        <v>13</v>
      </c>
      <c r="F553" s="4" t="s">
        <v>13</v>
      </c>
    </row>
    <row r="554" spans="1:6" ht="15" thickBot="1" x14ac:dyDescent="0.35">
      <c r="A554" s="4"/>
    </row>
    <row r="555" spans="1:6" x14ac:dyDescent="0.3">
      <c r="A555" s="19" t="s">
        <v>757</v>
      </c>
      <c r="B555" s="20"/>
      <c r="C555" s="20"/>
      <c r="D555" s="20"/>
      <c r="E555" s="20"/>
      <c r="F555" s="20"/>
    </row>
    <row r="556" spans="1:6" x14ac:dyDescent="0.3">
      <c r="A556" s="12" t="s">
        <v>14</v>
      </c>
      <c r="B556" s="13">
        <v>45730</v>
      </c>
      <c r="C556" s="4" t="s">
        <v>12</v>
      </c>
      <c r="D556" s="4" t="s">
        <v>4</v>
      </c>
      <c r="E556" s="4" t="s">
        <v>13</v>
      </c>
      <c r="F556" s="4" t="s">
        <v>13</v>
      </c>
    </row>
    <row r="557" spans="1:6" ht="15" thickBot="1" x14ac:dyDescent="0.35">
      <c r="A557" s="4"/>
    </row>
    <row r="558" spans="1:6" x14ac:dyDescent="0.3">
      <c r="A558" s="19" t="s">
        <v>762</v>
      </c>
      <c r="B558" s="20"/>
      <c r="C558" s="20"/>
      <c r="D558" s="20"/>
      <c r="E558" s="20"/>
      <c r="F558" s="20"/>
    </row>
    <row r="559" spans="1:6" x14ac:dyDescent="0.3">
      <c r="A559" s="12" t="s">
        <v>10</v>
      </c>
      <c r="B559" s="13">
        <v>45730</v>
      </c>
      <c r="C559" s="4" t="s">
        <v>12</v>
      </c>
      <c r="D559" s="4" t="s">
        <v>4</v>
      </c>
      <c r="E559" s="4" t="s">
        <v>13</v>
      </c>
      <c r="F559" s="4" t="s">
        <v>13</v>
      </c>
    </row>
    <row r="560" spans="1:6" ht="15" thickBot="1" x14ac:dyDescent="0.35">
      <c r="A560" s="4"/>
    </row>
    <row r="561" spans="1:6" x14ac:dyDescent="0.3">
      <c r="A561" s="19" t="s">
        <v>773</v>
      </c>
      <c r="B561" s="20"/>
      <c r="C561" s="20"/>
      <c r="D561" s="20"/>
      <c r="E561" s="20"/>
      <c r="F561" s="20"/>
    </row>
    <row r="562" spans="1:6" x14ac:dyDescent="0.3">
      <c r="A562" s="12" t="s">
        <v>14</v>
      </c>
      <c r="B562" s="13">
        <v>45730</v>
      </c>
      <c r="C562" s="4" t="s">
        <v>12</v>
      </c>
      <c r="D562" s="4" t="s">
        <v>4</v>
      </c>
      <c r="E562" s="4" t="s">
        <v>13</v>
      </c>
      <c r="F562" s="4" t="s">
        <v>13</v>
      </c>
    </row>
    <row r="563" spans="1:6" ht="15" thickBot="1" x14ac:dyDescent="0.35">
      <c r="A563" s="4"/>
    </row>
    <row r="564" spans="1:6" x14ac:dyDescent="0.3">
      <c r="A564" s="19" t="s">
        <v>776</v>
      </c>
      <c r="B564" s="20"/>
      <c r="C564" s="20"/>
      <c r="D564" s="20"/>
      <c r="E564" s="20"/>
      <c r="F564" s="20"/>
    </row>
    <row r="565" spans="1:6" x14ac:dyDescent="0.3">
      <c r="A565" s="12" t="s">
        <v>14</v>
      </c>
      <c r="B565" s="13">
        <v>45730</v>
      </c>
      <c r="C565" s="4" t="s">
        <v>12</v>
      </c>
      <c r="D565" s="4" t="s">
        <v>4</v>
      </c>
      <c r="E565" s="4" t="s">
        <v>13</v>
      </c>
      <c r="F565" s="4" t="s">
        <v>13</v>
      </c>
    </row>
    <row r="566" spans="1:6" ht="15" thickBot="1" x14ac:dyDescent="0.35">
      <c r="A566" s="4"/>
    </row>
    <row r="567" spans="1:6" x14ac:dyDescent="0.3">
      <c r="A567" s="19" t="s">
        <v>780</v>
      </c>
      <c r="B567" s="20"/>
      <c r="C567" s="20"/>
      <c r="D567" s="20"/>
      <c r="E567" s="20"/>
      <c r="F567" s="20"/>
    </row>
    <row r="568" spans="1:6" x14ac:dyDescent="0.3">
      <c r="A568" s="12" t="s">
        <v>10</v>
      </c>
      <c r="B568" s="13">
        <v>45730</v>
      </c>
      <c r="C568" s="4" t="s">
        <v>12</v>
      </c>
      <c r="D568" s="4" t="s">
        <v>4</v>
      </c>
      <c r="E568" s="4" t="s">
        <v>13</v>
      </c>
      <c r="F568" s="4" t="s">
        <v>13</v>
      </c>
    </row>
    <row r="569" spans="1:6" ht="15" thickBot="1" x14ac:dyDescent="0.35">
      <c r="A569" s="4"/>
    </row>
    <row r="570" spans="1:6" x14ac:dyDescent="0.3">
      <c r="A570" s="19" t="s">
        <v>783</v>
      </c>
      <c r="B570" s="20"/>
      <c r="C570" s="20"/>
      <c r="D570" s="20"/>
      <c r="E570" s="20"/>
      <c r="F570" s="20"/>
    </row>
    <row r="571" spans="1:6" x14ac:dyDescent="0.3">
      <c r="A571" s="12" t="s">
        <v>14</v>
      </c>
      <c r="B571" s="13">
        <v>45730</v>
      </c>
      <c r="C571" s="4" t="s">
        <v>12</v>
      </c>
      <c r="D571" s="4" t="s">
        <v>4</v>
      </c>
      <c r="E571" s="4" t="s">
        <v>13</v>
      </c>
      <c r="F571" s="4" t="s">
        <v>13</v>
      </c>
    </row>
    <row r="572" spans="1:6" ht="15" thickBot="1" x14ac:dyDescent="0.35">
      <c r="A572" s="4"/>
    </row>
    <row r="573" spans="1:6" x14ac:dyDescent="0.3">
      <c r="A573" s="19" t="s">
        <v>793</v>
      </c>
      <c r="B573" s="20"/>
      <c r="C573" s="20"/>
      <c r="D573" s="20"/>
      <c r="E573" s="20"/>
      <c r="F573" s="20"/>
    </row>
    <row r="574" spans="1:6" x14ac:dyDescent="0.3">
      <c r="A574" s="12" t="s">
        <v>10</v>
      </c>
      <c r="B574" s="13">
        <v>45730</v>
      </c>
      <c r="C574" s="4" t="s">
        <v>12</v>
      </c>
      <c r="D574" s="4" t="s">
        <v>4</v>
      </c>
      <c r="E574" s="4" t="s">
        <v>13</v>
      </c>
      <c r="F574" s="4" t="s">
        <v>13</v>
      </c>
    </row>
    <row r="575" spans="1:6" ht="15" thickBot="1" x14ac:dyDescent="0.35">
      <c r="A575" s="4"/>
    </row>
    <row r="576" spans="1:6" x14ac:dyDescent="0.3">
      <c r="A576" s="19" t="s">
        <v>800</v>
      </c>
      <c r="B576" s="20"/>
      <c r="C576" s="20"/>
      <c r="D576" s="20"/>
      <c r="E576" s="20"/>
      <c r="F576" s="20"/>
    </row>
    <row r="577" spans="1:6" x14ac:dyDescent="0.3">
      <c r="A577" s="12" t="s">
        <v>14</v>
      </c>
      <c r="B577" s="13">
        <v>45730</v>
      </c>
      <c r="C577" s="4" t="s">
        <v>12</v>
      </c>
      <c r="D577" s="4" t="s">
        <v>4</v>
      </c>
      <c r="E577" s="4" t="s">
        <v>13</v>
      </c>
      <c r="F577" s="4" t="s">
        <v>13</v>
      </c>
    </row>
    <row r="578" spans="1:6" ht="15" thickBot="1" x14ac:dyDescent="0.35">
      <c r="A578" s="4"/>
    </row>
    <row r="579" spans="1:6" x14ac:dyDescent="0.3">
      <c r="A579" s="19" t="s">
        <v>803</v>
      </c>
      <c r="B579" s="20"/>
      <c r="C579" s="20"/>
      <c r="D579" s="20"/>
      <c r="E579" s="20"/>
      <c r="F579" s="20"/>
    </row>
    <row r="580" spans="1:6" x14ac:dyDescent="0.3">
      <c r="A580" s="12" t="s">
        <v>14</v>
      </c>
      <c r="B580" s="13">
        <v>45730</v>
      </c>
      <c r="C580" s="4" t="s">
        <v>12</v>
      </c>
      <c r="D580" s="4" t="s">
        <v>4</v>
      </c>
      <c r="E580" s="4" t="s">
        <v>13</v>
      </c>
      <c r="F580" s="4" t="s">
        <v>13</v>
      </c>
    </row>
    <row r="581" spans="1:6" ht="15" thickBot="1" x14ac:dyDescent="0.35">
      <c r="A581" s="4"/>
    </row>
    <row r="582" spans="1:6" x14ac:dyDescent="0.3">
      <c r="A582" s="19" t="s">
        <v>810</v>
      </c>
      <c r="B582" s="20"/>
      <c r="C582" s="20"/>
      <c r="D582" s="20"/>
      <c r="E582" s="20"/>
      <c r="F582" s="20"/>
    </row>
    <row r="583" spans="1:6" x14ac:dyDescent="0.3">
      <c r="A583" s="12" t="s">
        <v>14</v>
      </c>
      <c r="B583" s="13">
        <v>45730</v>
      </c>
      <c r="C583" s="4" t="s">
        <v>12</v>
      </c>
      <c r="D583" s="4" t="s">
        <v>4</v>
      </c>
      <c r="E583" s="4" t="s">
        <v>13</v>
      </c>
      <c r="F583" s="4" t="s">
        <v>13</v>
      </c>
    </row>
    <row r="584" spans="1:6" ht="15" thickBot="1" x14ac:dyDescent="0.35">
      <c r="A584" s="4"/>
    </row>
    <row r="585" spans="1:6" x14ac:dyDescent="0.3">
      <c r="A585" s="19" t="s">
        <v>820</v>
      </c>
      <c r="B585" s="20"/>
      <c r="C585" s="20"/>
      <c r="D585" s="20"/>
      <c r="E585" s="20"/>
      <c r="F585" s="20"/>
    </row>
    <row r="586" spans="1:6" x14ac:dyDescent="0.3">
      <c r="A586" s="12" t="s">
        <v>14</v>
      </c>
      <c r="B586" s="13">
        <v>45730</v>
      </c>
      <c r="C586" s="4" t="s">
        <v>12</v>
      </c>
      <c r="D586" s="4" t="s">
        <v>4</v>
      </c>
      <c r="E586" s="4" t="s">
        <v>13</v>
      </c>
      <c r="F586" s="4" t="s">
        <v>13</v>
      </c>
    </row>
    <row r="587" spans="1:6" ht="15" thickBot="1" x14ac:dyDescent="0.35">
      <c r="A587" s="4"/>
    </row>
    <row r="588" spans="1:6" x14ac:dyDescent="0.3">
      <c r="A588" s="19" t="s">
        <v>835</v>
      </c>
      <c r="B588" s="20"/>
      <c r="C588" s="20"/>
      <c r="D588" s="20"/>
      <c r="E588" s="20"/>
      <c r="F588" s="20"/>
    </row>
    <row r="589" spans="1:6" x14ac:dyDescent="0.3">
      <c r="A589" s="12" t="s">
        <v>14</v>
      </c>
      <c r="B589" s="13">
        <v>45730</v>
      </c>
      <c r="C589" s="4" t="s">
        <v>12</v>
      </c>
      <c r="D589" s="4" t="s">
        <v>4</v>
      </c>
      <c r="E589" s="4" t="s">
        <v>13</v>
      </c>
      <c r="F589" s="4" t="s">
        <v>13</v>
      </c>
    </row>
    <row r="590" spans="1:6" ht="15" thickBot="1" x14ac:dyDescent="0.35">
      <c r="A590" s="4"/>
    </row>
    <row r="591" spans="1:6" x14ac:dyDescent="0.3">
      <c r="A591" s="19" t="s">
        <v>838</v>
      </c>
      <c r="B591" s="20"/>
      <c r="C591" s="20"/>
      <c r="D591" s="20"/>
      <c r="E591" s="20"/>
      <c r="F591" s="20"/>
    </row>
    <row r="592" spans="1:6" x14ac:dyDescent="0.3">
      <c r="A592" s="12" t="s">
        <v>14</v>
      </c>
      <c r="B592" s="13">
        <v>45730</v>
      </c>
      <c r="C592" s="4" t="s">
        <v>12</v>
      </c>
      <c r="D592" s="4" t="s">
        <v>4</v>
      </c>
      <c r="E592" s="4" t="s">
        <v>13</v>
      </c>
      <c r="F592" s="4" t="s">
        <v>13</v>
      </c>
    </row>
    <row r="593" spans="1:6" ht="15" thickBot="1" x14ac:dyDescent="0.35">
      <c r="A593" s="4"/>
    </row>
    <row r="594" spans="1:6" x14ac:dyDescent="0.3">
      <c r="A594" s="19" t="s">
        <v>841</v>
      </c>
      <c r="B594" s="20"/>
      <c r="C594" s="20"/>
      <c r="D594" s="20"/>
      <c r="E594" s="20"/>
      <c r="F594" s="20"/>
    </row>
    <row r="595" spans="1:6" x14ac:dyDescent="0.3">
      <c r="A595" s="12" t="s">
        <v>14</v>
      </c>
      <c r="B595" s="13">
        <v>45730</v>
      </c>
      <c r="C595" s="4" t="s">
        <v>12</v>
      </c>
      <c r="D595" s="4" t="s">
        <v>4</v>
      </c>
      <c r="E595" s="4" t="s">
        <v>13</v>
      </c>
      <c r="F595" s="4" t="s">
        <v>13</v>
      </c>
    </row>
    <row r="596" spans="1:6" ht="15" thickBot="1" x14ac:dyDescent="0.35">
      <c r="A596" s="4"/>
    </row>
    <row r="597" spans="1:6" x14ac:dyDescent="0.3">
      <c r="A597" s="19" t="s">
        <v>844</v>
      </c>
      <c r="B597" s="20"/>
      <c r="C597" s="20"/>
      <c r="D597" s="20"/>
      <c r="E597" s="20"/>
      <c r="F597" s="20"/>
    </row>
    <row r="598" spans="1:6" x14ac:dyDescent="0.3">
      <c r="A598" s="12" t="s">
        <v>14</v>
      </c>
      <c r="B598" s="13">
        <v>45730</v>
      </c>
      <c r="C598" s="4" t="s">
        <v>12</v>
      </c>
      <c r="D598" s="4" t="s">
        <v>4</v>
      </c>
      <c r="E598" s="4" t="s">
        <v>13</v>
      </c>
      <c r="F598" s="4" t="s">
        <v>13</v>
      </c>
    </row>
    <row r="599" spans="1:6" ht="15" thickBot="1" x14ac:dyDescent="0.35">
      <c r="A599" s="4"/>
    </row>
    <row r="600" spans="1:6" x14ac:dyDescent="0.3">
      <c r="A600" s="19" t="s">
        <v>847</v>
      </c>
      <c r="B600" s="20"/>
      <c r="C600" s="20"/>
      <c r="D600" s="20"/>
      <c r="E600" s="20"/>
      <c r="F600" s="20"/>
    </row>
    <row r="601" spans="1:6" x14ac:dyDescent="0.3">
      <c r="A601" s="12" t="s">
        <v>14</v>
      </c>
      <c r="B601" s="13">
        <v>45730</v>
      </c>
      <c r="C601" s="4" t="s">
        <v>12</v>
      </c>
      <c r="D601" s="4" t="s">
        <v>4</v>
      </c>
      <c r="E601" s="4" t="s">
        <v>13</v>
      </c>
      <c r="F601" s="4" t="s">
        <v>13</v>
      </c>
    </row>
    <row r="602" spans="1:6" ht="15" thickBot="1" x14ac:dyDescent="0.35">
      <c r="A602" s="4"/>
    </row>
    <row r="603" spans="1:6" x14ac:dyDescent="0.3">
      <c r="A603" s="19" t="s">
        <v>854</v>
      </c>
      <c r="B603" s="20"/>
      <c r="C603" s="20"/>
      <c r="D603" s="20"/>
      <c r="E603" s="20"/>
      <c r="F603" s="20"/>
    </row>
    <row r="604" spans="1:6" x14ac:dyDescent="0.3">
      <c r="A604" s="12" t="s">
        <v>14</v>
      </c>
      <c r="B604" s="13">
        <v>45730</v>
      </c>
      <c r="C604" s="4" t="s">
        <v>12</v>
      </c>
      <c r="D604" s="4" t="s">
        <v>4</v>
      </c>
      <c r="E604" s="4" t="s">
        <v>13</v>
      </c>
      <c r="F604" s="4" t="s">
        <v>13</v>
      </c>
    </row>
    <row r="605" spans="1:6" ht="15" thickBot="1" x14ac:dyDescent="0.35">
      <c r="A605" s="4"/>
    </row>
    <row r="606" spans="1:6" x14ac:dyDescent="0.3">
      <c r="A606" s="19" t="s">
        <v>857</v>
      </c>
      <c r="B606" s="20"/>
      <c r="C606" s="20"/>
      <c r="D606" s="20"/>
      <c r="E606" s="20"/>
      <c r="F606" s="20"/>
    </row>
    <row r="607" spans="1:6" x14ac:dyDescent="0.3">
      <c r="A607" s="12" t="s">
        <v>14</v>
      </c>
      <c r="B607" s="13">
        <v>45730</v>
      </c>
      <c r="C607" s="4" t="s">
        <v>12</v>
      </c>
      <c r="D607" s="4" t="s">
        <v>4</v>
      </c>
      <c r="E607" s="4" t="s">
        <v>13</v>
      </c>
      <c r="F607" s="4" t="s">
        <v>13</v>
      </c>
    </row>
    <row r="608" spans="1:6" ht="15" thickBot="1" x14ac:dyDescent="0.35">
      <c r="A608" s="4"/>
    </row>
    <row r="609" spans="1:6" x14ac:dyDescent="0.3">
      <c r="A609" s="19" t="s">
        <v>864</v>
      </c>
      <c r="B609" s="20"/>
      <c r="C609" s="20"/>
      <c r="D609" s="20"/>
      <c r="E609" s="20"/>
      <c r="F609" s="20"/>
    </row>
    <row r="610" spans="1:6" x14ac:dyDescent="0.3">
      <c r="A610" s="12" t="s">
        <v>14</v>
      </c>
      <c r="B610" s="13">
        <v>45730</v>
      </c>
      <c r="C610" s="4" t="s">
        <v>12</v>
      </c>
      <c r="D610" s="4" t="s">
        <v>4</v>
      </c>
      <c r="E610" s="4" t="s">
        <v>13</v>
      </c>
      <c r="F610" s="4" t="s">
        <v>13</v>
      </c>
    </row>
    <row r="611" spans="1:6" ht="15" thickBot="1" x14ac:dyDescent="0.35">
      <c r="A611" s="4"/>
    </row>
    <row r="612" spans="1:6" x14ac:dyDescent="0.3">
      <c r="A612" s="19" t="s">
        <v>870</v>
      </c>
      <c r="B612" s="20"/>
      <c r="C612" s="20"/>
      <c r="D612" s="20"/>
      <c r="E612" s="20"/>
      <c r="F612" s="20"/>
    </row>
    <row r="613" spans="1:6" x14ac:dyDescent="0.3">
      <c r="A613" s="12" t="s">
        <v>14</v>
      </c>
      <c r="B613" s="13">
        <v>45730</v>
      </c>
      <c r="C613" s="4" t="s">
        <v>12</v>
      </c>
      <c r="D613" s="4" t="s">
        <v>4</v>
      </c>
      <c r="E613" s="4" t="s">
        <v>13</v>
      </c>
      <c r="F613" s="4" t="s">
        <v>13</v>
      </c>
    </row>
    <row r="614" spans="1:6" ht="15" thickBot="1" x14ac:dyDescent="0.35">
      <c r="A614" s="4"/>
    </row>
    <row r="615" spans="1:6" x14ac:dyDescent="0.3">
      <c r="A615" s="19" t="s">
        <v>873</v>
      </c>
      <c r="B615" s="20"/>
      <c r="C615" s="20"/>
      <c r="D615" s="20"/>
      <c r="E615" s="20"/>
      <c r="F615" s="20"/>
    </row>
    <row r="616" spans="1:6" x14ac:dyDescent="0.3">
      <c r="A616" s="12" t="s">
        <v>14</v>
      </c>
      <c r="B616" s="13">
        <v>45730</v>
      </c>
      <c r="C616" s="4" t="s">
        <v>12</v>
      </c>
      <c r="D616" s="4" t="s">
        <v>4</v>
      </c>
      <c r="E616" s="4" t="s">
        <v>13</v>
      </c>
      <c r="F616" s="4" t="s">
        <v>13</v>
      </c>
    </row>
    <row r="617" spans="1:6" ht="15" thickBot="1" x14ac:dyDescent="0.35">
      <c r="A617" s="4"/>
    </row>
    <row r="618" spans="1:6" x14ac:dyDescent="0.3">
      <c r="A618" s="19" t="s">
        <v>876</v>
      </c>
      <c r="B618" s="20"/>
      <c r="C618" s="20"/>
      <c r="D618" s="20"/>
      <c r="E618" s="20"/>
      <c r="F618" s="20"/>
    </row>
    <row r="619" spans="1:6" x14ac:dyDescent="0.3">
      <c r="A619" s="12" t="s">
        <v>14</v>
      </c>
      <c r="B619" s="13">
        <v>45730</v>
      </c>
      <c r="C619" s="4" t="s">
        <v>12</v>
      </c>
      <c r="D619" s="4" t="s">
        <v>4</v>
      </c>
      <c r="E619" s="4" t="s">
        <v>13</v>
      </c>
      <c r="F619" s="4" t="s">
        <v>13</v>
      </c>
    </row>
    <row r="620" spans="1:6" ht="15" thickBot="1" x14ac:dyDescent="0.35">
      <c r="A620" s="4"/>
    </row>
    <row r="621" spans="1:6" x14ac:dyDescent="0.3">
      <c r="A621" s="19" t="s">
        <v>879</v>
      </c>
      <c r="B621" s="20"/>
      <c r="C621" s="20"/>
      <c r="D621" s="20"/>
      <c r="E621" s="20"/>
      <c r="F621" s="20"/>
    </row>
    <row r="622" spans="1:6" x14ac:dyDescent="0.3">
      <c r="A622" s="12" t="s">
        <v>14</v>
      </c>
      <c r="B622" s="13">
        <v>45730</v>
      </c>
      <c r="C622" s="4" t="s">
        <v>12</v>
      </c>
      <c r="D622" s="4" t="s">
        <v>4</v>
      </c>
      <c r="E622" s="4" t="s">
        <v>13</v>
      </c>
      <c r="F622" s="4" t="s">
        <v>13</v>
      </c>
    </row>
    <row r="623" spans="1:6" ht="15" thickBot="1" x14ac:dyDescent="0.35">
      <c r="A623" s="4"/>
    </row>
    <row r="624" spans="1:6" x14ac:dyDescent="0.3">
      <c r="A624" s="19" t="s">
        <v>886</v>
      </c>
      <c r="B624" s="20"/>
      <c r="C624" s="20"/>
      <c r="D624" s="20"/>
      <c r="E624" s="20"/>
      <c r="F624" s="20"/>
    </row>
    <row r="625" spans="1:6" x14ac:dyDescent="0.3">
      <c r="A625" s="12" t="s">
        <v>14</v>
      </c>
      <c r="B625" s="13">
        <v>45730</v>
      </c>
      <c r="C625" s="4" t="s">
        <v>12</v>
      </c>
      <c r="D625" s="4" t="s">
        <v>4</v>
      </c>
      <c r="E625" s="4" t="s">
        <v>13</v>
      </c>
      <c r="F625" s="4" t="s">
        <v>13</v>
      </c>
    </row>
    <row r="626" spans="1:6" ht="15" thickBot="1" x14ac:dyDescent="0.35">
      <c r="A626" s="4"/>
    </row>
    <row r="627" spans="1:6" x14ac:dyDescent="0.3">
      <c r="A627" s="19" t="s">
        <v>889</v>
      </c>
      <c r="B627" s="20"/>
      <c r="C627" s="20"/>
      <c r="D627" s="20"/>
      <c r="E627" s="20"/>
      <c r="F627" s="20"/>
    </row>
    <row r="628" spans="1:6" x14ac:dyDescent="0.3">
      <c r="A628" s="12" t="s">
        <v>14</v>
      </c>
      <c r="B628" s="13">
        <v>45730</v>
      </c>
      <c r="C628" s="4" t="s">
        <v>12</v>
      </c>
      <c r="D628" s="4" t="s">
        <v>4</v>
      </c>
      <c r="E628" s="4" t="s">
        <v>13</v>
      </c>
      <c r="F628" s="4" t="s">
        <v>13</v>
      </c>
    </row>
    <row r="629" spans="1:6" ht="15" thickBot="1" x14ac:dyDescent="0.35">
      <c r="A629" s="4"/>
    </row>
    <row r="630" spans="1:6" x14ac:dyDescent="0.3">
      <c r="A630" s="19" t="s">
        <v>892</v>
      </c>
      <c r="B630" s="20"/>
      <c r="C630" s="20"/>
      <c r="D630" s="20"/>
      <c r="E630" s="20"/>
      <c r="F630" s="20"/>
    </row>
    <row r="631" spans="1:6" x14ac:dyDescent="0.3">
      <c r="A631" s="12" t="s">
        <v>14</v>
      </c>
      <c r="B631" s="13">
        <v>45730</v>
      </c>
      <c r="C631" s="4" t="s">
        <v>12</v>
      </c>
      <c r="D631" s="4" t="s">
        <v>4</v>
      </c>
      <c r="E631" s="4" t="s">
        <v>13</v>
      </c>
      <c r="F631" s="4" t="s">
        <v>13</v>
      </c>
    </row>
    <row r="632" spans="1:6" ht="15" thickBot="1" x14ac:dyDescent="0.35">
      <c r="A632" s="4"/>
    </row>
    <row r="633" spans="1:6" x14ac:dyDescent="0.3">
      <c r="A633" s="19" t="s">
        <v>895</v>
      </c>
      <c r="B633" s="20"/>
      <c r="C633" s="20"/>
      <c r="D633" s="20"/>
      <c r="E633" s="20"/>
      <c r="F633" s="20"/>
    </row>
    <row r="634" spans="1:6" x14ac:dyDescent="0.3">
      <c r="A634" s="12" t="s">
        <v>14</v>
      </c>
      <c r="B634" s="13">
        <v>45730</v>
      </c>
      <c r="C634" s="4" t="s">
        <v>12</v>
      </c>
      <c r="D634" s="4" t="s">
        <v>4</v>
      </c>
      <c r="E634" s="4" t="s">
        <v>13</v>
      </c>
      <c r="F634" s="4" t="s">
        <v>13</v>
      </c>
    </row>
    <row r="635" spans="1:6" ht="15" thickBot="1" x14ac:dyDescent="0.35">
      <c r="A635" s="4"/>
    </row>
    <row r="636" spans="1:6" x14ac:dyDescent="0.3">
      <c r="A636" s="19" t="s">
        <v>898</v>
      </c>
      <c r="B636" s="20"/>
      <c r="C636" s="20"/>
      <c r="D636" s="20"/>
      <c r="E636" s="20"/>
      <c r="F636" s="20"/>
    </row>
    <row r="637" spans="1:6" x14ac:dyDescent="0.3">
      <c r="A637" s="12" t="s">
        <v>14</v>
      </c>
      <c r="B637" s="13">
        <v>45730</v>
      </c>
      <c r="C637" s="4" t="s">
        <v>12</v>
      </c>
      <c r="D637" s="4" t="s">
        <v>4</v>
      </c>
      <c r="E637" s="4" t="s">
        <v>13</v>
      </c>
      <c r="F637" s="4" t="s">
        <v>13</v>
      </c>
    </row>
    <row r="638" spans="1:6" ht="15" thickBot="1" x14ac:dyDescent="0.35">
      <c r="A638" s="4"/>
    </row>
    <row r="639" spans="1:6" x14ac:dyDescent="0.3">
      <c r="A639" s="19" t="s">
        <v>904</v>
      </c>
      <c r="B639" s="20"/>
      <c r="C639" s="20"/>
      <c r="D639" s="20"/>
      <c r="E639" s="20"/>
      <c r="F639" s="20"/>
    </row>
    <row r="640" spans="1:6" x14ac:dyDescent="0.3">
      <c r="A640" s="12" t="s">
        <v>14</v>
      </c>
      <c r="B640" s="13">
        <v>45730</v>
      </c>
      <c r="C640" s="4" t="s">
        <v>12</v>
      </c>
      <c r="D640" s="4" t="s">
        <v>4</v>
      </c>
      <c r="E640" s="4" t="s">
        <v>13</v>
      </c>
      <c r="F640" s="4" t="s">
        <v>13</v>
      </c>
    </row>
    <row r="641" spans="1:6" ht="15" thickBot="1" x14ac:dyDescent="0.35">
      <c r="A641" s="4"/>
    </row>
    <row r="642" spans="1:6" x14ac:dyDescent="0.3">
      <c r="A642" s="19" t="s">
        <v>907</v>
      </c>
      <c r="B642" s="20"/>
      <c r="C642" s="20"/>
      <c r="D642" s="20"/>
      <c r="E642" s="20"/>
      <c r="F642" s="20"/>
    </row>
    <row r="643" spans="1:6" x14ac:dyDescent="0.3">
      <c r="A643" s="12" t="s">
        <v>14</v>
      </c>
      <c r="B643" s="13">
        <v>45730</v>
      </c>
      <c r="C643" s="4" t="s">
        <v>12</v>
      </c>
      <c r="D643" s="4" t="s">
        <v>4</v>
      </c>
      <c r="E643" s="4" t="s">
        <v>13</v>
      </c>
      <c r="F643" s="4" t="s">
        <v>13</v>
      </c>
    </row>
    <row r="644" spans="1:6" ht="15" thickBot="1" x14ac:dyDescent="0.35">
      <c r="A644" s="4"/>
    </row>
    <row r="645" spans="1:6" x14ac:dyDescent="0.3">
      <c r="A645" s="19" t="s">
        <v>914</v>
      </c>
      <c r="B645" s="20"/>
      <c r="C645" s="20"/>
      <c r="D645" s="20"/>
      <c r="E645" s="20"/>
      <c r="F645" s="20"/>
    </row>
    <row r="646" spans="1:6" x14ac:dyDescent="0.3">
      <c r="A646" s="12" t="s">
        <v>14</v>
      </c>
      <c r="B646" s="13">
        <v>45730</v>
      </c>
      <c r="C646" s="4" t="s">
        <v>12</v>
      </c>
      <c r="D646" s="4" t="s">
        <v>4</v>
      </c>
      <c r="E646" s="4" t="s">
        <v>13</v>
      </c>
      <c r="F646" s="4" t="s">
        <v>13</v>
      </c>
    </row>
    <row r="647" spans="1:6" ht="15" thickBot="1" x14ac:dyDescent="0.35">
      <c r="A647" s="4"/>
    </row>
    <row r="648" spans="1:6" x14ac:dyDescent="0.3">
      <c r="A648" s="19" t="s">
        <v>925</v>
      </c>
      <c r="B648" s="20"/>
      <c r="C648" s="20"/>
      <c r="D648" s="20"/>
      <c r="E648" s="20"/>
      <c r="F648" s="20"/>
    </row>
    <row r="649" spans="1:6" x14ac:dyDescent="0.3">
      <c r="A649" s="12" t="s">
        <v>924</v>
      </c>
      <c r="B649" s="13">
        <v>45730</v>
      </c>
      <c r="C649" s="4" t="s">
        <v>12</v>
      </c>
      <c r="D649" s="4" t="s">
        <v>4</v>
      </c>
      <c r="E649" s="4" t="s">
        <v>13</v>
      </c>
      <c r="F649" s="4" t="s">
        <v>13</v>
      </c>
    </row>
    <row r="650" spans="1:6" ht="15" thickBot="1" x14ac:dyDescent="0.35">
      <c r="A650" s="4"/>
    </row>
    <row r="651" spans="1:6" x14ac:dyDescent="0.3">
      <c r="A651" s="19" t="s">
        <v>931</v>
      </c>
      <c r="B651" s="20"/>
      <c r="C651" s="20"/>
      <c r="D651" s="20"/>
      <c r="E651" s="20"/>
      <c r="F651" s="20"/>
    </row>
    <row r="652" spans="1:6" x14ac:dyDescent="0.3">
      <c r="A652" s="12" t="s">
        <v>924</v>
      </c>
      <c r="B652" s="13">
        <v>45730</v>
      </c>
      <c r="C652" s="4" t="s">
        <v>12</v>
      </c>
      <c r="D652" s="4" t="s">
        <v>4</v>
      </c>
      <c r="E652" s="4" t="s">
        <v>13</v>
      </c>
      <c r="F652" s="4" t="s">
        <v>13</v>
      </c>
    </row>
    <row r="653" spans="1:6" ht="15" thickBot="1" x14ac:dyDescent="0.35">
      <c r="A653" s="4"/>
    </row>
    <row r="654" spans="1:6" x14ac:dyDescent="0.3">
      <c r="A654" s="19" t="s">
        <v>936</v>
      </c>
      <c r="B654" s="20"/>
      <c r="C654" s="20"/>
      <c r="D654" s="20"/>
      <c r="E654" s="20"/>
      <c r="F654" s="20"/>
    </row>
    <row r="655" spans="1:6" x14ac:dyDescent="0.3">
      <c r="A655" s="12" t="s">
        <v>924</v>
      </c>
      <c r="B655" s="13">
        <v>45730</v>
      </c>
      <c r="C655" s="4" t="s">
        <v>12</v>
      </c>
      <c r="D655" s="4" t="s">
        <v>4</v>
      </c>
      <c r="E655" s="4" t="s">
        <v>13</v>
      </c>
      <c r="F655" s="4" t="s">
        <v>13</v>
      </c>
    </row>
    <row r="656" spans="1:6" ht="15" thickBot="1" x14ac:dyDescent="0.35">
      <c r="A656" s="4"/>
    </row>
    <row r="657" spans="1:6" x14ac:dyDescent="0.3">
      <c r="A657" s="19" t="s">
        <v>959</v>
      </c>
      <c r="B657" s="20"/>
      <c r="C657" s="20"/>
      <c r="D657" s="20"/>
      <c r="E657" s="20"/>
      <c r="F657" s="20"/>
    </row>
    <row r="658" spans="1:6" x14ac:dyDescent="0.3">
      <c r="A658" s="12" t="s">
        <v>960</v>
      </c>
      <c r="B658" s="13">
        <v>45729</v>
      </c>
      <c r="C658" s="4" t="s">
        <v>12</v>
      </c>
      <c r="D658" s="4" t="s">
        <v>4</v>
      </c>
      <c r="E658" s="4" t="s">
        <v>13</v>
      </c>
      <c r="F658" s="4" t="s">
        <v>13</v>
      </c>
    </row>
    <row r="659" spans="1:6" ht="15" thickBot="1" x14ac:dyDescent="0.35">
      <c r="A659" s="4"/>
    </row>
    <row r="660" spans="1:6" x14ac:dyDescent="0.3">
      <c r="A660" s="19" t="s">
        <v>962</v>
      </c>
      <c r="B660" s="20"/>
      <c r="C660" s="20"/>
      <c r="D660" s="20"/>
      <c r="E660" s="20"/>
      <c r="F660" s="20"/>
    </row>
    <row r="661" spans="1:6" x14ac:dyDescent="0.3">
      <c r="A661" s="12" t="s">
        <v>583</v>
      </c>
      <c r="B661" s="13">
        <v>45729</v>
      </c>
      <c r="C661" s="4" t="s">
        <v>12</v>
      </c>
      <c r="D661" s="4" t="s">
        <v>4</v>
      </c>
      <c r="E661" s="4" t="s">
        <v>13</v>
      </c>
      <c r="F661" s="4" t="s">
        <v>13</v>
      </c>
    </row>
    <row r="662" spans="1:6" ht="15" thickBot="1" x14ac:dyDescent="0.35">
      <c r="A662" s="4"/>
    </row>
    <row r="663" spans="1:6" x14ac:dyDescent="0.3">
      <c r="A663" s="19" t="s">
        <v>969</v>
      </c>
      <c r="B663" s="20"/>
      <c r="C663" s="20"/>
      <c r="D663" s="20"/>
      <c r="E663" s="20"/>
      <c r="F663" s="20"/>
    </row>
    <row r="664" spans="1:6" x14ac:dyDescent="0.3">
      <c r="A664" s="12" t="s">
        <v>970</v>
      </c>
      <c r="B664" s="13">
        <v>45729</v>
      </c>
      <c r="C664" s="4" t="s">
        <v>12</v>
      </c>
      <c r="D664" s="4" t="s">
        <v>4</v>
      </c>
      <c r="E664" s="4" t="s">
        <v>13</v>
      </c>
      <c r="F664" s="4" t="s">
        <v>13</v>
      </c>
    </row>
    <row r="665" spans="1:6" ht="15" thickBot="1" x14ac:dyDescent="0.35">
      <c r="A665" s="4"/>
    </row>
    <row r="666" spans="1:6" x14ac:dyDescent="0.3">
      <c r="A666" s="19" t="s">
        <v>979</v>
      </c>
      <c r="B666" s="20"/>
      <c r="C666" s="20"/>
      <c r="D666" s="20"/>
      <c r="E666" s="20"/>
      <c r="F666" s="20"/>
    </row>
    <row r="667" spans="1:6" x14ac:dyDescent="0.3">
      <c r="A667" s="12" t="s">
        <v>14</v>
      </c>
      <c r="B667" s="13">
        <v>45729</v>
      </c>
      <c r="C667" s="4" t="s">
        <v>12</v>
      </c>
      <c r="D667" s="4" t="s">
        <v>4</v>
      </c>
      <c r="E667" s="4" t="s">
        <v>13</v>
      </c>
      <c r="F667" s="4" t="s">
        <v>13</v>
      </c>
    </row>
    <row r="668" spans="1:6" ht="15" thickBot="1" x14ac:dyDescent="0.35">
      <c r="A668" s="4"/>
    </row>
    <row r="669" spans="1:6" x14ac:dyDescent="0.3">
      <c r="A669" s="19" t="s">
        <v>983</v>
      </c>
      <c r="B669" s="20"/>
      <c r="C669" s="20"/>
      <c r="D669" s="20"/>
      <c r="E669" s="20"/>
      <c r="F669" s="20"/>
    </row>
    <row r="670" spans="1:6" x14ac:dyDescent="0.3">
      <c r="A670" s="12" t="s">
        <v>10</v>
      </c>
      <c r="B670" s="13">
        <v>45729</v>
      </c>
      <c r="C670" s="4" t="s">
        <v>12</v>
      </c>
      <c r="D670" s="4" t="s">
        <v>4</v>
      </c>
      <c r="E670" s="4" t="s">
        <v>13</v>
      </c>
      <c r="F670" s="4" t="s">
        <v>13</v>
      </c>
    </row>
    <row r="671" spans="1:6" ht="15" thickBot="1" x14ac:dyDescent="0.35">
      <c r="A671" s="4"/>
    </row>
    <row r="672" spans="1:6" x14ac:dyDescent="0.3">
      <c r="A672" s="19" t="s">
        <v>986</v>
      </c>
      <c r="B672" s="20"/>
      <c r="C672" s="20"/>
      <c r="D672" s="20"/>
      <c r="E672" s="20"/>
      <c r="F672" s="20"/>
    </row>
    <row r="673" spans="1:6" x14ac:dyDescent="0.3">
      <c r="A673" s="12" t="s">
        <v>14</v>
      </c>
      <c r="B673" s="13">
        <v>45729</v>
      </c>
      <c r="C673" s="4" t="s">
        <v>12</v>
      </c>
      <c r="D673" s="4" t="s">
        <v>4</v>
      </c>
      <c r="E673" s="4" t="s">
        <v>13</v>
      </c>
      <c r="F673" s="4" t="s">
        <v>13</v>
      </c>
    </row>
    <row r="674" spans="1:6" ht="15" thickBot="1" x14ac:dyDescent="0.35">
      <c r="A674" s="4"/>
    </row>
    <row r="675" spans="1:6" x14ac:dyDescent="0.3">
      <c r="A675" s="19" t="s">
        <v>992</v>
      </c>
      <c r="B675" s="20"/>
      <c r="C675" s="20"/>
      <c r="D675" s="20"/>
      <c r="E675" s="20"/>
      <c r="F675" s="20"/>
    </row>
    <row r="676" spans="1:6" x14ac:dyDescent="0.3">
      <c r="A676" s="12" t="s">
        <v>991</v>
      </c>
      <c r="B676" s="13">
        <v>45729</v>
      </c>
      <c r="C676" s="4" t="s">
        <v>12</v>
      </c>
      <c r="D676" s="4" t="s">
        <v>4</v>
      </c>
      <c r="E676" s="4" t="s">
        <v>13</v>
      </c>
      <c r="F676" s="4" t="s">
        <v>13</v>
      </c>
    </row>
    <row r="677" spans="1:6" ht="15" thickBot="1" x14ac:dyDescent="0.35">
      <c r="A677" s="4"/>
    </row>
    <row r="678" spans="1:6" x14ac:dyDescent="0.3">
      <c r="A678" s="19" t="s">
        <v>1001</v>
      </c>
      <c r="B678" s="20"/>
      <c r="C678" s="20"/>
      <c r="D678" s="20"/>
      <c r="E678" s="20"/>
      <c r="F678" s="20"/>
    </row>
    <row r="679" spans="1:6" x14ac:dyDescent="0.3">
      <c r="A679" s="12" t="s">
        <v>1002</v>
      </c>
      <c r="B679" s="13">
        <v>45729</v>
      </c>
      <c r="C679" s="4" t="s">
        <v>12</v>
      </c>
      <c r="D679" s="4" t="s">
        <v>4</v>
      </c>
      <c r="E679" s="4" t="s">
        <v>13</v>
      </c>
      <c r="F679" s="4" t="s">
        <v>13</v>
      </c>
    </row>
    <row r="680" spans="1:6" ht="15" thickBot="1" x14ac:dyDescent="0.35">
      <c r="A680" s="4"/>
    </row>
    <row r="681" spans="1:6" x14ac:dyDescent="0.3">
      <c r="A681" s="19" t="s">
        <v>1005</v>
      </c>
      <c r="B681" s="20"/>
      <c r="C681" s="20"/>
      <c r="D681" s="20"/>
      <c r="E681" s="20"/>
      <c r="F681" s="20"/>
    </row>
    <row r="682" spans="1:6" x14ac:dyDescent="0.3">
      <c r="A682" s="12" t="s">
        <v>10</v>
      </c>
      <c r="B682" s="13">
        <v>45729</v>
      </c>
      <c r="C682" s="4" t="s">
        <v>12</v>
      </c>
      <c r="D682" s="4" t="s">
        <v>4</v>
      </c>
      <c r="E682" s="4" t="s">
        <v>13</v>
      </c>
      <c r="F682" s="4" t="s">
        <v>13</v>
      </c>
    </row>
    <row r="683" spans="1:6" ht="15" thickBot="1" x14ac:dyDescent="0.35">
      <c r="A683" s="4"/>
    </row>
    <row r="684" spans="1:6" x14ac:dyDescent="0.3">
      <c r="A684" s="19" t="s">
        <v>1008</v>
      </c>
      <c r="B684" s="20"/>
      <c r="C684" s="20"/>
      <c r="D684" s="20"/>
      <c r="E684" s="20"/>
      <c r="F684" s="20"/>
    </row>
    <row r="685" spans="1:6" x14ac:dyDescent="0.3">
      <c r="A685" s="12" t="s">
        <v>14</v>
      </c>
      <c r="B685" s="13">
        <v>45729</v>
      </c>
      <c r="C685" s="4" t="s">
        <v>12</v>
      </c>
      <c r="D685" s="4" t="s">
        <v>4</v>
      </c>
      <c r="E685" s="4" t="s">
        <v>13</v>
      </c>
      <c r="F685" s="4" t="s">
        <v>13</v>
      </c>
    </row>
    <row r="686" spans="1:6" ht="15" thickBot="1" x14ac:dyDescent="0.35">
      <c r="A686" s="4"/>
    </row>
    <row r="687" spans="1:6" x14ac:dyDescent="0.3">
      <c r="A687" s="19" t="s">
        <v>1011</v>
      </c>
      <c r="B687" s="20"/>
      <c r="C687" s="20"/>
      <c r="D687" s="20"/>
      <c r="E687" s="20"/>
      <c r="F687" s="20"/>
    </row>
    <row r="688" spans="1:6" x14ac:dyDescent="0.3">
      <c r="A688" s="12" t="s">
        <v>583</v>
      </c>
      <c r="B688" s="13">
        <v>45729</v>
      </c>
      <c r="C688" s="4" t="s">
        <v>12</v>
      </c>
      <c r="D688" s="4" t="s">
        <v>4</v>
      </c>
      <c r="E688" s="4" t="s">
        <v>13</v>
      </c>
      <c r="F688" s="4" t="s">
        <v>13</v>
      </c>
    </row>
    <row r="689" spans="1:6" ht="15" thickBot="1" x14ac:dyDescent="0.35">
      <c r="A689" s="4"/>
    </row>
    <row r="690" spans="1:6" x14ac:dyDescent="0.3">
      <c r="A690" s="19" t="s">
        <v>1014</v>
      </c>
      <c r="B690" s="20"/>
      <c r="C690" s="20"/>
      <c r="D690" s="20"/>
      <c r="E690" s="20"/>
      <c r="F690" s="20"/>
    </row>
    <row r="691" spans="1:6" x14ac:dyDescent="0.3">
      <c r="A691" s="12" t="s">
        <v>14</v>
      </c>
      <c r="B691" s="13">
        <v>45729</v>
      </c>
      <c r="C691" s="4" t="s">
        <v>12</v>
      </c>
      <c r="D691" s="4" t="s">
        <v>4</v>
      </c>
      <c r="E691" s="4" t="s">
        <v>13</v>
      </c>
      <c r="F691" s="4" t="s">
        <v>13</v>
      </c>
    </row>
    <row r="692" spans="1:6" ht="15" thickBot="1" x14ac:dyDescent="0.35">
      <c r="A692" s="4"/>
    </row>
    <row r="693" spans="1:6" x14ac:dyDescent="0.3">
      <c r="A693" s="19" t="s">
        <v>1017</v>
      </c>
      <c r="B693" s="20"/>
      <c r="C693" s="20"/>
      <c r="D693" s="20"/>
      <c r="E693" s="20"/>
      <c r="F693" s="20"/>
    </row>
    <row r="694" spans="1:6" x14ac:dyDescent="0.3">
      <c r="A694" s="12" t="s">
        <v>10</v>
      </c>
      <c r="B694" s="13">
        <v>45729</v>
      </c>
      <c r="C694" s="4" t="s">
        <v>12</v>
      </c>
      <c r="D694" s="4" t="s">
        <v>4</v>
      </c>
      <c r="E694" s="4" t="s">
        <v>13</v>
      </c>
      <c r="F694" s="4" t="s">
        <v>13</v>
      </c>
    </row>
    <row r="695" spans="1:6" ht="15" thickBot="1" x14ac:dyDescent="0.35">
      <c r="A695" s="4"/>
    </row>
    <row r="696" spans="1:6" x14ac:dyDescent="0.3">
      <c r="A696" s="19" t="s">
        <v>1020</v>
      </c>
      <c r="B696" s="20"/>
      <c r="C696" s="20"/>
      <c r="D696" s="20"/>
      <c r="E696" s="20"/>
      <c r="F696" s="20"/>
    </row>
    <row r="697" spans="1:6" x14ac:dyDescent="0.3">
      <c r="A697" s="12" t="s">
        <v>10</v>
      </c>
      <c r="B697" s="13">
        <v>45729</v>
      </c>
      <c r="C697" s="4" t="s">
        <v>12</v>
      </c>
      <c r="D697" s="4" t="s">
        <v>4</v>
      </c>
      <c r="E697" s="4" t="s">
        <v>13</v>
      </c>
      <c r="F697" s="4" t="s">
        <v>13</v>
      </c>
    </row>
    <row r="698" spans="1:6" ht="15" thickBot="1" x14ac:dyDescent="0.35">
      <c r="A698" s="4"/>
    </row>
    <row r="699" spans="1:6" x14ac:dyDescent="0.3">
      <c r="A699" s="19" t="s">
        <v>1023</v>
      </c>
      <c r="B699" s="20"/>
      <c r="C699" s="20"/>
      <c r="D699" s="20"/>
      <c r="E699" s="20"/>
      <c r="F699" s="20"/>
    </row>
    <row r="700" spans="1:6" x14ac:dyDescent="0.3">
      <c r="A700" s="12" t="s">
        <v>14</v>
      </c>
      <c r="B700" s="13">
        <v>45729</v>
      </c>
      <c r="C700" s="4" t="s">
        <v>12</v>
      </c>
      <c r="D700" s="4" t="s">
        <v>4</v>
      </c>
      <c r="E700" s="4" t="s">
        <v>13</v>
      </c>
      <c r="F700" s="4" t="s">
        <v>13</v>
      </c>
    </row>
    <row r="701" spans="1:6" ht="15" thickBot="1" x14ac:dyDescent="0.35">
      <c r="A701" s="4"/>
    </row>
    <row r="702" spans="1:6" x14ac:dyDescent="0.3">
      <c r="A702" s="19" t="s">
        <v>1026</v>
      </c>
      <c r="B702" s="20"/>
      <c r="C702" s="20"/>
      <c r="D702" s="20"/>
      <c r="E702" s="20"/>
      <c r="F702" s="20"/>
    </row>
    <row r="703" spans="1:6" x14ac:dyDescent="0.3">
      <c r="A703" s="12" t="s">
        <v>14</v>
      </c>
      <c r="B703" s="13">
        <v>45729</v>
      </c>
      <c r="C703" s="4" t="s">
        <v>12</v>
      </c>
      <c r="D703" s="4" t="s">
        <v>4</v>
      </c>
      <c r="E703" s="4" t="s">
        <v>13</v>
      </c>
      <c r="F703" s="4" t="s">
        <v>13</v>
      </c>
    </row>
    <row r="704" spans="1:6" ht="15" thickBot="1" x14ac:dyDescent="0.35">
      <c r="A704" s="4"/>
    </row>
    <row r="705" spans="1:6" x14ac:dyDescent="0.3">
      <c r="A705" s="19" t="s">
        <v>1029</v>
      </c>
      <c r="B705" s="20"/>
      <c r="C705" s="20"/>
      <c r="D705" s="20"/>
      <c r="E705" s="20"/>
      <c r="F705" s="20"/>
    </row>
    <row r="706" spans="1:6" x14ac:dyDescent="0.3">
      <c r="A706" s="12" t="s">
        <v>14</v>
      </c>
      <c r="B706" s="13">
        <v>45729</v>
      </c>
      <c r="C706" s="4" t="s">
        <v>12</v>
      </c>
      <c r="D706" s="4" t="s">
        <v>4</v>
      </c>
      <c r="E706" s="4" t="s">
        <v>13</v>
      </c>
      <c r="F706" s="4" t="s">
        <v>13</v>
      </c>
    </row>
    <row r="707" spans="1:6" ht="15" thickBot="1" x14ac:dyDescent="0.35">
      <c r="A707" s="4"/>
    </row>
    <row r="708" spans="1:6" x14ac:dyDescent="0.3">
      <c r="A708" s="19" t="s">
        <v>1032</v>
      </c>
      <c r="B708" s="20"/>
      <c r="C708" s="20"/>
      <c r="D708" s="20"/>
      <c r="E708" s="20"/>
      <c r="F708" s="20"/>
    </row>
    <row r="709" spans="1:6" x14ac:dyDescent="0.3">
      <c r="A709" s="12" t="s">
        <v>10</v>
      </c>
      <c r="B709" s="13">
        <v>45729</v>
      </c>
      <c r="C709" s="4" t="s">
        <v>12</v>
      </c>
      <c r="D709" s="4" t="s">
        <v>4</v>
      </c>
      <c r="E709" s="4" t="s">
        <v>13</v>
      </c>
      <c r="F709" s="4" t="s">
        <v>13</v>
      </c>
    </row>
    <row r="710" spans="1:6" ht="15" thickBot="1" x14ac:dyDescent="0.35">
      <c r="A710" s="4"/>
    </row>
    <row r="711" spans="1:6" x14ac:dyDescent="0.3">
      <c r="A711" s="19" t="s">
        <v>1035</v>
      </c>
      <c r="B711" s="20"/>
      <c r="C711" s="20"/>
      <c r="D711" s="20"/>
      <c r="E711" s="20"/>
      <c r="F711" s="20"/>
    </row>
    <row r="712" spans="1:6" x14ac:dyDescent="0.3">
      <c r="A712" s="12" t="s">
        <v>14</v>
      </c>
      <c r="B712" s="13">
        <v>45729</v>
      </c>
      <c r="C712" s="4" t="s">
        <v>12</v>
      </c>
      <c r="D712" s="4" t="s">
        <v>4</v>
      </c>
      <c r="E712" s="4" t="s">
        <v>13</v>
      </c>
      <c r="F712" s="4" t="s">
        <v>13</v>
      </c>
    </row>
    <row r="713" spans="1:6" ht="15" thickBot="1" x14ac:dyDescent="0.35">
      <c r="A713" s="4"/>
    </row>
    <row r="714" spans="1:6" x14ac:dyDescent="0.3">
      <c r="A714" s="19" t="s">
        <v>1038</v>
      </c>
      <c r="B714" s="20"/>
      <c r="C714" s="20"/>
      <c r="D714" s="20"/>
      <c r="E714" s="20"/>
      <c r="F714" s="20"/>
    </row>
    <row r="715" spans="1:6" x14ac:dyDescent="0.3">
      <c r="A715" s="12" t="s">
        <v>14</v>
      </c>
      <c r="B715" s="13">
        <v>45729</v>
      </c>
      <c r="C715" s="4" t="s">
        <v>12</v>
      </c>
      <c r="D715" s="4" t="s">
        <v>4</v>
      </c>
      <c r="E715" s="4" t="s">
        <v>13</v>
      </c>
      <c r="F715" s="4" t="s">
        <v>13</v>
      </c>
    </row>
    <row r="716" spans="1:6" ht="15" thickBot="1" x14ac:dyDescent="0.35">
      <c r="A716" s="4"/>
    </row>
    <row r="717" spans="1:6" x14ac:dyDescent="0.3">
      <c r="A717" s="19" t="s">
        <v>1041</v>
      </c>
      <c r="B717" s="20"/>
      <c r="C717" s="20"/>
      <c r="D717" s="20"/>
      <c r="E717" s="20"/>
      <c r="F717" s="20"/>
    </row>
    <row r="718" spans="1:6" x14ac:dyDescent="0.3">
      <c r="A718" s="12" t="s">
        <v>14</v>
      </c>
      <c r="B718" s="13">
        <v>45729</v>
      </c>
      <c r="C718" s="4" t="s">
        <v>12</v>
      </c>
      <c r="D718" s="4" t="s">
        <v>4</v>
      </c>
      <c r="E718" s="4" t="s">
        <v>13</v>
      </c>
      <c r="F718" s="4" t="s">
        <v>13</v>
      </c>
    </row>
    <row r="719" spans="1:6" ht="15" thickBot="1" x14ac:dyDescent="0.35">
      <c r="A719" s="4"/>
    </row>
    <row r="720" spans="1:6" x14ac:dyDescent="0.3">
      <c r="A720" s="19" t="s">
        <v>1044</v>
      </c>
      <c r="B720" s="20"/>
      <c r="C720" s="20"/>
      <c r="D720" s="20"/>
      <c r="E720" s="20"/>
      <c r="F720" s="20"/>
    </row>
    <row r="721" spans="1:6" x14ac:dyDescent="0.3">
      <c r="A721" s="12" t="s">
        <v>14</v>
      </c>
      <c r="B721" s="13">
        <v>45729</v>
      </c>
      <c r="C721" s="4" t="s">
        <v>12</v>
      </c>
      <c r="D721" s="4" t="s">
        <v>4</v>
      </c>
      <c r="E721" s="4" t="s">
        <v>13</v>
      </c>
      <c r="F721" s="4" t="s">
        <v>13</v>
      </c>
    </row>
    <row r="722" spans="1:6" ht="15" thickBot="1" x14ac:dyDescent="0.35">
      <c r="A722" s="4"/>
    </row>
    <row r="723" spans="1:6" x14ac:dyDescent="0.3">
      <c r="A723" s="19" t="s">
        <v>1047</v>
      </c>
      <c r="B723" s="20"/>
      <c r="C723" s="20"/>
      <c r="D723" s="20"/>
      <c r="E723" s="20"/>
      <c r="F723" s="20"/>
    </row>
    <row r="724" spans="1:6" x14ac:dyDescent="0.3">
      <c r="A724" s="12" t="s">
        <v>10</v>
      </c>
      <c r="B724" s="13">
        <v>45729</v>
      </c>
      <c r="C724" s="4" t="s">
        <v>12</v>
      </c>
      <c r="D724" s="4" t="s">
        <v>4</v>
      </c>
      <c r="E724" s="4" t="s">
        <v>13</v>
      </c>
      <c r="F724" s="4" t="s">
        <v>13</v>
      </c>
    </row>
    <row r="725" spans="1:6" ht="15" thickBot="1" x14ac:dyDescent="0.35">
      <c r="A725" s="4"/>
    </row>
    <row r="726" spans="1:6" x14ac:dyDescent="0.3">
      <c r="A726" s="19" t="s">
        <v>1050</v>
      </c>
      <c r="B726" s="20"/>
      <c r="C726" s="20"/>
      <c r="D726" s="20"/>
      <c r="E726" s="20"/>
      <c r="F726" s="20"/>
    </row>
    <row r="727" spans="1:6" x14ac:dyDescent="0.3">
      <c r="A727" s="12" t="s">
        <v>14</v>
      </c>
      <c r="B727" s="13">
        <v>45729</v>
      </c>
      <c r="C727" s="4" t="s">
        <v>12</v>
      </c>
      <c r="D727" s="4" t="s">
        <v>4</v>
      </c>
      <c r="E727" s="4" t="s">
        <v>13</v>
      </c>
      <c r="F727" s="4" t="s">
        <v>13</v>
      </c>
    </row>
    <row r="728" spans="1:6" ht="15" thickBot="1" x14ac:dyDescent="0.35">
      <c r="A728" s="4"/>
    </row>
    <row r="729" spans="1:6" x14ac:dyDescent="0.3">
      <c r="A729" s="19" t="s">
        <v>1060</v>
      </c>
      <c r="B729" s="20"/>
      <c r="C729" s="20"/>
      <c r="D729" s="20"/>
      <c r="E729" s="20"/>
      <c r="F729" s="20"/>
    </row>
    <row r="730" spans="1:6" x14ac:dyDescent="0.3">
      <c r="A730" s="12" t="s">
        <v>1061</v>
      </c>
      <c r="B730" s="13">
        <v>45729</v>
      </c>
      <c r="C730" s="4" t="s">
        <v>12</v>
      </c>
      <c r="D730" s="4" t="s">
        <v>4</v>
      </c>
      <c r="E730" s="4" t="s">
        <v>13</v>
      </c>
      <c r="F730" s="4" t="s">
        <v>13</v>
      </c>
    </row>
    <row r="731" spans="1:6" ht="15" thickBot="1" x14ac:dyDescent="0.35">
      <c r="A731" s="4"/>
    </row>
    <row r="732" spans="1:6" x14ac:dyDescent="0.3">
      <c r="A732" s="19" t="s">
        <v>1064</v>
      </c>
      <c r="B732" s="20"/>
      <c r="C732" s="20"/>
      <c r="D732" s="20"/>
      <c r="E732" s="20"/>
      <c r="F732" s="20"/>
    </row>
    <row r="733" spans="1:6" x14ac:dyDescent="0.3">
      <c r="A733" s="12" t="s">
        <v>14</v>
      </c>
      <c r="B733" s="13">
        <v>45729</v>
      </c>
      <c r="C733" s="4" t="s">
        <v>12</v>
      </c>
      <c r="D733" s="4" t="s">
        <v>4</v>
      </c>
      <c r="E733" s="4" t="s">
        <v>13</v>
      </c>
      <c r="F733" s="4" t="s">
        <v>13</v>
      </c>
    </row>
    <row r="734" spans="1:6" ht="15" thickBot="1" x14ac:dyDescent="0.35">
      <c r="A734" s="4"/>
    </row>
    <row r="735" spans="1:6" x14ac:dyDescent="0.3">
      <c r="A735" s="19" t="s">
        <v>1067</v>
      </c>
      <c r="B735" s="20"/>
      <c r="C735" s="20"/>
      <c r="D735" s="20"/>
      <c r="E735" s="20"/>
      <c r="F735" s="20"/>
    </row>
    <row r="736" spans="1:6" x14ac:dyDescent="0.3">
      <c r="A736" s="12" t="s">
        <v>14</v>
      </c>
      <c r="B736" s="13">
        <v>45729</v>
      </c>
      <c r="C736" s="4" t="s">
        <v>12</v>
      </c>
      <c r="D736" s="4" t="s">
        <v>4</v>
      </c>
      <c r="E736" s="4" t="s">
        <v>13</v>
      </c>
      <c r="F736" s="4" t="s">
        <v>13</v>
      </c>
    </row>
    <row r="737" spans="1:6" ht="15" thickBot="1" x14ac:dyDescent="0.35">
      <c r="A737" s="4"/>
    </row>
    <row r="738" spans="1:6" x14ac:dyDescent="0.3">
      <c r="A738" s="19" t="s">
        <v>1070</v>
      </c>
      <c r="B738" s="20"/>
      <c r="C738" s="20"/>
      <c r="D738" s="20"/>
      <c r="E738" s="20"/>
      <c r="F738" s="20"/>
    </row>
    <row r="739" spans="1:6" x14ac:dyDescent="0.3">
      <c r="A739" s="12" t="s">
        <v>14</v>
      </c>
      <c r="B739" s="13">
        <v>45729</v>
      </c>
      <c r="C739" s="4" t="s">
        <v>12</v>
      </c>
      <c r="D739" s="4" t="s">
        <v>4</v>
      </c>
      <c r="E739" s="4" t="s">
        <v>13</v>
      </c>
      <c r="F739" s="4" t="s">
        <v>13</v>
      </c>
    </row>
    <row r="740" spans="1:6" ht="15" thickBot="1" x14ac:dyDescent="0.35">
      <c r="A740" s="4"/>
    </row>
    <row r="741" spans="1:6" x14ac:dyDescent="0.3">
      <c r="A741" s="19" t="s">
        <v>1073</v>
      </c>
      <c r="B741" s="20"/>
      <c r="C741" s="20"/>
      <c r="D741" s="20"/>
      <c r="E741" s="20"/>
      <c r="F741" s="20"/>
    </row>
    <row r="742" spans="1:6" x14ac:dyDescent="0.3">
      <c r="A742" s="12" t="s">
        <v>583</v>
      </c>
      <c r="B742" s="13">
        <v>45729</v>
      </c>
      <c r="C742" s="4" t="s">
        <v>12</v>
      </c>
      <c r="D742" s="4" t="s">
        <v>4</v>
      </c>
      <c r="E742" s="4" t="s">
        <v>13</v>
      </c>
      <c r="F742" s="4" t="s">
        <v>13</v>
      </c>
    </row>
    <row r="743" spans="1:6" ht="15" thickBot="1" x14ac:dyDescent="0.35">
      <c r="A743" s="4"/>
    </row>
    <row r="744" spans="1:6" x14ac:dyDescent="0.3">
      <c r="A744" s="19" t="s">
        <v>1076</v>
      </c>
      <c r="B744" s="20"/>
      <c r="C744" s="20"/>
      <c r="D744" s="20"/>
      <c r="E744" s="20"/>
      <c r="F744" s="20"/>
    </row>
    <row r="745" spans="1:6" x14ac:dyDescent="0.3">
      <c r="A745" s="12" t="s">
        <v>10</v>
      </c>
      <c r="B745" s="13">
        <v>45729</v>
      </c>
      <c r="C745" s="4" t="s">
        <v>12</v>
      </c>
      <c r="D745" s="4" t="s">
        <v>4</v>
      </c>
      <c r="E745" s="4" t="s">
        <v>13</v>
      </c>
      <c r="F745" s="4" t="s">
        <v>13</v>
      </c>
    </row>
    <row r="746" spans="1:6" ht="15" thickBot="1" x14ac:dyDescent="0.35">
      <c r="A746" s="4"/>
    </row>
    <row r="747" spans="1:6" x14ac:dyDescent="0.3">
      <c r="A747" s="19" t="s">
        <v>1079</v>
      </c>
      <c r="B747" s="20"/>
      <c r="C747" s="20"/>
      <c r="D747" s="20"/>
      <c r="E747" s="20"/>
      <c r="F747" s="20"/>
    </row>
    <row r="748" spans="1:6" x14ac:dyDescent="0.3">
      <c r="A748" s="12" t="s">
        <v>14</v>
      </c>
      <c r="B748" s="13">
        <v>45729</v>
      </c>
      <c r="C748" s="4" t="s">
        <v>12</v>
      </c>
      <c r="D748" s="4" t="s">
        <v>4</v>
      </c>
      <c r="E748" s="4" t="s">
        <v>13</v>
      </c>
      <c r="F748" s="4" t="s">
        <v>13</v>
      </c>
    </row>
    <row r="749" spans="1:6" ht="15" thickBot="1" x14ac:dyDescent="0.35">
      <c r="A749" s="4"/>
    </row>
    <row r="750" spans="1:6" x14ac:dyDescent="0.3">
      <c r="A750" s="19" t="s">
        <v>1088</v>
      </c>
      <c r="B750" s="20"/>
      <c r="C750" s="20"/>
      <c r="D750" s="20"/>
      <c r="E750" s="20"/>
      <c r="F750" s="20"/>
    </row>
    <row r="751" spans="1:6" x14ac:dyDescent="0.3">
      <c r="A751" s="12" t="s">
        <v>1002</v>
      </c>
      <c r="B751" s="13">
        <v>45729</v>
      </c>
      <c r="C751" s="4" t="s">
        <v>12</v>
      </c>
      <c r="D751" s="4" t="s">
        <v>4</v>
      </c>
      <c r="E751" s="4" t="s">
        <v>13</v>
      </c>
      <c r="F751" s="4" t="s">
        <v>13</v>
      </c>
    </row>
    <row r="752" spans="1:6" ht="15" thickBot="1" x14ac:dyDescent="0.35">
      <c r="A752" s="4"/>
    </row>
    <row r="753" spans="1:6" x14ac:dyDescent="0.3">
      <c r="A753" s="19" t="s">
        <v>1091</v>
      </c>
      <c r="B753" s="20"/>
      <c r="C753" s="20"/>
      <c r="D753" s="20"/>
      <c r="E753" s="20"/>
      <c r="F753" s="20"/>
    </row>
    <row r="754" spans="1:6" x14ac:dyDescent="0.3">
      <c r="A754" s="12" t="s">
        <v>14</v>
      </c>
      <c r="B754" s="13">
        <v>45729</v>
      </c>
      <c r="C754" s="4" t="s">
        <v>12</v>
      </c>
      <c r="D754" s="4" t="s">
        <v>4</v>
      </c>
      <c r="E754" s="4" t="s">
        <v>13</v>
      </c>
      <c r="F754" s="4" t="s">
        <v>13</v>
      </c>
    </row>
    <row r="755" spans="1:6" ht="15" thickBot="1" x14ac:dyDescent="0.35">
      <c r="A755" s="4"/>
    </row>
    <row r="756" spans="1:6" x14ac:dyDescent="0.3">
      <c r="A756" s="19" t="s">
        <v>1094</v>
      </c>
      <c r="B756" s="20"/>
      <c r="C756" s="20"/>
      <c r="D756" s="20"/>
      <c r="E756" s="20"/>
      <c r="F756" s="20"/>
    </row>
    <row r="757" spans="1:6" x14ac:dyDescent="0.3">
      <c r="A757" s="12" t="s">
        <v>583</v>
      </c>
      <c r="B757" s="13">
        <v>45729</v>
      </c>
      <c r="C757" s="4" t="s">
        <v>12</v>
      </c>
      <c r="D757" s="4" t="s">
        <v>4</v>
      </c>
      <c r="E757" s="4" t="s">
        <v>13</v>
      </c>
      <c r="F757" s="4" t="s">
        <v>13</v>
      </c>
    </row>
    <row r="758" spans="1:6" ht="15" thickBot="1" x14ac:dyDescent="0.35">
      <c r="A758" s="4"/>
    </row>
    <row r="759" spans="1:6" x14ac:dyDescent="0.3">
      <c r="A759" s="19" t="s">
        <v>1097</v>
      </c>
      <c r="B759" s="20"/>
      <c r="C759" s="20"/>
      <c r="D759" s="20"/>
      <c r="E759" s="20"/>
      <c r="F759" s="20"/>
    </row>
    <row r="760" spans="1:6" x14ac:dyDescent="0.3">
      <c r="A760" s="12" t="s">
        <v>10</v>
      </c>
      <c r="B760" s="13">
        <v>45729</v>
      </c>
      <c r="C760" s="4" t="s">
        <v>12</v>
      </c>
      <c r="D760" s="4" t="s">
        <v>4</v>
      </c>
      <c r="E760" s="4" t="s">
        <v>13</v>
      </c>
      <c r="F760" s="4" t="s">
        <v>13</v>
      </c>
    </row>
    <row r="761" spans="1:6" ht="15" thickBot="1" x14ac:dyDescent="0.35">
      <c r="A761" s="4"/>
    </row>
    <row r="762" spans="1:6" x14ac:dyDescent="0.3">
      <c r="A762" s="19" t="s">
        <v>1101</v>
      </c>
      <c r="B762" s="20"/>
      <c r="C762" s="20"/>
      <c r="D762" s="20"/>
      <c r="E762" s="20"/>
      <c r="F762" s="20"/>
    </row>
    <row r="763" spans="1:6" x14ac:dyDescent="0.3">
      <c r="A763" s="12" t="s">
        <v>924</v>
      </c>
      <c r="B763" s="13">
        <v>45729</v>
      </c>
      <c r="C763" s="4" t="s">
        <v>12</v>
      </c>
      <c r="D763" s="4" t="s">
        <v>4</v>
      </c>
      <c r="E763" s="4" t="s">
        <v>13</v>
      </c>
      <c r="F763" s="4" t="s">
        <v>13</v>
      </c>
    </row>
    <row r="764" spans="1:6" ht="15" thickBot="1" x14ac:dyDescent="0.35">
      <c r="A764" s="4"/>
    </row>
    <row r="765" spans="1:6" x14ac:dyDescent="0.3">
      <c r="A765" s="19" t="s">
        <v>1105</v>
      </c>
      <c r="B765" s="20"/>
      <c r="C765" s="20"/>
      <c r="D765" s="20"/>
      <c r="E765" s="20"/>
      <c r="F765" s="20"/>
    </row>
    <row r="766" spans="1:6" x14ac:dyDescent="0.3">
      <c r="A766" s="12" t="s">
        <v>10</v>
      </c>
      <c r="B766" s="13">
        <v>45729</v>
      </c>
      <c r="C766" s="4" t="s">
        <v>12</v>
      </c>
      <c r="D766" s="4" t="s">
        <v>4</v>
      </c>
      <c r="E766" s="4" t="s">
        <v>13</v>
      </c>
      <c r="F766" s="4" t="s">
        <v>13</v>
      </c>
    </row>
    <row r="767" spans="1:6" ht="15" thickBot="1" x14ac:dyDescent="0.35">
      <c r="A767" s="4"/>
    </row>
    <row r="768" spans="1:6" x14ac:dyDescent="0.3">
      <c r="A768" s="19" t="s">
        <v>1108</v>
      </c>
      <c r="B768" s="20"/>
      <c r="C768" s="20"/>
      <c r="D768" s="20"/>
      <c r="E768" s="20"/>
      <c r="F768" s="20"/>
    </row>
    <row r="769" spans="1:6" x14ac:dyDescent="0.3">
      <c r="A769" s="12" t="s">
        <v>10</v>
      </c>
      <c r="B769" s="13">
        <v>45729</v>
      </c>
      <c r="C769" s="4" t="s">
        <v>12</v>
      </c>
      <c r="D769" s="4" t="s">
        <v>4</v>
      </c>
      <c r="E769" s="4" t="s">
        <v>13</v>
      </c>
      <c r="F769" s="4" t="s">
        <v>13</v>
      </c>
    </row>
    <row r="770" spans="1:6" ht="15" thickBot="1" x14ac:dyDescent="0.35">
      <c r="A770" s="4"/>
    </row>
    <row r="771" spans="1:6" x14ac:dyDescent="0.3">
      <c r="A771" s="19" t="s">
        <v>1111</v>
      </c>
      <c r="B771" s="20"/>
      <c r="C771" s="20"/>
      <c r="D771" s="20"/>
      <c r="E771" s="20"/>
      <c r="F771" s="20"/>
    </row>
    <row r="772" spans="1:6" x14ac:dyDescent="0.3">
      <c r="A772" s="12" t="s">
        <v>583</v>
      </c>
      <c r="B772" s="13">
        <v>45729</v>
      </c>
      <c r="C772" s="4" t="s">
        <v>12</v>
      </c>
      <c r="D772" s="4" t="s">
        <v>4</v>
      </c>
      <c r="E772" s="4" t="s">
        <v>13</v>
      </c>
      <c r="F772" s="4" t="s">
        <v>13</v>
      </c>
    </row>
    <row r="773" spans="1:6" ht="15" thickBot="1" x14ac:dyDescent="0.35">
      <c r="A773" s="4"/>
    </row>
    <row r="774" spans="1:6" x14ac:dyDescent="0.3">
      <c r="A774" s="19" t="s">
        <v>1114</v>
      </c>
      <c r="B774" s="20"/>
      <c r="C774" s="20"/>
      <c r="D774" s="20"/>
      <c r="E774" s="20"/>
      <c r="F774" s="20"/>
    </row>
    <row r="775" spans="1:6" x14ac:dyDescent="0.3">
      <c r="A775" s="12" t="s">
        <v>14</v>
      </c>
      <c r="B775" s="13">
        <v>45729</v>
      </c>
      <c r="C775" s="4" t="s">
        <v>12</v>
      </c>
      <c r="D775" s="4" t="s">
        <v>4</v>
      </c>
      <c r="E775" s="4" t="s">
        <v>13</v>
      </c>
      <c r="F775" s="4" t="s">
        <v>13</v>
      </c>
    </row>
    <row r="776" spans="1:6" ht="15" thickBot="1" x14ac:dyDescent="0.35">
      <c r="A776" s="4"/>
    </row>
    <row r="777" spans="1:6" x14ac:dyDescent="0.3">
      <c r="A777" s="19" t="s">
        <v>1117</v>
      </c>
      <c r="B777" s="20"/>
      <c r="C777" s="20"/>
      <c r="D777" s="20"/>
      <c r="E777" s="20"/>
      <c r="F777" s="20"/>
    </row>
    <row r="778" spans="1:6" x14ac:dyDescent="0.3">
      <c r="A778" s="12" t="s">
        <v>14</v>
      </c>
      <c r="B778" s="13">
        <v>45729</v>
      </c>
      <c r="C778" s="4" t="s">
        <v>12</v>
      </c>
      <c r="D778" s="4" t="s">
        <v>4</v>
      </c>
      <c r="E778" s="4" t="s">
        <v>13</v>
      </c>
      <c r="F778" s="4" t="s">
        <v>13</v>
      </c>
    </row>
    <row r="779" spans="1:6" ht="15" thickBot="1" x14ac:dyDescent="0.35">
      <c r="A779" s="4"/>
    </row>
    <row r="780" spans="1:6" x14ac:dyDescent="0.3">
      <c r="A780" s="19" t="s">
        <v>1120</v>
      </c>
      <c r="B780" s="20"/>
      <c r="C780" s="20"/>
      <c r="D780" s="20"/>
      <c r="E780" s="20"/>
      <c r="F780" s="20"/>
    </row>
    <row r="781" spans="1:6" x14ac:dyDescent="0.3">
      <c r="A781" s="12" t="s">
        <v>14</v>
      </c>
      <c r="B781" s="13">
        <v>45729</v>
      </c>
      <c r="C781" s="4" t="s">
        <v>12</v>
      </c>
      <c r="D781" s="4" t="s">
        <v>4</v>
      </c>
      <c r="E781" s="4" t="s">
        <v>13</v>
      </c>
      <c r="F781" s="4" t="s">
        <v>13</v>
      </c>
    </row>
    <row r="782" spans="1:6" ht="15" thickBot="1" x14ac:dyDescent="0.35">
      <c r="A782" s="4"/>
    </row>
    <row r="783" spans="1:6" x14ac:dyDescent="0.3">
      <c r="A783" s="19" t="s">
        <v>1123</v>
      </c>
      <c r="B783" s="20"/>
      <c r="C783" s="20"/>
      <c r="D783" s="20"/>
      <c r="E783" s="20"/>
      <c r="F783" s="20"/>
    </row>
    <row r="784" spans="1:6" x14ac:dyDescent="0.3">
      <c r="A784" s="12" t="s">
        <v>14</v>
      </c>
      <c r="B784" s="13">
        <v>45729</v>
      </c>
      <c r="C784" s="4" t="s">
        <v>12</v>
      </c>
      <c r="D784" s="4" t="s">
        <v>4</v>
      </c>
      <c r="E784" s="4" t="s">
        <v>13</v>
      </c>
      <c r="F784" s="4" t="s">
        <v>13</v>
      </c>
    </row>
    <row r="785" spans="1:6" ht="15" thickBot="1" x14ac:dyDescent="0.35">
      <c r="A785" s="4"/>
    </row>
    <row r="786" spans="1:6" x14ac:dyDescent="0.3">
      <c r="A786" s="19" t="s">
        <v>1127</v>
      </c>
      <c r="B786" s="20"/>
      <c r="C786" s="20"/>
      <c r="D786" s="20"/>
      <c r="E786" s="20"/>
      <c r="F786" s="20"/>
    </row>
    <row r="787" spans="1:6" x14ac:dyDescent="0.3">
      <c r="A787" s="12" t="s">
        <v>11</v>
      </c>
      <c r="B787" s="13">
        <v>45729</v>
      </c>
      <c r="C787" s="4" t="s">
        <v>12</v>
      </c>
      <c r="D787" s="4" t="s">
        <v>4</v>
      </c>
      <c r="E787" s="4" t="s">
        <v>13</v>
      </c>
      <c r="F787" s="4" t="s">
        <v>13</v>
      </c>
    </row>
    <row r="788" spans="1:6" ht="15" thickBot="1" x14ac:dyDescent="0.35">
      <c r="A788" s="4"/>
    </row>
    <row r="789" spans="1:6" x14ac:dyDescent="0.3">
      <c r="A789" s="19" t="s">
        <v>1131</v>
      </c>
      <c r="B789" s="20"/>
      <c r="C789" s="20"/>
      <c r="D789" s="20"/>
      <c r="E789" s="20"/>
      <c r="F789" s="20"/>
    </row>
    <row r="790" spans="1:6" x14ac:dyDescent="0.3">
      <c r="A790" s="12" t="s">
        <v>11</v>
      </c>
      <c r="B790" s="13">
        <v>45729</v>
      </c>
      <c r="C790" s="4" t="s">
        <v>12</v>
      </c>
      <c r="D790" s="4" t="s">
        <v>4</v>
      </c>
      <c r="E790" s="4" t="s">
        <v>13</v>
      </c>
      <c r="F790" s="4" t="s">
        <v>13</v>
      </c>
    </row>
    <row r="791" spans="1:6" ht="15" thickBot="1" x14ac:dyDescent="0.35">
      <c r="A791" s="4"/>
    </row>
    <row r="792" spans="1:6" x14ac:dyDescent="0.3">
      <c r="A792" s="19" t="s">
        <v>1137</v>
      </c>
      <c r="B792" s="20"/>
      <c r="C792" s="20"/>
      <c r="D792" s="20"/>
      <c r="E792" s="20"/>
      <c r="F792" s="20"/>
    </row>
    <row r="793" spans="1:6" x14ac:dyDescent="0.3">
      <c r="A793" s="12" t="s">
        <v>11</v>
      </c>
      <c r="B793" s="13">
        <v>45729</v>
      </c>
      <c r="C793" s="4" t="s">
        <v>12</v>
      </c>
      <c r="D793" s="4" t="s">
        <v>4</v>
      </c>
      <c r="E793" s="4" t="s">
        <v>13</v>
      </c>
      <c r="F793" s="4" t="s">
        <v>13</v>
      </c>
    </row>
    <row r="794" spans="1:6" ht="15" thickBot="1" x14ac:dyDescent="0.35">
      <c r="A794" s="4"/>
    </row>
    <row r="795" spans="1:6" x14ac:dyDescent="0.3">
      <c r="A795" s="19" t="s">
        <v>1145</v>
      </c>
      <c r="B795" s="20"/>
      <c r="C795" s="20"/>
      <c r="D795" s="20"/>
      <c r="E795" s="20"/>
      <c r="F795" s="20"/>
    </row>
    <row r="796" spans="1:6" x14ac:dyDescent="0.3">
      <c r="A796" s="12" t="s">
        <v>11</v>
      </c>
      <c r="B796" s="13">
        <v>45729</v>
      </c>
      <c r="C796" s="4" t="s">
        <v>12</v>
      </c>
      <c r="D796" s="4" t="s">
        <v>4</v>
      </c>
      <c r="E796" s="4" t="s">
        <v>13</v>
      </c>
      <c r="F796" s="4" t="s">
        <v>13</v>
      </c>
    </row>
    <row r="797" spans="1:6" ht="15" thickBot="1" x14ac:dyDescent="0.35">
      <c r="A797" s="4"/>
    </row>
    <row r="798" spans="1:6" x14ac:dyDescent="0.3">
      <c r="A798" s="19" t="s">
        <v>1153</v>
      </c>
      <c r="B798" s="20"/>
      <c r="C798" s="20"/>
      <c r="D798" s="20"/>
      <c r="E798" s="20"/>
      <c r="F798" s="20"/>
    </row>
    <row r="799" spans="1:6" x14ac:dyDescent="0.3">
      <c r="A799" s="12" t="s">
        <v>1155</v>
      </c>
      <c r="B799" s="13">
        <v>45729</v>
      </c>
      <c r="C799" s="4" t="s">
        <v>12</v>
      </c>
      <c r="D799" s="4" t="s">
        <v>4</v>
      </c>
      <c r="E799" s="4" t="s">
        <v>13</v>
      </c>
      <c r="F799" s="4" t="s">
        <v>13</v>
      </c>
    </row>
    <row r="800" spans="1:6" ht="15" thickBot="1" x14ac:dyDescent="0.35">
      <c r="A800" s="4"/>
    </row>
    <row r="801" spans="1:6" x14ac:dyDescent="0.3">
      <c r="A801" s="19" t="s">
        <v>1162</v>
      </c>
      <c r="B801" s="20"/>
      <c r="C801" s="20"/>
      <c r="D801" s="20"/>
      <c r="E801" s="20"/>
      <c r="F801" s="20"/>
    </row>
    <row r="802" spans="1:6" x14ac:dyDescent="0.3">
      <c r="A802" s="12" t="s">
        <v>583</v>
      </c>
      <c r="B802" s="13">
        <v>45729</v>
      </c>
      <c r="C802" s="4" t="s">
        <v>12</v>
      </c>
      <c r="D802" s="4" t="s">
        <v>4</v>
      </c>
      <c r="E802" s="4" t="s">
        <v>13</v>
      </c>
      <c r="F802" s="4" t="s">
        <v>13</v>
      </c>
    </row>
    <row r="803" spans="1:6" ht="15" thickBot="1" x14ac:dyDescent="0.35">
      <c r="A803" s="4"/>
    </row>
    <row r="804" spans="1:6" x14ac:dyDescent="0.3">
      <c r="A804" s="19" t="s">
        <v>1167</v>
      </c>
      <c r="B804" s="20"/>
      <c r="C804" s="20"/>
      <c r="D804" s="20"/>
      <c r="E804" s="20"/>
      <c r="F804" s="20"/>
    </row>
    <row r="805" spans="1:6" x14ac:dyDescent="0.3">
      <c r="A805" s="12" t="s">
        <v>14</v>
      </c>
      <c r="B805" s="13">
        <v>45730</v>
      </c>
      <c r="C805" s="4" t="s">
        <v>12</v>
      </c>
      <c r="D805" s="4" t="s">
        <v>4</v>
      </c>
      <c r="E805" s="4" t="s">
        <v>13</v>
      </c>
      <c r="F805" s="4" t="s">
        <v>13</v>
      </c>
    </row>
    <row r="806" spans="1:6" ht="15" thickBot="1" x14ac:dyDescent="0.35">
      <c r="A806" s="4"/>
    </row>
    <row r="807" spans="1:6" x14ac:dyDescent="0.3">
      <c r="A807" s="19" t="s">
        <v>1173</v>
      </c>
      <c r="B807" s="20"/>
      <c r="C807" s="20"/>
      <c r="D807" s="20"/>
      <c r="E807" s="20"/>
      <c r="F807" s="20"/>
    </row>
    <row r="808" spans="1:6" x14ac:dyDescent="0.3">
      <c r="A808" s="12" t="s">
        <v>968</v>
      </c>
      <c r="B808" s="13">
        <v>45729</v>
      </c>
      <c r="C808" s="4" t="s">
        <v>12</v>
      </c>
      <c r="D808" s="4" t="s">
        <v>4</v>
      </c>
      <c r="E808" s="4" t="s">
        <v>13</v>
      </c>
      <c r="F808" s="4" t="s">
        <v>13</v>
      </c>
    </row>
    <row r="809" spans="1:6" ht="15" thickBot="1" x14ac:dyDescent="0.35">
      <c r="A809" s="4"/>
    </row>
    <row r="810" spans="1:6" x14ac:dyDescent="0.3">
      <c r="A810" s="19" t="s">
        <v>1180</v>
      </c>
      <c r="B810" s="20"/>
      <c r="C810" s="20"/>
      <c r="D810" s="20"/>
      <c r="E810" s="20"/>
      <c r="F810" s="20"/>
    </row>
    <row r="811" spans="1:6" x14ac:dyDescent="0.3">
      <c r="A811" s="12" t="s">
        <v>960</v>
      </c>
      <c r="B811" s="13">
        <v>45729</v>
      </c>
      <c r="C811" s="4" t="s">
        <v>12</v>
      </c>
      <c r="D811" s="4" t="s">
        <v>4</v>
      </c>
      <c r="E811" s="4" t="s">
        <v>13</v>
      </c>
      <c r="F811" s="4" t="s">
        <v>13</v>
      </c>
    </row>
    <row r="812" spans="1:6" ht="15" thickBot="1" x14ac:dyDescent="0.35">
      <c r="A812" s="4"/>
    </row>
    <row r="813" spans="1:6" x14ac:dyDescent="0.3">
      <c r="A813" s="19" t="s">
        <v>1188</v>
      </c>
      <c r="B813" s="20"/>
      <c r="C813" s="20"/>
      <c r="D813" s="20"/>
      <c r="E813" s="20"/>
      <c r="F813" s="20"/>
    </row>
    <row r="814" spans="1:6" x14ac:dyDescent="0.3">
      <c r="A814" s="12" t="s">
        <v>968</v>
      </c>
      <c r="B814" s="13">
        <v>45729</v>
      </c>
      <c r="C814" s="4" t="s">
        <v>12</v>
      </c>
      <c r="D814" s="4" t="s">
        <v>4</v>
      </c>
      <c r="E814" s="4" t="s">
        <v>13</v>
      </c>
      <c r="F814" s="4" t="s">
        <v>13</v>
      </c>
    </row>
    <row r="815" spans="1:6" ht="15" thickBot="1" x14ac:dyDescent="0.35">
      <c r="A815" s="4"/>
    </row>
    <row r="816" spans="1:6" x14ac:dyDescent="0.3">
      <c r="A816" s="19" t="s">
        <v>1192</v>
      </c>
      <c r="B816" s="20"/>
      <c r="C816" s="20"/>
      <c r="D816" s="20"/>
      <c r="E816" s="20"/>
      <c r="F816" s="20"/>
    </row>
    <row r="817" spans="1:6" x14ac:dyDescent="0.3">
      <c r="A817" s="12" t="s">
        <v>960</v>
      </c>
      <c r="B817" s="13">
        <v>45729</v>
      </c>
      <c r="C817" s="4" t="s">
        <v>12</v>
      </c>
      <c r="D817" s="4" t="s">
        <v>4</v>
      </c>
      <c r="E817" s="4" t="s">
        <v>13</v>
      </c>
      <c r="F817" s="4" t="s">
        <v>13</v>
      </c>
    </row>
    <row r="818" spans="1:6" ht="15" thickBot="1" x14ac:dyDescent="0.35">
      <c r="A818" s="4"/>
    </row>
    <row r="819" spans="1:6" x14ac:dyDescent="0.3">
      <c r="A819" s="19" t="s">
        <v>1198</v>
      </c>
      <c r="B819" s="20"/>
      <c r="C819" s="20"/>
      <c r="D819" s="20"/>
      <c r="E819" s="20"/>
      <c r="F819" s="20"/>
    </row>
    <row r="820" spans="1:6" x14ac:dyDescent="0.3">
      <c r="A820" s="12" t="s">
        <v>1155</v>
      </c>
      <c r="B820" s="13">
        <v>45729</v>
      </c>
      <c r="C820" s="4" t="s">
        <v>12</v>
      </c>
      <c r="D820" s="4" t="s">
        <v>4</v>
      </c>
      <c r="E820" s="4" t="s">
        <v>13</v>
      </c>
      <c r="F820" s="4" t="s">
        <v>13</v>
      </c>
    </row>
    <row r="821" spans="1:6" ht="15" thickBot="1" x14ac:dyDescent="0.35">
      <c r="A821" s="4"/>
    </row>
    <row r="822" spans="1:6" x14ac:dyDescent="0.3">
      <c r="A822" s="19" t="s">
        <v>1208</v>
      </c>
      <c r="B822" s="20"/>
      <c r="C822" s="20"/>
      <c r="D822" s="20"/>
      <c r="E822" s="20"/>
      <c r="F822" s="20"/>
    </row>
    <row r="823" spans="1:6" x14ac:dyDescent="0.3">
      <c r="A823" s="12" t="s">
        <v>10</v>
      </c>
      <c r="B823" s="13">
        <v>45729</v>
      </c>
      <c r="C823" s="4" t="s">
        <v>12</v>
      </c>
      <c r="D823" s="4" t="s">
        <v>4</v>
      </c>
      <c r="E823" s="4" t="s">
        <v>13</v>
      </c>
      <c r="F823" s="4" t="s">
        <v>13</v>
      </c>
    </row>
    <row r="824" spans="1:6" ht="15" thickBot="1" x14ac:dyDescent="0.35">
      <c r="A824" s="4"/>
    </row>
    <row r="825" spans="1:6" x14ac:dyDescent="0.3">
      <c r="A825" s="19" t="s">
        <v>1213</v>
      </c>
      <c r="B825" s="20"/>
      <c r="C825" s="20"/>
      <c r="D825" s="20"/>
      <c r="E825" s="20"/>
      <c r="F825" s="20"/>
    </row>
    <row r="826" spans="1:6" x14ac:dyDescent="0.3">
      <c r="A826" s="12" t="s">
        <v>11</v>
      </c>
      <c r="B826" s="13">
        <v>45729</v>
      </c>
      <c r="C826" s="4" t="s">
        <v>12</v>
      </c>
      <c r="D826" s="4" t="s">
        <v>4</v>
      </c>
      <c r="E826" s="4" t="s">
        <v>13</v>
      </c>
      <c r="F826" s="4" t="s">
        <v>13</v>
      </c>
    </row>
    <row r="827" spans="1:6" ht="15" thickBot="1" x14ac:dyDescent="0.35">
      <c r="A827" s="4"/>
    </row>
    <row r="828" spans="1:6" x14ac:dyDescent="0.3">
      <c r="A828" s="19" t="s">
        <v>1219</v>
      </c>
      <c r="B828" s="20"/>
      <c r="C828" s="20"/>
      <c r="D828" s="20"/>
      <c r="E828" s="20"/>
      <c r="F828" s="20"/>
    </row>
    <row r="829" spans="1:6" x14ac:dyDescent="0.3">
      <c r="A829" s="12" t="s">
        <v>11</v>
      </c>
      <c r="B829" s="13">
        <v>45729</v>
      </c>
      <c r="C829" s="4" t="s">
        <v>12</v>
      </c>
      <c r="D829" s="4" t="s">
        <v>4</v>
      </c>
      <c r="E829" s="4" t="s">
        <v>13</v>
      </c>
      <c r="F829" s="4" t="s">
        <v>13</v>
      </c>
    </row>
    <row r="830" spans="1:6" ht="15" thickBot="1" x14ac:dyDescent="0.35">
      <c r="A830" s="4"/>
    </row>
    <row r="831" spans="1:6" x14ac:dyDescent="0.3">
      <c r="A831" s="19" t="s">
        <v>1222</v>
      </c>
      <c r="B831" s="20"/>
      <c r="C831" s="20"/>
      <c r="D831" s="20"/>
      <c r="E831" s="20"/>
      <c r="F831" s="20"/>
    </row>
    <row r="832" spans="1:6" x14ac:dyDescent="0.3">
      <c r="A832" s="12" t="s">
        <v>14</v>
      </c>
      <c r="B832" s="13">
        <v>45729</v>
      </c>
      <c r="C832" s="4" t="s">
        <v>12</v>
      </c>
      <c r="D832" s="4" t="s">
        <v>4</v>
      </c>
      <c r="E832" s="4" t="s">
        <v>13</v>
      </c>
      <c r="F832" s="4" t="s">
        <v>13</v>
      </c>
    </row>
    <row r="833" spans="1:6" ht="15" thickBot="1" x14ac:dyDescent="0.35">
      <c r="A833" s="4"/>
    </row>
    <row r="834" spans="1:6" x14ac:dyDescent="0.3">
      <c r="A834" s="19" t="s">
        <v>1225</v>
      </c>
      <c r="B834" s="20"/>
      <c r="C834" s="20"/>
      <c r="D834" s="20"/>
      <c r="E834" s="20"/>
      <c r="F834" s="20"/>
    </row>
    <row r="835" spans="1:6" x14ac:dyDescent="0.3">
      <c r="A835" s="12" t="s">
        <v>583</v>
      </c>
      <c r="B835" s="13">
        <v>45729</v>
      </c>
      <c r="C835" s="4" t="s">
        <v>12</v>
      </c>
      <c r="D835" s="4" t="s">
        <v>4</v>
      </c>
      <c r="E835" s="4" t="s">
        <v>13</v>
      </c>
      <c r="F835" s="4" t="s">
        <v>13</v>
      </c>
    </row>
    <row r="836" spans="1:6" ht="15" thickBot="1" x14ac:dyDescent="0.35">
      <c r="A836" s="4"/>
    </row>
    <row r="837" spans="1:6" x14ac:dyDescent="0.3">
      <c r="A837" s="19" t="s">
        <v>1231</v>
      </c>
      <c r="B837" s="20"/>
      <c r="C837" s="20"/>
      <c r="D837" s="20"/>
      <c r="E837" s="20"/>
      <c r="F837" s="20"/>
    </row>
    <row r="838" spans="1:6" x14ac:dyDescent="0.3">
      <c r="A838" s="12" t="s">
        <v>10</v>
      </c>
      <c r="B838" s="13">
        <v>45729</v>
      </c>
      <c r="C838" s="4" t="s">
        <v>12</v>
      </c>
      <c r="D838" s="4" t="s">
        <v>4</v>
      </c>
      <c r="E838" s="4" t="s">
        <v>13</v>
      </c>
      <c r="F838" s="4" t="s">
        <v>13</v>
      </c>
    </row>
    <row r="839" spans="1:6" ht="15" thickBot="1" x14ac:dyDescent="0.35">
      <c r="A839" s="4"/>
    </row>
    <row r="840" spans="1:6" x14ac:dyDescent="0.3">
      <c r="A840" s="19" t="s">
        <v>1234</v>
      </c>
      <c r="B840" s="20"/>
      <c r="C840" s="20"/>
      <c r="D840" s="20"/>
      <c r="E840" s="20"/>
      <c r="F840" s="20"/>
    </row>
    <row r="841" spans="1:6" x14ac:dyDescent="0.3">
      <c r="A841" s="12" t="s">
        <v>11</v>
      </c>
      <c r="B841" s="13">
        <v>45729</v>
      </c>
      <c r="C841" s="4" t="s">
        <v>12</v>
      </c>
      <c r="D841" s="4" t="s">
        <v>4</v>
      </c>
      <c r="E841" s="4" t="s">
        <v>13</v>
      </c>
      <c r="F841" s="4" t="s">
        <v>13</v>
      </c>
    </row>
    <row r="842" spans="1:6" ht="15" thickBot="1" x14ac:dyDescent="0.35">
      <c r="A842" s="4"/>
    </row>
    <row r="843" spans="1:6" x14ac:dyDescent="0.3">
      <c r="A843" s="19" t="s">
        <v>1237</v>
      </c>
      <c r="B843" s="20"/>
      <c r="C843" s="20"/>
      <c r="D843" s="20"/>
      <c r="E843" s="20"/>
      <c r="F843" s="20"/>
    </row>
    <row r="844" spans="1:6" x14ac:dyDescent="0.3">
      <c r="A844" s="12" t="s">
        <v>10</v>
      </c>
      <c r="B844" s="13">
        <v>45729</v>
      </c>
      <c r="C844" s="4" t="s">
        <v>12</v>
      </c>
      <c r="D844" s="4" t="s">
        <v>4</v>
      </c>
      <c r="E844" s="4" t="s">
        <v>13</v>
      </c>
      <c r="F844" s="4" t="s">
        <v>13</v>
      </c>
    </row>
    <row r="845" spans="1:6" ht="15" thickBot="1" x14ac:dyDescent="0.35">
      <c r="A845" s="4"/>
    </row>
    <row r="846" spans="1:6" x14ac:dyDescent="0.3">
      <c r="A846" s="19" t="s">
        <v>1240</v>
      </c>
      <c r="B846" s="20"/>
      <c r="C846" s="20"/>
      <c r="D846" s="20"/>
      <c r="E846" s="20"/>
      <c r="F846" s="20"/>
    </row>
    <row r="847" spans="1:6" x14ac:dyDescent="0.3">
      <c r="A847" s="12" t="s">
        <v>14</v>
      </c>
      <c r="B847" s="13">
        <v>45729</v>
      </c>
      <c r="C847" s="4" t="s">
        <v>12</v>
      </c>
      <c r="D847" s="4" t="s">
        <v>4</v>
      </c>
      <c r="E847" s="4" t="s">
        <v>13</v>
      </c>
      <c r="F847" s="4" t="s">
        <v>13</v>
      </c>
    </row>
    <row r="848" spans="1:6" ht="15" thickBot="1" x14ac:dyDescent="0.35">
      <c r="A848" s="4"/>
    </row>
    <row r="849" spans="1:6" x14ac:dyDescent="0.3">
      <c r="A849" s="19" t="s">
        <v>1243</v>
      </c>
      <c r="B849" s="20"/>
      <c r="C849" s="20"/>
      <c r="D849" s="20"/>
      <c r="E849" s="20"/>
      <c r="F849" s="20"/>
    </row>
    <row r="850" spans="1:6" x14ac:dyDescent="0.3">
      <c r="A850" s="12" t="s">
        <v>14</v>
      </c>
      <c r="B850" s="13">
        <v>45729</v>
      </c>
      <c r="C850" s="4" t="s">
        <v>12</v>
      </c>
      <c r="D850" s="4" t="s">
        <v>4</v>
      </c>
      <c r="E850" s="4" t="s">
        <v>13</v>
      </c>
      <c r="F850" s="4" t="s">
        <v>13</v>
      </c>
    </row>
    <row r="851" spans="1:6" ht="15" thickBot="1" x14ac:dyDescent="0.35">
      <c r="A851" s="4"/>
    </row>
    <row r="852" spans="1:6" x14ac:dyDescent="0.3">
      <c r="A852" s="19" t="s">
        <v>1246</v>
      </c>
      <c r="B852" s="20"/>
      <c r="C852" s="20"/>
      <c r="D852" s="20"/>
      <c r="E852" s="20"/>
      <c r="F852" s="20"/>
    </row>
    <row r="853" spans="1:6" x14ac:dyDescent="0.3">
      <c r="A853" s="12" t="s">
        <v>14</v>
      </c>
      <c r="B853" s="13">
        <v>45729</v>
      </c>
      <c r="C853" s="4" t="s">
        <v>12</v>
      </c>
      <c r="D853" s="4" t="s">
        <v>4</v>
      </c>
      <c r="E853" s="4" t="s">
        <v>13</v>
      </c>
      <c r="F853" s="4" t="s">
        <v>13</v>
      </c>
    </row>
    <row r="854" spans="1:6" ht="15" thickBot="1" x14ac:dyDescent="0.35">
      <c r="A854" s="4"/>
    </row>
    <row r="855" spans="1:6" x14ac:dyDescent="0.3">
      <c r="A855" s="19" t="s">
        <v>1249</v>
      </c>
      <c r="B855" s="20"/>
      <c r="C855" s="20"/>
      <c r="D855" s="20"/>
      <c r="E855" s="20"/>
      <c r="F855" s="20"/>
    </row>
    <row r="856" spans="1:6" x14ac:dyDescent="0.3">
      <c r="A856" s="12" t="s">
        <v>14</v>
      </c>
      <c r="B856" s="13">
        <v>45729</v>
      </c>
      <c r="C856" s="4" t="s">
        <v>12</v>
      </c>
      <c r="D856" s="4" t="s">
        <v>4</v>
      </c>
      <c r="E856" s="4" t="s">
        <v>13</v>
      </c>
      <c r="F856" s="4" t="s">
        <v>13</v>
      </c>
    </row>
    <row r="857" spans="1:6" ht="15" thickBot="1" x14ac:dyDescent="0.35">
      <c r="A857" s="4"/>
    </row>
    <row r="858" spans="1:6" x14ac:dyDescent="0.3">
      <c r="A858" s="19" t="s">
        <v>1252</v>
      </c>
      <c r="B858" s="20"/>
      <c r="C858" s="20"/>
      <c r="D858" s="20"/>
      <c r="E858" s="20"/>
      <c r="F858" s="20"/>
    </row>
    <row r="859" spans="1:6" x14ac:dyDescent="0.3">
      <c r="A859" s="12" t="s">
        <v>14</v>
      </c>
      <c r="B859" s="13">
        <v>45729</v>
      </c>
      <c r="C859" s="4" t="s">
        <v>12</v>
      </c>
      <c r="D859" s="4" t="s">
        <v>4</v>
      </c>
      <c r="E859" s="4" t="s">
        <v>13</v>
      </c>
      <c r="F859" s="4" t="s">
        <v>13</v>
      </c>
    </row>
    <row r="860" spans="1:6" ht="15" thickBot="1" x14ac:dyDescent="0.35">
      <c r="A860" s="4"/>
    </row>
    <row r="861" spans="1:6" x14ac:dyDescent="0.3">
      <c r="A861" s="19" t="s">
        <v>1255</v>
      </c>
      <c r="B861" s="20"/>
      <c r="C861" s="20"/>
      <c r="D861" s="20"/>
      <c r="E861" s="20"/>
      <c r="F861" s="20"/>
    </row>
    <row r="862" spans="1:6" x14ac:dyDescent="0.3">
      <c r="A862" s="12" t="s">
        <v>14</v>
      </c>
      <c r="B862" s="13">
        <v>45729</v>
      </c>
      <c r="C862" s="4" t="s">
        <v>12</v>
      </c>
      <c r="D862" s="4" t="s">
        <v>4</v>
      </c>
      <c r="E862" s="4" t="s">
        <v>13</v>
      </c>
      <c r="F862" s="4" t="s">
        <v>13</v>
      </c>
    </row>
    <row r="863" spans="1:6" ht="15" thickBot="1" x14ac:dyDescent="0.35">
      <c r="A863" s="4"/>
    </row>
    <row r="864" spans="1:6" x14ac:dyDescent="0.3">
      <c r="A864" s="19" t="s">
        <v>1258</v>
      </c>
      <c r="B864" s="20"/>
      <c r="C864" s="20"/>
      <c r="D864" s="20"/>
      <c r="E864" s="20"/>
      <c r="F864" s="20"/>
    </row>
    <row r="865" spans="1:6" x14ac:dyDescent="0.3">
      <c r="A865" s="12" t="s">
        <v>14</v>
      </c>
      <c r="B865" s="13">
        <v>45729</v>
      </c>
      <c r="C865" s="4" t="s">
        <v>12</v>
      </c>
      <c r="D865" s="4" t="s">
        <v>4</v>
      </c>
      <c r="E865" s="4" t="s">
        <v>13</v>
      </c>
      <c r="F865" s="4" t="s">
        <v>13</v>
      </c>
    </row>
    <row r="866" spans="1:6" ht="15" thickBot="1" x14ac:dyDescent="0.35">
      <c r="A866" s="4"/>
    </row>
    <row r="867" spans="1:6" x14ac:dyDescent="0.3">
      <c r="A867" s="19" t="s">
        <v>1261</v>
      </c>
      <c r="B867" s="20"/>
      <c r="C867" s="20"/>
      <c r="D867" s="20"/>
      <c r="E867" s="20"/>
      <c r="F867" s="20"/>
    </row>
    <row r="868" spans="1:6" x14ac:dyDescent="0.3">
      <c r="A868" s="12" t="s">
        <v>14</v>
      </c>
      <c r="B868" s="13">
        <v>45729</v>
      </c>
      <c r="C868" s="4" t="s">
        <v>12</v>
      </c>
      <c r="D868" s="4" t="s">
        <v>4</v>
      </c>
      <c r="E868" s="4" t="s">
        <v>13</v>
      </c>
      <c r="F868" s="4" t="s">
        <v>13</v>
      </c>
    </row>
    <row r="869" spans="1:6" ht="15" thickBot="1" x14ac:dyDescent="0.35">
      <c r="A869" s="4"/>
    </row>
    <row r="870" spans="1:6" x14ac:dyDescent="0.3">
      <c r="A870" s="19" t="s">
        <v>1264</v>
      </c>
      <c r="B870" s="20"/>
      <c r="C870" s="20"/>
      <c r="D870" s="20"/>
      <c r="E870" s="20"/>
      <c r="F870" s="20"/>
    </row>
    <row r="871" spans="1:6" x14ac:dyDescent="0.3">
      <c r="A871" s="12" t="s">
        <v>14</v>
      </c>
      <c r="B871" s="13">
        <v>45729</v>
      </c>
      <c r="C871" s="4" t="s">
        <v>12</v>
      </c>
      <c r="D871" s="4" t="s">
        <v>4</v>
      </c>
      <c r="E871" s="4" t="s">
        <v>13</v>
      </c>
      <c r="F871" s="4" t="s">
        <v>13</v>
      </c>
    </row>
    <row r="872" spans="1:6" ht="15" thickBot="1" x14ac:dyDescent="0.35">
      <c r="A872" s="4"/>
    </row>
    <row r="873" spans="1:6" x14ac:dyDescent="0.3">
      <c r="A873" s="19" t="s">
        <v>1267</v>
      </c>
      <c r="B873" s="20"/>
      <c r="C873" s="20"/>
      <c r="D873" s="20"/>
      <c r="E873" s="20"/>
      <c r="F873" s="20"/>
    </row>
    <row r="874" spans="1:6" x14ac:dyDescent="0.3">
      <c r="A874" s="12" t="s">
        <v>14</v>
      </c>
      <c r="B874" s="13">
        <v>45729</v>
      </c>
      <c r="C874" s="4" t="s">
        <v>12</v>
      </c>
      <c r="D874" s="4" t="s">
        <v>4</v>
      </c>
      <c r="E874" s="4" t="s">
        <v>13</v>
      </c>
      <c r="F874" s="4" t="s">
        <v>13</v>
      </c>
    </row>
    <row r="875" spans="1:6" ht="15" thickBot="1" x14ac:dyDescent="0.35">
      <c r="A875" s="4"/>
    </row>
    <row r="876" spans="1:6" x14ac:dyDescent="0.3">
      <c r="A876" s="19" t="s">
        <v>1270</v>
      </c>
      <c r="B876" s="20"/>
      <c r="C876" s="20"/>
      <c r="D876" s="20"/>
      <c r="E876" s="20"/>
      <c r="F876" s="20"/>
    </row>
    <row r="877" spans="1:6" x14ac:dyDescent="0.3">
      <c r="A877" s="12" t="s">
        <v>14</v>
      </c>
      <c r="B877" s="13">
        <v>45729</v>
      </c>
      <c r="C877" s="4" t="s">
        <v>12</v>
      </c>
      <c r="D877" s="4" t="s">
        <v>4</v>
      </c>
      <c r="E877" s="4" t="s">
        <v>13</v>
      </c>
      <c r="F877" s="4" t="s">
        <v>13</v>
      </c>
    </row>
    <row r="878" spans="1:6" ht="15" thickBot="1" x14ac:dyDescent="0.35">
      <c r="A878" s="4"/>
    </row>
    <row r="879" spans="1:6" x14ac:dyDescent="0.3">
      <c r="A879" s="19" t="s">
        <v>1273</v>
      </c>
      <c r="B879" s="20"/>
      <c r="C879" s="20"/>
      <c r="D879" s="20"/>
      <c r="E879" s="20"/>
      <c r="F879" s="20"/>
    </row>
    <row r="880" spans="1:6" x14ac:dyDescent="0.3">
      <c r="A880" s="12" t="s">
        <v>14</v>
      </c>
      <c r="B880" s="13">
        <v>45729</v>
      </c>
      <c r="C880" s="4" t="s">
        <v>12</v>
      </c>
      <c r="D880" s="4" t="s">
        <v>4</v>
      </c>
      <c r="E880" s="4" t="s">
        <v>13</v>
      </c>
      <c r="F880" s="4" t="s">
        <v>13</v>
      </c>
    </row>
    <row r="881" spans="1:6" ht="15" thickBot="1" x14ac:dyDescent="0.35">
      <c r="A881" s="4"/>
    </row>
    <row r="882" spans="1:6" x14ac:dyDescent="0.3">
      <c r="A882" s="19" t="s">
        <v>1277</v>
      </c>
      <c r="B882" s="20"/>
      <c r="C882" s="20"/>
      <c r="D882" s="20"/>
      <c r="E882" s="20"/>
      <c r="F882" s="20"/>
    </row>
    <row r="883" spans="1:6" x14ac:dyDescent="0.3">
      <c r="A883" s="12" t="s">
        <v>583</v>
      </c>
      <c r="B883" s="13">
        <v>45729</v>
      </c>
      <c r="C883" s="4" t="s">
        <v>12</v>
      </c>
      <c r="D883" s="4" t="s">
        <v>4</v>
      </c>
      <c r="E883" s="4" t="s">
        <v>13</v>
      </c>
      <c r="F883" s="4" t="s">
        <v>13</v>
      </c>
    </row>
    <row r="884" spans="1:6" ht="15" thickBot="1" x14ac:dyDescent="0.35">
      <c r="A884" s="4"/>
    </row>
    <row r="885" spans="1:6" x14ac:dyDescent="0.3">
      <c r="A885" s="19" t="s">
        <v>1281</v>
      </c>
      <c r="B885" s="20"/>
      <c r="C885" s="20"/>
      <c r="D885" s="20"/>
      <c r="E885" s="20"/>
      <c r="F885" s="20"/>
    </row>
    <row r="886" spans="1:6" x14ac:dyDescent="0.3">
      <c r="A886" s="12" t="s">
        <v>583</v>
      </c>
      <c r="B886" s="13">
        <v>45729</v>
      </c>
      <c r="C886" s="4" t="s">
        <v>12</v>
      </c>
      <c r="D886" s="4" t="s">
        <v>4</v>
      </c>
      <c r="E886" s="4" t="s">
        <v>13</v>
      </c>
      <c r="F886" s="4" t="s">
        <v>13</v>
      </c>
    </row>
    <row r="887" spans="1:6" ht="15" thickBot="1" x14ac:dyDescent="0.35">
      <c r="A887" s="4"/>
    </row>
    <row r="888" spans="1:6" x14ac:dyDescent="0.3">
      <c r="A888" s="19" t="s">
        <v>1288</v>
      </c>
      <c r="B888" s="20"/>
      <c r="C888" s="20"/>
      <c r="D888" s="20"/>
      <c r="E888" s="20"/>
      <c r="F888" s="20"/>
    </row>
    <row r="889" spans="1:6" x14ac:dyDescent="0.3">
      <c r="A889" s="12" t="s">
        <v>14</v>
      </c>
      <c r="B889" s="13">
        <v>45729</v>
      </c>
      <c r="C889" s="4" t="s">
        <v>12</v>
      </c>
      <c r="D889" s="4" t="s">
        <v>4</v>
      </c>
      <c r="E889" s="4" t="s">
        <v>13</v>
      </c>
      <c r="F889" s="4" t="s">
        <v>13</v>
      </c>
    </row>
    <row r="890" spans="1:6" ht="15" thickBot="1" x14ac:dyDescent="0.35">
      <c r="A890" s="4"/>
    </row>
    <row r="891" spans="1:6" x14ac:dyDescent="0.3">
      <c r="A891" s="19" t="s">
        <v>1291</v>
      </c>
      <c r="B891" s="20"/>
      <c r="C891" s="20"/>
      <c r="D891" s="20"/>
      <c r="E891" s="20"/>
      <c r="F891" s="20"/>
    </row>
    <row r="892" spans="1:6" x14ac:dyDescent="0.3">
      <c r="A892" s="12" t="s">
        <v>10</v>
      </c>
      <c r="B892" s="13">
        <v>45729</v>
      </c>
      <c r="C892" s="4" t="s">
        <v>12</v>
      </c>
      <c r="D892" s="4" t="s">
        <v>4</v>
      </c>
      <c r="E892" s="4" t="s">
        <v>13</v>
      </c>
      <c r="F892" s="4" t="s">
        <v>13</v>
      </c>
    </row>
    <row r="893" spans="1:6" ht="15" thickBot="1" x14ac:dyDescent="0.35">
      <c r="A893" s="4"/>
    </row>
    <row r="894" spans="1:6" x14ac:dyDescent="0.3">
      <c r="A894" s="19" t="s">
        <v>1294</v>
      </c>
      <c r="B894" s="20"/>
      <c r="C894" s="20"/>
      <c r="D894" s="20"/>
      <c r="E894" s="20"/>
      <c r="F894" s="20"/>
    </row>
    <row r="895" spans="1:6" x14ac:dyDescent="0.3">
      <c r="A895" s="12" t="s">
        <v>14</v>
      </c>
      <c r="B895" s="13">
        <v>45729</v>
      </c>
      <c r="C895" s="4" t="s">
        <v>12</v>
      </c>
      <c r="D895" s="4" t="s">
        <v>4</v>
      </c>
      <c r="E895" s="4" t="s">
        <v>13</v>
      </c>
      <c r="F895" s="4" t="s">
        <v>13</v>
      </c>
    </row>
    <row r="896" spans="1:6" ht="15" thickBot="1" x14ac:dyDescent="0.35">
      <c r="A896" s="4"/>
    </row>
    <row r="897" spans="1:6" x14ac:dyDescent="0.3">
      <c r="A897" s="19" t="s">
        <v>1297</v>
      </c>
      <c r="B897" s="20"/>
      <c r="C897" s="20"/>
      <c r="D897" s="20"/>
      <c r="E897" s="20"/>
      <c r="F897" s="20"/>
    </row>
    <row r="898" spans="1:6" x14ac:dyDescent="0.3">
      <c r="A898" s="12" t="s">
        <v>10</v>
      </c>
      <c r="B898" s="13">
        <v>45729</v>
      </c>
      <c r="C898" s="4" t="s">
        <v>12</v>
      </c>
      <c r="D898" s="4" t="s">
        <v>4</v>
      </c>
      <c r="E898" s="4" t="s">
        <v>13</v>
      </c>
      <c r="F898" s="4" t="s">
        <v>13</v>
      </c>
    </row>
    <row r="899" spans="1:6" ht="15" thickBot="1" x14ac:dyDescent="0.35">
      <c r="A899" s="4"/>
    </row>
    <row r="900" spans="1:6" x14ac:dyDescent="0.3">
      <c r="A900" s="19" t="s">
        <v>1300</v>
      </c>
      <c r="B900" s="20"/>
      <c r="C900" s="20"/>
      <c r="D900" s="20"/>
      <c r="E900" s="20"/>
      <c r="F900" s="20"/>
    </row>
    <row r="901" spans="1:6" x14ac:dyDescent="0.3">
      <c r="A901" s="12" t="s">
        <v>14</v>
      </c>
      <c r="B901" s="13">
        <v>45729</v>
      </c>
      <c r="C901" s="4" t="s">
        <v>12</v>
      </c>
      <c r="D901" s="4" t="s">
        <v>4</v>
      </c>
      <c r="E901" s="4" t="s">
        <v>13</v>
      </c>
      <c r="F901" s="4" t="s">
        <v>13</v>
      </c>
    </row>
    <row r="902" spans="1:6" ht="15" thickBot="1" x14ac:dyDescent="0.35">
      <c r="A902" s="4"/>
    </row>
    <row r="903" spans="1:6" x14ac:dyDescent="0.3">
      <c r="A903" s="19" t="s">
        <v>1303</v>
      </c>
      <c r="B903" s="20"/>
      <c r="C903" s="20"/>
      <c r="D903" s="20"/>
      <c r="E903" s="20"/>
      <c r="F903" s="20"/>
    </row>
    <row r="904" spans="1:6" x14ac:dyDescent="0.3">
      <c r="A904" s="12" t="s">
        <v>14</v>
      </c>
      <c r="B904" s="13">
        <v>45729</v>
      </c>
      <c r="C904" s="4" t="s">
        <v>12</v>
      </c>
      <c r="D904" s="4" t="s">
        <v>4</v>
      </c>
      <c r="E904" s="4" t="s">
        <v>13</v>
      </c>
      <c r="F904" s="4" t="s">
        <v>13</v>
      </c>
    </row>
    <row r="905" spans="1:6" ht="15" thickBot="1" x14ac:dyDescent="0.35">
      <c r="A905" s="4"/>
    </row>
    <row r="906" spans="1:6" x14ac:dyDescent="0.3">
      <c r="A906" s="19" t="s">
        <v>1306</v>
      </c>
      <c r="B906" s="20"/>
      <c r="C906" s="20"/>
      <c r="D906" s="20"/>
      <c r="E906" s="20"/>
      <c r="F906" s="20"/>
    </row>
    <row r="907" spans="1:6" x14ac:dyDescent="0.3">
      <c r="A907" s="12" t="s">
        <v>14</v>
      </c>
      <c r="B907" s="13">
        <v>45729</v>
      </c>
      <c r="C907" s="4" t="s">
        <v>12</v>
      </c>
      <c r="D907" s="4" t="s">
        <v>4</v>
      </c>
      <c r="E907" s="4" t="s">
        <v>13</v>
      </c>
      <c r="F907" s="4" t="s">
        <v>13</v>
      </c>
    </row>
    <row r="908" spans="1:6" ht="15" thickBot="1" x14ac:dyDescent="0.35">
      <c r="A908" s="4"/>
    </row>
    <row r="909" spans="1:6" x14ac:dyDescent="0.3">
      <c r="A909" s="19" t="s">
        <v>1309</v>
      </c>
      <c r="B909" s="20"/>
      <c r="C909" s="20"/>
      <c r="D909" s="20"/>
      <c r="E909" s="20"/>
      <c r="F909" s="20"/>
    </row>
    <row r="910" spans="1:6" x14ac:dyDescent="0.3">
      <c r="A910" s="12" t="s">
        <v>14</v>
      </c>
      <c r="B910" s="13">
        <v>45729</v>
      </c>
      <c r="C910" s="4" t="s">
        <v>12</v>
      </c>
      <c r="D910" s="4" t="s">
        <v>4</v>
      </c>
      <c r="E910" s="4" t="s">
        <v>13</v>
      </c>
      <c r="F910" s="4" t="s">
        <v>13</v>
      </c>
    </row>
    <row r="911" spans="1:6" ht="15" thickBot="1" x14ac:dyDescent="0.35">
      <c r="A911" s="4"/>
    </row>
    <row r="912" spans="1:6" x14ac:dyDescent="0.3">
      <c r="A912" s="19" t="s">
        <v>1313</v>
      </c>
      <c r="B912" s="20"/>
      <c r="C912" s="20"/>
      <c r="D912" s="20"/>
      <c r="E912" s="20"/>
      <c r="F912" s="20"/>
    </row>
    <row r="913" spans="1:6" x14ac:dyDescent="0.3">
      <c r="A913" s="12" t="s">
        <v>11</v>
      </c>
      <c r="B913" s="13">
        <v>45729</v>
      </c>
      <c r="C913" s="4" t="s">
        <v>12</v>
      </c>
      <c r="D913" s="4" t="s">
        <v>4</v>
      </c>
      <c r="E913" s="4" t="s">
        <v>13</v>
      </c>
      <c r="F913" s="4" t="s">
        <v>13</v>
      </c>
    </row>
    <row r="914" spans="1:6" ht="15" thickBot="1" x14ac:dyDescent="0.35">
      <c r="A914" s="4"/>
    </row>
    <row r="915" spans="1:6" x14ac:dyDescent="0.3">
      <c r="A915" s="19" t="s">
        <v>1316</v>
      </c>
      <c r="B915" s="20"/>
      <c r="C915" s="20"/>
      <c r="D915" s="20"/>
      <c r="E915" s="20"/>
      <c r="F915" s="20"/>
    </row>
    <row r="916" spans="1:6" x14ac:dyDescent="0.3">
      <c r="A916" s="12" t="s">
        <v>14</v>
      </c>
      <c r="B916" s="13">
        <v>45729</v>
      </c>
      <c r="C916" s="4" t="s">
        <v>12</v>
      </c>
      <c r="D916" s="4" t="s">
        <v>4</v>
      </c>
      <c r="E916" s="4" t="s">
        <v>13</v>
      </c>
      <c r="F916" s="4" t="s">
        <v>13</v>
      </c>
    </row>
    <row r="917" spans="1:6" ht="15" thickBot="1" x14ac:dyDescent="0.35">
      <c r="A917" s="4"/>
    </row>
    <row r="918" spans="1:6" x14ac:dyDescent="0.3">
      <c r="A918" s="19" t="s">
        <v>1319</v>
      </c>
      <c r="B918" s="20"/>
      <c r="C918" s="20"/>
      <c r="D918" s="20"/>
      <c r="E918" s="20"/>
      <c r="F918" s="20"/>
    </row>
    <row r="919" spans="1:6" x14ac:dyDescent="0.3">
      <c r="A919" s="12" t="s">
        <v>14</v>
      </c>
      <c r="B919" s="13">
        <v>45729</v>
      </c>
      <c r="C919" s="4" t="s">
        <v>12</v>
      </c>
      <c r="D919" s="4" t="s">
        <v>4</v>
      </c>
      <c r="E919" s="4" t="s">
        <v>13</v>
      </c>
      <c r="F919" s="4" t="s">
        <v>13</v>
      </c>
    </row>
    <row r="920" spans="1:6" ht="15" thickBot="1" x14ac:dyDescent="0.35">
      <c r="A920" s="4"/>
    </row>
    <row r="921" spans="1:6" x14ac:dyDescent="0.3">
      <c r="A921" s="19" t="s">
        <v>1323</v>
      </c>
      <c r="B921" s="20"/>
      <c r="C921" s="20"/>
      <c r="D921" s="20"/>
      <c r="E921" s="20"/>
      <c r="F921" s="20"/>
    </row>
    <row r="922" spans="1:6" x14ac:dyDescent="0.3">
      <c r="A922" s="12" t="s">
        <v>11</v>
      </c>
      <c r="B922" s="13">
        <v>45729</v>
      </c>
      <c r="C922" s="4" t="s">
        <v>12</v>
      </c>
      <c r="D922" s="4" t="s">
        <v>4</v>
      </c>
      <c r="E922" s="4" t="s">
        <v>13</v>
      </c>
      <c r="F922" s="4" t="s">
        <v>13</v>
      </c>
    </row>
    <row r="923" spans="1:6" ht="15" thickBot="1" x14ac:dyDescent="0.35">
      <c r="A923" s="4"/>
    </row>
    <row r="924" spans="1:6" x14ac:dyDescent="0.3">
      <c r="A924" s="19" t="s">
        <v>1329</v>
      </c>
      <c r="B924" s="20"/>
      <c r="C924" s="20"/>
      <c r="D924" s="20"/>
      <c r="E924" s="20"/>
      <c r="F924" s="20"/>
    </row>
    <row r="925" spans="1:6" x14ac:dyDescent="0.3">
      <c r="A925" s="12" t="s">
        <v>991</v>
      </c>
      <c r="B925" s="13">
        <v>45729</v>
      </c>
      <c r="C925" s="4" t="s">
        <v>12</v>
      </c>
      <c r="D925" s="4" t="s">
        <v>4</v>
      </c>
      <c r="E925" s="4" t="s">
        <v>13</v>
      </c>
      <c r="F925" s="4" t="s">
        <v>13</v>
      </c>
    </row>
    <row r="926" spans="1:6" ht="15" thickBot="1" x14ac:dyDescent="0.35">
      <c r="A926" s="4"/>
    </row>
    <row r="927" spans="1:6" x14ac:dyDescent="0.3">
      <c r="A927" s="19" t="s">
        <v>1335</v>
      </c>
      <c r="B927" s="20"/>
      <c r="C927" s="20"/>
      <c r="D927" s="20"/>
      <c r="E927" s="20"/>
      <c r="F927" s="20"/>
    </row>
    <row r="928" spans="1:6" x14ac:dyDescent="0.3">
      <c r="A928" s="12" t="s">
        <v>991</v>
      </c>
      <c r="B928" s="13">
        <v>45729</v>
      </c>
      <c r="C928" s="4" t="s">
        <v>12</v>
      </c>
      <c r="D928" s="4" t="s">
        <v>4</v>
      </c>
      <c r="E928" s="4" t="s">
        <v>13</v>
      </c>
      <c r="F928" s="4" t="s">
        <v>13</v>
      </c>
    </row>
    <row r="929" spans="1:6" ht="15" thickBot="1" x14ac:dyDescent="0.35">
      <c r="A929" s="4"/>
    </row>
    <row r="930" spans="1:6" x14ac:dyDescent="0.3">
      <c r="A930" s="19" t="s">
        <v>1341</v>
      </c>
      <c r="B930" s="20"/>
      <c r="C930" s="20"/>
      <c r="D930" s="20"/>
      <c r="E930" s="20"/>
      <c r="F930" s="20"/>
    </row>
    <row r="931" spans="1:6" x14ac:dyDescent="0.3">
      <c r="A931" s="12" t="s">
        <v>991</v>
      </c>
      <c r="B931" s="13">
        <v>45729</v>
      </c>
      <c r="C931" s="4" t="s">
        <v>12</v>
      </c>
      <c r="D931" s="4" t="s">
        <v>4</v>
      </c>
      <c r="E931" s="4" t="s">
        <v>13</v>
      </c>
      <c r="F931" s="4" t="s">
        <v>13</v>
      </c>
    </row>
    <row r="932" spans="1:6" ht="15" thickBot="1" x14ac:dyDescent="0.35">
      <c r="A932" s="4"/>
    </row>
    <row r="933" spans="1:6" x14ac:dyDescent="0.3">
      <c r="A933" s="19" t="s">
        <v>1347</v>
      </c>
      <c r="B933" s="20"/>
      <c r="C933" s="20"/>
      <c r="D933" s="20"/>
      <c r="E933" s="20"/>
      <c r="F933" s="20"/>
    </row>
    <row r="934" spans="1:6" x14ac:dyDescent="0.3">
      <c r="A934" s="12" t="s">
        <v>14</v>
      </c>
      <c r="B934" s="13">
        <v>45730</v>
      </c>
      <c r="C934" s="4" t="s">
        <v>12</v>
      </c>
      <c r="D934" s="4" t="s">
        <v>4</v>
      </c>
      <c r="E934" s="4" t="s">
        <v>13</v>
      </c>
      <c r="F934" s="4" t="s">
        <v>13</v>
      </c>
    </row>
    <row r="935" spans="1:6" ht="15" thickBot="1" x14ac:dyDescent="0.35">
      <c r="A935" s="4"/>
    </row>
    <row r="936" spans="1:6" x14ac:dyDescent="0.3">
      <c r="A936" s="19" t="s">
        <v>1350</v>
      </c>
      <c r="B936" s="20"/>
      <c r="C936" s="20"/>
      <c r="D936" s="20"/>
      <c r="E936" s="20"/>
      <c r="F936" s="20"/>
    </row>
    <row r="937" spans="1:6" x14ac:dyDescent="0.3">
      <c r="A937" s="12" t="s">
        <v>14</v>
      </c>
      <c r="B937" s="13">
        <v>45730</v>
      </c>
      <c r="C937" s="4" t="s">
        <v>12</v>
      </c>
      <c r="D937" s="4" t="s">
        <v>4</v>
      </c>
      <c r="E937" s="4" t="s">
        <v>13</v>
      </c>
      <c r="F937" s="4" t="s">
        <v>13</v>
      </c>
    </row>
    <row r="938" spans="1:6" ht="15" thickBot="1" x14ac:dyDescent="0.35">
      <c r="A938" s="4"/>
    </row>
    <row r="939" spans="1:6" x14ac:dyDescent="0.3">
      <c r="A939" s="19" t="s">
        <v>1359</v>
      </c>
      <c r="B939" s="20"/>
      <c r="C939" s="20"/>
      <c r="D939" s="20"/>
      <c r="E939" s="20"/>
      <c r="F939" s="20"/>
    </row>
    <row r="940" spans="1:6" x14ac:dyDescent="0.3">
      <c r="A940" s="12" t="s">
        <v>11</v>
      </c>
      <c r="B940" s="13">
        <v>45729</v>
      </c>
      <c r="C940" s="4" t="s">
        <v>12</v>
      </c>
      <c r="D940" s="4" t="s">
        <v>4</v>
      </c>
      <c r="E940" s="4" t="s">
        <v>13</v>
      </c>
      <c r="F940" s="4" t="s">
        <v>13</v>
      </c>
    </row>
    <row r="941" spans="1:6" ht="15" thickBot="1" x14ac:dyDescent="0.35">
      <c r="A941" s="4"/>
    </row>
    <row r="942" spans="1:6" x14ac:dyDescent="0.3">
      <c r="A942" s="19" t="s">
        <v>1363</v>
      </c>
      <c r="B942" s="20"/>
      <c r="C942" s="20"/>
      <c r="D942" s="20"/>
      <c r="E942" s="20"/>
      <c r="F942" s="20"/>
    </row>
    <row r="943" spans="1:6" x14ac:dyDescent="0.3">
      <c r="A943" s="12" t="s">
        <v>11</v>
      </c>
      <c r="B943" s="13">
        <v>45729</v>
      </c>
      <c r="C943" s="4" t="s">
        <v>12</v>
      </c>
      <c r="D943" s="4" t="s">
        <v>4</v>
      </c>
      <c r="E943" s="4" t="s">
        <v>13</v>
      </c>
      <c r="F943" s="4" t="s">
        <v>13</v>
      </c>
    </row>
    <row r="944" spans="1:6" ht="15" thickBot="1" x14ac:dyDescent="0.35">
      <c r="A944" s="4"/>
    </row>
    <row r="945" spans="1:6" x14ac:dyDescent="0.3">
      <c r="A945" s="19" t="s">
        <v>1366</v>
      </c>
      <c r="B945" s="20"/>
      <c r="C945" s="20"/>
      <c r="D945" s="20"/>
      <c r="E945" s="20"/>
      <c r="F945" s="20"/>
    </row>
    <row r="946" spans="1:6" x14ac:dyDescent="0.3">
      <c r="A946" s="12" t="s">
        <v>14</v>
      </c>
      <c r="B946" s="13">
        <v>45729</v>
      </c>
      <c r="C946" s="4" t="s">
        <v>12</v>
      </c>
      <c r="D946" s="4" t="s">
        <v>4</v>
      </c>
      <c r="E946" s="4" t="s">
        <v>13</v>
      </c>
      <c r="F946" s="4" t="s">
        <v>13</v>
      </c>
    </row>
    <row r="947" spans="1:6" ht="15" thickBot="1" x14ac:dyDescent="0.35">
      <c r="A947" s="4"/>
    </row>
    <row r="948" spans="1:6" x14ac:dyDescent="0.3">
      <c r="A948" s="19" t="s">
        <v>1369</v>
      </c>
      <c r="B948" s="20"/>
      <c r="C948" s="20"/>
      <c r="D948" s="20"/>
      <c r="E948" s="20"/>
      <c r="F948" s="20"/>
    </row>
    <row r="949" spans="1:6" x14ac:dyDescent="0.3">
      <c r="A949" s="12" t="s">
        <v>14</v>
      </c>
      <c r="B949" s="13">
        <v>45729</v>
      </c>
      <c r="C949" s="4" t="s">
        <v>12</v>
      </c>
      <c r="D949" s="4" t="s">
        <v>4</v>
      </c>
      <c r="E949" s="4" t="s">
        <v>13</v>
      </c>
      <c r="F949" s="4" t="s">
        <v>13</v>
      </c>
    </row>
    <row r="950" spans="1:6" ht="15" thickBot="1" x14ac:dyDescent="0.35">
      <c r="A950" s="4"/>
    </row>
    <row r="951" spans="1:6" x14ac:dyDescent="0.3">
      <c r="A951" s="19" t="s">
        <v>1372</v>
      </c>
      <c r="B951" s="20"/>
      <c r="C951" s="20"/>
      <c r="D951" s="20"/>
      <c r="E951" s="20"/>
      <c r="F951" s="20"/>
    </row>
    <row r="952" spans="1:6" x14ac:dyDescent="0.3">
      <c r="A952" s="12" t="s">
        <v>10</v>
      </c>
      <c r="B952" s="13">
        <v>45729</v>
      </c>
      <c r="C952" s="4" t="s">
        <v>12</v>
      </c>
      <c r="D952" s="4" t="s">
        <v>4</v>
      </c>
      <c r="E952" s="4" t="s">
        <v>13</v>
      </c>
      <c r="F952" s="4" t="s">
        <v>13</v>
      </c>
    </row>
    <row r="953" spans="1:6" ht="15" thickBot="1" x14ac:dyDescent="0.35">
      <c r="A953" s="4"/>
    </row>
    <row r="954" spans="1:6" x14ac:dyDescent="0.3">
      <c r="A954" s="19" t="s">
        <v>1376</v>
      </c>
      <c r="B954" s="20"/>
      <c r="C954" s="20"/>
      <c r="D954" s="20"/>
      <c r="E954" s="20"/>
      <c r="F954" s="20"/>
    </row>
    <row r="955" spans="1:6" x14ac:dyDescent="0.3">
      <c r="A955" s="12" t="s">
        <v>10</v>
      </c>
      <c r="B955" s="13">
        <v>45729</v>
      </c>
      <c r="C955" s="4" t="s">
        <v>12</v>
      </c>
      <c r="D955" s="4" t="s">
        <v>4</v>
      </c>
      <c r="E955" s="4" t="s">
        <v>13</v>
      </c>
      <c r="F955" s="4" t="s">
        <v>13</v>
      </c>
    </row>
    <row r="956" spans="1:6" ht="15" thickBot="1" x14ac:dyDescent="0.35">
      <c r="A956" s="4"/>
    </row>
    <row r="957" spans="1:6" x14ac:dyDescent="0.3">
      <c r="A957" s="19" t="s">
        <v>1379</v>
      </c>
      <c r="B957" s="20"/>
      <c r="C957" s="20"/>
      <c r="D957" s="20"/>
      <c r="E957" s="20"/>
      <c r="F957" s="20"/>
    </row>
    <row r="958" spans="1:6" x14ac:dyDescent="0.3">
      <c r="A958" s="12" t="s">
        <v>10</v>
      </c>
      <c r="B958" s="13">
        <v>45729</v>
      </c>
      <c r="C958" s="4" t="s">
        <v>12</v>
      </c>
      <c r="D958" s="4" t="s">
        <v>4</v>
      </c>
      <c r="E958" s="4" t="s">
        <v>13</v>
      </c>
      <c r="F958" s="4" t="s">
        <v>13</v>
      </c>
    </row>
    <row r="959" spans="1:6" ht="15" thickBot="1" x14ac:dyDescent="0.35">
      <c r="A959" s="4"/>
    </row>
    <row r="960" spans="1:6" x14ac:dyDescent="0.3">
      <c r="A960" s="19" t="s">
        <v>1382</v>
      </c>
      <c r="B960" s="20"/>
      <c r="C960" s="20"/>
      <c r="D960" s="20"/>
      <c r="E960" s="20"/>
      <c r="F960" s="20"/>
    </row>
    <row r="961" spans="1:6" x14ac:dyDescent="0.3">
      <c r="A961" s="12" t="s">
        <v>14</v>
      </c>
      <c r="B961" s="13">
        <v>45729</v>
      </c>
      <c r="C961" s="4" t="s">
        <v>12</v>
      </c>
      <c r="D961" s="4" t="s">
        <v>4</v>
      </c>
      <c r="E961" s="4" t="s">
        <v>13</v>
      </c>
      <c r="F961" s="4" t="s">
        <v>13</v>
      </c>
    </row>
    <row r="962" spans="1:6" ht="15" thickBot="1" x14ac:dyDescent="0.35">
      <c r="A962" s="4"/>
    </row>
    <row r="963" spans="1:6" x14ac:dyDescent="0.3">
      <c r="A963" s="19" t="s">
        <v>1385</v>
      </c>
      <c r="B963" s="20"/>
      <c r="C963" s="20"/>
      <c r="D963" s="20"/>
      <c r="E963" s="20"/>
      <c r="F963" s="20"/>
    </row>
    <row r="964" spans="1:6" x14ac:dyDescent="0.3">
      <c r="A964" s="12" t="s">
        <v>10</v>
      </c>
      <c r="B964" s="13">
        <v>45729</v>
      </c>
      <c r="C964" s="4" t="s">
        <v>12</v>
      </c>
      <c r="D964" s="4" t="s">
        <v>4</v>
      </c>
      <c r="E964" s="4" t="s">
        <v>13</v>
      </c>
      <c r="F964" s="4" t="s">
        <v>13</v>
      </c>
    </row>
    <row r="965" spans="1:6" ht="15" thickBot="1" x14ac:dyDescent="0.35">
      <c r="A965" s="4"/>
    </row>
    <row r="966" spans="1:6" x14ac:dyDescent="0.3">
      <c r="A966" s="19" t="s">
        <v>1391</v>
      </c>
      <c r="B966" s="20"/>
      <c r="C966" s="20"/>
      <c r="D966" s="20"/>
      <c r="E966" s="20"/>
      <c r="F966" s="20"/>
    </row>
    <row r="967" spans="1:6" x14ac:dyDescent="0.3">
      <c r="A967" s="12" t="s">
        <v>14</v>
      </c>
      <c r="B967" s="13">
        <v>45729</v>
      </c>
      <c r="C967" s="4" t="s">
        <v>12</v>
      </c>
      <c r="D967" s="4" t="s">
        <v>4</v>
      </c>
      <c r="E967" s="4" t="s">
        <v>13</v>
      </c>
      <c r="F967" s="4" t="s">
        <v>13</v>
      </c>
    </row>
    <row r="968" spans="1:6" ht="15" thickBot="1" x14ac:dyDescent="0.35">
      <c r="A968" s="4"/>
    </row>
    <row r="969" spans="1:6" x14ac:dyDescent="0.3">
      <c r="A969" s="19" t="s">
        <v>1398</v>
      </c>
      <c r="B969" s="20"/>
      <c r="C969" s="20"/>
      <c r="D969" s="20"/>
      <c r="E969" s="20"/>
      <c r="F969" s="20"/>
    </row>
    <row r="970" spans="1:6" x14ac:dyDescent="0.3">
      <c r="A970" s="12" t="s">
        <v>14</v>
      </c>
      <c r="B970" s="13">
        <v>45729</v>
      </c>
      <c r="C970" s="4" t="s">
        <v>12</v>
      </c>
      <c r="D970" s="4" t="s">
        <v>4</v>
      </c>
      <c r="E970" s="4" t="s">
        <v>13</v>
      </c>
      <c r="F970" s="4" t="s">
        <v>13</v>
      </c>
    </row>
    <row r="971" spans="1:6" ht="15" thickBot="1" x14ac:dyDescent="0.35">
      <c r="A971" s="4"/>
    </row>
    <row r="972" spans="1:6" x14ac:dyDescent="0.3">
      <c r="A972" s="19" t="s">
        <v>1401</v>
      </c>
      <c r="B972" s="20"/>
      <c r="C972" s="20"/>
      <c r="D972" s="20"/>
      <c r="E972" s="20"/>
      <c r="F972" s="20"/>
    </row>
    <row r="973" spans="1:6" x14ac:dyDescent="0.3">
      <c r="A973" s="12" t="s">
        <v>14</v>
      </c>
      <c r="B973" s="13">
        <v>45729</v>
      </c>
      <c r="C973" s="4" t="s">
        <v>12</v>
      </c>
      <c r="D973" s="4" t="s">
        <v>4</v>
      </c>
      <c r="E973" s="4" t="s">
        <v>13</v>
      </c>
      <c r="F973" s="4" t="s">
        <v>13</v>
      </c>
    </row>
    <row r="974" spans="1:6" ht="15" thickBot="1" x14ac:dyDescent="0.35">
      <c r="A974" s="4"/>
    </row>
    <row r="975" spans="1:6" x14ac:dyDescent="0.3">
      <c r="A975" s="19" t="s">
        <v>1404</v>
      </c>
      <c r="B975" s="20"/>
      <c r="C975" s="20"/>
      <c r="D975" s="20"/>
      <c r="E975" s="20"/>
      <c r="F975" s="20"/>
    </row>
    <row r="976" spans="1:6" x14ac:dyDescent="0.3">
      <c r="A976" s="12" t="s">
        <v>14</v>
      </c>
      <c r="B976" s="13">
        <v>45729</v>
      </c>
      <c r="C976" s="4" t="s">
        <v>12</v>
      </c>
      <c r="D976" s="4" t="s">
        <v>4</v>
      </c>
      <c r="E976" s="4" t="s">
        <v>13</v>
      </c>
      <c r="F976" s="4" t="s">
        <v>13</v>
      </c>
    </row>
    <row r="977" spans="1:6" ht="15" thickBot="1" x14ac:dyDescent="0.35">
      <c r="A977" s="4"/>
    </row>
    <row r="978" spans="1:6" x14ac:dyDescent="0.3">
      <c r="A978" s="19" t="s">
        <v>1407</v>
      </c>
      <c r="B978" s="20"/>
      <c r="C978" s="20"/>
      <c r="D978" s="20"/>
      <c r="E978" s="20"/>
      <c r="F978" s="20"/>
    </row>
    <row r="979" spans="1:6" x14ac:dyDescent="0.3">
      <c r="A979" s="12" t="s">
        <v>14</v>
      </c>
      <c r="B979" s="13">
        <v>45729</v>
      </c>
      <c r="C979" s="4" t="s">
        <v>12</v>
      </c>
      <c r="D979" s="4" t="s">
        <v>4</v>
      </c>
      <c r="E979" s="4" t="s">
        <v>13</v>
      </c>
      <c r="F979" s="4" t="s">
        <v>13</v>
      </c>
    </row>
    <row r="980" spans="1:6" ht="15" thickBot="1" x14ac:dyDescent="0.35">
      <c r="A980" s="4"/>
    </row>
    <row r="981" spans="1:6" x14ac:dyDescent="0.3">
      <c r="A981" s="19" t="s">
        <v>1424</v>
      </c>
      <c r="B981" s="20"/>
      <c r="C981" s="20"/>
      <c r="D981" s="20"/>
      <c r="E981" s="20"/>
      <c r="F981" s="20"/>
    </row>
    <row r="982" spans="1:6" x14ac:dyDescent="0.3">
      <c r="A982" s="12" t="s">
        <v>14</v>
      </c>
      <c r="B982" s="13">
        <v>45729</v>
      </c>
      <c r="C982" s="4" t="s">
        <v>12</v>
      </c>
      <c r="D982" s="4" t="s">
        <v>22</v>
      </c>
      <c r="E982" s="13">
        <v>45735</v>
      </c>
      <c r="F982" s="4" t="s">
        <v>1425</v>
      </c>
    </row>
    <row r="983" spans="1:6" ht="15" thickBot="1" x14ac:dyDescent="0.35">
      <c r="B983" s="13">
        <v>45735</v>
      </c>
      <c r="C983" s="4" t="s">
        <v>23</v>
      </c>
      <c r="D983" s="4" t="s">
        <v>4</v>
      </c>
      <c r="E983" s="4" t="s">
        <v>13</v>
      </c>
      <c r="F983" s="4" t="s">
        <v>13</v>
      </c>
    </row>
    <row r="984" spans="1:6" ht="15" thickBot="1" x14ac:dyDescent="0.35">
      <c r="A984" s="4"/>
    </row>
    <row r="985" spans="1:6" x14ac:dyDescent="0.3">
      <c r="A985" s="19" t="s">
        <v>1432</v>
      </c>
      <c r="B985" s="20"/>
      <c r="C985" s="20"/>
      <c r="D985" s="20"/>
      <c r="E985" s="20"/>
      <c r="F985" s="20"/>
    </row>
    <row r="986" spans="1:6" x14ac:dyDescent="0.3">
      <c r="A986" s="12" t="s">
        <v>10</v>
      </c>
      <c r="B986" s="13">
        <v>45729</v>
      </c>
      <c r="C986" s="4" t="s">
        <v>12</v>
      </c>
      <c r="D986" s="4" t="s">
        <v>25</v>
      </c>
      <c r="E986" s="13">
        <v>45735</v>
      </c>
      <c r="F986" s="4" t="s">
        <v>1435</v>
      </c>
    </row>
    <row r="987" spans="1:6" ht="15" thickBot="1" x14ac:dyDescent="0.35">
      <c r="A987" s="4"/>
    </row>
    <row r="988" spans="1:6" x14ac:dyDescent="0.3">
      <c r="A988" s="19" t="s">
        <v>1442</v>
      </c>
      <c r="B988" s="20"/>
      <c r="C988" s="20"/>
      <c r="D988" s="20"/>
      <c r="E988" s="20"/>
      <c r="F988" s="20"/>
    </row>
    <row r="989" spans="1:6" x14ac:dyDescent="0.3">
      <c r="A989" s="12" t="s">
        <v>10</v>
      </c>
      <c r="B989" s="13">
        <v>45729</v>
      </c>
      <c r="C989" s="4" t="s">
        <v>12</v>
      </c>
      <c r="D989" s="4" t="s">
        <v>1443</v>
      </c>
      <c r="E989" s="13">
        <v>45735</v>
      </c>
      <c r="F989" s="4" t="s">
        <v>1444</v>
      </c>
    </row>
    <row r="990" spans="1:6" x14ac:dyDescent="0.3">
      <c r="B990" s="13">
        <v>45735</v>
      </c>
      <c r="C990" s="4" t="s">
        <v>23</v>
      </c>
      <c r="D990" s="4" t="s">
        <v>4</v>
      </c>
      <c r="E990" s="4" t="s">
        <v>13</v>
      </c>
      <c r="F990" s="4" t="s">
        <v>13</v>
      </c>
    </row>
    <row r="991" spans="1:6" ht="15" thickBot="1" x14ac:dyDescent="0.35">
      <c r="A991" s="4"/>
    </row>
    <row r="992" spans="1:6" x14ac:dyDescent="0.3">
      <c r="A992" s="19" t="s">
        <v>1449</v>
      </c>
      <c r="B992" s="20"/>
      <c r="C992" s="20"/>
      <c r="D992" s="20"/>
      <c r="E992" s="20"/>
      <c r="F992" s="20"/>
    </row>
    <row r="993" spans="1:6" x14ac:dyDescent="0.3">
      <c r="A993" s="12" t="s">
        <v>14</v>
      </c>
      <c r="B993" s="13">
        <v>45729</v>
      </c>
      <c r="C993" s="4" t="s">
        <v>12</v>
      </c>
      <c r="D993" s="4" t="s">
        <v>1443</v>
      </c>
      <c r="E993" s="13">
        <v>45735</v>
      </c>
      <c r="F993" s="4" t="s">
        <v>1450</v>
      </c>
    </row>
    <row r="994" spans="1:6" x14ac:dyDescent="0.3">
      <c r="B994" s="13">
        <v>45735</v>
      </c>
      <c r="C994" s="4" t="s">
        <v>23</v>
      </c>
      <c r="D994" s="4" t="s">
        <v>4</v>
      </c>
      <c r="E994" s="4" t="s">
        <v>13</v>
      </c>
      <c r="F994" s="4" t="s">
        <v>13</v>
      </c>
    </row>
    <row r="995" spans="1:6" ht="15" thickBot="1" x14ac:dyDescent="0.35">
      <c r="A995" s="4"/>
    </row>
    <row r="996" spans="1:6" x14ac:dyDescent="0.3">
      <c r="A996" s="19" t="s">
        <v>1453</v>
      </c>
      <c r="B996" s="20"/>
      <c r="C996" s="20"/>
      <c r="D996" s="20"/>
      <c r="E996" s="20"/>
      <c r="F996" s="20"/>
    </row>
    <row r="997" spans="1:6" x14ac:dyDescent="0.3">
      <c r="A997" s="12" t="s">
        <v>14</v>
      </c>
      <c r="B997" s="13">
        <v>45729</v>
      </c>
      <c r="C997" s="4" t="s">
        <v>12</v>
      </c>
      <c r="D997" s="4" t="s">
        <v>1443</v>
      </c>
      <c r="E997" s="13">
        <v>45735</v>
      </c>
      <c r="F997" s="4" t="s">
        <v>1454</v>
      </c>
    </row>
    <row r="998" spans="1:6" ht="15" thickBot="1" x14ac:dyDescent="0.35">
      <c r="B998" s="13">
        <v>45735</v>
      </c>
      <c r="C998" s="4" t="s">
        <v>23</v>
      </c>
      <c r="D998" s="4" t="s">
        <v>4</v>
      </c>
      <c r="E998" s="4" t="s">
        <v>13</v>
      </c>
      <c r="F998" s="4" t="s">
        <v>13</v>
      </c>
    </row>
    <row r="999" spans="1:6" ht="15" thickBot="1" x14ac:dyDescent="0.35">
      <c r="A999" s="4"/>
    </row>
    <row r="1000" spans="1:6" x14ac:dyDescent="0.3">
      <c r="A1000" s="19" t="s">
        <v>1458</v>
      </c>
      <c r="B1000" s="20"/>
      <c r="C1000" s="20"/>
      <c r="D1000" s="20"/>
      <c r="E1000" s="20"/>
      <c r="F1000" s="20"/>
    </row>
    <row r="1001" spans="1:6" x14ac:dyDescent="0.3">
      <c r="A1001" s="12" t="s">
        <v>924</v>
      </c>
      <c r="B1001" s="13">
        <v>45729</v>
      </c>
      <c r="C1001" s="4" t="s">
        <v>12</v>
      </c>
      <c r="D1001" s="4" t="s">
        <v>4</v>
      </c>
      <c r="E1001" s="4" t="s">
        <v>13</v>
      </c>
      <c r="F1001" s="4" t="s">
        <v>13</v>
      </c>
    </row>
    <row r="1002" spans="1:6" ht="15" thickBot="1" x14ac:dyDescent="0.35">
      <c r="A1002" s="4"/>
    </row>
    <row r="1003" spans="1:6" x14ac:dyDescent="0.3">
      <c r="A1003" s="19" t="s">
        <v>1464</v>
      </c>
      <c r="B1003" s="20"/>
      <c r="C1003" s="20"/>
      <c r="D1003" s="20"/>
      <c r="E1003" s="20"/>
      <c r="F1003" s="20"/>
    </row>
    <row r="1004" spans="1:6" x14ac:dyDescent="0.3">
      <c r="A1004" s="12" t="s">
        <v>10</v>
      </c>
      <c r="B1004" s="13">
        <v>45729</v>
      </c>
      <c r="C1004" s="4" t="s">
        <v>12</v>
      </c>
      <c r="D1004" s="4" t="s">
        <v>1443</v>
      </c>
      <c r="E1004" s="13">
        <v>45735</v>
      </c>
      <c r="F1004" s="4" t="s">
        <v>1465</v>
      </c>
    </row>
    <row r="1005" spans="1:6" x14ac:dyDescent="0.3">
      <c r="B1005" s="13">
        <v>45735</v>
      </c>
      <c r="C1005" s="4" t="s">
        <v>23</v>
      </c>
      <c r="D1005" s="4" t="s">
        <v>4</v>
      </c>
      <c r="E1005" s="4" t="s">
        <v>13</v>
      </c>
      <c r="F1005" s="4" t="s">
        <v>13</v>
      </c>
    </row>
    <row r="1006" spans="1:6" ht="15" thickBot="1" x14ac:dyDescent="0.35">
      <c r="A1006" s="4"/>
    </row>
    <row r="1007" spans="1:6" x14ac:dyDescent="0.3">
      <c r="A1007" s="19" t="s">
        <v>1469</v>
      </c>
      <c r="B1007" s="20"/>
      <c r="C1007" s="20"/>
      <c r="D1007" s="20"/>
      <c r="E1007" s="20"/>
      <c r="F1007" s="20"/>
    </row>
    <row r="1008" spans="1:6" x14ac:dyDescent="0.3">
      <c r="A1008" s="12" t="s">
        <v>10</v>
      </c>
      <c r="B1008" s="13">
        <v>45729</v>
      </c>
      <c r="C1008" s="4" t="s">
        <v>12</v>
      </c>
      <c r="D1008" s="4" t="s">
        <v>1443</v>
      </c>
      <c r="E1008" s="13">
        <v>45735</v>
      </c>
      <c r="F1008" s="4" t="s">
        <v>1470</v>
      </c>
    </row>
    <row r="1009" spans="1:6" x14ac:dyDescent="0.3">
      <c r="B1009" s="13">
        <v>45735</v>
      </c>
      <c r="C1009" s="4" t="s">
        <v>23</v>
      </c>
      <c r="D1009" s="4" t="s">
        <v>4</v>
      </c>
      <c r="E1009" s="4" t="s">
        <v>13</v>
      </c>
      <c r="F1009" s="4" t="s">
        <v>13</v>
      </c>
    </row>
    <row r="1010" spans="1:6" ht="15" thickBot="1" x14ac:dyDescent="0.35">
      <c r="A1010" s="4"/>
    </row>
    <row r="1011" spans="1:6" x14ac:dyDescent="0.3">
      <c r="A1011" s="19" t="s">
        <v>1474</v>
      </c>
      <c r="B1011" s="20"/>
      <c r="C1011" s="20"/>
      <c r="D1011" s="20"/>
      <c r="E1011" s="20"/>
      <c r="F1011" s="20"/>
    </row>
    <row r="1012" spans="1:6" x14ac:dyDescent="0.3">
      <c r="A1012" s="12" t="s">
        <v>10</v>
      </c>
      <c r="B1012" s="13">
        <v>45729</v>
      </c>
      <c r="C1012" s="4" t="s">
        <v>12</v>
      </c>
      <c r="D1012" s="4" t="s">
        <v>1443</v>
      </c>
      <c r="E1012" s="13">
        <v>45735</v>
      </c>
      <c r="F1012" s="4" t="s">
        <v>1475</v>
      </c>
    </row>
    <row r="1013" spans="1:6" x14ac:dyDescent="0.3">
      <c r="B1013" s="13">
        <v>45735</v>
      </c>
      <c r="C1013" s="4" t="s">
        <v>23</v>
      </c>
      <c r="D1013" s="4" t="s">
        <v>4</v>
      </c>
      <c r="E1013" s="4" t="s">
        <v>13</v>
      </c>
      <c r="F1013" s="4" t="s">
        <v>13</v>
      </c>
    </row>
    <row r="1014" spans="1:6" ht="15" thickBot="1" x14ac:dyDescent="0.35">
      <c r="A1014" s="4"/>
    </row>
    <row r="1015" spans="1:6" x14ac:dyDescent="0.3">
      <c r="A1015" s="19" t="s">
        <v>1480</v>
      </c>
      <c r="B1015" s="20"/>
      <c r="C1015" s="20"/>
      <c r="D1015" s="20"/>
      <c r="E1015" s="20"/>
      <c r="F1015" s="20"/>
    </row>
    <row r="1016" spans="1:6" x14ac:dyDescent="0.3">
      <c r="A1016" s="12" t="s">
        <v>10</v>
      </c>
      <c r="B1016" s="13">
        <v>45729</v>
      </c>
      <c r="C1016" s="4" t="s">
        <v>12</v>
      </c>
      <c r="D1016" s="4" t="s">
        <v>4</v>
      </c>
      <c r="E1016" s="4" t="s">
        <v>13</v>
      </c>
      <c r="F1016" s="4" t="s">
        <v>13</v>
      </c>
    </row>
    <row r="1017" spans="1:6" ht="15" thickBot="1" x14ac:dyDescent="0.35">
      <c r="A1017" s="4"/>
    </row>
    <row r="1018" spans="1:6" x14ac:dyDescent="0.3">
      <c r="A1018" s="19" t="s">
        <v>1483</v>
      </c>
      <c r="B1018" s="20"/>
      <c r="C1018" s="20"/>
      <c r="D1018" s="20"/>
      <c r="E1018" s="20"/>
      <c r="F1018" s="20"/>
    </row>
    <row r="1019" spans="1:6" x14ac:dyDescent="0.3">
      <c r="A1019" s="12" t="s">
        <v>10</v>
      </c>
      <c r="B1019" s="13">
        <v>45729</v>
      </c>
      <c r="C1019" s="4" t="s">
        <v>12</v>
      </c>
      <c r="D1019" s="4" t="s">
        <v>1443</v>
      </c>
      <c r="E1019" s="13">
        <v>45735</v>
      </c>
      <c r="F1019" s="4" t="s">
        <v>1484</v>
      </c>
    </row>
    <row r="1020" spans="1:6" ht="15" thickBot="1" x14ac:dyDescent="0.35">
      <c r="B1020" s="13">
        <v>45735</v>
      </c>
      <c r="C1020" s="4" t="s">
        <v>23</v>
      </c>
      <c r="D1020" s="4" t="s">
        <v>4</v>
      </c>
      <c r="E1020" s="4" t="s">
        <v>13</v>
      </c>
      <c r="F1020" s="4" t="s">
        <v>13</v>
      </c>
    </row>
    <row r="1021" spans="1:6" ht="15" thickBot="1" x14ac:dyDescent="0.35">
      <c r="A1021" s="4"/>
    </row>
    <row r="1022" spans="1:6" x14ac:dyDescent="0.3">
      <c r="A1022" s="19" t="s">
        <v>1505</v>
      </c>
      <c r="B1022" s="20"/>
      <c r="C1022" s="20"/>
      <c r="D1022" s="20"/>
      <c r="E1022" s="20"/>
      <c r="F1022" s="20"/>
    </row>
    <row r="1023" spans="1:6" x14ac:dyDescent="0.3">
      <c r="A1023" s="12" t="s">
        <v>10</v>
      </c>
      <c r="B1023" s="13">
        <v>45729</v>
      </c>
      <c r="C1023" s="4" t="s">
        <v>12</v>
      </c>
      <c r="D1023" s="4" t="s">
        <v>4</v>
      </c>
      <c r="E1023" s="4" t="s">
        <v>13</v>
      </c>
      <c r="F1023" s="4" t="s">
        <v>13</v>
      </c>
    </row>
    <row r="1024" spans="1:6" ht="15" thickBot="1" x14ac:dyDescent="0.35">
      <c r="A1024" s="4"/>
    </row>
    <row r="1025" spans="1:6" x14ac:dyDescent="0.3">
      <c r="A1025" s="19" t="s">
        <v>1509</v>
      </c>
      <c r="B1025" s="20"/>
      <c r="C1025" s="20"/>
      <c r="D1025" s="20"/>
      <c r="E1025" s="20"/>
      <c r="F1025" s="20"/>
    </row>
    <row r="1026" spans="1:6" x14ac:dyDescent="0.3">
      <c r="A1026" s="12" t="s">
        <v>11</v>
      </c>
      <c r="B1026" s="13">
        <v>45729</v>
      </c>
      <c r="C1026" s="4" t="s">
        <v>12</v>
      </c>
      <c r="D1026" s="4" t="s">
        <v>4</v>
      </c>
      <c r="E1026" s="4" t="s">
        <v>13</v>
      </c>
      <c r="F1026" s="4" t="s">
        <v>13</v>
      </c>
    </row>
    <row r="1027" spans="1:6" ht="15" thickBot="1" x14ac:dyDescent="0.35">
      <c r="A1027" s="4"/>
    </row>
    <row r="1028" spans="1:6" x14ac:dyDescent="0.3">
      <c r="A1028" s="19" t="s">
        <v>1516</v>
      </c>
      <c r="B1028" s="20"/>
      <c r="C1028" s="20"/>
      <c r="D1028" s="20"/>
      <c r="E1028" s="20"/>
      <c r="F1028" s="20"/>
    </row>
    <row r="1029" spans="1:6" x14ac:dyDescent="0.3">
      <c r="A1029" s="12" t="s">
        <v>10</v>
      </c>
      <c r="B1029" s="13">
        <v>45729</v>
      </c>
      <c r="C1029" s="4" t="s">
        <v>12</v>
      </c>
      <c r="D1029" s="4" t="s">
        <v>4</v>
      </c>
      <c r="E1029" s="4" t="s">
        <v>13</v>
      </c>
      <c r="F1029" s="4" t="s">
        <v>13</v>
      </c>
    </row>
    <row r="1030" spans="1:6" ht="15" thickBot="1" x14ac:dyDescent="0.35">
      <c r="A1030" s="4"/>
    </row>
    <row r="1031" spans="1:6" x14ac:dyDescent="0.3">
      <c r="A1031" s="19" t="s">
        <v>1522</v>
      </c>
      <c r="B1031" s="20"/>
      <c r="C1031" s="20"/>
      <c r="D1031" s="20"/>
      <c r="E1031" s="20"/>
      <c r="F1031" s="20"/>
    </row>
    <row r="1032" spans="1:6" x14ac:dyDescent="0.3">
      <c r="A1032" s="12" t="s">
        <v>10</v>
      </c>
      <c r="B1032" s="13">
        <v>45729</v>
      </c>
      <c r="C1032" s="4" t="s">
        <v>12</v>
      </c>
      <c r="D1032" s="4" t="s">
        <v>4</v>
      </c>
      <c r="E1032" s="4" t="s">
        <v>13</v>
      </c>
      <c r="F1032" s="4" t="s">
        <v>13</v>
      </c>
    </row>
    <row r="1033" spans="1:6" ht="15" thickBot="1" x14ac:dyDescent="0.35">
      <c r="A1033" s="4"/>
    </row>
    <row r="1034" spans="1:6" x14ac:dyDescent="0.3">
      <c r="A1034" s="19" t="s">
        <v>1525</v>
      </c>
      <c r="B1034" s="20"/>
      <c r="C1034" s="20"/>
      <c r="D1034" s="20"/>
      <c r="E1034" s="20"/>
      <c r="F1034" s="20"/>
    </row>
    <row r="1035" spans="1:6" x14ac:dyDescent="0.3">
      <c r="A1035" s="12" t="s">
        <v>14</v>
      </c>
      <c r="B1035" s="13">
        <v>45729</v>
      </c>
      <c r="C1035" s="4" t="s">
        <v>12</v>
      </c>
      <c r="D1035" s="4" t="s">
        <v>4</v>
      </c>
      <c r="E1035" s="4" t="s">
        <v>13</v>
      </c>
      <c r="F1035" s="4" t="s">
        <v>13</v>
      </c>
    </row>
    <row r="1036" spans="1:6" ht="15" thickBot="1" x14ac:dyDescent="0.35">
      <c r="A1036" s="4"/>
    </row>
    <row r="1037" spans="1:6" x14ac:dyDescent="0.3">
      <c r="A1037" s="19" t="s">
        <v>1528</v>
      </c>
      <c r="B1037" s="20"/>
      <c r="C1037" s="20"/>
      <c r="D1037" s="20"/>
      <c r="E1037" s="20"/>
      <c r="F1037" s="20"/>
    </row>
    <row r="1038" spans="1:6" x14ac:dyDescent="0.3">
      <c r="A1038" s="12" t="s">
        <v>14</v>
      </c>
      <c r="B1038" s="13">
        <v>45729</v>
      </c>
      <c r="C1038" s="4" t="s">
        <v>12</v>
      </c>
      <c r="D1038" s="4" t="s">
        <v>4</v>
      </c>
      <c r="E1038" s="4" t="s">
        <v>13</v>
      </c>
      <c r="F1038" s="4" t="s">
        <v>13</v>
      </c>
    </row>
    <row r="1039" spans="1:6" ht="15" thickBot="1" x14ac:dyDescent="0.35">
      <c r="A1039" s="4"/>
    </row>
    <row r="1040" spans="1:6" x14ac:dyDescent="0.3">
      <c r="A1040" s="19" t="s">
        <v>1532</v>
      </c>
      <c r="B1040" s="20"/>
      <c r="C1040" s="20"/>
      <c r="D1040" s="20"/>
      <c r="E1040" s="20"/>
      <c r="F1040" s="20"/>
    </row>
    <row r="1041" spans="1:6" x14ac:dyDescent="0.3">
      <c r="A1041" s="12" t="s">
        <v>10</v>
      </c>
      <c r="B1041" s="13">
        <v>45729</v>
      </c>
      <c r="C1041" s="4" t="s">
        <v>12</v>
      </c>
      <c r="D1041" s="4" t="s">
        <v>4</v>
      </c>
      <c r="E1041" s="4" t="s">
        <v>13</v>
      </c>
      <c r="F1041" s="4" t="s">
        <v>13</v>
      </c>
    </row>
    <row r="1042" spans="1:6" ht="15" thickBot="1" x14ac:dyDescent="0.35">
      <c r="A1042" s="4"/>
    </row>
    <row r="1043" spans="1:6" x14ac:dyDescent="0.3">
      <c r="A1043" s="19" t="s">
        <v>1535</v>
      </c>
      <c r="B1043" s="20"/>
      <c r="C1043" s="20"/>
      <c r="D1043" s="20"/>
      <c r="E1043" s="20"/>
      <c r="F1043" s="20"/>
    </row>
    <row r="1044" spans="1:6" x14ac:dyDescent="0.3">
      <c r="A1044" s="12" t="s">
        <v>11</v>
      </c>
      <c r="B1044" s="13">
        <v>45729</v>
      </c>
      <c r="C1044" s="4" t="s">
        <v>12</v>
      </c>
      <c r="D1044" s="4" t="s">
        <v>4</v>
      </c>
      <c r="E1044" s="4" t="s">
        <v>13</v>
      </c>
      <c r="F1044" s="4" t="s">
        <v>13</v>
      </c>
    </row>
    <row r="1045" spans="1:6" ht="15" thickBot="1" x14ac:dyDescent="0.35">
      <c r="A1045" s="4"/>
    </row>
    <row r="1046" spans="1:6" x14ac:dyDescent="0.3">
      <c r="A1046" s="19" t="s">
        <v>1538</v>
      </c>
      <c r="B1046" s="20"/>
      <c r="C1046" s="20"/>
      <c r="D1046" s="20"/>
      <c r="E1046" s="20"/>
      <c r="F1046" s="20"/>
    </row>
    <row r="1047" spans="1:6" x14ac:dyDescent="0.3">
      <c r="A1047" s="12" t="s">
        <v>14</v>
      </c>
      <c r="B1047" s="13">
        <v>45729</v>
      </c>
      <c r="C1047" s="4" t="s">
        <v>12</v>
      </c>
      <c r="D1047" s="4" t="s">
        <v>22</v>
      </c>
      <c r="E1047" s="13">
        <v>45737</v>
      </c>
      <c r="F1047" s="4" t="s">
        <v>1539</v>
      </c>
    </row>
    <row r="1048" spans="1:6" ht="15" thickBot="1" x14ac:dyDescent="0.35">
      <c r="B1048" s="13">
        <v>45737</v>
      </c>
      <c r="C1048" s="4" t="s">
        <v>23</v>
      </c>
      <c r="D1048" s="4" t="s">
        <v>4</v>
      </c>
      <c r="E1048" s="4" t="s">
        <v>13</v>
      </c>
      <c r="F1048" s="4" t="s">
        <v>13</v>
      </c>
    </row>
    <row r="1049" spans="1:6" ht="15" thickBot="1" x14ac:dyDescent="0.35">
      <c r="A1049" s="4"/>
    </row>
    <row r="1050" spans="1:6" x14ac:dyDescent="0.3">
      <c r="A1050" s="19" t="s">
        <v>1542</v>
      </c>
      <c r="B1050" s="20"/>
      <c r="C1050" s="20"/>
      <c r="D1050" s="20"/>
      <c r="E1050" s="20"/>
      <c r="F1050" s="20"/>
    </row>
    <row r="1051" spans="1:6" x14ac:dyDescent="0.3">
      <c r="A1051" s="12" t="s">
        <v>10</v>
      </c>
      <c r="B1051" s="13">
        <v>45729</v>
      </c>
      <c r="C1051" s="4" t="s">
        <v>12</v>
      </c>
      <c r="D1051" s="4" t="s">
        <v>4</v>
      </c>
      <c r="E1051" s="4" t="s">
        <v>13</v>
      </c>
      <c r="F1051" s="4" t="s">
        <v>13</v>
      </c>
    </row>
    <row r="1052" spans="1:6" ht="15" thickBot="1" x14ac:dyDescent="0.35">
      <c r="A1052" s="4"/>
    </row>
    <row r="1053" spans="1:6" x14ac:dyDescent="0.3">
      <c r="A1053" s="19" t="s">
        <v>1548</v>
      </c>
      <c r="B1053" s="20"/>
      <c r="C1053" s="20"/>
      <c r="D1053" s="20"/>
      <c r="E1053" s="20"/>
      <c r="F1053" s="20"/>
    </row>
    <row r="1054" spans="1:6" x14ac:dyDescent="0.3">
      <c r="A1054" s="12" t="s">
        <v>1155</v>
      </c>
      <c r="B1054" s="13">
        <v>45729</v>
      </c>
      <c r="C1054" s="4" t="s">
        <v>12</v>
      </c>
      <c r="D1054" s="4" t="s">
        <v>4</v>
      </c>
      <c r="E1054" s="4" t="s">
        <v>13</v>
      </c>
      <c r="F1054" s="4" t="s">
        <v>13</v>
      </c>
    </row>
    <row r="1055" spans="1:6" ht="15" thickBot="1" x14ac:dyDescent="0.35">
      <c r="A1055" s="4"/>
    </row>
    <row r="1056" spans="1:6" x14ac:dyDescent="0.3">
      <c r="A1056" s="19" t="s">
        <v>1552</v>
      </c>
      <c r="B1056" s="20"/>
      <c r="C1056" s="20"/>
      <c r="D1056" s="20"/>
      <c r="E1056" s="20"/>
      <c r="F1056" s="20"/>
    </row>
    <row r="1057" spans="1:6" x14ac:dyDescent="0.3">
      <c r="A1057" s="12" t="s">
        <v>14</v>
      </c>
      <c r="B1057" s="13">
        <v>45729</v>
      </c>
      <c r="C1057" s="4" t="s">
        <v>12</v>
      </c>
      <c r="D1057" s="4" t="s">
        <v>22</v>
      </c>
      <c r="E1057" s="13">
        <v>45737</v>
      </c>
      <c r="F1057" s="4" t="s">
        <v>1551</v>
      </c>
    </row>
    <row r="1058" spans="1:6" x14ac:dyDescent="0.3">
      <c r="B1058" s="13">
        <v>45737</v>
      </c>
      <c r="C1058" s="4" t="s">
        <v>23</v>
      </c>
      <c r="D1058" s="4" t="s">
        <v>4</v>
      </c>
      <c r="E1058" s="4" t="s">
        <v>13</v>
      </c>
      <c r="F1058" s="4" t="s">
        <v>13</v>
      </c>
    </row>
    <row r="1059" spans="1:6" ht="15" thickBot="1" x14ac:dyDescent="0.35">
      <c r="A1059" s="4"/>
    </row>
    <row r="1060" spans="1:6" x14ac:dyDescent="0.3">
      <c r="A1060" s="19" t="s">
        <v>1560</v>
      </c>
      <c r="B1060" s="20"/>
      <c r="C1060" s="20"/>
      <c r="D1060" s="20"/>
      <c r="E1060" s="20"/>
      <c r="F1060" s="20"/>
    </row>
    <row r="1061" spans="1:6" x14ac:dyDescent="0.3">
      <c r="A1061" s="12" t="s">
        <v>11</v>
      </c>
      <c r="B1061" s="13">
        <v>45729</v>
      </c>
      <c r="C1061" s="4" t="s">
        <v>12</v>
      </c>
      <c r="D1061" s="4" t="s">
        <v>4</v>
      </c>
      <c r="E1061" s="4" t="s">
        <v>13</v>
      </c>
      <c r="F1061" s="4" t="s">
        <v>13</v>
      </c>
    </row>
    <row r="1062" spans="1:6" ht="15" thickBot="1" x14ac:dyDescent="0.35">
      <c r="A1062" s="4"/>
    </row>
    <row r="1063" spans="1:6" x14ac:dyDescent="0.3">
      <c r="A1063" s="19" t="s">
        <v>1584</v>
      </c>
      <c r="B1063" s="20"/>
      <c r="C1063" s="20"/>
      <c r="D1063" s="20"/>
      <c r="E1063" s="20"/>
      <c r="F1063" s="20"/>
    </row>
    <row r="1064" spans="1:6" x14ac:dyDescent="0.3">
      <c r="A1064" s="12" t="s">
        <v>14</v>
      </c>
      <c r="B1064" s="13">
        <v>45729</v>
      </c>
      <c r="C1064" s="4" t="s">
        <v>12</v>
      </c>
      <c r="D1064" s="4" t="s">
        <v>4</v>
      </c>
      <c r="E1064" s="4" t="s">
        <v>13</v>
      </c>
      <c r="F1064" s="4" t="s">
        <v>13</v>
      </c>
    </row>
    <row r="1065" spans="1:6" ht="15" thickBot="1" x14ac:dyDescent="0.35">
      <c r="A1065" s="4"/>
    </row>
    <row r="1066" spans="1:6" x14ac:dyDescent="0.3">
      <c r="A1066" s="19" t="s">
        <v>1587</v>
      </c>
      <c r="B1066" s="20"/>
      <c r="C1066" s="20"/>
      <c r="D1066" s="20"/>
      <c r="E1066" s="20"/>
      <c r="F1066" s="20"/>
    </row>
    <row r="1067" spans="1:6" x14ac:dyDescent="0.3">
      <c r="A1067" s="12" t="s">
        <v>14</v>
      </c>
      <c r="B1067" s="13">
        <v>45729</v>
      </c>
      <c r="C1067" s="4" t="s">
        <v>12</v>
      </c>
      <c r="D1067" s="4" t="s">
        <v>4</v>
      </c>
      <c r="E1067" s="4" t="s">
        <v>13</v>
      </c>
      <c r="F1067" s="4" t="s">
        <v>13</v>
      </c>
    </row>
    <row r="1068" spans="1:6" ht="15" thickBot="1" x14ac:dyDescent="0.35">
      <c r="A1068" s="4"/>
    </row>
    <row r="1069" spans="1:6" x14ac:dyDescent="0.3">
      <c r="A1069" s="19" t="s">
        <v>1590</v>
      </c>
      <c r="B1069" s="20"/>
      <c r="C1069" s="20"/>
      <c r="D1069" s="20"/>
      <c r="E1069" s="20"/>
      <c r="F1069" s="20"/>
    </row>
    <row r="1070" spans="1:6" x14ac:dyDescent="0.3">
      <c r="A1070" s="12" t="s">
        <v>14</v>
      </c>
      <c r="B1070" s="13">
        <v>45729</v>
      </c>
      <c r="C1070" s="4" t="s">
        <v>12</v>
      </c>
      <c r="D1070" s="4" t="s">
        <v>4</v>
      </c>
      <c r="E1070" s="4" t="s">
        <v>13</v>
      </c>
      <c r="F1070" s="4" t="s">
        <v>13</v>
      </c>
    </row>
    <row r="1071" spans="1:6" ht="15" thickBot="1" x14ac:dyDescent="0.35">
      <c r="A1071" s="4"/>
    </row>
    <row r="1072" spans="1:6" x14ac:dyDescent="0.3">
      <c r="A1072" s="19" t="s">
        <v>1593</v>
      </c>
      <c r="B1072" s="20"/>
      <c r="C1072" s="20"/>
      <c r="D1072" s="20"/>
      <c r="E1072" s="20"/>
      <c r="F1072" s="20"/>
    </row>
    <row r="1073" spans="1:6" x14ac:dyDescent="0.3">
      <c r="A1073" s="12" t="s">
        <v>14</v>
      </c>
      <c r="B1073" s="13">
        <v>45729</v>
      </c>
      <c r="C1073" s="4" t="s">
        <v>12</v>
      </c>
      <c r="D1073" s="4" t="s">
        <v>4</v>
      </c>
      <c r="E1073" s="4" t="s">
        <v>13</v>
      </c>
      <c r="F1073" s="4" t="s">
        <v>13</v>
      </c>
    </row>
    <row r="1074" spans="1:6" ht="15" thickBot="1" x14ac:dyDescent="0.35">
      <c r="A1074" s="4"/>
    </row>
    <row r="1075" spans="1:6" x14ac:dyDescent="0.3">
      <c r="A1075" s="19" t="s">
        <v>1596</v>
      </c>
      <c r="B1075" s="20"/>
      <c r="C1075" s="20"/>
      <c r="D1075" s="20"/>
      <c r="E1075" s="20"/>
      <c r="F1075" s="20"/>
    </row>
    <row r="1076" spans="1:6" x14ac:dyDescent="0.3">
      <c r="A1076" s="12" t="s">
        <v>14</v>
      </c>
      <c r="B1076" s="13">
        <v>45729</v>
      </c>
      <c r="C1076" s="4" t="s">
        <v>12</v>
      </c>
      <c r="D1076" s="4" t="s">
        <v>4</v>
      </c>
      <c r="E1076" s="4" t="s">
        <v>13</v>
      </c>
      <c r="F1076" s="4" t="s">
        <v>13</v>
      </c>
    </row>
    <row r="1077" spans="1:6" ht="15" thickBot="1" x14ac:dyDescent="0.35">
      <c r="A1077" s="4"/>
    </row>
    <row r="1078" spans="1:6" x14ac:dyDescent="0.3">
      <c r="A1078" s="19" t="s">
        <v>1599</v>
      </c>
      <c r="B1078" s="20"/>
      <c r="C1078" s="20"/>
      <c r="D1078" s="20"/>
      <c r="E1078" s="20"/>
      <c r="F1078" s="20"/>
    </row>
    <row r="1079" spans="1:6" x14ac:dyDescent="0.3">
      <c r="A1079" s="12" t="s">
        <v>14</v>
      </c>
      <c r="B1079" s="13">
        <v>45729</v>
      </c>
      <c r="C1079" s="4" t="s">
        <v>12</v>
      </c>
      <c r="D1079" s="4" t="s">
        <v>4</v>
      </c>
      <c r="E1079" s="4" t="s">
        <v>13</v>
      </c>
      <c r="F1079" s="4" t="s">
        <v>13</v>
      </c>
    </row>
    <row r="1080" spans="1:6" ht="15" thickBot="1" x14ac:dyDescent="0.35">
      <c r="A1080" s="4"/>
    </row>
    <row r="1081" spans="1:6" x14ac:dyDescent="0.3">
      <c r="A1081" s="19" t="s">
        <v>1602</v>
      </c>
      <c r="B1081" s="20"/>
      <c r="C1081" s="20"/>
      <c r="D1081" s="20"/>
      <c r="E1081" s="20"/>
      <c r="F1081" s="20"/>
    </row>
    <row r="1082" spans="1:6" x14ac:dyDescent="0.3">
      <c r="A1082" s="12" t="s">
        <v>14</v>
      </c>
      <c r="B1082" s="13">
        <v>45729</v>
      </c>
      <c r="C1082" s="4" t="s">
        <v>12</v>
      </c>
      <c r="D1082" s="4" t="s">
        <v>4</v>
      </c>
      <c r="E1082" s="4" t="s">
        <v>13</v>
      </c>
      <c r="F1082" s="4" t="s">
        <v>13</v>
      </c>
    </row>
    <row r="1083" spans="1:6" ht="15" thickBot="1" x14ac:dyDescent="0.35">
      <c r="A1083" s="4"/>
    </row>
    <row r="1084" spans="1:6" x14ac:dyDescent="0.3">
      <c r="A1084" s="19" t="s">
        <v>1605</v>
      </c>
      <c r="B1084" s="20"/>
      <c r="C1084" s="20"/>
      <c r="D1084" s="20"/>
      <c r="E1084" s="20"/>
      <c r="F1084" s="20"/>
    </row>
    <row r="1085" spans="1:6" x14ac:dyDescent="0.3">
      <c r="A1085" s="12" t="s">
        <v>14</v>
      </c>
      <c r="B1085" s="13">
        <v>45729</v>
      </c>
      <c r="C1085" s="4" t="s">
        <v>12</v>
      </c>
      <c r="D1085" s="4" t="s">
        <v>4</v>
      </c>
      <c r="E1085" s="4" t="s">
        <v>13</v>
      </c>
      <c r="F1085" s="4" t="s">
        <v>13</v>
      </c>
    </row>
    <row r="1086" spans="1:6" ht="15" thickBot="1" x14ac:dyDescent="0.35">
      <c r="A1086" s="4"/>
    </row>
    <row r="1087" spans="1:6" x14ac:dyDescent="0.3">
      <c r="A1087" s="19" t="s">
        <v>1608</v>
      </c>
      <c r="B1087" s="20"/>
      <c r="C1087" s="20"/>
      <c r="D1087" s="20"/>
      <c r="E1087" s="20"/>
      <c r="F1087" s="20"/>
    </row>
    <row r="1088" spans="1:6" x14ac:dyDescent="0.3">
      <c r="A1088" s="12" t="s">
        <v>14</v>
      </c>
      <c r="B1088" s="13">
        <v>45729</v>
      </c>
      <c r="C1088" s="4" t="s">
        <v>12</v>
      </c>
      <c r="D1088" s="4" t="s">
        <v>4</v>
      </c>
      <c r="E1088" s="4" t="s">
        <v>13</v>
      </c>
      <c r="F1088" s="4" t="s">
        <v>13</v>
      </c>
    </row>
    <row r="1089" spans="1:6" ht="15" thickBot="1" x14ac:dyDescent="0.35">
      <c r="A1089" s="4"/>
    </row>
    <row r="1090" spans="1:6" x14ac:dyDescent="0.3">
      <c r="A1090" s="19" t="s">
        <v>1611</v>
      </c>
      <c r="B1090" s="20"/>
      <c r="C1090" s="20"/>
      <c r="D1090" s="20"/>
      <c r="E1090" s="20"/>
      <c r="F1090" s="20"/>
    </row>
    <row r="1091" spans="1:6" x14ac:dyDescent="0.3">
      <c r="A1091" s="12" t="s">
        <v>14</v>
      </c>
      <c r="B1091" s="13">
        <v>45729</v>
      </c>
      <c r="C1091" s="4" t="s">
        <v>12</v>
      </c>
      <c r="D1091" s="4" t="s">
        <v>4</v>
      </c>
      <c r="E1091" s="4" t="s">
        <v>13</v>
      </c>
      <c r="F1091" s="4" t="s">
        <v>13</v>
      </c>
    </row>
    <row r="1092" spans="1:6" ht="15" thickBot="1" x14ac:dyDescent="0.35">
      <c r="A1092" s="4"/>
    </row>
    <row r="1093" spans="1:6" x14ac:dyDescent="0.3">
      <c r="A1093" s="19" t="s">
        <v>1614</v>
      </c>
      <c r="B1093" s="20"/>
      <c r="C1093" s="20"/>
      <c r="D1093" s="20"/>
      <c r="E1093" s="20"/>
      <c r="F1093" s="20"/>
    </row>
    <row r="1094" spans="1:6" x14ac:dyDescent="0.3">
      <c r="A1094" s="12" t="s">
        <v>14</v>
      </c>
      <c r="B1094" s="13">
        <v>45729</v>
      </c>
      <c r="C1094" s="4" t="s">
        <v>12</v>
      </c>
      <c r="D1094" s="4" t="s">
        <v>4</v>
      </c>
      <c r="E1094" s="4" t="s">
        <v>13</v>
      </c>
      <c r="F1094" s="4" t="s">
        <v>13</v>
      </c>
    </row>
    <row r="1095" spans="1:6" ht="15" thickBot="1" x14ac:dyDescent="0.35">
      <c r="A1095" s="4"/>
    </row>
    <row r="1096" spans="1:6" x14ac:dyDescent="0.3">
      <c r="A1096" s="19" t="s">
        <v>1617</v>
      </c>
      <c r="B1096" s="20"/>
      <c r="C1096" s="20"/>
      <c r="D1096" s="20"/>
      <c r="E1096" s="20"/>
      <c r="F1096" s="20"/>
    </row>
    <row r="1097" spans="1:6" x14ac:dyDescent="0.3">
      <c r="A1097" s="12" t="s">
        <v>14</v>
      </c>
      <c r="B1097" s="13">
        <v>45729</v>
      </c>
      <c r="C1097" s="4" t="s">
        <v>12</v>
      </c>
      <c r="D1097" s="4" t="s">
        <v>4</v>
      </c>
      <c r="E1097" s="4" t="s">
        <v>13</v>
      </c>
      <c r="F1097" s="4" t="s">
        <v>13</v>
      </c>
    </row>
    <row r="1098" spans="1:6" ht="15" thickBot="1" x14ac:dyDescent="0.35">
      <c r="A1098" s="4"/>
    </row>
    <row r="1099" spans="1:6" x14ac:dyDescent="0.3">
      <c r="A1099" s="19" t="s">
        <v>1620</v>
      </c>
      <c r="B1099" s="20"/>
      <c r="C1099" s="20"/>
      <c r="D1099" s="20"/>
      <c r="E1099" s="20"/>
      <c r="F1099" s="20"/>
    </row>
    <row r="1100" spans="1:6" x14ac:dyDescent="0.3">
      <c r="A1100" s="12" t="s">
        <v>14</v>
      </c>
      <c r="B1100" s="13">
        <v>45729</v>
      </c>
      <c r="C1100" s="4" t="s">
        <v>12</v>
      </c>
      <c r="D1100" s="4" t="s">
        <v>4</v>
      </c>
      <c r="E1100" s="4" t="s">
        <v>13</v>
      </c>
      <c r="F1100" s="4" t="s">
        <v>13</v>
      </c>
    </row>
    <row r="1101" spans="1:6" ht="15" thickBot="1" x14ac:dyDescent="0.35">
      <c r="A1101" s="4"/>
    </row>
    <row r="1102" spans="1:6" x14ac:dyDescent="0.3">
      <c r="A1102" s="19" t="s">
        <v>1623</v>
      </c>
      <c r="B1102" s="20"/>
      <c r="C1102" s="20"/>
      <c r="D1102" s="20"/>
      <c r="E1102" s="20"/>
      <c r="F1102" s="20"/>
    </row>
    <row r="1103" spans="1:6" x14ac:dyDescent="0.3">
      <c r="A1103" s="12" t="s">
        <v>14</v>
      </c>
      <c r="B1103" s="13">
        <v>45729</v>
      </c>
      <c r="C1103" s="4" t="s">
        <v>12</v>
      </c>
      <c r="D1103" s="4" t="s">
        <v>4</v>
      </c>
      <c r="E1103" s="4" t="s">
        <v>13</v>
      </c>
      <c r="F1103" s="4" t="s">
        <v>13</v>
      </c>
    </row>
    <row r="1104" spans="1:6" ht="15" thickBot="1" x14ac:dyDescent="0.35">
      <c r="A1104" s="4"/>
    </row>
    <row r="1105" spans="1:6" x14ac:dyDescent="0.3">
      <c r="A1105" s="19" t="s">
        <v>1626</v>
      </c>
      <c r="B1105" s="20"/>
      <c r="C1105" s="20"/>
      <c r="D1105" s="20"/>
      <c r="E1105" s="20"/>
      <c r="F1105" s="20"/>
    </row>
    <row r="1106" spans="1:6" x14ac:dyDescent="0.3">
      <c r="A1106" s="12" t="s">
        <v>14</v>
      </c>
      <c r="B1106" s="13">
        <v>45729</v>
      </c>
      <c r="C1106" s="4" t="s">
        <v>12</v>
      </c>
      <c r="D1106" s="4" t="s">
        <v>4</v>
      </c>
      <c r="E1106" s="4" t="s">
        <v>13</v>
      </c>
      <c r="F1106" s="4" t="s">
        <v>13</v>
      </c>
    </row>
    <row r="1107" spans="1:6" ht="15" thickBot="1" x14ac:dyDescent="0.35">
      <c r="A1107" s="4"/>
    </row>
    <row r="1108" spans="1:6" x14ac:dyDescent="0.3">
      <c r="A1108" s="19" t="s">
        <v>1629</v>
      </c>
      <c r="B1108" s="20"/>
      <c r="C1108" s="20"/>
      <c r="D1108" s="20"/>
      <c r="E1108" s="20"/>
      <c r="F1108" s="20"/>
    </row>
    <row r="1109" spans="1:6" x14ac:dyDescent="0.3">
      <c r="A1109" s="12" t="s">
        <v>14</v>
      </c>
      <c r="B1109" s="13">
        <v>45729</v>
      </c>
      <c r="C1109" s="4" t="s">
        <v>12</v>
      </c>
      <c r="D1109" s="4" t="s">
        <v>4</v>
      </c>
      <c r="E1109" s="4" t="s">
        <v>13</v>
      </c>
      <c r="F1109" s="4" t="s">
        <v>13</v>
      </c>
    </row>
    <row r="1110" spans="1:6" ht="15" thickBot="1" x14ac:dyDescent="0.35">
      <c r="A1110" s="4"/>
    </row>
    <row r="1111" spans="1:6" x14ac:dyDescent="0.3">
      <c r="A1111" s="19" t="s">
        <v>1633</v>
      </c>
      <c r="B1111" s="20"/>
      <c r="C1111" s="20"/>
      <c r="D1111" s="20"/>
      <c r="E1111" s="20"/>
      <c r="F1111" s="20"/>
    </row>
    <row r="1112" spans="1:6" x14ac:dyDescent="0.3">
      <c r="A1112" s="12" t="s">
        <v>14</v>
      </c>
      <c r="B1112" s="13">
        <v>45729</v>
      </c>
      <c r="C1112" s="4" t="s">
        <v>12</v>
      </c>
      <c r="D1112" s="4" t="s">
        <v>1443</v>
      </c>
      <c r="E1112" s="13">
        <v>45737</v>
      </c>
      <c r="F1112" s="4" t="s">
        <v>1632</v>
      </c>
    </row>
    <row r="1113" spans="1:6" x14ac:dyDescent="0.3">
      <c r="B1113" s="13">
        <v>45737</v>
      </c>
      <c r="C1113" s="4" t="s">
        <v>23</v>
      </c>
      <c r="D1113" s="4" t="s">
        <v>4</v>
      </c>
      <c r="E1113" s="4" t="s">
        <v>13</v>
      </c>
      <c r="F1113" s="4" t="s">
        <v>13</v>
      </c>
    </row>
    <row r="1114" spans="1:6" ht="15" thickBot="1" x14ac:dyDescent="0.35">
      <c r="A1114" s="4"/>
    </row>
    <row r="1115" spans="1:6" x14ac:dyDescent="0.3">
      <c r="A1115" s="19" t="s">
        <v>1636</v>
      </c>
      <c r="B1115" s="20"/>
      <c r="C1115" s="20"/>
      <c r="D1115" s="20"/>
      <c r="E1115" s="20"/>
      <c r="F1115" s="20"/>
    </row>
    <row r="1116" spans="1:6" x14ac:dyDescent="0.3">
      <c r="A1116" s="12" t="s">
        <v>14</v>
      </c>
      <c r="B1116" s="13">
        <v>45729</v>
      </c>
      <c r="C1116" s="4" t="s">
        <v>12</v>
      </c>
      <c r="D1116" s="4" t="s">
        <v>4</v>
      </c>
      <c r="E1116" s="4" t="s">
        <v>13</v>
      </c>
      <c r="F1116" s="4" t="s">
        <v>13</v>
      </c>
    </row>
    <row r="1117" spans="1:6" ht="15" thickBot="1" x14ac:dyDescent="0.35">
      <c r="A1117" s="4"/>
    </row>
    <row r="1118" spans="1:6" x14ac:dyDescent="0.3">
      <c r="A1118" s="19" t="s">
        <v>1639</v>
      </c>
      <c r="B1118" s="20"/>
      <c r="C1118" s="20"/>
      <c r="D1118" s="20"/>
      <c r="E1118" s="20"/>
      <c r="F1118" s="20"/>
    </row>
    <row r="1119" spans="1:6" x14ac:dyDescent="0.3">
      <c r="A1119" s="12" t="s">
        <v>14</v>
      </c>
      <c r="B1119" s="13">
        <v>45729</v>
      </c>
      <c r="C1119" s="4" t="s">
        <v>12</v>
      </c>
      <c r="D1119" s="4" t="s">
        <v>4</v>
      </c>
      <c r="E1119" s="4" t="s">
        <v>13</v>
      </c>
      <c r="F1119" s="4" t="s">
        <v>13</v>
      </c>
    </row>
    <row r="1120" spans="1:6" ht="15" thickBot="1" x14ac:dyDescent="0.35">
      <c r="A1120" s="4"/>
    </row>
    <row r="1121" spans="1:6" x14ac:dyDescent="0.3">
      <c r="A1121" s="19" t="s">
        <v>1642</v>
      </c>
      <c r="B1121" s="20"/>
      <c r="C1121" s="20"/>
      <c r="D1121" s="20"/>
      <c r="E1121" s="20"/>
      <c r="F1121" s="20"/>
    </row>
    <row r="1122" spans="1:6" x14ac:dyDescent="0.3">
      <c r="A1122" s="12" t="s">
        <v>14</v>
      </c>
      <c r="B1122" s="13">
        <v>45729</v>
      </c>
      <c r="C1122" s="4" t="s">
        <v>12</v>
      </c>
      <c r="D1122" s="4" t="s">
        <v>4</v>
      </c>
      <c r="E1122" s="4" t="s">
        <v>13</v>
      </c>
      <c r="F1122" s="4" t="s">
        <v>13</v>
      </c>
    </row>
    <row r="1123" spans="1:6" ht="15" thickBot="1" x14ac:dyDescent="0.35">
      <c r="A1123" s="4"/>
    </row>
    <row r="1124" spans="1:6" x14ac:dyDescent="0.3">
      <c r="A1124" s="19" t="s">
        <v>1654</v>
      </c>
      <c r="B1124" s="20"/>
      <c r="C1124" s="20"/>
      <c r="D1124" s="20"/>
      <c r="E1124" s="20"/>
      <c r="F1124" s="20"/>
    </row>
    <row r="1125" spans="1:6" x14ac:dyDescent="0.3">
      <c r="A1125" s="12" t="s">
        <v>10</v>
      </c>
      <c r="B1125" s="13">
        <v>45729</v>
      </c>
      <c r="C1125" s="4" t="s">
        <v>12</v>
      </c>
      <c r="D1125" s="4" t="s">
        <v>4</v>
      </c>
      <c r="E1125" s="4" t="s">
        <v>13</v>
      </c>
      <c r="F1125" s="4" t="s">
        <v>13</v>
      </c>
    </row>
    <row r="1126" spans="1:6" ht="15" thickBot="1" x14ac:dyDescent="0.35">
      <c r="A1126" s="4"/>
    </row>
    <row r="1127" spans="1:6" x14ac:dyDescent="0.3">
      <c r="A1127" s="19" t="s">
        <v>1659</v>
      </c>
      <c r="B1127" s="20"/>
      <c r="C1127" s="20"/>
      <c r="D1127" s="20"/>
      <c r="E1127" s="20"/>
      <c r="F1127" s="20"/>
    </row>
    <row r="1128" spans="1:6" x14ac:dyDescent="0.3">
      <c r="A1128" s="12" t="s">
        <v>11</v>
      </c>
      <c r="B1128" s="13">
        <v>45729</v>
      </c>
      <c r="C1128" s="4" t="s">
        <v>12</v>
      </c>
      <c r="D1128" s="4" t="s">
        <v>4</v>
      </c>
      <c r="E1128" s="4" t="s">
        <v>13</v>
      </c>
      <c r="F1128" s="4" t="s">
        <v>13</v>
      </c>
    </row>
    <row r="1129" spans="1:6" ht="15" thickBot="1" x14ac:dyDescent="0.35">
      <c r="A1129" s="4"/>
    </row>
    <row r="1130" spans="1:6" x14ac:dyDescent="0.3">
      <c r="A1130" s="19" t="s">
        <v>1662</v>
      </c>
      <c r="B1130" s="20"/>
      <c r="C1130" s="20"/>
      <c r="D1130" s="20"/>
      <c r="E1130" s="20"/>
      <c r="F1130" s="20"/>
    </row>
    <row r="1131" spans="1:6" x14ac:dyDescent="0.3">
      <c r="A1131" s="12" t="s">
        <v>14</v>
      </c>
      <c r="B1131" s="13">
        <v>45729</v>
      </c>
      <c r="C1131" s="4" t="s">
        <v>12</v>
      </c>
      <c r="D1131" s="4" t="s">
        <v>4</v>
      </c>
      <c r="E1131" s="4" t="s">
        <v>13</v>
      </c>
      <c r="F1131" s="4" t="s">
        <v>13</v>
      </c>
    </row>
    <row r="1132" spans="1:6" ht="15" thickBot="1" x14ac:dyDescent="0.35">
      <c r="A1132" s="4"/>
    </row>
    <row r="1133" spans="1:6" x14ac:dyDescent="0.3">
      <c r="A1133" s="19" t="s">
        <v>1665</v>
      </c>
      <c r="B1133" s="20"/>
      <c r="C1133" s="20"/>
      <c r="D1133" s="20"/>
      <c r="E1133" s="20"/>
      <c r="F1133" s="20"/>
    </row>
    <row r="1134" spans="1:6" x14ac:dyDescent="0.3">
      <c r="A1134" s="12" t="s">
        <v>14</v>
      </c>
      <c r="B1134" s="13">
        <v>45729</v>
      </c>
      <c r="C1134" s="4" t="s">
        <v>12</v>
      </c>
      <c r="D1134" s="4" t="s">
        <v>4</v>
      </c>
      <c r="E1134" s="4" t="s">
        <v>13</v>
      </c>
      <c r="F1134" s="4" t="s">
        <v>13</v>
      </c>
    </row>
    <row r="1135" spans="1:6" ht="15" thickBot="1" x14ac:dyDescent="0.35">
      <c r="A1135" s="4"/>
    </row>
    <row r="1136" spans="1:6" x14ac:dyDescent="0.3">
      <c r="A1136" s="19" t="s">
        <v>1668</v>
      </c>
      <c r="B1136" s="20"/>
      <c r="C1136" s="20"/>
      <c r="D1136" s="20"/>
      <c r="E1136" s="20"/>
      <c r="F1136" s="20"/>
    </row>
    <row r="1137" spans="1:6" x14ac:dyDescent="0.3">
      <c r="A1137" s="12" t="s">
        <v>10</v>
      </c>
      <c r="B1137" s="13">
        <v>45729</v>
      </c>
      <c r="C1137" s="4" t="s">
        <v>12</v>
      </c>
      <c r="D1137" s="4" t="s">
        <v>4</v>
      </c>
      <c r="E1137" s="4" t="s">
        <v>13</v>
      </c>
      <c r="F1137" s="4" t="s">
        <v>13</v>
      </c>
    </row>
    <row r="1138" spans="1:6" ht="15" thickBot="1" x14ac:dyDescent="0.35">
      <c r="A1138" s="4"/>
    </row>
    <row r="1139" spans="1:6" x14ac:dyDescent="0.3">
      <c r="A1139" s="19" t="s">
        <v>1673</v>
      </c>
      <c r="B1139" s="20"/>
      <c r="C1139" s="20"/>
      <c r="D1139" s="20"/>
      <c r="E1139" s="20"/>
      <c r="F1139" s="20"/>
    </row>
    <row r="1140" spans="1:6" x14ac:dyDescent="0.3">
      <c r="A1140" s="12" t="s">
        <v>10</v>
      </c>
      <c r="B1140" s="13">
        <v>45729</v>
      </c>
      <c r="C1140" s="4" t="s">
        <v>12</v>
      </c>
      <c r="D1140" s="4" t="s">
        <v>4</v>
      </c>
      <c r="E1140" s="4" t="s">
        <v>13</v>
      </c>
      <c r="F1140" s="4" t="s">
        <v>13</v>
      </c>
    </row>
    <row r="1141" spans="1:6" ht="15" thickBot="1" x14ac:dyDescent="0.35">
      <c r="A1141" s="4"/>
    </row>
    <row r="1142" spans="1:6" x14ac:dyDescent="0.3">
      <c r="A1142" s="19" t="s">
        <v>1676</v>
      </c>
      <c r="B1142" s="20"/>
      <c r="C1142" s="20"/>
      <c r="D1142" s="20"/>
      <c r="E1142" s="20"/>
      <c r="F1142" s="20"/>
    </row>
    <row r="1143" spans="1:6" x14ac:dyDescent="0.3">
      <c r="A1143" s="12" t="s">
        <v>14</v>
      </c>
      <c r="B1143" s="13">
        <v>45729</v>
      </c>
      <c r="C1143" s="4" t="s">
        <v>12</v>
      </c>
      <c r="D1143" s="4" t="s">
        <v>4</v>
      </c>
      <c r="E1143" s="4" t="s">
        <v>13</v>
      </c>
      <c r="F1143" s="4" t="s">
        <v>13</v>
      </c>
    </row>
    <row r="1144" spans="1:6" ht="15" thickBot="1" x14ac:dyDescent="0.35">
      <c r="A1144" s="4"/>
    </row>
    <row r="1145" spans="1:6" x14ac:dyDescent="0.3">
      <c r="A1145" s="19" t="s">
        <v>1679</v>
      </c>
      <c r="B1145" s="20"/>
      <c r="C1145" s="20"/>
      <c r="D1145" s="20"/>
      <c r="E1145" s="20"/>
      <c r="F1145" s="20"/>
    </row>
    <row r="1146" spans="1:6" x14ac:dyDescent="0.3">
      <c r="A1146" s="12" t="s">
        <v>14</v>
      </c>
      <c r="B1146" s="13">
        <v>45729</v>
      </c>
      <c r="C1146" s="4" t="s">
        <v>12</v>
      </c>
      <c r="D1146" s="4" t="s">
        <v>4</v>
      </c>
      <c r="E1146" s="4" t="s">
        <v>13</v>
      </c>
      <c r="F1146" s="4" t="s">
        <v>13</v>
      </c>
    </row>
    <row r="1147" spans="1:6" ht="15" thickBot="1" x14ac:dyDescent="0.35">
      <c r="A1147" s="4"/>
    </row>
    <row r="1148" spans="1:6" x14ac:dyDescent="0.3">
      <c r="A1148" s="19" t="s">
        <v>1682</v>
      </c>
      <c r="B1148" s="20"/>
      <c r="C1148" s="20"/>
      <c r="D1148" s="20"/>
      <c r="E1148" s="20"/>
      <c r="F1148" s="20"/>
    </row>
    <row r="1149" spans="1:6" x14ac:dyDescent="0.3">
      <c r="A1149" s="12" t="s">
        <v>14</v>
      </c>
      <c r="B1149" s="13">
        <v>45729</v>
      </c>
      <c r="C1149" s="4" t="s">
        <v>12</v>
      </c>
      <c r="D1149" s="4" t="s">
        <v>4</v>
      </c>
      <c r="E1149" s="4" t="s">
        <v>13</v>
      </c>
      <c r="F1149" s="4" t="s">
        <v>13</v>
      </c>
    </row>
    <row r="1150" spans="1:6" ht="15" thickBot="1" x14ac:dyDescent="0.35">
      <c r="A1150" s="4"/>
    </row>
    <row r="1151" spans="1:6" x14ac:dyDescent="0.3">
      <c r="A1151" s="19" t="s">
        <v>1686</v>
      </c>
      <c r="B1151" s="20"/>
      <c r="C1151" s="20"/>
      <c r="D1151" s="20"/>
      <c r="E1151" s="20"/>
      <c r="F1151" s="20"/>
    </row>
    <row r="1152" spans="1:6" x14ac:dyDescent="0.3">
      <c r="A1152" s="12" t="s">
        <v>11</v>
      </c>
      <c r="B1152" s="13">
        <v>45729</v>
      </c>
      <c r="C1152" s="4" t="s">
        <v>12</v>
      </c>
      <c r="D1152" s="4" t="s">
        <v>4</v>
      </c>
      <c r="E1152" s="4" t="s">
        <v>13</v>
      </c>
      <c r="F1152" s="4" t="s">
        <v>13</v>
      </c>
    </row>
    <row r="1153" spans="1:6" ht="15" thickBot="1" x14ac:dyDescent="0.35">
      <c r="A1153" s="4"/>
    </row>
    <row r="1154" spans="1:6" x14ac:dyDescent="0.3">
      <c r="A1154" s="19" t="s">
        <v>1691</v>
      </c>
      <c r="B1154" s="20"/>
      <c r="C1154" s="20"/>
      <c r="D1154" s="20"/>
      <c r="E1154" s="20"/>
      <c r="F1154" s="20"/>
    </row>
    <row r="1155" spans="1:6" x14ac:dyDescent="0.3">
      <c r="A1155" s="12" t="s">
        <v>14</v>
      </c>
      <c r="B1155" s="13">
        <v>45729</v>
      </c>
      <c r="C1155" s="4" t="s">
        <v>12</v>
      </c>
      <c r="D1155" s="4" t="s">
        <v>4</v>
      </c>
      <c r="E1155" s="4" t="s">
        <v>13</v>
      </c>
      <c r="F1155" s="4" t="s">
        <v>13</v>
      </c>
    </row>
    <row r="1156" spans="1:6" ht="15" thickBot="1" x14ac:dyDescent="0.35">
      <c r="A1156" s="4"/>
    </row>
    <row r="1157" spans="1:6" x14ac:dyDescent="0.3">
      <c r="A1157" s="19" t="s">
        <v>1694</v>
      </c>
      <c r="B1157" s="20"/>
      <c r="C1157" s="20"/>
      <c r="D1157" s="20"/>
      <c r="E1157" s="20"/>
      <c r="F1157" s="20"/>
    </row>
    <row r="1158" spans="1:6" x14ac:dyDescent="0.3">
      <c r="A1158" s="12" t="s">
        <v>11</v>
      </c>
      <c r="B1158" s="13">
        <v>45729</v>
      </c>
      <c r="C1158" s="4" t="s">
        <v>12</v>
      </c>
      <c r="D1158" s="4" t="s">
        <v>4</v>
      </c>
      <c r="E1158" s="4" t="s">
        <v>13</v>
      </c>
      <c r="F1158" s="4" t="s">
        <v>13</v>
      </c>
    </row>
    <row r="1159" spans="1:6" ht="15" thickBot="1" x14ac:dyDescent="0.35">
      <c r="A1159" s="4"/>
    </row>
    <row r="1160" spans="1:6" x14ac:dyDescent="0.3">
      <c r="A1160" s="19" t="s">
        <v>1699</v>
      </c>
      <c r="B1160" s="20"/>
      <c r="C1160" s="20"/>
      <c r="D1160" s="20"/>
      <c r="E1160" s="20"/>
      <c r="F1160" s="20"/>
    </row>
    <row r="1161" spans="1:6" x14ac:dyDescent="0.3">
      <c r="A1161" s="12" t="s">
        <v>11</v>
      </c>
      <c r="B1161" s="13">
        <v>45729</v>
      </c>
      <c r="C1161" s="4" t="s">
        <v>12</v>
      </c>
      <c r="D1161" s="4" t="s">
        <v>4</v>
      </c>
      <c r="E1161" s="4" t="s">
        <v>13</v>
      </c>
      <c r="F1161" s="4" t="s">
        <v>13</v>
      </c>
    </row>
    <row r="1162" spans="1:6" ht="15" thickBot="1" x14ac:dyDescent="0.35">
      <c r="A1162" s="4"/>
    </row>
    <row r="1163" spans="1:6" x14ac:dyDescent="0.3">
      <c r="A1163" s="19" t="s">
        <v>1704</v>
      </c>
      <c r="B1163" s="20"/>
      <c r="C1163" s="20"/>
      <c r="D1163" s="20"/>
      <c r="E1163" s="20"/>
      <c r="F1163" s="20"/>
    </row>
    <row r="1164" spans="1:6" x14ac:dyDescent="0.3">
      <c r="A1164" s="12" t="s">
        <v>11</v>
      </c>
      <c r="B1164" s="13">
        <v>45729</v>
      </c>
      <c r="C1164" s="4" t="s">
        <v>12</v>
      </c>
      <c r="D1164" s="4" t="s">
        <v>4</v>
      </c>
      <c r="E1164" s="4" t="s">
        <v>13</v>
      </c>
      <c r="F1164" s="4" t="s">
        <v>13</v>
      </c>
    </row>
    <row r="1165" spans="1:6" ht="15" thickBot="1" x14ac:dyDescent="0.35">
      <c r="A1165" s="4"/>
    </row>
    <row r="1166" spans="1:6" x14ac:dyDescent="0.3">
      <c r="A1166" s="19" t="s">
        <v>1709</v>
      </c>
      <c r="B1166" s="20"/>
      <c r="C1166" s="20"/>
      <c r="D1166" s="20"/>
      <c r="E1166" s="20"/>
      <c r="F1166" s="20"/>
    </row>
    <row r="1167" spans="1:6" x14ac:dyDescent="0.3">
      <c r="A1167" s="12" t="s">
        <v>11</v>
      </c>
      <c r="B1167" s="13">
        <v>45729</v>
      </c>
      <c r="C1167" s="4" t="s">
        <v>12</v>
      </c>
      <c r="D1167" s="4" t="s">
        <v>4</v>
      </c>
      <c r="E1167" s="4" t="s">
        <v>13</v>
      </c>
      <c r="F1167" s="4" t="s">
        <v>13</v>
      </c>
    </row>
    <row r="1168" spans="1:6" ht="15" thickBot="1" x14ac:dyDescent="0.35">
      <c r="A1168" s="4"/>
    </row>
    <row r="1169" spans="1:6" x14ac:dyDescent="0.3">
      <c r="A1169" s="19" t="s">
        <v>1714</v>
      </c>
      <c r="B1169" s="20"/>
      <c r="C1169" s="20"/>
      <c r="D1169" s="20"/>
      <c r="E1169" s="20"/>
      <c r="F1169" s="20"/>
    </row>
    <row r="1170" spans="1:6" x14ac:dyDescent="0.3">
      <c r="A1170" s="12" t="s">
        <v>11</v>
      </c>
      <c r="B1170" s="13">
        <v>45729</v>
      </c>
      <c r="C1170" s="4" t="s">
        <v>12</v>
      </c>
      <c r="D1170" s="4" t="s">
        <v>4</v>
      </c>
      <c r="E1170" s="4" t="s">
        <v>13</v>
      </c>
      <c r="F1170" s="4" t="s">
        <v>13</v>
      </c>
    </row>
    <row r="1171" spans="1:6" ht="15" thickBot="1" x14ac:dyDescent="0.35">
      <c r="A1171" s="4"/>
    </row>
    <row r="1172" spans="1:6" x14ac:dyDescent="0.3">
      <c r="A1172" s="19" t="s">
        <v>1719</v>
      </c>
      <c r="B1172" s="20"/>
      <c r="C1172" s="20"/>
      <c r="D1172" s="20"/>
      <c r="E1172" s="20"/>
      <c r="F1172" s="20"/>
    </row>
    <row r="1173" spans="1:6" x14ac:dyDescent="0.3">
      <c r="A1173" s="12" t="s">
        <v>11</v>
      </c>
      <c r="B1173" s="13">
        <v>45729</v>
      </c>
      <c r="C1173" s="4" t="s">
        <v>12</v>
      </c>
      <c r="D1173" s="4" t="s">
        <v>4</v>
      </c>
      <c r="E1173" s="4" t="s">
        <v>13</v>
      </c>
      <c r="F1173" s="4" t="s">
        <v>13</v>
      </c>
    </row>
    <row r="1174" spans="1:6" ht="15" thickBot="1" x14ac:dyDescent="0.35">
      <c r="A1174" s="4"/>
    </row>
    <row r="1175" spans="1:6" x14ac:dyDescent="0.3">
      <c r="A1175" s="19" t="s">
        <v>1725</v>
      </c>
      <c r="B1175" s="20"/>
      <c r="C1175" s="20"/>
      <c r="D1175" s="20"/>
      <c r="E1175" s="20"/>
      <c r="F1175" s="20"/>
    </row>
    <row r="1176" spans="1:6" x14ac:dyDescent="0.3">
      <c r="A1176" s="12" t="s">
        <v>10</v>
      </c>
      <c r="B1176" s="13">
        <v>45729</v>
      </c>
      <c r="C1176" s="4" t="s">
        <v>12</v>
      </c>
      <c r="D1176" s="4" t="s">
        <v>4</v>
      </c>
      <c r="E1176" s="4" t="s">
        <v>13</v>
      </c>
      <c r="F1176" s="4" t="s">
        <v>13</v>
      </c>
    </row>
    <row r="1177" spans="1:6" ht="15" thickBot="1" x14ac:dyDescent="0.35">
      <c r="A1177" s="4"/>
    </row>
    <row r="1178" spans="1:6" x14ac:dyDescent="0.3">
      <c r="A1178" s="19" t="s">
        <v>1731</v>
      </c>
      <c r="B1178" s="20"/>
      <c r="C1178" s="20"/>
      <c r="D1178" s="20"/>
      <c r="E1178" s="20"/>
      <c r="F1178" s="20"/>
    </row>
    <row r="1179" spans="1:6" x14ac:dyDescent="0.3">
      <c r="A1179" s="12" t="s">
        <v>1155</v>
      </c>
      <c r="B1179" s="13">
        <v>45729</v>
      </c>
      <c r="C1179" s="4" t="s">
        <v>12</v>
      </c>
      <c r="D1179" s="4" t="s">
        <v>4</v>
      </c>
      <c r="E1179" s="4" t="s">
        <v>13</v>
      </c>
      <c r="F1179" s="4" t="s">
        <v>13</v>
      </c>
    </row>
    <row r="1180" spans="1:6" ht="15" thickBot="1" x14ac:dyDescent="0.35">
      <c r="A1180" s="4"/>
    </row>
    <row r="1181" spans="1:6" x14ac:dyDescent="0.3">
      <c r="A1181" s="19" t="s">
        <v>1736</v>
      </c>
      <c r="B1181" s="20"/>
      <c r="C1181" s="20"/>
      <c r="D1181" s="20"/>
      <c r="E1181" s="20"/>
      <c r="F1181" s="20"/>
    </row>
    <row r="1182" spans="1:6" x14ac:dyDescent="0.3">
      <c r="A1182" s="12" t="s">
        <v>1155</v>
      </c>
      <c r="B1182" s="13">
        <v>45729</v>
      </c>
      <c r="C1182" s="4" t="s">
        <v>12</v>
      </c>
      <c r="D1182" s="4" t="s">
        <v>4</v>
      </c>
      <c r="E1182" s="4" t="s">
        <v>13</v>
      </c>
      <c r="F1182" s="4" t="s">
        <v>13</v>
      </c>
    </row>
    <row r="1183" spans="1:6" ht="15" thickBot="1" x14ac:dyDescent="0.35">
      <c r="A1183" s="4"/>
    </row>
    <row r="1184" spans="1:6" x14ac:dyDescent="0.3">
      <c r="A1184" s="19" t="s">
        <v>1742</v>
      </c>
      <c r="B1184" s="20"/>
      <c r="C1184" s="20"/>
      <c r="D1184" s="20"/>
      <c r="E1184" s="20"/>
      <c r="F1184" s="20"/>
    </row>
    <row r="1185" spans="1:6" x14ac:dyDescent="0.3">
      <c r="A1185" s="12" t="s">
        <v>583</v>
      </c>
      <c r="B1185" s="13">
        <v>45729</v>
      </c>
      <c r="C1185" s="4" t="s">
        <v>12</v>
      </c>
      <c r="D1185" s="4" t="s">
        <v>4</v>
      </c>
      <c r="E1185" s="4" t="s">
        <v>13</v>
      </c>
      <c r="F1185" s="4" t="s">
        <v>13</v>
      </c>
    </row>
    <row r="1186" spans="1:6" ht="15" thickBot="1" x14ac:dyDescent="0.35">
      <c r="A1186" s="4"/>
    </row>
    <row r="1187" spans="1:6" x14ac:dyDescent="0.3">
      <c r="A1187" s="19" t="s">
        <v>1747</v>
      </c>
      <c r="B1187" s="20"/>
      <c r="C1187" s="20"/>
      <c r="D1187" s="20"/>
      <c r="E1187" s="20"/>
      <c r="F1187" s="20"/>
    </row>
    <row r="1188" spans="1:6" x14ac:dyDescent="0.3">
      <c r="A1188" s="12" t="s">
        <v>11</v>
      </c>
      <c r="B1188" s="13">
        <v>45729</v>
      </c>
      <c r="C1188" s="4" t="s">
        <v>12</v>
      </c>
      <c r="D1188" s="4" t="s">
        <v>4</v>
      </c>
      <c r="E1188" s="4" t="s">
        <v>13</v>
      </c>
      <c r="F1188" s="4" t="s">
        <v>13</v>
      </c>
    </row>
    <row r="1189" spans="1:6" ht="15" thickBot="1" x14ac:dyDescent="0.35">
      <c r="A1189" s="4"/>
    </row>
    <row r="1190" spans="1:6" x14ac:dyDescent="0.3">
      <c r="A1190" s="19" t="s">
        <v>1752</v>
      </c>
      <c r="B1190" s="20"/>
      <c r="C1190" s="20"/>
      <c r="D1190" s="20"/>
      <c r="E1190" s="20"/>
      <c r="F1190" s="20"/>
    </row>
    <row r="1191" spans="1:6" x14ac:dyDescent="0.3">
      <c r="A1191" s="12" t="s">
        <v>11</v>
      </c>
      <c r="B1191" s="13">
        <v>45729</v>
      </c>
      <c r="C1191" s="4" t="s">
        <v>12</v>
      </c>
      <c r="D1191" s="4" t="s">
        <v>4</v>
      </c>
      <c r="E1191" s="4" t="s">
        <v>13</v>
      </c>
      <c r="F1191" s="4" t="s">
        <v>13</v>
      </c>
    </row>
    <row r="1192" spans="1:6" ht="15" thickBot="1" x14ac:dyDescent="0.35">
      <c r="A1192" s="4"/>
    </row>
    <row r="1193" spans="1:6" x14ac:dyDescent="0.3">
      <c r="A1193" s="19" t="s">
        <v>1757</v>
      </c>
      <c r="B1193" s="20"/>
      <c r="C1193" s="20"/>
      <c r="D1193" s="20"/>
      <c r="E1193" s="20"/>
      <c r="F1193" s="20"/>
    </row>
    <row r="1194" spans="1:6" x14ac:dyDescent="0.3">
      <c r="A1194" s="12" t="s">
        <v>14</v>
      </c>
      <c r="B1194" s="13">
        <v>45729</v>
      </c>
      <c r="C1194" s="4" t="s">
        <v>12</v>
      </c>
      <c r="D1194" s="4" t="s">
        <v>4</v>
      </c>
      <c r="E1194" s="4" t="s">
        <v>13</v>
      </c>
      <c r="F1194" s="4" t="s">
        <v>13</v>
      </c>
    </row>
    <row r="1195" spans="1:6" ht="15" thickBot="1" x14ac:dyDescent="0.35">
      <c r="A1195" s="4"/>
    </row>
    <row r="1196" spans="1:6" x14ac:dyDescent="0.3">
      <c r="A1196" s="19" t="s">
        <v>1760</v>
      </c>
      <c r="B1196" s="20"/>
      <c r="C1196" s="20"/>
      <c r="D1196" s="20"/>
      <c r="E1196" s="20"/>
      <c r="F1196" s="20"/>
    </row>
    <row r="1197" spans="1:6" x14ac:dyDescent="0.3">
      <c r="A1197" s="12" t="s">
        <v>10</v>
      </c>
      <c r="B1197" s="13">
        <v>45729</v>
      </c>
      <c r="C1197" s="4" t="s">
        <v>12</v>
      </c>
      <c r="D1197" s="4" t="s">
        <v>4</v>
      </c>
      <c r="E1197" s="4" t="s">
        <v>13</v>
      </c>
      <c r="F1197" s="4" t="s">
        <v>13</v>
      </c>
    </row>
    <row r="1198" spans="1:6" ht="15" thickBot="1" x14ac:dyDescent="0.35">
      <c r="A1198" s="4"/>
    </row>
    <row r="1199" spans="1:6" x14ac:dyDescent="0.3">
      <c r="A1199" s="19" t="s">
        <v>1765</v>
      </c>
      <c r="B1199" s="20"/>
      <c r="C1199" s="20"/>
      <c r="D1199" s="20"/>
      <c r="E1199" s="20"/>
      <c r="F1199" s="20"/>
    </row>
    <row r="1200" spans="1:6" x14ac:dyDescent="0.3">
      <c r="A1200" s="12" t="s">
        <v>10</v>
      </c>
      <c r="B1200" s="13">
        <v>45729</v>
      </c>
      <c r="C1200" s="4" t="s">
        <v>12</v>
      </c>
      <c r="D1200" s="4" t="s">
        <v>4</v>
      </c>
      <c r="E1200" s="4" t="s">
        <v>13</v>
      </c>
      <c r="F1200" s="4" t="s">
        <v>13</v>
      </c>
    </row>
    <row r="1201" spans="1:6" ht="15" thickBot="1" x14ac:dyDescent="0.35">
      <c r="A1201" s="4"/>
    </row>
    <row r="1202" spans="1:6" x14ac:dyDescent="0.3">
      <c r="A1202" s="19" t="s">
        <v>1770</v>
      </c>
      <c r="B1202" s="20"/>
      <c r="C1202" s="20"/>
      <c r="D1202" s="20"/>
      <c r="E1202" s="20"/>
      <c r="F1202" s="20"/>
    </row>
    <row r="1203" spans="1:6" x14ac:dyDescent="0.3">
      <c r="A1203" s="12" t="s">
        <v>10</v>
      </c>
      <c r="B1203" s="13">
        <v>45729</v>
      </c>
      <c r="C1203" s="4" t="s">
        <v>12</v>
      </c>
      <c r="D1203" s="4" t="s">
        <v>4</v>
      </c>
      <c r="E1203" s="4" t="s">
        <v>13</v>
      </c>
      <c r="F1203" s="4" t="s">
        <v>13</v>
      </c>
    </row>
    <row r="1204" spans="1:6" ht="15" thickBot="1" x14ac:dyDescent="0.35">
      <c r="A1204" s="4"/>
    </row>
    <row r="1205" spans="1:6" x14ac:dyDescent="0.3">
      <c r="A1205" s="19" t="s">
        <v>1776</v>
      </c>
      <c r="B1205" s="20"/>
      <c r="C1205" s="20"/>
      <c r="D1205" s="20"/>
      <c r="E1205" s="20"/>
      <c r="F1205" s="20"/>
    </row>
    <row r="1206" spans="1:6" x14ac:dyDescent="0.3">
      <c r="A1206" s="12" t="s">
        <v>11</v>
      </c>
      <c r="B1206" s="13">
        <v>45729</v>
      </c>
      <c r="C1206" s="4" t="s">
        <v>12</v>
      </c>
      <c r="D1206" s="4" t="s">
        <v>4</v>
      </c>
      <c r="E1206" s="4" t="s">
        <v>13</v>
      </c>
      <c r="F1206" s="4" t="s">
        <v>13</v>
      </c>
    </row>
    <row r="1207" spans="1:6" ht="15" thickBot="1" x14ac:dyDescent="0.35">
      <c r="A1207" s="4"/>
    </row>
    <row r="1208" spans="1:6" x14ac:dyDescent="0.3">
      <c r="A1208" s="19" t="s">
        <v>1781</v>
      </c>
      <c r="B1208" s="20"/>
      <c r="C1208" s="20"/>
      <c r="D1208" s="20"/>
      <c r="E1208" s="20"/>
      <c r="F1208" s="20"/>
    </row>
    <row r="1209" spans="1:6" x14ac:dyDescent="0.3">
      <c r="A1209" s="12" t="s">
        <v>11</v>
      </c>
      <c r="B1209" s="13">
        <v>45729</v>
      </c>
      <c r="C1209" s="4" t="s">
        <v>12</v>
      </c>
      <c r="D1209" s="4" t="s">
        <v>4</v>
      </c>
      <c r="E1209" s="4" t="s">
        <v>13</v>
      </c>
      <c r="F1209" s="4" t="s">
        <v>13</v>
      </c>
    </row>
    <row r="1210" spans="1:6" ht="15" thickBot="1" x14ac:dyDescent="0.35">
      <c r="A1210" s="4"/>
    </row>
    <row r="1211" spans="1:6" x14ac:dyDescent="0.3">
      <c r="A1211" s="19" t="s">
        <v>1787</v>
      </c>
      <c r="B1211" s="20"/>
      <c r="C1211" s="20"/>
      <c r="D1211" s="20"/>
      <c r="E1211" s="20"/>
      <c r="F1211" s="20"/>
    </row>
    <row r="1212" spans="1:6" x14ac:dyDescent="0.3">
      <c r="A1212" s="12" t="s">
        <v>11</v>
      </c>
      <c r="B1212" s="13">
        <v>45729</v>
      </c>
      <c r="C1212" s="4" t="s">
        <v>12</v>
      </c>
      <c r="D1212" s="4" t="s">
        <v>4</v>
      </c>
      <c r="E1212" s="4" t="s">
        <v>13</v>
      </c>
      <c r="F1212" s="4" t="s">
        <v>13</v>
      </c>
    </row>
    <row r="1213" spans="1:6" ht="15" thickBot="1" x14ac:dyDescent="0.35">
      <c r="A1213" s="4"/>
    </row>
    <row r="1214" spans="1:6" x14ac:dyDescent="0.3">
      <c r="A1214" s="19" t="s">
        <v>1792</v>
      </c>
      <c r="B1214" s="20"/>
      <c r="C1214" s="20"/>
      <c r="D1214" s="20"/>
      <c r="E1214" s="20"/>
      <c r="F1214" s="20"/>
    </row>
    <row r="1215" spans="1:6" x14ac:dyDescent="0.3">
      <c r="A1215" s="12" t="s">
        <v>11</v>
      </c>
      <c r="B1215" s="13">
        <v>45729</v>
      </c>
      <c r="C1215" s="4" t="s">
        <v>12</v>
      </c>
      <c r="D1215" s="4" t="s">
        <v>4</v>
      </c>
      <c r="E1215" s="4" t="s">
        <v>13</v>
      </c>
      <c r="F1215" s="4" t="s">
        <v>13</v>
      </c>
    </row>
    <row r="1216" spans="1:6" ht="15" thickBot="1" x14ac:dyDescent="0.35">
      <c r="A1216" s="4"/>
    </row>
    <row r="1217" spans="1:6" x14ac:dyDescent="0.3">
      <c r="A1217" s="19" t="s">
        <v>1800</v>
      </c>
      <c r="B1217" s="20"/>
      <c r="C1217" s="20"/>
      <c r="D1217" s="20"/>
      <c r="E1217" s="20"/>
      <c r="F1217" s="20"/>
    </row>
    <row r="1218" spans="1:6" x14ac:dyDescent="0.3">
      <c r="A1218" s="12" t="s">
        <v>11</v>
      </c>
      <c r="B1218" s="13">
        <v>45729</v>
      </c>
      <c r="C1218" s="4" t="s">
        <v>12</v>
      </c>
      <c r="D1218" s="4" t="s">
        <v>4</v>
      </c>
      <c r="E1218" s="4" t="s">
        <v>13</v>
      </c>
      <c r="F1218" s="4" t="s">
        <v>13</v>
      </c>
    </row>
    <row r="1219" spans="1:6" ht="15" thickBot="1" x14ac:dyDescent="0.35">
      <c r="A1219" s="4"/>
    </row>
    <row r="1220" spans="1:6" x14ac:dyDescent="0.3">
      <c r="A1220" s="19" t="s">
        <v>1803</v>
      </c>
      <c r="B1220" s="20"/>
      <c r="C1220" s="20"/>
      <c r="D1220" s="20"/>
      <c r="E1220" s="20"/>
      <c r="F1220" s="20"/>
    </row>
    <row r="1221" spans="1:6" x14ac:dyDescent="0.3">
      <c r="A1221" s="12" t="s">
        <v>14</v>
      </c>
      <c r="B1221" s="13">
        <v>45729</v>
      </c>
      <c r="C1221" s="4" t="s">
        <v>12</v>
      </c>
      <c r="D1221" s="4" t="s">
        <v>4</v>
      </c>
      <c r="E1221" s="4" t="s">
        <v>13</v>
      </c>
      <c r="F1221" s="4" t="s">
        <v>13</v>
      </c>
    </row>
    <row r="1222" spans="1:6" ht="15" thickBot="1" x14ac:dyDescent="0.35">
      <c r="A1222" s="4"/>
    </row>
    <row r="1223" spans="1:6" x14ac:dyDescent="0.3">
      <c r="A1223" s="19" t="s">
        <v>1806</v>
      </c>
      <c r="B1223" s="20"/>
      <c r="C1223" s="20"/>
      <c r="D1223" s="20"/>
      <c r="E1223" s="20"/>
      <c r="F1223" s="20"/>
    </row>
    <row r="1224" spans="1:6" x14ac:dyDescent="0.3">
      <c r="A1224" s="12" t="s">
        <v>10</v>
      </c>
      <c r="B1224" s="13">
        <v>45729</v>
      </c>
      <c r="C1224" s="4" t="s">
        <v>12</v>
      </c>
      <c r="D1224" s="4" t="s">
        <v>4</v>
      </c>
      <c r="E1224" s="4" t="s">
        <v>13</v>
      </c>
      <c r="F1224" s="4" t="s">
        <v>13</v>
      </c>
    </row>
    <row r="1225" spans="1:6" ht="15" thickBot="1" x14ac:dyDescent="0.35">
      <c r="A1225" s="4"/>
    </row>
    <row r="1226" spans="1:6" x14ac:dyDescent="0.3">
      <c r="A1226" s="19" t="s">
        <v>1809</v>
      </c>
      <c r="B1226" s="20"/>
      <c r="C1226" s="20"/>
      <c r="D1226" s="20"/>
      <c r="E1226" s="20"/>
      <c r="F1226" s="20"/>
    </row>
    <row r="1227" spans="1:6" x14ac:dyDescent="0.3">
      <c r="A1227" s="12" t="s">
        <v>10</v>
      </c>
      <c r="B1227" s="13">
        <v>45729</v>
      </c>
      <c r="C1227" s="4" t="s">
        <v>12</v>
      </c>
      <c r="D1227" s="4" t="s">
        <v>4</v>
      </c>
      <c r="E1227" s="4" t="s">
        <v>13</v>
      </c>
      <c r="F1227" s="4" t="s">
        <v>13</v>
      </c>
    </row>
    <row r="1228" spans="1:6" ht="15" thickBot="1" x14ac:dyDescent="0.35">
      <c r="A1228" s="4"/>
    </row>
    <row r="1229" spans="1:6" x14ac:dyDescent="0.3">
      <c r="A1229" s="19" t="s">
        <v>1815</v>
      </c>
      <c r="B1229" s="20"/>
      <c r="C1229" s="20"/>
      <c r="D1229" s="20"/>
      <c r="E1229" s="20"/>
      <c r="F1229" s="20"/>
    </row>
    <row r="1230" spans="1:6" x14ac:dyDescent="0.3">
      <c r="A1230" s="12" t="s">
        <v>10</v>
      </c>
      <c r="B1230" s="13">
        <v>45729</v>
      </c>
      <c r="C1230" s="4" t="s">
        <v>12</v>
      </c>
      <c r="D1230" s="4" t="s">
        <v>4</v>
      </c>
      <c r="E1230" s="4" t="s">
        <v>13</v>
      </c>
      <c r="F1230" s="4" t="s">
        <v>13</v>
      </c>
    </row>
    <row r="1231" spans="1:6" ht="15" thickBot="1" x14ac:dyDescent="0.35">
      <c r="A1231" s="4"/>
    </row>
    <row r="1232" spans="1:6" x14ac:dyDescent="0.3">
      <c r="A1232" s="19" t="s">
        <v>1819</v>
      </c>
      <c r="B1232" s="20"/>
      <c r="C1232" s="20"/>
      <c r="D1232" s="20"/>
      <c r="E1232" s="20"/>
      <c r="F1232" s="20"/>
    </row>
    <row r="1233" spans="1:6" x14ac:dyDescent="0.3">
      <c r="A1233" s="12" t="s">
        <v>970</v>
      </c>
      <c r="B1233" s="13">
        <v>45729</v>
      </c>
      <c r="C1233" s="4" t="s">
        <v>12</v>
      </c>
      <c r="D1233" s="4" t="s">
        <v>4</v>
      </c>
      <c r="E1233" s="4" t="s">
        <v>13</v>
      </c>
      <c r="F1233" s="4" t="s">
        <v>13</v>
      </c>
    </row>
    <row r="1234" spans="1:6" ht="15" thickBot="1" x14ac:dyDescent="0.35">
      <c r="A1234" s="4"/>
    </row>
    <row r="1235" spans="1:6" x14ac:dyDescent="0.3">
      <c r="A1235" s="19" t="s">
        <v>1823</v>
      </c>
      <c r="B1235" s="20"/>
      <c r="C1235" s="20"/>
      <c r="D1235" s="20"/>
      <c r="E1235" s="20"/>
      <c r="F1235" s="20"/>
    </row>
    <row r="1236" spans="1:6" x14ac:dyDescent="0.3">
      <c r="A1236" s="12" t="s">
        <v>970</v>
      </c>
      <c r="B1236" s="13">
        <v>45729</v>
      </c>
      <c r="C1236" s="4" t="s">
        <v>12</v>
      </c>
      <c r="D1236" s="4" t="s">
        <v>4</v>
      </c>
      <c r="E1236" s="4" t="s">
        <v>13</v>
      </c>
      <c r="F1236" s="4" t="s">
        <v>13</v>
      </c>
    </row>
    <row r="1237" spans="1:6" ht="15" thickBot="1" x14ac:dyDescent="0.35">
      <c r="A1237" s="4"/>
    </row>
    <row r="1238" spans="1:6" x14ac:dyDescent="0.3">
      <c r="A1238" s="19" t="s">
        <v>1827</v>
      </c>
      <c r="B1238" s="20"/>
      <c r="C1238" s="20"/>
      <c r="D1238" s="20"/>
      <c r="E1238" s="20"/>
      <c r="F1238" s="20"/>
    </row>
    <row r="1239" spans="1:6" x14ac:dyDescent="0.3">
      <c r="A1239" s="12" t="s">
        <v>970</v>
      </c>
      <c r="B1239" s="13">
        <v>45729</v>
      </c>
      <c r="C1239" s="4" t="s">
        <v>12</v>
      </c>
      <c r="D1239" s="4" t="s">
        <v>4</v>
      </c>
      <c r="E1239" s="4" t="s">
        <v>13</v>
      </c>
      <c r="F1239" s="4" t="s">
        <v>13</v>
      </c>
    </row>
    <row r="1240" spans="1:6" ht="15" thickBot="1" x14ac:dyDescent="0.35">
      <c r="A1240" s="4"/>
    </row>
    <row r="1241" spans="1:6" x14ac:dyDescent="0.3">
      <c r="A1241" s="19" t="s">
        <v>1830</v>
      </c>
      <c r="B1241" s="20"/>
      <c r="C1241" s="20"/>
      <c r="D1241" s="20"/>
      <c r="E1241" s="20"/>
      <c r="F1241" s="20"/>
    </row>
    <row r="1242" spans="1:6" x14ac:dyDescent="0.3">
      <c r="A1242" s="12" t="s">
        <v>10</v>
      </c>
      <c r="B1242" s="13">
        <v>45729</v>
      </c>
      <c r="C1242" s="4" t="s">
        <v>12</v>
      </c>
      <c r="D1242" s="4" t="s">
        <v>4</v>
      </c>
      <c r="E1242" s="4" t="s">
        <v>13</v>
      </c>
      <c r="F1242" s="4" t="s">
        <v>13</v>
      </c>
    </row>
    <row r="1243" spans="1:6" ht="15" thickBot="1" x14ac:dyDescent="0.35">
      <c r="A1243" s="4"/>
    </row>
    <row r="1244" spans="1:6" x14ac:dyDescent="0.3">
      <c r="A1244" s="19" t="s">
        <v>1837</v>
      </c>
      <c r="B1244" s="20"/>
      <c r="C1244" s="20"/>
      <c r="D1244" s="20"/>
      <c r="E1244" s="20"/>
      <c r="F1244" s="20"/>
    </row>
    <row r="1245" spans="1:6" x14ac:dyDescent="0.3">
      <c r="A1245" s="12" t="s">
        <v>10</v>
      </c>
      <c r="B1245" s="13">
        <v>45729</v>
      </c>
      <c r="C1245" s="4" t="s">
        <v>12</v>
      </c>
      <c r="D1245" s="4" t="s">
        <v>4</v>
      </c>
      <c r="E1245" s="4" t="s">
        <v>13</v>
      </c>
      <c r="F1245" s="4" t="s">
        <v>13</v>
      </c>
    </row>
    <row r="1246" spans="1:6" ht="15" thickBot="1" x14ac:dyDescent="0.35">
      <c r="A1246" s="4"/>
    </row>
    <row r="1247" spans="1:6" x14ac:dyDescent="0.3">
      <c r="A1247" s="19" t="s">
        <v>1843</v>
      </c>
      <c r="B1247" s="20"/>
      <c r="C1247" s="20"/>
      <c r="D1247" s="20"/>
      <c r="E1247" s="20"/>
      <c r="F1247" s="20"/>
    </row>
    <row r="1248" spans="1:6" x14ac:dyDescent="0.3">
      <c r="A1248" s="12" t="s">
        <v>10</v>
      </c>
      <c r="B1248" s="13">
        <v>45729</v>
      </c>
      <c r="C1248" s="4" t="s">
        <v>12</v>
      </c>
      <c r="D1248" s="4" t="s">
        <v>4</v>
      </c>
      <c r="E1248" s="4" t="s">
        <v>13</v>
      </c>
      <c r="F1248" s="4" t="s">
        <v>13</v>
      </c>
    </row>
    <row r="1249" spans="1:6" ht="15" thickBot="1" x14ac:dyDescent="0.35">
      <c r="A1249" s="4"/>
    </row>
    <row r="1250" spans="1:6" x14ac:dyDescent="0.3">
      <c r="A1250" s="19" t="s">
        <v>1849</v>
      </c>
      <c r="B1250" s="20"/>
      <c r="C1250" s="20"/>
      <c r="D1250" s="20"/>
      <c r="E1250" s="20"/>
      <c r="F1250" s="20"/>
    </row>
    <row r="1251" spans="1:6" x14ac:dyDescent="0.3">
      <c r="A1251" s="12" t="s">
        <v>10</v>
      </c>
      <c r="B1251" s="13">
        <v>45729</v>
      </c>
      <c r="C1251" s="4" t="s">
        <v>12</v>
      </c>
      <c r="D1251" s="4" t="s">
        <v>4</v>
      </c>
      <c r="E1251" s="4" t="s">
        <v>13</v>
      </c>
      <c r="F1251" s="4" t="s">
        <v>13</v>
      </c>
    </row>
    <row r="1252" spans="1:6" ht="15" thickBot="1" x14ac:dyDescent="0.35">
      <c r="A1252" s="4"/>
    </row>
    <row r="1253" spans="1:6" x14ac:dyDescent="0.3">
      <c r="A1253" s="19" t="s">
        <v>1853</v>
      </c>
      <c r="B1253" s="20"/>
      <c r="C1253" s="20"/>
      <c r="D1253" s="20"/>
      <c r="E1253" s="20"/>
      <c r="F1253" s="20"/>
    </row>
    <row r="1254" spans="1:6" x14ac:dyDescent="0.3">
      <c r="A1254" s="12" t="s">
        <v>960</v>
      </c>
      <c r="B1254" s="13">
        <v>45729</v>
      </c>
      <c r="C1254" s="4" t="s">
        <v>12</v>
      </c>
      <c r="D1254" s="4" t="s">
        <v>4</v>
      </c>
      <c r="E1254" s="4" t="s">
        <v>13</v>
      </c>
      <c r="F1254" s="4" t="s">
        <v>13</v>
      </c>
    </row>
    <row r="1255" spans="1:6" ht="15" thickBot="1" x14ac:dyDescent="0.35">
      <c r="A1255" s="4"/>
    </row>
    <row r="1256" spans="1:6" x14ac:dyDescent="0.3">
      <c r="A1256" s="19" t="s">
        <v>1859</v>
      </c>
      <c r="B1256" s="20"/>
      <c r="C1256" s="20"/>
      <c r="D1256" s="20"/>
      <c r="E1256" s="20"/>
      <c r="F1256" s="20"/>
    </row>
    <row r="1257" spans="1:6" x14ac:dyDescent="0.3">
      <c r="A1257" s="12" t="s">
        <v>583</v>
      </c>
      <c r="B1257" s="13">
        <v>45729</v>
      </c>
      <c r="C1257" s="4" t="s">
        <v>12</v>
      </c>
      <c r="D1257" s="4" t="s">
        <v>4</v>
      </c>
      <c r="E1257" s="4" t="s">
        <v>13</v>
      </c>
      <c r="F1257" s="4" t="s">
        <v>13</v>
      </c>
    </row>
    <row r="1258" spans="1:6" ht="15" thickBot="1" x14ac:dyDescent="0.35">
      <c r="A1258" s="4"/>
    </row>
    <row r="1259" spans="1:6" x14ac:dyDescent="0.3">
      <c r="A1259" s="19" t="s">
        <v>1865</v>
      </c>
      <c r="B1259" s="20"/>
      <c r="C1259" s="20"/>
      <c r="D1259" s="20"/>
      <c r="E1259" s="20"/>
      <c r="F1259" s="20"/>
    </row>
    <row r="1260" spans="1:6" x14ac:dyDescent="0.3">
      <c r="A1260" s="12" t="s">
        <v>960</v>
      </c>
      <c r="B1260" s="13">
        <v>45729</v>
      </c>
      <c r="C1260" s="4" t="s">
        <v>12</v>
      </c>
      <c r="D1260" s="4" t="s">
        <v>4</v>
      </c>
      <c r="E1260" s="4" t="s">
        <v>13</v>
      </c>
      <c r="F1260" s="4" t="s">
        <v>13</v>
      </c>
    </row>
    <row r="1261" spans="1:6" ht="15" thickBot="1" x14ac:dyDescent="0.35">
      <c r="A1261" s="4"/>
    </row>
    <row r="1262" spans="1:6" x14ac:dyDescent="0.3">
      <c r="A1262" s="19" t="s">
        <v>1886</v>
      </c>
      <c r="B1262" s="20"/>
      <c r="C1262" s="20"/>
      <c r="D1262" s="20"/>
      <c r="E1262" s="20"/>
      <c r="F1262" s="20"/>
    </row>
    <row r="1263" spans="1:6" x14ac:dyDescent="0.3">
      <c r="A1263" s="12" t="s">
        <v>1155</v>
      </c>
      <c r="B1263" s="13">
        <v>45729</v>
      </c>
      <c r="C1263" s="4" t="s">
        <v>12</v>
      </c>
      <c r="D1263" s="4" t="s">
        <v>4</v>
      </c>
      <c r="E1263" s="4" t="s">
        <v>13</v>
      </c>
      <c r="F1263" s="4" t="s">
        <v>13</v>
      </c>
    </row>
    <row r="1264" spans="1:6" ht="15" thickBot="1" x14ac:dyDescent="0.35">
      <c r="A1264" s="4"/>
    </row>
    <row r="1265" spans="1:6" x14ac:dyDescent="0.3">
      <c r="A1265" s="19" t="s">
        <v>1892</v>
      </c>
      <c r="B1265" s="20"/>
      <c r="C1265" s="20"/>
      <c r="D1265" s="20"/>
      <c r="E1265" s="20"/>
      <c r="F1265" s="20"/>
    </row>
    <row r="1266" spans="1:6" x14ac:dyDescent="0.3">
      <c r="A1266" s="12" t="s">
        <v>583</v>
      </c>
      <c r="B1266" s="13">
        <v>45729</v>
      </c>
      <c r="C1266" s="4" t="s">
        <v>12</v>
      </c>
      <c r="D1266" s="4" t="s">
        <v>4</v>
      </c>
      <c r="E1266" s="4" t="s">
        <v>13</v>
      </c>
      <c r="F1266" s="4" t="s">
        <v>13</v>
      </c>
    </row>
    <row r="1267" spans="1:6" ht="15" thickBot="1" x14ac:dyDescent="0.35">
      <c r="A1267" s="4"/>
    </row>
    <row r="1268" spans="1:6" x14ac:dyDescent="0.3">
      <c r="A1268" s="19" t="s">
        <v>1896</v>
      </c>
      <c r="B1268" s="20"/>
      <c r="C1268" s="20"/>
      <c r="D1268" s="20"/>
      <c r="E1268" s="20"/>
      <c r="F1268" s="20"/>
    </row>
    <row r="1269" spans="1:6" x14ac:dyDescent="0.3">
      <c r="A1269" s="12" t="s">
        <v>10</v>
      </c>
      <c r="B1269" s="13">
        <v>45729</v>
      </c>
      <c r="C1269" s="4" t="s">
        <v>12</v>
      </c>
      <c r="D1269" s="4" t="s">
        <v>4</v>
      </c>
      <c r="E1269" s="4" t="s">
        <v>13</v>
      </c>
      <c r="F1269" s="4" t="s">
        <v>13</v>
      </c>
    </row>
    <row r="1270" spans="1:6" ht="15" thickBot="1" x14ac:dyDescent="0.35">
      <c r="A1270" s="4"/>
    </row>
    <row r="1271" spans="1:6" x14ac:dyDescent="0.3">
      <c r="A1271" s="19" t="s">
        <v>1901</v>
      </c>
      <c r="B1271" s="20"/>
      <c r="C1271" s="20"/>
      <c r="D1271" s="20"/>
      <c r="E1271" s="20"/>
      <c r="F1271" s="20"/>
    </row>
    <row r="1272" spans="1:6" x14ac:dyDescent="0.3">
      <c r="A1272" s="12" t="s">
        <v>1155</v>
      </c>
      <c r="B1272" s="13">
        <v>45729</v>
      </c>
      <c r="C1272" s="4" t="s">
        <v>12</v>
      </c>
      <c r="D1272" s="4" t="s">
        <v>4</v>
      </c>
      <c r="E1272" s="4" t="s">
        <v>13</v>
      </c>
      <c r="F1272" s="4" t="s">
        <v>13</v>
      </c>
    </row>
    <row r="1273" spans="1:6" ht="15" thickBot="1" x14ac:dyDescent="0.35">
      <c r="A1273" s="4"/>
    </row>
    <row r="1274" spans="1:6" x14ac:dyDescent="0.3">
      <c r="A1274" s="19" t="s">
        <v>1904</v>
      </c>
      <c r="B1274" s="20"/>
      <c r="C1274" s="20"/>
      <c r="D1274" s="20"/>
      <c r="E1274" s="20"/>
      <c r="F1274" s="20"/>
    </row>
    <row r="1275" spans="1:6" x14ac:dyDescent="0.3">
      <c r="A1275" s="12" t="s">
        <v>1102</v>
      </c>
      <c r="B1275" s="13">
        <v>45729</v>
      </c>
      <c r="C1275" s="4" t="s">
        <v>12</v>
      </c>
      <c r="D1275" s="4" t="s">
        <v>4</v>
      </c>
      <c r="E1275" s="4" t="s">
        <v>13</v>
      </c>
      <c r="F1275" s="4" t="s">
        <v>13</v>
      </c>
    </row>
    <row r="1276" spans="1:6" ht="15" thickBot="1" x14ac:dyDescent="0.35">
      <c r="A1276" s="4"/>
    </row>
    <row r="1277" spans="1:6" x14ac:dyDescent="0.3">
      <c r="A1277" s="19" t="s">
        <v>1908</v>
      </c>
      <c r="B1277" s="20"/>
      <c r="C1277" s="20"/>
      <c r="D1277" s="20"/>
      <c r="E1277" s="20"/>
      <c r="F1277" s="20"/>
    </row>
    <row r="1278" spans="1:6" x14ac:dyDescent="0.3">
      <c r="A1278" s="12" t="s">
        <v>1909</v>
      </c>
      <c r="B1278" s="13">
        <v>45729</v>
      </c>
      <c r="C1278" s="4" t="s">
        <v>12</v>
      </c>
      <c r="D1278" s="4" t="s">
        <v>4</v>
      </c>
      <c r="E1278" s="4" t="s">
        <v>13</v>
      </c>
      <c r="F1278" s="4" t="s">
        <v>13</v>
      </c>
    </row>
    <row r="1279" spans="1:6" ht="15" thickBot="1" x14ac:dyDescent="0.35">
      <c r="A1279" s="4"/>
    </row>
    <row r="1280" spans="1:6" x14ac:dyDescent="0.3">
      <c r="A1280" s="19" t="s">
        <v>1913</v>
      </c>
      <c r="B1280" s="20"/>
      <c r="C1280" s="20"/>
      <c r="D1280" s="20"/>
      <c r="E1280" s="20"/>
      <c r="F1280" s="20"/>
    </row>
    <row r="1281" spans="1:6" x14ac:dyDescent="0.3">
      <c r="A1281" s="12" t="s">
        <v>1102</v>
      </c>
      <c r="B1281" s="13">
        <v>45729</v>
      </c>
      <c r="C1281" s="4" t="s">
        <v>12</v>
      </c>
      <c r="D1281" s="4" t="s">
        <v>4</v>
      </c>
      <c r="E1281" s="4" t="s">
        <v>13</v>
      </c>
      <c r="F1281" s="4" t="s">
        <v>13</v>
      </c>
    </row>
    <row r="1282" spans="1:6" ht="15" thickBot="1" x14ac:dyDescent="0.35">
      <c r="A1282" s="4"/>
    </row>
    <row r="1283" spans="1:6" x14ac:dyDescent="0.3">
      <c r="A1283" s="19" t="s">
        <v>1916</v>
      </c>
      <c r="B1283" s="20"/>
      <c r="C1283" s="20"/>
      <c r="D1283" s="20"/>
      <c r="E1283" s="20"/>
      <c r="F1283" s="20"/>
    </row>
    <row r="1284" spans="1:6" x14ac:dyDescent="0.3">
      <c r="A1284" s="12" t="s">
        <v>1102</v>
      </c>
      <c r="B1284" s="13">
        <v>45729</v>
      </c>
      <c r="C1284" s="4" t="s">
        <v>12</v>
      </c>
      <c r="D1284" s="4" t="s">
        <v>4</v>
      </c>
      <c r="E1284" s="4" t="s">
        <v>13</v>
      </c>
      <c r="F1284" s="4" t="s">
        <v>13</v>
      </c>
    </row>
    <row r="1285" spans="1:6" ht="15" thickBot="1" x14ac:dyDescent="0.35">
      <c r="A1285" s="4"/>
    </row>
    <row r="1286" spans="1:6" x14ac:dyDescent="0.3">
      <c r="A1286" s="19" t="s">
        <v>1919</v>
      </c>
      <c r="B1286" s="20"/>
      <c r="C1286" s="20"/>
      <c r="D1286" s="20"/>
      <c r="E1286" s="20"/>
      <c r="F1286" s="20"/>
    </row>
    <row r="1287" spans="1:6" x14ac:dyDescent="0.3">
      <c r="A1287" s="12" t="s">
        <v>1102</v>
      </c>
      <c r="B1287" s="13">
        <v>45729</v>
      </c>
      <c r="C1287" s="4" t="s">
        <v>12</v>
      </c>
      <c r="D1287" s="4" t="s">
        <v>4</v>
      </c>
      <c r="E1287" s="4" t="s">
        <v>13</v>
      </c>
      <c r="F1287" s="4" t="s">
        <v>13</v>
      </c>
    </row>
    <row r="1288" spans="1:6" ht="15" thickBot="1" x14ac:dyDescent="0.35">
      <c r="A1288" s="4"/>
    </row>
    <row r="1289" spans="1:6" x14ac:dyDescent="0.3">
      <c r="A1289" s="19" t="s">
        <v>1922</v>
      </c>
      <c r="B1289" s="20"/>
      <c r="C1289" s="20"/>
      <c r="D1289" s="20"/>
      <c r="E1289" s="20"/>
      <c r="F1289" s="20"/>
    </row>
    <row r="1290" spans="1:6" x14ac:dyDescent="0.3">
      <c r="A1290" s="12" t="s">
        <v>1102</v>
      </c>
      <c r="B1290" s="13">
        <v>45729</v>
      </c>
      <c r="C1290" s="4" t="s">
        <v>12</v>
      </c>
      <c r="D1290" s="4" t="s">
        <v>4</v>
      </c>
      <c r="E1290" s="4" t="s">
        <v>13</v>
      </c>
      <c r="F1290" s="4" t="s">
        <v>13</v>
      </c>
    </row>
    <row r="1291" spans="1:6" ht="15" thickBot="1" x14ac:dyDescent="0.35">
      <c r="A1291" s="4"/>
    </row>
    <row r="1292" spans="1:6" x14ac:dyDescent="0.3">
      <c r="A1292" s="19" t="s">
        <v>1925</v>
      </c>
      <c r="B1292" s="20"/>
      <c r="C1292" s="20"/>
      <c r="D1292" s="20"/>
      <c r="E1292" s="20"/>
      <c r="F1292" s="20"/>
    </row>
    <row r="1293" spans="1:6" x14ac:dyDescent="0.3">
      <c r="A1293" s="12" t="s">
        <v>1102</v>
      </c>
      <c r="B1293" s="13">
        <v>45729</v>
      </c>
      <c r="C1293" s="4" t="s">
        <v>12</v>
      </c>
      <c r="D1293" s="4" t="s">
        <v>4</v>
      </c>
      <c r="E1293" s="4" t="s">
        <v>13</v>
      </c>
      <c r="F1293" s="4" t="s">
        <v>13</v>
      </c>
    </row>
    <row r="1294" spans="1:6" ht="15" thickBot="1" x14ac:dyDescent="0.35">
      <c r="A1294" s="4"/>
    </row>
    <row r="1295" spans="1:6" x14ac:dyDescent="0.3">
      <c r="A1295" s="19" t="s">
        <v>1933</v>
      </c>
      <c r="B1295" s="20"/>
      <c r="C1295" s="20"/>
      <c r="D1295" s="20"/>
      <c r="E1295" s="20"/>
      <c r="F1295" s="20"/>
    </row>
    <row r="1296" spans="1:6" x14ac:dyDescent="0.3">
      <c r="A1296" s="12" t="s">
        <v>968</v>
      </c>
      <c r="B1296" s="13">
        <v>45729</v>
      </c>
      <c r="C1296" s="4" t="s">
        <v>12</v>
      </c>
      <c r="D1296" s="4" t="s">
        <v>4</v>
      </c>
      <c r="E1296" s="4" t="s">
        <v>13</v>
      </c>
      <c r="F1296" s="4" t="s">
        <v>13</v>
      </c>
    </row>
    <row r="1297" spans="1:6" ht="15" thickBot="1" x14ac:dyDescent="0.35">
      <c r="A1297" s="4"/>
    </row>
    <row r="1298" spans="1:6" x14ac:dyDescent="0.3">
      <c r="A1298" s="19" t="s">
        <v>1936</v>
      </c>
      <c r="B1298" s="20"/>
      <c r="C1298" s="20"/>
      <c r="D1298" s="20"/>
      <c r="E1298" s="20"/>
      <c r="F1298" s="20"/>
    </row>
    <row r="1299" spans="1:6" x14ac:dyDescent="0.3">
      <c r="A1299" s="12" t="s">
        <v>960</v>
      </c>
      <c r="B1299" s="13">
        <v>45729</v>
      </c>
      <c r="C1299" s="4" t="s">
        <v>12</v>
      </c>
      <c r="D1299" s="4" t="s">
        <v>4</v>
      </c>
      <c r="E1299" s="4" t="s">
        <v>13</v>
      </c>
      <c r="F1299" s="4" t="s">
        <v>13</v>
      </c>
    </row>
    <row r="1300" spans="1:6" ht="15" thickBot="1" x14ac:dyDescent="0.35">
      <c r="A1300" s="4"/>
    </row>
    <row r="1301" spans="1:6" x14ac:dyDescent="0.3">
      <c r="A1301" s="19" t="s">
        <v>1939</v>
      </c>
      <c r="B1301" s="20"/>
      <c r="C1301" s="20"/>
      <c r="D1301" s="20"/>
      <c r="E1301" s="20"/>
      <c r="F1301" s="20"/>
    </row>
    <row r="1302" spans="1:6" x14ac:dyDescent="0.3">
      <c r="A1302" s="12" t="s">
        <v>1102</v>
      </c>
      <c r="B1302" s="13">
        <v>45729</v>
      </c>
      <c r="C1302" s="4" t="s">
        <v>12</v>
      </c>
      <c r="D1302" s="4" t="s">
        <v>4</v>
      </c>
      <c r="E1302" s="4" t="s">
        <v>13</v>
      </c>
      <c r="F1302" s="4" t="s">
        <v>13</v>
      </c>
    </row>
    <row r="1303" spans="1:6" ht="15" thickBot="1" x14ac:dyDescent="0.35">
      <c r="A1303" s="4"/>
    </row>
    <row r="1304" spans="1:6" x14ac:dyDescent="0.3">
      <c r="A1304" s="19" t="s">
        <v>1943</v>
      </c>
      <c r="B1304" s="20"/>
      <c r="C1304" s="20"/>
      <c r="D1304" s="20"/>
      <c r="E1304" s="20"/>
      <c r="F1304" s="20"/>
    </row>
    <row r="1305" spans="1:6" x14ac:dyDescent="0.3">
      <c r="A1305" s="12" t="s">
        <v>968</v>
      </c>
      <c r="B1305" s="13">
        <v>45729</v>
      </c>
      <c r="C1305" s="4" t="s">
        <v>12</v>
      </c>
      <c r="D1305" s="4" t="s">
        <v>4</v>
      </c>
      <c r="E1305" s="4" t="s">
        <v>13</v>
      </c>
      <c r="F1305" s="4" t="s">
        <v>13</v>
      </c>
    </row>
    <row r="1306" spans="1:6" ht="15" thickBot="1" x14ac:dyDescent="0.35">
      <c r="A1306" s="4"/>
    </row>
    <row r="1307" spans="1:6" x14ac:dyDescent="0.3">
      <c r="A1307" s="19" t="s">
        <v>1947</v>
      </c>
      <c r="B1307" s="20"/>
      <c r="C1307" s="20"/>
      <c r="D1307" s="20"/>
      <c r="E1307" s="20"/>
      <c r="F1307" s="20"/>
    </row>
    <row r="1308" spans="1:6" x14ac:dyDescent="0.3">
      <c r="A1308" s="12" t="s">
        <v>1155</v>
      </c>
      <c r="B1308" s="13">
        <v>45729</v>
      </c>
      <c r="C1308" s="4" t="s">
        <v>12</v>
      </c>
      <c r="D1308" s="4" t="s">
        <v>4</v>
      </c>
      <c r="E1308" s="4" t="s">
        <v>13</v>
      </c>
      <c r="F1308" s="4" t="s">
        <v>13</v>
      </c>
    </row>
    <row r="1309" spans="1:6" ht="15" thickBot="1" x14ac:dyDescent="0.35">
      <c r="A1309" s="4"/>
    </row>
    <row r="1310" spans="1:6" x14ac:dyDescent="0.3">
      <c r="A1310" s="19" t="s">
        <v>1950</v>
      </c>
      <c r="B1310" s="20"/>
      <c r="C1310" s="20"/>
      <c r="D1310" s="20"/>
      <c r="E1310" s="20"/>
      <c r="F1310" s="20"/>
    </row>
    <row r="1311" spans="1:6" x14ac:dyDescent="0.3">
      <c r="A1311" s="12" t="s">
        <v>960</v>
      </c>
      <c r="B1311" s="13">
        <v>45729</v>
      </c>
      <c r="C1311" s="4" t="s">
        <v>12</v>
      </c>
      <c r="D1311" s="4" t="s">
        <v>4</v>
      </c>
      <c r="E1311" s="4" t="s">
        <v>13</v>
      </c>
      <c r="F1311" s="4" t="s">
        <v>13</v>
      </c>
    </row>
    <row r="1312" spans="1:6" ht="15" thickBot="1" x14ac:dyDescent="0.35">
      <c r="A1312" s="4"/>
    </row>
    <row r="1313" spans="1:6" x14ac:dyDescent="0.3">
      <c r="A1313" s="19" t="s">
        <v>1954</v>
      </c>
      <c r="B1313" s="20"/>
      <c r="C1313" s="20"/>
      <c r="D1313" s="20"/>
      <c r="E1313" s="20"/>
      <c r="F1313" s="20"/>
    </row>
    <row r="1314" spans="1:6" x14ac:dyDescent="0.3">
      <c r="A1314" s="12" t="s">
        <v>970</v>
      </c>
      <c r="B1314" s="13">
        <v>45729</v>
      </c>
      <c r="C1314" s="4" t="s">
        <v>12</v>
      </c>
      <c r="D1314" s="4" t="s">
        <v>4</v>
      </c>
      <c r="E1314" s="4" t="s">
        <v>13</v>
      </c>
      <c r="F1314" s="4" t="s">
        <v>13</v>
      </c>
    </row>
    <row r="1315" spans="1:6" ht="15" thickBot="1" x14ac:dyDescent="0.35">
      <c r="A1315" s="4"/>
    </row>
    <row r="1316" spans="1:6" x14ac:dyDescent="0.3">
      <c r="A1316" s="19" t="s">
        <v>1957</v>
      </c>
      <c r="B1316" s="20"/>
      <c r="C1316" s="20"/>
      <c r="D1316" s="20"/>
      <c r="E1316" s="20"/>
      <c r="F1316" s="20"/>
    </row>
    <row r="1317" spans="1:6" x14ac:dyDescent="0.3">
      <c r="A1317" s="12" t="s">
        <v>11</v>
      </c>
      <c r="B1317" s="13">
        <v>45729</v>
      </c>
      <c r="C1317" s="4" t="s">
        <v>12</v>
      </c>
      <c r="D1317" s="4" t="s">
        <v>4</v>
      </c>
      <c r="E1317" s="4" t="s">
        <v>13</v>
      </c>
      <c r="F1317" s="4" t="s">
        <v>13</v>
      </c>
    </row>
    <row r="1318" spans="1:6" ht="15" thickBot="1" x14ac:dyDescent="0.35">
      <c r="A1318" s="4"/>
    </row>
    <row r="1319" spans="1:6" x14ac:dyDescent="0.3">
      <c r="A1319" s="19" t="s">
        <v>1960</v>
      </c>
      <c r="B1319" s="20"/>
      <c r="C1319" s="20"/>
      <c r="D1319" s="20"/>
      <c r="E1319" s="20"/>
      <c r="F1319" s="20"/>
    </row>
    <row r="1320" spans="1:6" x14ac:dyDescent="0.3">
      <c r="A1320" s="12" t="s">
        <v>10</v>
      </c>
      <c r="B1320" s="13">
        <v>45729</v>
      </c>
      <c r="C1320" s="4" t="s">
        <v>12</v>
      </c>
      <c r="D1320" s="4" t="s">
        <v>4</v>
      </c>
      <c r="E1320" s="4" t="s">
        <v>13</v>
      </c>
      <c r="F1320" s="4" t="s">
        <v>13</v>
      </c>
    </row>
    <row r="1321" spans="1:6" ht="15" thickBot="1" x14ac:dyDescent="0.35">
      <c r="A1321" s="4"/>
    </row>
    <row r="1322" spans="1:6" x14ac:dyDescent="0.3">
      <c r="A1322" s="19" t="s">
        <v>1963</v>
      </c>
      <c r="B1322" s="20"/>
      <c r="C1322" s="20"/>
      <c r="D1322" s="20"/>
      <c r="E1322" s="20"/>
      <c r="F1322" s="20"/>
    </row>
    <row r="1323" spans="1:6" x14ac:dyDescent="0.3">
      <c r="A1323" s="12" t="s">
        <v>10</v>
      </c>
      <c r="B1323" s="13">
        <v>45729</v>
      </c>
      <c r="C1323" s="4" t="s">
        <v>12</v>
      </c>
      <c r="D1323" s="4" t="s">
        <v>4</v>
      </c>
      <c r="E1323" s="4" t="s">
        <v>13</v>
      </c>
      <c r="F1323" s="4" t="s">
        <v>13</v>
      </c>
    </row>
    <row r="1324" spans="1:6" ht="15" thickBot="1" x14ac:dyDescent="0.35">
      <c r="A1324" s="4"/>
    </row>
    <row r="1325" spans="1:6" x14ac:dyDescent="0.3">
      <c r="A1325" s="19" t="s">
        <v>1966</v>
      </c>
      <c r="B1325" s="20"/>
      <c r="C1325" s="20"/>
      <c r="D1325" s="20"/>
      <c r="E1325" s="20"/>
      <c r="F1325" s="20"/>
    </row>
    <row r="1326" spans="1:6" x14ac:dyDescent="0.3">
      <c r="A1326" s="12" t="s">
        <v>10</v>
      </c>
      <c r="B1326" s="13">
        <v>45729</v>
      </c>
      <c r="C1326" s="4" t="s">
        <v>12</v>
      </c>
      <c r="D1326" s="4" t="s">
        <v>4</v>
      </c>
      <c r="E1326" s="4" t="s">
        <v>13</v>
      </c>
      <c r="F1326" s="4" t="s">
        <v>13</v>
      </c>
    </row>
    <row r="1327" spans="1:6" ht="15" thickBot="1" x14ac:dyDescent="0.35">
      <c r="A1327" s="4"/>
    </row>
    <row r="1328" spans="1:6" x14ac:dyDescent="0.3">
      <c r="A1328" s="19" t="s">
        <v>1969</v>
      </c>
      <c r="B1328" s="20"/>
      <c r="C1328" s="20"/>
      <c r="D1328" s="20"/>
      <c r="E1328" s="20"/>
      <c r="F1328" s="20"/>
    </row>
    <row r="1329" spans="1:6" x14ac:dyDescent="0.3">
      <c r="A1329" s="12" t="s">
        <v>10</v>
      </c>
      <c r="B1329" s="13">
        <v>45729</v>
      </c>
      <c r="C1329" s="4" t="s">
        <v>12</v>
      </c>
      <c r="D1329" s="4" t="s">
        <v>4</v>
      </c>
      <c r="E1329" s="4" t="s">
        <v>13</v>
      </c>
      <c r="F1329" s="4" t="s">
        <v>13</v>
      </c>
    </row>
    <row r="1330" spans="1:6" ht="15" thickBot="1" x14ac:dyDescent="0.35">
      <c r="A1330" s="4"/>
    </row>
    <row r="1331" spans="1:6" x14ac:dyDescent="0.3">
      <c r="A1331" s="19" t="s">
        <v>1972</v>
      </c>
      <c r="B1331" s="20"/>
      <c r="C1331" s="20"/>
      <c r="D1331" s="20"/>
      <c r="E1331" s="20"/>
      <c r="F1331" s="20"/>
    </row>
    <row r="1332" spans="1:6" x14ac:dyDescent="0.3">
      <c r="A1332" s="12" t="s">
        <v>10</v>
      </c>
      <c r="B1332" s="13">
        <v>45729</v>
      </c>
      <c r="C1332" s="4" t="s">
        <v>12</v>
      </c>
      <c r="D1332" s="4" t="s">
        <v>4</v>
      </c>
      <c r="E1332" s="4" t="s">
        <v>13</v>
      </c>
      <c r="F1332" s="4" t="s">
        <v>13</v>
      </c>
    </row>
    <row r="1333" spans="1:6" ht="15" thickBot="1" x14ac:dyDescent="0.35">
      <c r="A1333" s="4"/>
    </row>
    <row r="1334" spans="1:6" x14ac:dyDescent="0.3">
      <c r="A1334" s="19" t="s">
        <v>1977</v>
      </c>
      <c r="B1334" s="20"/>
      <c r="C1334" s="20"/>
      <c r="D1334" s="20"/>
      <c r="E1334" s="20"/>
      <c r="F1334" s="20"/>
    </row>
    <row r="1335" spans="1:6" x14ac:dyDescent="0.3">
      <c r="A1335" s="12" t="s">
        <v>11</v>
      </c>
      <c r="B1335" s="13">
        <v>45729</v>
      </c>
      <c r="C1335" s="4" t="s">
        <v>12</v>
      </c>
      <c r="D1335" s="4" t="s">
        <v>4</v>
      </c>
      <c r="E1335" s="4" t="s">
        <v>13</v>
      </c>
      <c r="F1335" s="4" t="s">
        <v>13</v>
      </c>
    </row>
    <row r="1336" spans="1:6" ht="15" thickBot="1" x14ac:dyDescent="0.35">
      <c r="A1336" s="4"/>
    </row>
    <row r="1337" spans="1:6" x14ac:dyDescent="0.3">
      <c r="A1337" s="19" t="s">
        <v>1982</v>
      </c>
      <c r="B1337" s="20"/>
      <c r="C1337" s="20"/>
      <c r="D1337" s="20"/>
      <c r="E1337" s="20"/>
      <c r="F1337" s="20"/>
    </row>
    <row r="1338" spans="1:6" x14ac:dyDescent="0.3">
      <c r="A1338" s="12" t="s">
        <v>11</v>
      </c>
      <c r="B1338" s="13">
        <v>45729</v>
      </c>
      <c r="C1338" s="4" t="s">
        <v>12</v>
      </c>
      <c r="D1338" s="4" t="s">
        <v>4</v>
      </c>
      <c r="E1338" s="4" t="s">
        <v>13</v>
      </c>
      <c r="F1338" s="4" t="s">
        <v>13</v>
      </c>
    </row>
    <row r="1339" spans="1:6" ht="15" thickBot="1" x14ac:dyDescent="0.35">
      <c r="A1339" s="4"/>
    </row>
    <row r="1340" spans="1:6" x14ac:dyDescent="0.3">
      <c r="A1340" s="19" t="s">
        <v>1987</v>
      </c>
      <c r="B1340" s="20"/>
      <c r="C1340" s="20"/>
      <c r="D1340" s="20"/>
      <c r="E1340" s="20"/>
      <c r="F1340" s="20"/>
    </row>
    <row r="1341" spans="1:6" x14ac:dyDescent="0.3">
      <c r="A1341" s="12" t="s">
        <v>583</v>
      </c>
      <c r="B1341" s="13">
        <v>45729</v>
      </c>
      <c r="C1341" s="4" t="s">
        <v>12</v>
      </c>
      <c r="D1341" s="4" t="s">
        <v>4</v>
      </c>
      <c r="E1341" s="4" t="s">
        <v>13</v>
      </c>
      <c r="F1341" s="4" t="s">
        <v>13</v>
      </c>
    </row>
    <row r="1342" spans="1:6" ht="15" thickBot="1" x14ac:dyDescent="0.35">
      <c r="A1342" s="4"/>
    </row>
    <row r="1343" spans="1:6" x14ac:dyDescent="0.3">
      <c r="A1343" s="19" t="s">
        <v>1992</v>
      </c>
      <c r="B1343" s="20"/>
      <c r="C1343" s="20"/>
      <c r="D1343" s="20"/>
      <c r="E1343" s="20"/>
      <c r="F1343" s="20"/>
    </row>
    <row r="1344" spans="1:6" x14ac:dyDescent="0.3">
      <c r="A1344" s="12" t="s">
        <v>11</v>
      </c>
      <c r="B1344" s="13">
        <v>45729</v>
      </c>
      <c r="C1344" s="4" t="s">
        <v>12</v>
      </c>
      <c r="D1344" s="4" t="s">
        <v>4</v>
      </c>
      <c r="E1344" s="4" t="s">
        <v>13</v>
      </c>
      <c r="F1344" s="4" t="s">
        <v>13</v>
      </c>
    </row>
    <row r="1345" spans="1:6" ht="15" thickBot="1" x14ac:dyDescent="0.35">
      <c r="A1345" s="4"/>
    </row>
    <row r="1346" spans="1:6" x14ac:dyDescent="0.3">
      <c r="A1346" s="19" t="s">
        <v>1997</v>
      </c>
      <c r="B1346" s="20"/>
      <c r="C1346" s="20"/>
      <c r="D1346" s="20"/>
      <c r="E1346" s="20"/>
      <c r="F1346" s="20"/>
    </row>
    <row r="1347" spans="1:6" x14ac:dyDescent="0.3">
      <c r="A1347" s="12" t="s">
        <v>583</v>
      </c>
      <c r="B1347" s="13">
        <v>45729</v>
      </c>
      <c r="C1347" s="4" t="s">
        <v>12</v>
      </c>
      <c r="D1347" s="4" t="s">
        <v>4</v>
      </c>
      <c r="E1347" s="4" t="s">
        <v>13</v>
      </c>
      <c r="F1347" s="4" t="s">
        <v>13</v>
      </c>
    </row>
    <row r="1348" spans="1:6" ht="15" thickBot="1" x14ac:dyDescent="0.35">
      <c r="A1348" s="4"/>
    </row>
    <row r="1349" spans="1:6" x14ac:dyDescent="0.3">
      <c r="A1349" s="19" t="s">
        <v>2001</v>
      </c>
      <c r="B1349" s="20"/>
      <c r="C1349" s="20"/>
      <c r="D1349" s="20"/>
      <c r="E1349" s="20"/>
      <c r="F1349" s="20"/>
    </row>
    <row r="1350" spans="1:6" x14ac:dyDescent="0.3">
      <c r="A1350" s="12" t="s">
        <v>1102</v>
      </c>
      <c r="B1350" s="13">
        <v>45729</v>
      </c>
      <c r="C1350" s="4" t="s">
        <v>12</v>
      </c>
      <c r="D1350" s="4" t="s">
        <v>4</v>
      </c>
      <c r="E1350" s="4" t="s">
        <v>13</v>
      </c>
      <c r="F1350" s="4" t="s">
        <v>13</v>
      </c>
    </row>
    <row r="1351" spans="1:6" ht="15" thickBot="1" x14ac:dyDescent="0.35">
      <c r="A1351" s="4"/>
    </row>
    <row r="1352" spans="1:6" x14ac:dyDescent="0.3">
      <c r="A1352" s="19" t="s">
        <v>2007</v>
      </c>
      <c r="B1352" s="20"/>
      <c r="C1352" s="20"/>
      <c r="D1352" s="20"/>
      <c r="E1352" s="20"/>
      <c r="F1352" s="20"/>
    </row>
    <row r="1353" spans="1:6" x14ac:dyDescent="0.3">
      <c r="A1353" s="12" t="s">
        <v>1102</v>
      </c>
      <c r="B1353" s="13">
        <v>45729</v>
      </c>
      <c r="C1353" s="4" t="s">
        <v>12</v>
      </c>
      <c r="D1353" s="4" t="s">
        <v>4</v>
      </c>
      <c r="E1353" s="4" t="s">
        <v>13</v>
      </c>
      <c r="F1353" s="4" t="s">
        <v>13</v>
      </c>
    </row>
    <row r="1354" spans="1:6" ht="15" thickBot="1" x14ac:dyDescent="0.35">
      <c r="A1354" s="4"/>
    </row>
    <row r="1355" spans="1:6" x14ac:dyDescent="0.3">
      <c r="A1355" s="19" t="s">
        <v>2013</v>
      </c>
      <c r="B1355" s="20"/>
      <c r="C1355" s="20"/>
      <c r="D1355" s="20"/>
      <c r="E1355" s="20"/>
      <c r="F1355" s="20"/>
    </row>
    <row r="1356" spans="1:6" x14ac:dyDescent="0.3">
      <c r="A1356" s="12" t="s">
        <v>1102</v>
      </c>
      <c r="B1356" s="13">
        <v>45729</v>
      </c>
      <c r="C1356" s="4" t="s">
        <v>12</v>
      </c>
      <c r="D1356" s="4" t="s">
        <v>4</v>
      </c>
      <c r="E1356" s="4" t="s">
        <v>13</v>
      </c>
      <c r="F1356" s="4" t="s">
        <v>13</v>
      </c>
    </row>
    <row r="1357" spans="1:6" ht="15" thickBot="1" x14ac:dyDescent="0.35">
      <c r="A1357" s="4"/>
    </row>
    <row r="1358" spans="1:6" x14ac:dyDescent="0.3">
      <c r="A1358" s="19" t="s">
        <v>2019</v>
      </c>
      <c r="B1358" s="20"/>
      <c r="C1358" s="20"/>
      <c r="D1358" s="20"/>
      <c r="E1358" s="20"/>
      <c r="F1358" s="20"/>
    </row>
    <row r="1359" spans="1:6" x14ac:dyDescent="0.3">
      <c r="A1359" s="12" t="s">
        <v>960</v>
      </c>
      <c r="B1359" s="13">
        <v>45729</v>
      </c>
      <c r="C1359" s="4" t="s">
        <v>12</v>
      </c>
      <c r="D1359" s="4" t="s">
        <v>4</v>
      </c>
      <c r="E1359" s="4" t="s">
        <v>13</v>
      </c>
      <c r="F1359" s="4" t="s">
        <v>13</v>
      </c>
    </row>
    <row r="1360" spans="1:6" ht="15" thickBot="1" x14ac:dyDescent="0.35">
      <c r="A1360" s="4"/>
    </row>
    <row r="1361" spans="1:6" x14ac:dyDescent="0.3">
      <c r="A1361" s="19" t="s">
        <v>2024</v>
      </c>
      <c r="B1361" s="20"/>
      <c r="C1361" s="20"/>
      <c r="D1361" s="20"/>
      <c r="E1361" s="20"/>
      <c r="F1361" s="20"/>
    </row>
    <row r="1362" spans="1:6" x14ac:dyDescent="0.3">
      <c r="A1362" s="12" t="s">
        <v>960</v>
      </c>
      <c r="B1362" s="13">
        <v>45729</v>
      </c>
      <c r="C1362" s="4" t="s">
        <v>12</v>
      </c>
      <c r="D1362" s="4" t="s">
        <v>4</v>
      </c>
      <c r="E1362" s="4" t="s">
        <v>13</v>
      </c>
      <c r="F1362" s="4" t="s">
        <v>13</v>
      </c>
    </row>
    <row r="1363" spans="1:6" ht="15" thickBot="1" x14ac:dyDescent="0.35">
      <c r="A1363" s="4"/>
    </row>
    <row r="1364" spans="1:6" x14ac:dyDescent="0.3">
      <c r="A1364" s="19" t="s">
        <v>2029</v>
      </c>
      <c r="B1364" s="20"/>
      <c r="C1364" s="20"/>
      <c r="D1364" s="20"/>
      <c r="E1364" s="20"/>
      <c r="F1364" s="20"/>
    </row>
    <row r="1365" spans="1:6" x14ac:dyDescent="0.3">
      <c r="A1365" s="12" t="s">
        <v>11</v>
      </c>
      <c r="B1365" s="13">
        <v>45729</v>
      </c>
      <c r="C1365" s="4" t="s">
        <v>12</v>
      </c>
      <c r="D1365" s="4" t="s">
        <v>4</v>
      </c>
      <c r="E1365" s="4" t="s">
        <v>13</v>
      </c>
      <c r="F1365" s="4" t="s">
        <v>13</v>
      </c>
    </row>
    <row r="1366" spans="1:6" ht="15" thickBot="1" x14ac:dyDescent="0.35">
      <c r="A1366" s="4"/>
    </row>
    <row r="1367" spans="1:6" x14ac:dyDescent="0.3">
      <c r="A1367" s="19" t="s">
        <v>2032</v>
      </c>
      <c r="B1367" s="20"/>
      <c r="C1367" s="20"/>
      <c r="D1367" s="20"/>
      <c r="E1367" s="20"/>
      <c r="F1367" s="20"/>
    </row>
    <row r="1368" spans="1:6" x14ac:dyDescent="0.3">
      <c r="A1368" s="12" t="s">
        <v>11</v>
      </c>
      <c r="B1368" s="13">
        <v>45729</v>
      </c>
      <c r="C1368" s="4" t="s">
        <v>12</v>
      </c>
      <c r="D1368" s="4" t="s">
        <v>4</v>
      </c>
      <c r="E1368" s="4" t="s">
        <v>13</v>
      </c>
      <c r="F1368" s="4" t="s">
        <v>13</v>
      </c>
    </row>
    <row r="1369" spans="1:6" ht="15" thickBot="1" x14ac:dyDescent="0.35">
      <c r="A1369" s="4"/>
    </row>
    <row r="1370" spans="1:6" x14ac:dyDescent="0.3">
      <c r="A1370" s="19" t="s">
        <v>2035</v>
      </c>
      <c r="B1370" s="20"/>
      <c r="C1370" s="20"/>
      <c r="D1370" s="20"/>
      <c r="E1370" s="20"/>
      <c r="F1370" s="20"/>
    </row>
    <row r="1371" spans="1:6" x14ac:dyDescent="0.3">
      <c r="A1371" s="12" t="s">
        <v>11</v>
      </c>
      <c r="B1371" s="13">
        <v>45729</v>
      </c>
      <c r="C1371" s="4" t="s">
        <v>12</v>
      </c>
      <c r="D1371" s="4" t="s">
        <v>4</v>
      </c>
      <c r="E1371" s="4" t="s">
        <v>13</v>
      </c>
      <c r="F1371" s="4" t="s">
        <v>13</v>
      </c>
    </row>
    <row r="1372" spans="1:6" ht="15" thickBot="1" x14ac:dyDescent="0.35">
      <c r="A1372" s="4"/>
    </row>
    <row r="1373" spans="1:6" x14ac:dyDescent="0.3">
      <c r="A1373" s="19" t="s">
        <v>2038</v>
      </c>
      <c r="B1373" s="20"/>
      <c r="C1373" s="20"/>
      <c r="D1373" s="20"/>
      <c r="E1373" s="20"/>
      <c r="F1373" s="20"/>
    </row>
    <row r="1374" spans="1:6" x14ac:dyDescent="0.3">
      <c r="A1374" s="12" t="s">
        <v>10</v>
      </c>
      <c r="B1374" s="13">
        <v>45729</v>
      </c>
      <c r="C1374" s="4" t="s">
        <v>12</v>
      </c>
      <c r="D1374" s="4" t="s">
        <v>4</v>
      </c>
      <c r="E1374" s="4" t="s">
        <v>13</v>
      </c>
      <c r="F1374" s="4" t="s">
        <v>13</v>
      </c>
    </row>
    <row r="1375" spans="1:6" ht="15" thickBot="1" x14ac:dyDescent="0.35">
      <c r="A1375" s="4"/>
    </row>
    <row r="1376" spans="1:6" x14ac:dyDescent="0.3">
      <c r="A1376" s="19" t="s">
        <v>2044</v>
      </c>
      <c r="B1376" s="20"/>
      <c r="C1376" s="20"/>
      <c r="D1376" s="20"/>
      <c r="E1376" s="20"/>
      <c r="F1376" s="20"/>
    </row>
    <row r="1377" spans="1:6" x14ac:dyDescent="0.3">
      <c r="A1377" s="12" t="s">
        <v>11</v>
      </c>
      <c r="B1377" s="13">
        <v>45729</v>
      </c>
      <c r="C1377" s="4" t="s">
        <v>12</v>
      </c>
      <c r="D1377" s="4" t="s">
        <v>4</v>
      </c>
      <c r="E1377" s="4" t="s">
        <v>13</v>
      </c>
      <c r="F1377" s="4" t="s">
        <v>13</v>
      </c>
    </row>
    <row r="1378" spans="1:6" ht="15" thickBot="1" x14ac:dyDescent="0.35">
      <c r="A1378" s="4"/>
    </row>
    <row r="1379" spans="1:6" x14ac:dyDescent="0.3">
      <c r="A1379" s="19" t="s">
        <v>2049</v>
      </c>
      <c r="B1379" s="20"/>
      <c r="C1379" s="20"/>
      <c r="D1379" s="20"/>
      <c r="E1379" s="20"/>
      <c r="F1379" s="20"/>
    </row>
    <row r="1380" spans="1:6" x14ac:dyDescent="0.3">
      <c r="A1380" s="12" t="s">
        <v>11</v>
      </c>
      <c r="B1380" s="13">
        <v>45729</v>
      </c>
      <c r="C1380" s="4" t="s">
        <v>12</v>
      </c>
      <c r="D1380" s="4" t="s">
        <v>4</v>
      </c>
      <c r="E1380" s="4" t="s">
        <v>13</v>
      </c>
      <c r="F1380" s="4" t="s">
        <v>13</v>
      </c>
    </row>
    <row r="1381" spans="1:6" ht="15" thickBot="1" x14ac:dyDescent="0.35">
      <c r="A1381" s="4"/>
    </row>
    <row r="1382" spans="1:6" x14ac:dyDescent="0.3">
      <c r="A1382" s="19" t="s">
        <v>2053</v>
      </c>
      <c r="B1382" s="20"/>
      <c r="C1382" s="20"/>
      <c r="D1382" s="20"/>
      <c r="E1382" s="20"/>
      <c r="F1382" s="20"/>
    </row>
    <row r="1383" spans="1:6" x14ac:dyDescent="0.3">
      <c r="A1383" s="12" t="s">
        <v>11</v>
      </c>
      <c r="B1383" s="13">
        <v>45729</v>
      </c>
      <c r="C1383" s="4" t="s">
        <v>12</v>
      </c>
      <c r="D1383" s="4" t="s">
        <v>4</v>
      </c>
      <c r="E1383" s="4" t="s">
        <v>13</v>
      </c>
      <c r="F1383" s="4" t="s">
        <v>13</v>
      </c>
    </row>
    <row r="1384" spans="1:6" ht="15" thickBot="1" x14ac:dyDescent="0.35">
      <c r="A1384" s="4"/>
    </row>
    <row r="1385" spans="1:6" x14ac:dyDescent="0.3">
      <c r="A1385" s="19" t="s">
        <v>2056</v>
      </c>
      <c r="B1385" s="20"/>
      <c r="C1385" s="20"/>
      <c r="D1385" s="20"/>
      <c r="E1385" s="20"/>
      <c r="F1385" s="20"/>
    </row>
    <row r="1386" spans="1:6" x14ac:dyDescent="0.3">
      <c r="A1386" s="12" t="s">
        <v>10</v>
      </c>
      <c r="B1386" s="13">
        <v>45729</v>
      </c>
      <c r="C1386" s="4" t="s">
        <v>12</v>
      </c>
      <c r="D1386" s="4" t="s">
        <v>4</v>
      </c>
      <c r="E1386" s="4" t="s">
        <v>13</v>
      </c>
      <c r="F1386" s="4" t="s">
        <v>13</v>
      </c>
    </row>
    <row r="1387" spans="1:6" ht="15" thickBot="1" x14ac:dyDescent="0.35">
      <c r="A1387" s="4"/>
    </row>
    <row r="1388" spans="1:6" x14ac:dyDescent="0.3">
      <c r="A1388" s="19" t="s">
        <v>2064</v>
      </c>
      <c r="B1388" s="20"/>
      <c r="C1388" s="20"/>
      <c r="D1388" s="20"/>
      <c r="E1388" s="20"/>
      <c r="F1388" s="20"/>
    </row>
    <row r="1389" spans="1:6" x14ac:dyDescent="0.3">
      <c r="A1389" s="12" t="s">
        <v>1155</v>
      </c>
      <c r="B1389" s="13">
        <v>45729</v>
      </c>
      <c r="C1389" s="4" t="s">
        <v>12</v>
      </c>
      <c r="D1389" s="4" t="s">
        <v>4</v>
      </c>
      <c r="E1389" s="4" t="s">
        <v>13</v>
      </c>
      <c r="F1389" s="4" t="s">
        <v>13</v>
      </c>
    </row>
    <row r="1390" spans="1:6" ht="15" thickBot="1" x14ac:dyDescent="0.35">
      <c r="A1390" s="4"/>
    </row>
    <row r="1391" spans="1:6" x14ac:dyDescent="0.3">
      <c r="A1391" s="19" t="s">
        <v>2072</v>
      </c>
      <c r="B1391" s="20"/>
      <c r="C1391" s="20"/>
      <c r="D1391" s="20"/>
      <c r="E1391" s="20"/>
      <c r="F1391" s="20"/>
    </row>
    <row r="1392" spans="1:6" x14ac:dyDescent="0.3">
      <c r="A1392" s="12" t="s">
        <v>1155</v>
      </c>
      <c r="B1392" s="13">
        <v>45729</v>
      </c>
      <c r="C1392" s="4" t="s">
        <v>12</v>
      </c>
      <c r="D1392" s="4" t="s">
        <v>4</v>
      </c>
      <c r="E1392" s="4" t="s">
        <v>13</v>
      </c>
      <c r="F1392" s="4" t="s">
        <v>13</v>
      </c>
    </row>
    <row r="1393" spans="1:6" ht="15" thickBot="1" x14ac:dyDescent="0.35">
      <c r="A1393" s="4"/>
    </row>
    <row r="1394" spans="1:6" x14ac:dyDescent="0.3">
      <c r="A1394" s="19" t="s">
        <v>2075</v>
      </c>
      <c r="B1394" s="20"/>
      <c r="C1394" s="20"/>
      <c r="D1394" s="20"/>
      <c r="E1394" s="20"/>
      <c r="F1394" s="20"/>
    </row>
    <row r="1395" spans="1:6" x14ac:dyDescent="0.3">
      <c r="A1395" s="12" t="s">
        <v>11</v>
      </c>
      <c r="B1395" s="13">
        <v>45729</v>
      </c>
      <c r="C1395" s="4" t="s">
        <v>12</v>
      </c>
      <c r="D1395" s="4" t="s">
        <v>4</v>
      </c>
      <c r="E1395" s="4" t="s">
        <v>13</v>
      </c>
      <c r="F1395" s="4" t="s">
        <v>13</v>
      </c>
    </row>
    <row r="1396" spans="1:6" ht="15" thickBot="1" x14ac:dyDescent="0.35">
      <c r="A1396" s="4"/>
    </row>
    <row r="1397" spans="1:6" x14ac:dyDescent="0.3">
      <c r="A1397" s="19" t="s">
        <v>2080</v>
      </c>
      <c r="B1397" s="20"/>
      <c r="C1397" s="20"/>
      <c r="D1397" s="20"/>
      <c r="E1397" s="20"/>
      <c r="F1397" s="20"/>
    </row>
    <row r="1398" spans="1:6" x14ac:dyDescent="0.3">
      <c r="A1398" s="12" t="s">
        <v>583</v>
      </c>
      <c r="B1398" s="13">
        <v>45729</v>
      </c>
      <c r="C1398" s="4" t="s">
        <v>12</v>
      </c>
      <c r="D1398" s="4" t="s">
        <v>4</v>
      </c>
      <c r="E1398" s="4" t="s">
        <v>13</v>
      </c>
      <c r="F1398" s="4" t="s">
        <v>13</v>
      </c>
    </row>
    <row r="1399" spans="1:6" ht="15" thickBot="1" x14ac:dyDescent="0.35">
      <c r="A1399" s="4"/>
    </row>
    <row r="1400" spans="1:6" x14ac:dyDescent="0.3">
      <c r="A1400" s="19" t="s">
        <v>2083</v>
      </c>
      <c r="B1400" s="20"/>
      <c r="C1400" s="20"/>
      <c r="D1400" s="20"/>
      <c r="E1400" s="20"/>
      <c r="F1400" s="20"/>
    </row>
    <row r="1401" spans="1:6" x14ac:dyDescent="0.3">
      <c r="A1401" s="12" t="s">
        <v>583</v>
      </c>
      <c r="B1401" s="13">
        <v>45729</v>
      </c>
      <c r="C1401" s="4" t="s">
        <v>12</v>
      </c>
      <c r="D1401" s="4" t="s">
        <v>4</v>
      </c>
      <c r="E1401" s="4" t="s">
        <v>13</v>
      </c>
      <c r="F1401" s="4" t="s">
        <v>13</v>
      </c>
    </row>
    <row r="1402" spans="1:6" ht="15" thickBot="1" x14ac:dyDescent="0.35">
      <c r="A1402" s="4"/>
    </row>
    <row r="1403" spans="1:6" x14ac:dyDescent="0.3">
      <c r="A1403" s="19" t="s">
        <v>2088</v>
      </c>
      <c r="B1403" s="20"/>
      <c r="C1403" s="20"/>
      <c r="D1403" s="20"/>
      <c r="E1403" s="20"/>
      <c r="F1403" s="20"/>
    </row>
    <row r="1404" spans="1:6" x14ac:dyDescent="0.3">
      <c r="A1404" s="12" t="s">
        <v>1155</v>
      </c>
      <c r="B1404" s="13">
        <v>45729</v>
      </c>
      <c r="C1404" s="4" t="s">
        <v>12</v>
      </c>
      <c r="D1404" s="4" t="s">
        <v>4</v>
      </c>
      <c r="E1404" s="4" t="s">
        <v>13</v>
      </c>
      <c r="F1404" s="4" t="s">
        <v>13</v>
      </c>
    </row>
    <row r="1405" spans="1:6" ht="15" thickBot="1" x14ac:dyDescent="0.35">
      <c r="A1405" s="4"/>
    </row>
    <row r="1406" spans="1:6" x14ac:dyDescent="0.3">
      <c r="A1406" s="19" t="s">
        <v>2096</v>
      </c>
      <c r="B1406" s="20"/>
      <c r="C1406" s="20"/>
      <c r="D1406" s="20"/>
      <c r="E1406" s="20"/>
      <c r="F1406" s="20"/>
    </row>
    <row r="1407" spans="1:6" x14ac:dyDescent="0.3">
      <c r="A1407" s="12" t="s">
        <v>11</v>
      </c>
      <c r="B1407" s="13">
        <v>45729</v>
      </c>
      <c r="C1407" s="4" t="s">
        <v>12</v>
      </c>
      <c r="D1407" s="4" t="s">
        <v>4</v>
      </c>
      <c r="E1407" s="4" t="s">
        <v>13</v>
      </c>
      <c r="F1407" s="4" t="s">
        <v>13</v>
      </c>
    </row>
    <row r="1408" spans="1:6" ht="15" thickBot="1" x14ac:dyDescent="0.35">
      <c r="A1408" s="4"/>
    </row>
    <row r="1409" spans="1:6" x14ac:dyDescent="0.3">
      <c r="A1409" s="19" t="s">
        <v>2101</v>
      </c>
      <c r="B1409" s="20"/>
      <c r="C1409" s="20"/>
      <c r="D1409" s="20"/>
      <c r="E1409" s="20"/>
      <c r="F1409" s="20"/>
    </row>
    <row r="1410" spans="1:6" x14ac:dyDescent="0.3">
      <c r="A1410" s="12" t="s">
        <v>1102</v>
      </c>
      <c r="B1410" s="13">
        <v>45729</v>
      </c>
      <c r="C1410" s="4" t="s">
        <v>12</v>
      </c>
      <c r="D1410" s="4" t="s">
        <v>4</v>
      </c>
      <c r="E1410" s="4" t="s">
        <v>13</v>
      </c>
      <c r="F1410" s="4" t="s">
        <v>13</v>
      </c>
    </row>
    <row r="1411" spans="1:6" ht="15" thickBot="1" x14ac:dyDescent="0.35">
      <c r="A1411" s="4"/>
    </row>
    <row r="1412" spans="1:6" x14ac:dyDescent="0.3">
      <c r="A1412" s="19" t="s">
        <v>2106</v>
      </c>
      <c r="B1412" s="20"/>
      <c r="C1412" s="20"/>
      <c r="D1412" s="20"/>
      <c r="E1412" s="20"/>
      <c r="F1412" s="20"/>
    </row>
    <row r="1413" spans="1:6" x14ac:dyDescent="0.3">
      <c r="A1413" s="12" t="s">
        <v>1102</v>
      </c>
      <c r="B1413" s="13">
        <v>45729</v>
      </c>
      <c r="C1413" s="4" t="s">
        <v>12</v>
      </c>
      <c r="D1413" s="4" t="s">
        <v>4</v>
      </c>
      <c r="E1413" s="4" t="s">
        <v>13</v>
      </c>
      <c r="F1413" s="4" t="s">
        <v>13</v>
      </c>
    </row>
    <row r="1414" spans="1:6" ht="15" thickBot="1" x14ac:dyDescent="0.35">
      <c r="A1414" s="4"/>
    </row>
    <row r="1415" spans="1:6" x14ac:dyDescent="0.3">
      <c r="A1415" s="19" t="s">
        <v>2108</v>
      </c>
      <c r="B1415" s="20"/>
      <c r="C1415" s="20"/>
      <c r="D1415" s="20"/>
      <c r="E1415" s="20"/>
      <c r="F1415" s="20"/>
    </row>
    <row r="1416" spans="1:6" x14ac:dyDescent="0.3">
      <c r="A1416" s="12" t="s">
        <v>1155</v>
      </c>
      <c r="B1416" s="13">
        <v>45729</v>
      </c>
      <c r="C1416" s="4" t="s">
        <v>12</v>
      </c>
      <c r="D1416" s="4" t="s">
        <v>4</v>
      </c>
      <c r="E1416" s="4" t="s">
        <v>13</v>
      </c>
      <c r="F1416" s="4" t="s">
        <v>13</v>
      </c>
    </row>
    <row r="1417" spans="1:6" ht="15" thickBot="1" x14ac:dyDescent="0.35">
      <c r="A1417" s="4"/>
    </row>
    <row r="1418" spans="1:6" x14ac:dyDescent="0.3">
      <c r="A1418" s="19" t="s">
        <v>2115</v>
      </c>
      <c r="B1418" s="20"/>
      <c r="C1418" s="20"/>
      <c r="D1418" s="20"/>
      <c r="E1418" s="20"/>
      <c r="F1418" s="20"/>
    </row>
    <row r="1419" spans="1:6" x14ac:dyDescent="0.3">
      <c r="A1419" s="12" t="s">
        <v>1102</v>
      </c>
      <c r="B1419" s="13">
        <v>45729</v>
      </c>
      <c r="C1419" s="4" t="s">
        <v>12</v>
      </c>
      <c r="D1419" s="4" t="s">
        <v>4</v>
      </c>
      <c r="E1419" s="4" t="s">
        <v>13</v>
      </c>
      <c r="F1419" s="4" t="s">
        <v>13</v>
      </c>
    </row>
    <row r="1420" spans="1:6" ht="15" thickBot="1" x14ac:dyDescent="0.35">
      <c r="A1420" s="4"/>
    </row>
    <row r="1421" spans="1:6" x14ac:dyDescent="0.3">
      <c r="A1421" s="19" t="s">
        <v>2122</v>
      </c>
      <c r="B1421" s="20"/>
      <c r="C1421" s="20"/>
      <c r="D1421" s="20"/>
      <c r="E1421" s="20"/>
      <c r="F1421" s="20"/>
    </row>
    <row r="1422" spans="1:6" x14ac:dyDescent="0.3">
      <c r="A1422" s="12" t="s">
        <v>583</v>
      </c>
      <c r="B1422" s="13">
        <v>45729</v>
      </c>
      <c r="C1422" s="4" t="s">
        <v>12</v>
      </c>
      <c r="D1422" s="4" t="s">
        <v>4</v>
      </c>
      <c r="E1422" s="4" t="s">
        <v>13</v>
      </c>
      <c r="F1422" s="4" t="s">
        <v>13</v>
      </c>
    </row>
    <row r="1423" spans="1:6" ht="15" thickBot="1" x14ac:dyDescent="0.35">
      <c r="A1423" s="4"/>
    </row>
    <row r="1424" spans="1:6" x14ac:dyDescent="0.3">
      <c r="A1424" s="19" t="s">
        <v>2127</v>
      </c>
      <c r="B1424" s="20"/>
      <c r="C1424" s="20"/>
      <c r="D1424" s="20"/>
      <c r="E1424" s="20"/>
      <c r="F1424" s="20"/>
    </row>
    <row r="1425" spans="1:6" x14ac:dyDescent="0.3">
      <c r="A1425" s="12" t="s">
        <v>583</v>
      </c>
      <c r="B1425" s="13">
        <v>45729</v>
      </c>
      <c r="C1425" s="4" t="s">
        <v>12</v>
      </c>
      <c r="D1425" s="4" t="s">
        <v>4</v>
      </c>
      <c r="E1425" s="4" t="s">
        <v>13</v>
      </c>
      <c r="F1425" s="4" t="s">
        <v>13</v>
      </c>
    </row>
    <row r="1426" spans="1:6" ht="15" thickBot="1" x14ac:dyDescent="0.35">
      <c r="A1426" s="4"/>
    </row>
    <row r="1427" spans="1:6" x14ac:dyDescent="0.3">
      <c r="A1427" s="19" t="s">
        <v>2137</v>
      </c>
      <c r="B1427" s="20"/>
      <c r="C1427" s="20"/>
      <c r="D1427" s="20"/>
      <c r="E1427" s="20"/>
      <c r="F1427" s="20"/>
    </row>
    <row r="1428" spans="1:6" x14ac:dyDescent="0.3">
      <c r="A1428" s="12" t="s">
        <v>1155</v>
      </c>
      <c r="B1428" s="13">
        <v>45729</v>
      </c>
      <c r="C1428" s="4" t="s">
        <v>12</v>
      </c>
      <c r="D1428" s="4" t="s">
        <v>4</v>
      </c>
      <c r="E1428" s="4" t="s">
        <v>13</v>
      </c>
      <c r="F1428" s="4" t="s">
        <v>13</v>
      </c>
    </row>
    <row r="1429" spans="1:6" ht="15" thickBot="1" x14ac:dyDescent="0.35">
      <c r="A1429" s="4"/>
    </row>
    <row r="1430" spans="1:6" x14ac:dyDescent="0.3">
      <c r="A1430" s="19" t="s">
        <v>2140</v>
      </c>
      <c r="B1430" s="20"/>
      <c r="C1430" s="20"/>
      <c r="D1430" s="20"/>
      <c r="E1430" s="20"/>
      <c r="F1430" s="20"/>
    </row>
    <row r="1431" spans="1:6" x14ac:dyDescent="0.3">
      <c r="A1431" s="12" t="s">
        <v>11</v>
      </c>
      <c r="B1431" s="13">
        <v>45729</v>
      </c>
      <c r="C1431" s="4" t="s">
        <v>12</v>
      </c>
      <c r="D1431" s="4" t="s">
        <v>4</v>
      </c>
      <c r="E1431" s="4" t="s">
        <v>13</v>
      </c>
      <c r="F1431" s="4" t="s">
        <v>13</v>
      </c>
    </row>
    <row r="1432" spans="1:6" ht="15" thickBot="1" x14ac:dyDescent="0.35">
      <c r="A1432" s="4"/>
    </row>
    <row r="1433" spans="1:6" x14ac:dyDescent="0.3">
      <c r="A1433" s="19" t="s">
        <v>2145</v>
      </c>
      <c r="B1433" s="20"/>
      <c r="C1433" s="20"/>
      <c r="D1433" s="20"/>
      <c r="E1433" s="20"/>
      <c r="F1433" s="20"/>
    </row>
    <row r="1434" spans="1:6" x14ac:dyDescent="0.3">
      <c r="A1434" s="12" t="s">
        <v>10</v>
      </c>
      <c r="B1434" s="13">
        <v>45729</v>
      </c>
      <c r="C1434" s="4" t="s">
        <v>12</v>
      </c>
      <c r="D1434" s="4" t="s">
        <v>4</v>
      </c>
      <c r="E1434" s="4" t="s">
        <v>13</v>
      </c>
      <c r="F1434" s="4" t="s">
        <v>13</v>
      </c>
    </row>
    <row r="1435" spans="1:6" ht="15" thickBot="1" x14ac:dyDescent="0.35">
      <c r="A1435" s="4"/>
    </row>
    <row r="1436" spans="1:6" x14ac:dyDescent="0.3">
      <c r="A1436" s="19" t="s">
        <v>2150</v>
      </c>
      <c r="B1436" s="20"/>
      <c r="C1436" s="20"/>
      <c r="D1436" s="20"/>
      <c r="E1436" s="20"/>
      <c r="F1436" s="20"/>
    </row>
    <row r="1437" spans="1:6" x14ac:dyDescent="0.3">
      <c r="A1437" s="12" t="s">
        <v>10</v>
      </c>
      <c r="B1437" s="13">
        <v>45729</v>
      </c>
      <c r="C1437" s="4" t="s">
        <v>12</v>
      </c>
      <c r="D1437" s="4" t="s">
        <v>4</v>
      </c>
      <c r="E1437" s="4" t="s">
        <v>13</v>
      </c>
      <c r="F1437" s="4" t="s">
        <v>13</v>
      </c>
    </row>
    <row r="1438" spans="1:6" ht="15" thickBot="1" x14ac:dyDescent="0.35">
      <c r="A1438" s="4"/>
    </row>
    <row r="1439" spans="1:6" x14ac:dyDescent="0.3">
      <c r="A1439" s="19" t="s">
        <v>2153</v>
      </c>
      <c r="B1439" s="20"/>
      <c r="C1439" s="20"/>
      <c r="D1439" s="20"/>
      <c r="E1439" s="20"/>
      <c r="F1439" s="20"/>
    </row>
    <row r="1440" spans="1:6" x14ac:dyDescent="0.3">
      <c r="A1440" s="12" t="s">
        <v>10</v>
      </c>
      <c r="B1440" s="13">
        <v>45729</v>
      </c>
      <c r="C1440" s="4" t="s">
        <v>12</v>
      </c>
      <c r="D1440" s="4" t="s">
        <v>4</v>
      </c>
      <c r="E1440" s="4" t="s">
        <v>13</v>
      </c>
      <c r="F1440" s="4" t="s">
        <v>13</v>
      </c>
    </row>
    <row r="1441" spans="1:6" ht="15" thickBot="1" x14ac:dyDescent="0.35">
      <c r="A1441" s="4"/>
    </row>
    <row r="1442" spans="1:6" x14ac:dyDescent="0.3">
      <c r="A1442" s="19" t="s">
        <v>2158</v>
      </c>
      <c r="B1442" s="20"/>
      <c r="C1442" s="20"/>
      <c r="D1442" s="20"/>
      <c r="E1442" s="20"/>
      <c r="F1442" s="20"/>
    </row>
    <row r="1443" spans="1:6" x14ac:dyDescent="0.3">
      <c r="A1443" s="12" t="s">
        <v>10</v>
      </c>
      <c r="B1443" s="13">
        <v>45729</v>
      </c>
      <c r="C1443" s="4" t="s">
        <v>12</v>
      </c>
      <c r="D1443" s="4" t="s">
        <v>4</v>
      </c>
      <c r="E1443" s="4" t="s">
        <v>13</v>
      </c>
      <c r="F1443" s="4" t="s">
        <v>13</v>
      </c>
    </row>
    <row r="1444" spans="1:6" ht="15" thickBot="1" x14ac:dyDescent="0.35">
      <c r="A1444" s="4"/>
    </row>
    <row r="1445" spans="1:6" x14ac:dyDescent="0.3">
      <c r="A1445" s="19" t="s">
        <v>2163</v>
      </c>
      <c r="B1445" s="20"/>
      <c r="C1445" s="20"/>
      <c r="D1445" s="20"/>
      <c r="E1445" s="20"/>
      <c r="F1445" s="20"/>
    </row>
    <row r="1446" spans="1:6" x14ac:dyDescent="0.3">
      <c r="A1446" s="12" t="s">
        <v>11</v>
      </c>
      <c r="B1446" s="13">
        <v>45729</v>
      </c>
      <c r="C1446" s="4" t="s">
        <v>12</v>
      </c>
      <c r="D1446" s="4" t="s">
        <v>4</v>
      </c>
      <c r="E1446" s="4" t="s">
        <v>13</v>
      </c>
      <c r="F1446" s="4" t="s">
        <v>13</v>
      </c>
    </row>
    <row r="1447" spans="1:6" ht="15" thickBot="1" x14ac:dyDescent="0.35">
      <c r="A1447" s="4"/>
    </row>
    <row r="1448" spans="1:6" x14ac:dyDescent="0.3">
      <c r="A1448" s="19" t="s">
        <v>2168</v>
      </c>
      <c r="B1448" s="20"/>
      <c r="C1448" s="20"/>
      <c r="D1448" s="20"/>
      <c r="E1448" s="20"/>
      <c r="F1448" s="20"/>
    </row>
    <row r="1449" spans="1:6" x14ac:dyDescent="0.3">
      <c r="A1449" s="12" t="s">
        <v>11</v>
      </c>
      <c r="B1449" s="13">
        <v>45729</v>
      </c>
      <c r="C1449" s="4" t="s">
        <v>12</v>
      </c>
      <c r="D1449" s="4" t="s">
        <v>4</v>
      </c>
      <c r="E1449" s="4" t="s">
        <v>13</v>
      </c>
      <c r="F1449" s="4" t="s">
        <v>13</v>
      </c>
    </row>
    <row r="1450" spans="1:6" ht="15" thickBot="1" x14ac:dyDescent="0.35">
      <c r="A1450" s="4"/>
    </row>
    <row r="1451" spans="1:6" x14ac:dyDescent="0.3">
      <c r="A1451" s="19" t="s">
        <v>2173</v>
      </c>
      <c r="B1451" s="20"/>
      <c r="C1451" s="20"/>
      <c r="D1451" s="20"/>
      <c r="E1451" s="20"/>
      <c r="F1451" s="20"/>
    </row>
    <row r="1452" spans="1:6" x14ac:dyDescent="0.3">
      <c r="A1452" s="12" t="s">
        <v>10</v>
      </c>
      <c r="B1452" s="13">
        <v>45729</v>
      </c>
      <c r="C1452" s="4" t="s">
        <v>12</v>
      </c>
      <c r="D1452" s="4" t="s">
        <v>4</v>
      </c>
      <c r="E1452" s="4" t="s">
        <v>13</v>
      </c>
      <c r="F1452" s="4" t="s">
        <v>13</v>
      </c>
    </row>
    <row r="1453" spans="1:6" ht="15" thickBot="1" x14ac:dyDescent="0.35">
      <c r="A1453" s="4"/>
    </row>
    <row r="1454" spans="1:6" x14ac:dyDescent="0.3">
      <c r="A1454" s="19" t="s">
        <v>2178</v>
      </c>
      <c r="B1454" s="20"/>
      <c r="C1454" s="20"/>
      <c r="D1454" s="20"/>
      <c r="E1454" s="20"/>
      <c r="F1454" s="20"/>
    </row>
    <row r="1455" spans="1:6" x14ac:dyDescent="0.3">
      <c r="A1455" s="12" t="s">
        <v>10</v>
      </c>
      <c r="B1455" s="13">
        <v>45729</v>
      </c>
      <c r="C1455" s="4" t="s">
        <v>12</v>
      </c>
      <c r="D1455" s="4" t="s">
        <v>4</v>
      </c>
      <c r="E1455" s="4" t="s">
        <v>13</v>
      </c>
      <c r="F1455" s="4" t="s">
        <v>13</v>
      </c>
    </row>
    <row r="1456" spans="1:6" ht="15" thickBot="1" x14ac:dyDescent="0.35">
      <c r="A1456" s="4"/>
    </row>
    <row r="1457" spans="1:6" x14ac:dyDescent="0.3">
      <c r="A1457" s="19" t="s">
        <v>2184</v>
      </c>
      <c r="B1457" s="20"/>
      <c r="C1457" s="20"/>
      <c r="D1457" s="20"/>
      <c r="E1457" s="20"/>
      <c r="F1457" s="20"/>
    </row>
    <row r="1458" spans="1:6" x14ac:dyDescent="0.3">
      <c r="A1458" s="12" t="s">
        <v>11</v>
      </c>
      <c r="B1458" s="13">
        <v>45729</v>
      </c>
      <c r="C1458" s="4" t="s">
        <v>12</v>
      </c>
      <c r="D1458" s="4" t="s">
        <v>4</v>
      </c>
      <c r="E1458" s="4" t="s">
        <v>13</v>
      </c>
      <c r="F1458" s="4" t="s">
        <v>13</v>
      </c>
    </row>
    <row r="1459" spans="1:6" ht="15" thickBot="1" x14ac:dyDescent="0.35">
      <c r="A1459" s="4"/>
    </row>
    <row r="1460" spans="1:6" x14ac:dyDescent="0.3">
      <c r="A1460" s="19" t="s">
        <v>2187</v>
      </c>
      <c r="B1460" s="20"/>
      <c r="C1460" s="20"/>
      <c r="D1460" s="20"/>
      <c r="E1460" s="20"/>
      <c r="F1460" s="20"/>
    </row>
    <row r="1461" spans="1:6" x14ac:dyDescent="0.3">
      <c r="A1461" s="12" t="s">
        <v>10</v>
      </c>
      <c r="B1461" s="13">
        <v>45729</v>
      </c>
      <c r="C1461" s="4" t="s">
        <v>12</v>
      </c>
      <c r="D1461" s="4" t="s">
        <v>4</v>
      </c>
      <c r="E1461" s="4" t="s">
        <v>13</v>
      </c>
      <c r="F1461" s="4" t="s">
        <v>13</v>
      </c>
    </row>
    <row r="1462" spans="1:6" ht="15" thickBot="1" x14ac:dyDescent="0.35">
      <c r="A1462" s="4"/>
    </row>
    <row r="1463" spans="1:6" x14ac:dyDescent="0.3">
      <c r="A1463" s="19" t="s">
        <v>2192</v>
      </c>
      <c r="B1463" s="20"/>
      <c r="C1463" s="20"/>
      <c r="D1463" s="20"/>
      <c r="E1463" s="20"/>
      <c r="F1463" s="20"/>
    </row>
    <row r="1464" spans="1:6" x14ac:dyDescent="0.3">
      <c r="A1464" s="12" t="s">
        <v>10</v>
      </c>
      <c r="B1464" s="13">
        <v>45729</v>
      </c>
      <c r="C1464" s="4" t="s">
        <v>12</v>
      </c>
      <c r="D1464" s="4" t="s">
        <v>4</v>
      </c>
      <c r="E1464" s="4" t="s">
        <v>13</v>
      </c>
      <c r="F1464" s="4" t="s">
        <v>13</v>
      </c>
    </row>
    <row r="1465" spans="1:6" ht="15" thickBot="1" x14ac:dyDescent="0.35">
      <c r="A1465" s="4"/>
    </row>
    <row r="1466" spans="1:6" x14ac:dyDescent="0.3">
      <c r="A1466" s="19" t="s">
        <v>2197</v>
      </c>
      <c r="B1466" s="20"/>
      <c r="C1466" s="20"/>
      <c r="D1466" s="20"/>
      <c r="E1466" s="20"/>
      <c r="F1466" s="20"/>
    </row>
    <row r="1467" spans="1:6" x14ac:dyDescent="0.3">
      <c r="A1467" s="12" t="s">
        <v>11</v>
      </c>
      <c r="B1467" s="13">
        <v>45729</v>
      </c>
      <c r="C1467" s="4" t="s">
        <v>12</v>
      </c>
      <c r="D1467" s="4" t="s">
        <v>4</v>
      </c>
      <c r="E1467" s="4" t="s">
        <v>13</v>
      </c>
      <c r="F1467" s="4" t="s">
        <v>13</v>
      </c>
    </row>
    <row r="1468" spans="1:6" ht="15" thickBot="1" x14ac:dyDescent="0.35">
      <c r="A1468" s="4"/>
    </row>
    <row r="1469" spans="1:6" x14ac:dyDescent="0.3">
      <c r="A1469" s="19" t="s">
        <v>2200</v>
      </c>
      <c r="B1469" s="20"/>
      <c r="C1469" s="20"/>
      <c r="D1469" s="20"/>
      <c r="E1469" s="20"/>
      <c r="F1469" s="20"/>
    </row>
    <row r="1470" spans="1:6" x14ac:dyDescent="0.3">
      <c r="A1470" s="12" t="s">
        <v>11</v>
      </c>
      <c r="B1470" s="13">
        <v>45729</v>
      </c>
      <c r="C1470" s="4" t="s">
        <v>12</v>
      </c>
      <c r="D1470" s="4" t="s">
        <v>4</v>
      </c>
      <c r="E1470" s="4" t="s">
        <v>13</v>
      </c>
      <c r="F1470" s="4" t="s">
        <v>13</v>
      </c>
    </row>
    <row r="1471" spans="1:6" ht="15" thickBot="1" x14ac:dyDescent="0.35">
      <c r="A1471" s="4"/>
    </row>
    <row r="1472" spans="1:6" x14ac:dyDescent="0.3">
      <c r="A1472" s="19" t="s">
        <v>2205</v>
      </c>
      <c r="B1472" s="20"/>
      <c r="C1472" s="20"/>
      <c r="D1472" s="20"/>
      <c r="E1472" s="20"/>
      <c r="F1472" s="20"/>
    </row>
    <row r="1473" spans="1:6" x14ac:dyDescent="0.3">
      <c r="A1473" s="12" t="s">
        <v>11</v>
      </c>
      <c r="B1473" s="13">
        <v>45729</v>
      </c>
      <c r="C1473" s="4" t="s">
        <v>12</v>
      </c>
      <c r="D1473" s="4" t="s">
        <v>4</v>
      </c>
      <c r="E1473" s="4" t="s">
        <v>13</v>
      </c>
      <c r="F1473" s="4" t="s">
        <v>13</v>
      </c>
    </row>
    <row r="1474" spans="1:6" ht="15" thickBot="1" x14ac:dyDescent="0.35">
      <c r="A1474" s="4"/>
    </row>
    <row r="1475" spans="1:6" x14ac:dyDescent="0.3">
      <c r="A1475" s="19" t="s">
        <v>2210</v>
      </c>
      <c r="B1475" s="20"/>
      <c r="C1475" s="20"/>
      <c r="D1475" s="20"/>
      <c r="E1475" s="20"/>
      <c r="F1475" s="20"/>
    </row>
    <row r="1476" spans="1:6" x14ac:dyDescent="0.3">
      <c r="A1476" s="12" t="s">
        <v>10</v>
      </c>
      <c r="B1476" s="13">
        <v>45729</v>
      </c>
      <c r="C1476" s="4" t="s">
        <v>12</v>
      </c>
      <c r="D1476" s="4" t="s">
        <v>4</v>
      </c>
      <c r="E1476" s="4" t="s">
        <v>13</v>
      </c>
      <c r="F1476" s="4" t="s">
        <v>13</v>
      </c>
    </row>
    <row r="1477" spans="1:6" ht="15" thickBot="1" x14ac:dyDescent="0.35">
      <c r="A1477" s="4"/>
    </row>
    <row r="1478" spans="1:6" x14ac:dyDescent="0.3">
      <c r="A1478" s="19" t="s">
        <v>2213</v>
      </c>
      <c r="B1478" s="20"/>
      <c r="C1478" s="20"/>
      <c r="D1478" s="20"/>
      <c r="E1478" s="20"/>
      <c r="F1478" s="20"/>
    </row>
    <row r="1479" spans="1:6" x14ac:dyDescent="0.3">
      <c r="A1479" s="12" t="s">
        <v>10</v>
      </c>
      <c r="B1479" s="13">
        <v>45729</v>
      </c>
      <c r="C1479" s="4" t="s">
        <v>12</v>
      </c>
      <c r="D1479" s="4" t="s">
        <v>4</v>
      </c>
      <c r="E1479" s="4" t="s">
        <v>13</v>
      </c>
      <c r="F1479" s="4" t="s">
        <v>13</v>
      </c>
    </row>
    <row r="1480" spans="1:6" ht="15" thickBot="1" x14ac:dyDescent="0.35">
      <c r="A1480" s="4"/>
    </row>
    <row r="1481" spans="1:6" x14ac:dyDescent="0.3">
      <c r="A1481" s="19" t="s">
        <v>2219</v>
      </c>
      <c r="B1481" s="20"/>
      <c r="C1481" s="20"/>
      <c r="D1481" s="20"/>
      <c r="E1481" s="20"/>
      <c r="F1481" s="20"/>
    </row>
    <row r="1482" spans="1:6" x14ac:dyDescent="0.3">
      <c r="A1482" s="12" t="s">
        <v>10</v>
      </c>
      <c r="B1482" s="13">
        <v>45729</v>
      </c>
      <c r="C1482" s="4" t="s">
        <v>12</v>
      </c>
      <c r="D1482" s="4" t="s">
        <v>4</v>
      </c>
      <c r="E1482" s="4" t="s">
        <v>13</v>
      </c>
      <c r="F1482" s="4" t="s">
        <v>13</v>
      </c>
    </row>
    <row r="1483" spans="1:6" ht="15" thickBot="1" x14ac:dyDescent="0.35">
      <c r="A1483" s="4"/>
    </row>
    <row r="1484" spans="1:6" x14ac:dyDescent="0.3">
      <c r="A1484" s="19" t="s">
        <v>2224</v>
      </c>
      <c r="B1484" s="20"/>
      <c r="C1484" s="20"/>
      <c r="D1484" s="20"/>
      <c r="E1484" s="20"/>
      <c r="F1484" s="20"/>
    </row>
    <row r="1485" spans="1:6" x14ac:dyDescent="0.3">
      <c r="A1485" s="12" t="s">
        <v>11</v>
      </c>
      <c r="B1485" s="13">
        <v>45729</v>
      </c>
      <c r="C1485" s="4" t="s">
        <v>12</v>
      </c>
      <c r="D1485" s="4" t="s">
        <v>4</v>
      </c>
      <c r="E1485" s="4" t="s">
        <v>13</v>
      </c>
      <c r="F1485" s="4" t="s">
        <v>13</v>
      </c>
    </row>
    <row r="1486" spans="1:6" ht="15" thickBot="1" x14ac:dyDescent="0.35">
      <c r="A1486" s="4"/>
    </row>
    <row r="1487" spans="1:6" x14ac:dyDescent="0.3">
      <c r="A1487" s="19" t="s">
        <v>2227</v>
      </c>
      <c r="B1487" s="20"/>
      <c r="C1487" s="20"/>
      <c r="D1487" s="20"/>
      <c r="E1487" s="20"/>
      <c r="F1487" s="20"/>
    </row>
    <row r="1488" spans="1:6" x14ac:dyDescent="0.3">
      <c r="A1488" s="12" t="s">
        <v>11</v>
      </c>
      <c r="B1488" s="13">
        <v>45729</v>
      </c>
      <c r="C1488" s="4" t="s">
        <v>12</v>
      </c>
      <c r="D1488" s="4" t="s">
        <v>4</v>
      </c>
      <c r="E1488" s="4" t="s">
        <v>13</v>
      </c>
      <c r="F1488" s="4" t="s">
        <v>13</v>
      </c>
    </row>
    <row r="1489" spans="1:6" ht="15" thickBot="1" x14ac:dyDescent="0.35">
      <c r="A1489" s="4"/>
    </row>
    <row r="1490" spans="1:6" x14ac:dyDescent="0.3">
      <c r="A1490" s="19" t="s">
        <v>2229</v>
      </c>
      <c r="B1490" s="20"/>
      <c r="C1490" s="20"/>
      <c r="D1490" s="20"/>
      <c r="E1490" s="20"/>
      <c r="F1490" s="20"/>
    </row>
    <row r="1491" spans="1:6" x14ac:dyDescent="0.3">
      <c r="A1491" s="12" t="s">
        <v>11</v>
      </c>
      <c r="B1491" s="13">
        <v>45729</v>
      </c>
      <c r="C1491" s="4" t="s">
        <v>12</v>
      </c>
      <c r="D1491" s="4" t="s">
        <v>4</v>
      </c>
      <c r="E1491" s="4" t="s">
        <v>13</v>
      </c>
      <c r="F1491" s="4" t="s">
        <v>13</v>
      </c>
    </row>
    <row r="1492" spans="1:6" ht="15" thickBot="1" x14ac:dyDescent="0.35">
      <c r="A1492" s="4"/>
    </row>
    <row r="1493" spans="1:6" x14ac:dyDescent="0.3">
      <c r="A1493" s="19" t="s">
        <v>2233</v>
      </c>
      <c r="B1493" s="20"/>
      <c r="C1493" s="20"/>
      <c r="D1493" s="20"/>
      <c r="E1493" s="20"/>
      <c r="F1493" s="20"/>
    </row>
    <row r="1494" spans="1:6" x14ac:dyDescent="0.3">
      <c r="A1494" s="12" t="s">
        <v>11</v>
      </c>
      <c r="B1494" s="13">
        <v>45729</v>
      </c>
      <c r="C1494" s="4" t="s">
        <v>12</v>
      </c>
      <c r="D1494" s="4" t="s">
        <v>4</v>
      </c>
      <c r="E1494" s="4" t="s">
        <v>13</v>
      </c>
      <c r="F1494" s="4" t="s">
        <v>13</v>
      </c>
    </row>
    <row r="1495" spans="1:6" ht="15" thickBot="1" x14ac:dyDescent="0.35">
      <c r="A1495" s="4"/>
    </row>
    <row r="1496" spans="1:6" x14ac:dyDescent="0.3">
      <c r="A1496" s="19" t="s">
        <v>2238</v>
      </c>
      <c r="B1496" s="20"/>
      <c r="C1496" s="20"/>
      <c r="D1496" s="20"/>
      <c r="E1496" s="20"/>
      <c r="F1496" s="20"/>
    </row>
    <row r="1497" spans="1:6" x14ac:dyDescent="0.3">
      <c r="A1497" s="12" t="s">
        <v>10</v>
      </c>
      <c r="B1497" s="13">
        <v>45729</v>
      </c>
      <c r="C1497" s="4" t="s">
        <v>12</v>
      </c>
      <c r="D1497" s="4" t="s">
        <v>4</v>
      </c>
      <c r="E1497" s="4" t="s">
        <v>13</v>
      </c>
      <c r="F1497" s="4" t="s">
        <v>13</v>
      </c>
    </row>
    <row r="1498" spans="1:6" ht="15" thickBot="1" x14ac:dyDescent="0.35">
      <c r="A1498" s="4"/>
    </row>
    <row r="1499" spans="1:6" x14ac:dyDescent="0.3">
      <c r="A1499" s="19" t="s">
        <v>2243</v>
      </c>
      <c r="B1499" s="20"/>
      <c r="C1499" s="20"/>
      <c r="D1499" s="20"/>
      <c r="E1499" s="20"/>
      <c r="F1499" s="20"/>
    </row>
    <row r="1500" spans="1:6" x14ac:dyDescent="0.3">
      <c r="A1500" s="12" t="s">
        <v>10</v>
      </c>
      <c r="B1500" s="13">
        <v>45729</v>
      </c>
      <c r="C1500" s="4" t="s">
        <v>12</v>
      </c>
      <c r="D1500" s="4" t="s">
        <v>4</v>
      </c>
      <c r="E1500" s="4" t="s">
        <v>13</v>
      </c>
      <c r="F1500" s="4" t="s">
        <v>13</v>
      </c>
    </row>
    <row r="1501" spans="1:6" ht="15" thickBot="1" x14ac:dyDescent="0.35">
      <c r="A1501" s="4"/>
    </row>
    <row r="1502" spans="1:6" x14ac:dyDescent="0.3">
      <c r="A1502" s="19" t="s">
        <v>2246</v>
      </c>
      <c r="B1502" s="20"/>
      <c r="C1502" s="20"/>
      <c r="D1502" s="20"/>
      <c r="E1502" s="20"/>
      <c r="F1502" s="20"/>
    </row>
    <row r="1503" spans="1:6" x14ac:dyDescent="0.3">
      <c r="A1503" s="12" t="s">
        <v>10</v>
      </c>
      <c r="B1503" s="13">
        <v>45729</v>
      </c>
      <c r="C1503" s="4" t="s">
        <v>12</v>
      </c>
      <c r="D1503" s="4" t="s">
        <v>4</v>
      </c>
      <c r="E1503" s="4" t="s">
        <v>13</v>
      </c>
      <c r="F1503" s="4" t="s">
        <v>13</v>
      </c>
    </row>
    <row r="1504" spans="1:6" ht="15" thickBot="1" x14ac:dyDescent="0.35">
      <c r="A1504" s="4"/>
    </row>
    <row r="1505" spans="1:6" x14ac:dyDescent="0.3">
      <c r="A1505" s="19" t="s">
        <v>2251</v>
      </c>
      <c r="B1505" s="20"/>
      <c r="C1505" s="20"/>
      <c r="D1505" s="20"/>
      <c r="E1505" s="20"/>
      <c r="F1505" s="20"/>
    </row>
    <row r="1506" spans="1:6" x14ac:dyDescent="0.3">
      <c r="A1506" s="12" t="s">
        <v>11</v>
      </c>
      <c r="B1506" s="13">
        <v>45729</v>
      </c>
      <c r="C1506" s="4" t="s">
        <v>12</v>
      </c>
      <c r="D1506" s="4" t="s">
        <v>4</v>
      </c>
      <c r="E1506" s="4" t="s">
        <v>13</v>
      </c>
      <c r="F1506" s="4" t="s">
        <v>13</v>
      </c>
    </row>
    <row r="1507" spans="1:6" ht="15" thickBot="1" x14ac:dyDescent="0.35">
      <c r="A1507" s="4"/>
    </row>
    <row r="1508" spans="1:6" x14ac:dyDescent="0.3">
      <c r="A1508" s="19" t="s">
        <v>2256</v>
      </c>
      <c r="B1508" s="20"/>
      <c r="C1508" s="20"/>
      <c r="D1508" s="20"/>
      <c r="E1508" s="20"/>
      <c r="F1508" s="20"/>
    </row>
    <row r="1509" spans="1:6" x14ac:dyDescent="0.3">
      <c r="A1509" s="12" t="s">
        <v>10</v>
      </c>
      <c r="B1509" s="13">
        <v>45729</v>
      </c>
      <c r="C1509" s="4" t="s">
        <v>12</v>
      </c>
      <c r="D1509" s="4" t="s">
        <v>4</v>
      </c>
      <c r="E1509" s="4" t="s">
        <v>13</v>
      </c>
      <c r="F1509" s="4" t="s">
        <v>13</v>
      </c>
    </row>
    <row r="1510" spans="1:6" ht="15" thickBot="1" x14ac:dyDescent="0.35">
      <c r="A1510" s="4"/>
    </row>
    <row r="1511" spans="1:6" x14ac:dyDescent="0.3">
      <c r="A1511" s="19" t="s">
        <v>2261</v>
      </c>
      <c r="B1511" s="20"/>
      <c r="C1511" s="20"/>
      <c r="D1511" s="20"/>
      <c r="E1511" s="20"/>
      <c r="F1511" s="20"/>
    </row>
    <row r="1512" spans="1:6" x14ac:dyDescent="0.3">
      <c r="A1512" s="12" t="s">
        <v>583</v>
      </c>
      <c r="B1512" s="13">
        <v>45729</v>
      </c>
      <c r="C1512" s="4" t="s">
        <v>12</v>
      </c>
      <c r="D1512" s="4" t="s">
        <v>4</v>
      </c>
      <c r="E1512" s="4" t="s">
        <v>13</v>
      </c>
      <c r="F1512" s="4" t="s">
        <v>13</v>
      </c>
    </row>
    <row r="1513" spans="1:6" ht="15" thickBot="1" x14ac:dyDescent="0.35">
      <c r="A1513" s="4"/>
    </row>
    <row r="1514" spans="1:6" x14ac:dyDescent="0.3">
      <c r="A1514" s="19" t="s">
        <v>2266</v>
      </c>
      <c r="B1514" s="20"/>
      <c r="C1514" s="20"/>
      <c r="D1514" s="20"/>
      <c r="E1514" s="20"/>
      <c r="F1514" s="20"/>
    </row>
    <row r="1515" spans="1:6" x14ac:dyDescent="0.3">
      <c r="A1515" s="12" t="s">
        <v>11</v>
      </c>
      <c r="B1515" s="13">
        <v>45729</v>
      </c>
      <c r="C1515" s="4" t="s">
        <v>12</v>
      </c>
      <c r="D1515" s="4" t="s">
        <v>4</v>
      </c>
      <c r="E1515" s="4" t="s">
        <v>13</v>
      </c>
      <c r="F1515" s="4" t="s">
        <v>13</v>
      </c>
    </row>
    <row r="1516" spans="1:6" ht="15" thickBot="1" x14ac:dyDescent="0.35">
      <c r="A1516" s="4"/>
    </row>
    <row r="1517" spans="1:6" x14ac:dyDescent="0.3">
      <c r="A1517" s="19" t="s">
        <v>2269</v>
      </c>
      <c r="B1517" s="20"/>
      <c r="C1517" s="20"/>
      <c r="D1517" s="20"/>
      <c r="E1517" s="20"/>
      <c r="F1517" s="20"/>
    </row>
    <row r="1518" spans="1:6" x14ac:dyDescent="0.3">
      <c r="A1518" s="12" t="s">
        <v>583</v>
      </c>
      <c r="B1518" s="13">
        <v>45729</v>
      </c>
      <c r="C1518" s="4" t="s">
        <v>12</v>
      </c>
      <c r="D1518" s="4" t="s">
        <v>4</v>
      </c>
      <c r="E1518" s="4" t="s">
        <v>13</v>
      </c>
      <c r="F1518" s="4" t="s">
        <v>13</v>
      </c>
    </row>
    <row r="1519" spans="1:6" ht="15" thickBot="1" x14ac:dyDescent="0.35">
      <c r="A1519" s="4"/>
    </row>
    <row r="1520" spans="1:6" x14ac:dyDescent="0.3">
      <c r="A1520" s="19" t="s">
        <v>2272</v>
      </c>
      <c r="B1520" s="20"/>
      <c r="C1520" s="20"/>
      <c r="D1520" s="20"/>
      <c r="E1520" s="20"/>
      <c r="F1520" s="20"/>
    </row>
    <row r="1521" spans="1:6" x14ac:dyDescent="0.3">
      <c r="A1521" s="12" t="s">
        <v>10</v>
      </c>
      <c r="B1521" s="13">
        <v>45729</v>
      </c>
      <c r="C1521" s="4" t="s">
        <v>12</v>
      </c>
      <c r="D1521" s="4" t="s">
        <v>4</v>
      </c>
      <c r="E1521" s="4" t="s">
        <v>13</v>
      </c>
      <c r="F1521" s="4" t="s">
        <v>13</v>
      </c>
    </row>
    <row r="1522" spans="1:6" ht="15" thickBot="1" x14ac:dyDescent="0.35">
      <c r="A1522" s="4"/>
    </row>
    <row r="1523" spans="1:6" x14ac:dyDescent="0.3">
      <c r="A1523" s="19" t="s">
        <v>2277</v>
      </c>
      <c r="B1523" s="20"/>
      <c r="C1523" s="20"/>
      <c r="D1523" s="20"/>
      <c r="E1523" s="20"/>
      <c r="F1523" s="20"/>
    </row>
    <row r="1524" spans="1:6" x14ac:dyDescent="0.3">
      <c r="A1524" s="12" t="s">
        <v>10</v>
      </c>
      <c r="B1524" s="13">
        <v>45729</v>
      </c>
      <c r="C1524" s="4" t="s">
        <v>12</v>
      </c>
      <c r="D1524" s="4" t="s">
        <v>4</v>
      </c>
      <c r="E1524" s="4" t="s">
        <v>13</v>
      </c>
      <c r="F1524" s="4" t="s">
        <v>13</v>
      </c>
    </row>
    <row r="1525" spans="1:6" ht="15" thickBot="1" x14ac:dyDescent="0.35">
      <c r="A1525" s="4"/>
    </row>
    <row r="1526" spans="1:6" x14ac:dyDescent="0.3">
      <c r="A1526" s="19" t="s">
        <v>2282</v>
      </c>
      <c r="B1526" s="20"/>
      <c r="C1526" s="20"/>
      <c r="D1526" s="20"/>
      <c r="E1526" s="20"/>
      <c r="F1526" s="20"/>
    </row>
    <row r="1527" spans="1:6" x14ac:dyDescent="0.3">
      <c r="A1527" s="12" t="s">
        <v>10</v>
      </c>
      <c r="B1527" s="13">
        <v>45729</v>
      </c>
      <c r="C1527" s="4" t="s">
        <v>12</v>
      </c>
      <c r="D1527" s="4" t="s">
        <v>4</v>
      </c>
      <c r="E1527" s="4" t="s">
        <v>13</v>
      </c>
      <c r="F1527" s="4" t="s">
        <v>13</v>
      </c>
    </row>
    <row r="1528" spans="1:6" ht="15" thickBot="1" x14ac:dyDescent="0.35">
      <c r="A1528" s="4"/>
    </row>
    <row r="1529" spans="1:6" x14ac:dyDescent="0.3">
      <c r="A1529" s="19" t="s">
        <v>2285</v>
      </c>
      <c r="B1529" s="20"/>
      <c r="C1529" s="20"/>
      <c r="D1529" s="20"/>
      <c r="E1529" s="20"/>
      <c r="F1529" s="20"/>
    </row>
    <row r="1530" spans="1:6" x14ac:dyDescent="0.3">
      <c r="A1530" s="12" t="s">
        <v>583</v>
      </c>
      <c r="B1530" s="13">
        <v>45729</v>
      </c>
      <c r="C1530" s="4" t="s">
        <v>12</v>
      </c>
      <c r="D1530" s="4" t="s">
        <v>4</v>
      </c>
      <c r="E1530" s="4" t="s">
        <v>13</v>
      </c>
      <c r="F1530" s="4" t="s">
        <v>13</v>
      </c>
    </row>
    <row r="1531" spans="1:6" ht="15" thickBot="1" x14ac:dyDescent="0.35">
      <c r="A1531" s="4"/>
    </row>
    <row r="1532" spans="1:6" x14ac:dyDescent="0.3">
      <c r="A1532" s="19" t="s">
        <v>2290</v>
      </c>
      <c r="B1532" s="20"/>
      <c r="C1532" s="20"/>
      <c r="D1532" s="20"/>
      <c r="E1532" s="20"/>
      <c r="F1532" s="20"/>
    </row>
    <row r="1533" spans="1:6" x14ac:dyDescent="0.3">
      <c r="A1533" s="12" t="s">
        <v>583</v>
      </c>
      <c r="B1533" s="13">
        <v>45729</v>
      </c>
      <c r="C1533" s="4" t="s">
        <v>12</v>
      </c>
      <c r="D1533" s="4" t="s">
        <v>4</v>
      </c>
      <c r="E1533" s="4" t="s">
        <v>13</v>
      </c>
      <c r="F1533" s="4" t="s">
        <v>13</v>
      </c>
    </row>
    <row r="1534" spans="1:6" ht="15" thickBot="1" x14ac:dyDescent="0.35">
      <c r="A1534" s="4"/>
    </row>
    <row r="1535" spans="1:6" x14ac:dyDescent="0.3">
      <c r="A1535" s="19" t="s">
        <v>2293</v>
      </c>
      <c r="B1535" s="20"/>
      <c r="C1535" s="20"/>
      <c r="D1535" s="20"/>
      <c r="E1535" s="20"/>
      <c r="F1535" s="20"/>
    </row>
    <row r="1536" spans="1:6" x14ac:dyDescent="0.3">
      <c r="A1536" s="12" t="s">
        <v>11</v>
      </c>
      <c r="B1536" s="13">
        <v>45729</v>
      </c>
      <c r="C1536" s="4" t="s">
        <v>12</v>
      </c>
      <c r="D1536" s="4" t="s">
        <v>4</v>
      </c>
      <c r="E1536" s="4" t="s">
        <v>13</v>
      </c>
      <c r="F1536" s="4" t="s">
        <v>13</v>
      </c>
    </row>
    <row r="1537" spans="1:6" ht="15" thickBot="1" x14ac:dyDescent="0.35">
      <c r="A1537" s="4"/>
    </row>
    <row r="1538" spans="1:6" x14ac:dyDescent="0.3">
      <c r="A1538" s="19" t="s">
        <v>2296</v>
      </c>
      <c r="B1538" s="20"/>
      <c r="C1538" s="20"/>
      <c r="D1538" s="20"/>
      <c r="E1538" s="20"/>
      <c r="F1538" s="20"/>
    </row>
    <row r="1539" spans="1:6" x14ac:dyDescent="0.3">
      <c r="A1539" s="12" t="s">
        <v>11</v>
      </c>
      <c r="B1539" s="13">
        <v>45729</v>
      </c>
      <c r="C1539" s="4" t="s">
        <v>12</v>
      </c>
      <c r="D1539" s="4" t="s">
        <v>4</v>
      </c>
      <c r="E1539" s="4" t="s">
        <v>13</v>
      </c>
      <c r="F1539" s="4" t="s">
        <v>13</v>
      </c>
    </row>
    <row r="1540" spans="1:6" ht="15" thickBot="1" x14ac:dyDescent="0.35">
      <c r="A1540" s="4"/>
    </row>
    <row r="1541" spans="1:6" x14ac:dyDescent="0.3">
      <c r="A1541" s="19" t="s">
        <v>2299</v>
      </c>
      <c r="B1541" s="20"/>
      <c r="C1541" s="20"/>
      <c r="D1541" s="20"/>
      <c r="E1541" s="20"/>
      <c r="F1541" s="20"/>
    </row>
    <row r="1542" spans="1:6" x14ac:dyDescent="0.3">
      <c r="A1542" s="12" t="s">
        <v>11</v>
      </c>
      <c r="B1542" s="13">
        <v>45729</v>
      </c>
      <c r="C1542" s="4" t="s">
        <v>12</v>
      </c>
      <c r="D1542" s="4" t="s">
        <v>4</v>
      </c>
      <c r="E1542" s="4" t="s">
        <v>13</v>
      </c>
      <c r="F1542" s="4" t="s">
        <v>13</v>
      </c>
    </row>
    <row r="1543" spans="1:6" ht="15" thickBot="1" x14ac:dyDescent="0.35">
      <c r="A1543" s="4"/>
    </row>
    <row r="1544" spans="1:6" x14ac:dyDescent="0.3">
      <c r="A1544" s="19" t="s">
        <v>2302</v>
      </c>
      <c r="B1544" s="20"/>
      <c r="C1544" s="20"/>
      <c r="D1544" s="20"/>
      <c r="E1544" s="20"/>
      <c r="F1544" s="20"/>
    </row>
    <row r="1545" spans="1:6" x14ac:dyDescent="0.3">
      <c r="A1545" s="12" t="s">
        <v>11</v>
      </c>
      <c r="B1545" s="13">
        <v>45729</v>
      </c>
      <c r="C1545" s="4" t="s">
        <v>12</v>
      </c>
      <c r="D1545" s="4" t="s">
        <v>4</v>
      </c>
      <c r="E1545" s="4" t="s">
        <v>13</v>
      </c>
      <c r="F1545" s="4" t="s">
        <v>13</v>
      </c>
    </row>
    <row r="1546" spans="1:6" ht="15" thickBot="1" x14ac:dyDescent="0.35">
      <c r="A1546" s="4"/>
    </row>
    <row r="1547" spans="1:6" x14ac:dyDescent="0.3">
      <c r="A1547" s="19" t="s">
        <v>2305</v>
      </c>
      <c r="B1547" s="20"/>
      <c r="C1547" s="20"/>
      <c r="D1547" s="20"/>
      <c r="E1547" s="20"/>
      <c r="F1547" s="20"/>
    </row>
    <row r="1548" spans="1:6" x14ac:dyDescent="0.3">
      <c r="A1548" s="12" t="s">
        <v>11</v>
      </c>
      <c r="B1548" s="13">
        <v>45729</v>
      </c>
      <c r="C1548" s="4" t="s">
        <v>12</v>
      </c>
      <c r="D1548" s="4" t="s">
        <v>4</v>
      </c>
      <c r="E1548" s="4" t="s">
        <v>13</v>
      </c>
      <c r="F1548" s="4" t="s">
        <v>13</v>
      </c>
    </row>
    <row r="1549" spans="1:6" ht="15" thickBot="1" x14ac:dyDescent="0.35">
      <c r="A1549" s="4"/>
    </row>
    <row r="1550" spans="1:6" x14ac:dyDescent="0.3">
      <c r="A1550" s="19" t="s">
        <v>2308</v>
      </c>
      <c r="B1550" s="20"/>
      <c r="C1550" s="20"/>
      <c r="D1550" s="20"/>
      <c r="E1550" s="20"/>
      <c r="F1550" s="20"/>
    </row>
    <row r="1551" spans="1:6" x14ac:dyDescent="0.3">
      <c r="A1551" s="12" t="s">
        <v>583</v>
      </c>
      <c r="B1551" s="13">
        <v>45729</v>
      </c>
      <c r="C1551" s="4" t="s">
        <v>12</v>
      </c>
      <c r="D1551" s="4" t="s">
        <v>4</v>
      </c>
      <c r="E1551" s="4" t="s">
        <v>13</v>
      </c>
      <c r="F1551" s="4" t="s">
        <v>13</v>
      </c>
    </row>
    <row r="1552" spans="1:6" ht="15" thickBot="1" x14ac:dyDescent="0.35">
      <c r="A1552" s="4"/>
    </row>
    <row r="1553" spans="1:6" x14ac:dyDescent="0.3">
      <c r="A1553" s="19" t="s">
        <v>2313</v>
      </c>
      <c r="B1553" s="20"/>
      <c r="C1553" s="20"/>
      <c r="D1553" s="20"/>
      <c r="E1553" s="20"/>
      <c r="F1553" s="20"/>
    </row>
    <row r="1554" spans="1:6" x14ac:dyDescent="0.3">
      <c r="A1554" s="12" t="s">
        <v>583</v>
      </c>
      <c r="B1554" s="13">
        <v>45729</v>
      </c>
      <c r="C1554" s="4" t="s">
        <v>12</v>
      </c>
      <c r="D1554" s="4" t="s">
        <v>4</v>
      </c>
      <c r="E1554" s="4" t="s">
        <v>13</v>
      </c>
      <c r="F1554" s="4" t="s">
        <v>13</v>
      </c>
    </row>
    <row r="1555" spans="1:6" ht="15" thickBot="1" x14ac:dyDescent="0.35">
      <c r="A1555" s="4"/>
    </row>
    <row r="1556" spans="1:6" x14ac:dyDescent="0.3">
      <c r="A1556" s="19" t="s">
        <v>2318</v>
      </c>
      <c r="B1556" s="20"/>
      <c r="C1556" s="20"/>
      <c r="D1556" s="20"/>
      <c r="E1556" s="20"/>
      <c r="F1556" s="20"/>
    </row>
    <row r="1557" spans="1:6" x14ac:dyDescent="0.3">
      <c r="A1557" s="12" t="s">
        <v>11</v>
      </c>
      <c r="B1557" s="13">
        <v>45729</v>
      </c>
      <c r="C1557" s="4" t="s">
        <v>12</v>
      </c>
      <c r="D1557" s="4" t="s">
        <v>4</v>
      </c>
      <c r="E1557" s="4" t="s">
        <v>13</v>
      </c>
      <c r="F1557" s="4" t="s">
        <v>13</v>
      </c>
    </row>
    <row r="1558" spans="1:6" ht="15" thickBot="1" x14ac:dyDescent="0.35">
      <c r="A1558" s="4"/>
    </row>
    <row r="1559" spans="1:6" x14ac:dyDescent="0.3">
      <c r="A1559" s="19" t="s">
        <v>2323</v>
      </c>
      <c r="B1559" s="20"/>
      <c r="C1559" s="20"/>
      <c r="D1559" s="20"/>
      <c r="E1559" s="20"/>
      <c r="F1559" s="20"/>
    </row>
    <row r="1560" spans="1:6" x14ac:dyDescent="0.3">
      <c r="A1560" s="12" t="s">
        <v>11</v>
      </c>
      <c r="B1560" s="13">
        <v>45729</v>
      </c>
      <c r="C1560" s="4" t="s">
        <v>12</v>
      </c>
      <c r="D1560" s="4" t="s">
        <v>4</v>
      </c>
      <c r="E1560" s="4" t="s">
        <v>13</v>
      </c>
      <c r="F1560" s="4" t="s">
        <v>13</v>
      </c>
    </row>
    <row r="1561" spans="1:6" ht="15" thickBot="1" x14ac:dyDescent="0.35">
      <c r="A1561" s="4"/>
    </row>
    <row r="1562" spans="1:6" x14ac:dyDescent="0.3">
      <c r="A1562" s="19" t="s">
        <v>2330</v>
      </c>
      <c r="B1562" s="20"/>
      <c r="C1562" s="20"/>
      <c r="D1562" s="20"/>
      <c r="E1562" s="20"/>
      <c r="F1562" s="20"/>
    </row>
    <row r="1563" spans="1:6" x14ac:dyDescent="0.3">
      <c r="A1563" s="12" t="s">
        <v>1155</v>
      </c>
      <c r="B1563" s="13">
        <v>45729</v>
      </c>
      <c r="C1563" s="4" t="s">
        <v>12</v>
      </c>
      <c r="D1563" s="4" t="s">
        <v>4</v>
      </c>
      <c r="E1563" s="4" t="s">
        <v>13</v>
      </c>
      <c r="F1563" s="4" t="s">
        <v>13</v>
      </c>
    </row>
    <row r="1564" spans="1:6" ht="15" thickBot="1" x14ac:dyDescent="0.35">
      <c r="A1564" s="4"/>
    </row>
    <row r="1565" spans="1:6" x14ac:dyDescent="0.3">
      <c r="A1565" s="19" t="s">
        <v>2337</v>
      </c>
      <c r="B1565" s="20"/>
      <c r="C1565" s="20"/>
      <c r="D1565" s="20"/>
      <c r="E1565" s="20"/>
      <c r="F1565" s="20"/>
    </row>
    <row r="1566" spans="1:6" x14ac:dyDescent="0.3">
      <c r="A1566" s="12" t="s">
        <v>1155</v>
      </c>
      <c r="B1566" s="13">
        <v>45729</v>
      </c>
      <c r="C1566" s="4" t="s">
        <v>12</v>
      </c>
      <c r="D1566" s="4" t="s">
        <v>4</v>
      </c>
      <c r="E1566" s="4" t="s">
        <v>13</v>
      </c>
      <c r="F1566" s="4" t="s">
        <v>13</v>
      </c>
    </row>
    <row r="1567" spans="1:6" ht="15" thickBot="1" x14ac:dyDescent="0.35">
      <c r="A1567" s="4"/>
    </row>
    <row r="1568" spans="1:6" x14ac:dyDescent="0.3">
      <c r="A1568" s="19" t="s">
        <v>2342</v>
      </c>
      <c r="B1568" s="20"/>
      <c r="C1568" s="20"/>
      <c r="D1568" s="20"/>
      <c r="E1568" s="20"/>
      <c r="F1568" s="20"/>
    </row>
    <row r="1569" spans="1:6" x14ac:dyDescent="0.3">
      <c r="A1569" s="12" t="s">
        <v>583</v>
      </c>
      <c r="B1569" s="13">
        <v>45729</v>
      </c>
      <c r="C1569" s="4" t="s">
        <v>12</v>
      </c>
      <c r="D1569" s="4" t="s">
        <v>4</v>
      </c>
      <c r="E1569" s="4" t="s">
        <v>13</v>
      </c>
      <c r="F1569" s="4" t="s">
        <v>13</v>
      </c>
    </row>
    <row r="1570" spans="1:6" ht="15" thickBot="1" x14ac:dyDescent="0.35">
      <c r="A1570" s="4"/>
    </row>
    <row r="1571" spans="1:6" x14ac:dyDescent="0.3">
      <c r="A1571" s="19" t="s">
        <v>2347</v>
      </c>
      <c r="B1571" s="20"/>
      <c r="C1571" s="20"/>
      <c r="D1571" s="20"/>
      <c r="E1571" s="20"/>
      <c r="F1571" s="20"/>
    </row>
    <row r="1572" spans="1:6" x14ac:dyDescent="0.3">
      <c r="A1572" s="12" t="s">
        <v>11</v>
      </c>
      <c r="B1572" s="13">
        <v>45729</v>
      </c>
      <c r="C1572" s="4" t="s">
        <v>12</v>
      </c>
      <c r="D1572" s="4" t="s">
        <v>4</v>
      </c>
      <c r="E1572" s="4" t="s">
        <v>13</v>
      </c>
      <c r="F1572" s="4" t="s">
        <v>13</v>
      </c>
    </row>
    <row r="1573" spans="1:6" ht="15" thickBot="1" x14ac:dyDescent="0.35">
      <c r="A1573" s="4"/>
    </row>
    <row r="1574" spans="1:6" x14ac:dyDescent="0.3">
      <c r="A1574" s="19" t="s">
        <v>2352</v>
      </c>
      <c r="B1574" s="20"/>
      <c r="C1574" s="20"/>
      <c r="D1574" s="20"/>
      <c r="E1574" s="20"/>
      <c r="F1574" s="20"/>
    </row>
    <row r="1575" spans="1:6" x14ac:dyDescent="0.3">
      <c r="A1575" s="12" t="s">
        <v>11</v>
      </c>
      <c r="B1575" s="13">
        <v>45729</v>
      </c>
      <c r="C1575" s="4" t="s">
        <v>12</v>
      </c>
      <c r="D1575" s="4" t="s">
        <v>4</v>
      </c>
      <c r="E1575" s="4" t="s">
        <v>13</v>
      </c>
      <c r="F1575" s="4" t="s">
        <v>13</v>
      </c>
    </row>
    <row r="1576" spans="1:6" ht="15" thickBot="1" x14ac:dyDescent="0.35">
      <c r="A1576" s="4"/>
    </row>
    <row r="1577" spans="1:6" x14ac:dyDescent="0.3">
      <c r="A1577" s="19" t="s">
        <v>2357</v>
      </c>
      <c r="B1577" s="20"/>
      <c r="C1577" s="20"/>
      <c r="D1577" s="20"/>
      <c r="E1577" s="20"/>
      <c r="F1577" s="20"/>
    </row>
    <row r="1578" spans="1:6" x14ac:dyDescent="0.3">
      <c r="A1578" s="12" t="s">
        <v>11</v>
      </c>
      <c r="B1578" s="13">
        <v>45729</v>
      </c>
      <c r="C1578" s="4" t="s">
        <v>12</v>
      </c>
      <c r="D1578" s="4" t="s">
        <v>4</v>
      </c>
      <c r="E1578" s="4" t="s">
        <v>13</v>
      </c>
      <c r="F1578" s="4" t="s">
        <v>13</v>
      </c>
    </row>
    <row r="1579" spans="1:6" ht="15" thickBot="1" x14ac:dyDescent="0.35">
      <c r="A1579" s="4"/>
    </row>
    <row r="1580" spans="1:6" x14ac:dyDescent="0.3">
      <c r="A1580" s="19" t="s">
        <v>2362</v>
      </c>
      <c r="B1580" s="20"/>
      <c r="C1580" s="20"/>
      <c r="D1580" s="20"/>
      <c r="E1580" s="20"/>
      <c r="F1580" s="20"/>
    </row>
    <row r="1581" spans="1:6" x14ac:dyDescent="0.3">
      <c r="A1581" s="12" t="s">
        <v>11</v>
      </c>
      <c r="B1581" s="13">
        <v>45729</v>
      </c>
      <c r="C1581" s="4" t="s">
        <v>12</v>
      </c>
      <c r="D1581" s="4" t="s">
        <v>4</v>
      </c>
      <c r="E1581" s="4" t="s">
        <v>13</v>
      </c>
      <c r="F1581" s="4" t="s">
        <v>13</v>
      </c>
    </row>
    <row r="1582" spans="1:6" ht="15" thickBot="1" x14ac:dyDescent="0.35">
      <c r="A1582" s="4"/>
    </row>
    <row r="1583" spans="1:6" x14ac:dyDescent="0.3">
      <c r="A1583" s="19" t="s">
        <v>2369</v>
      </c>
      <c r="B1583" s="20"/>
      <c r="C1583" s="20"/>
      <c r="D1583" s="20"/>
      <c r="E1583" s="20"/>
      <c r="F1583" s="20"/>
    </row>
    <row r="1584" spans="1:6" x14ac:dyDescent="0.3">
      <c r="A1584" s="12" t="s">
        <v>1155</v>
      </c>
      <c r="B1584" s="13">
        <v>45729</v>
      </c>
      <c r="C1584" s="4" t="s">
        <v>12</v>
      </c>
      <c r="D1584" s="4" t="s">
        <v>4</v>
      </c>
      <c r="E1584" s="4" t="s">
        <v>13</v>
      </c>
      <c r="F1584" s="4" t="s">
        <v>13</v>
      </c>
    </row>
    <row r="1585" spans="1:6" ht="15" thickBot="1" x14ac:dyDescent="0.35">
      <c r="A1585" s="4"/>
    </row>
    <row r="1586" spans="1:6" x14ac:dyDescent="0.3">
      <c r="A1586" s="19" t="s">
        <v>2374</v>
      </c>
      <c r="B1586" s="20"/>
      <c r="C1586" s="20"/>
      <c r="D1586" s="20"/>
      <c r="E1586" s="20"/>
      <c r="F1586" s="20"/>
    </row>
    <row r="1587" spans="1:6" x14ac:dyDescent="0.3">
      <c r="A1587" s="12" t="s">
        <v>583</v>
      </c>
      <c r="B1587" s="13">
        <v>45729</v>
      </c>
      <c r="C1587" s="4" t="s">
        <v>12</v>
      </c>
      <c r="D1587" s="4" t="s">
        <v>4</v>
      </c>
      <c r="E1587" s="4" t="s">
        <v>13</v>
      </c>
      <c r="F1587" s="4" t="s">
        <v>13</v>
      </c>
    </row>
    <row r="1588" spans="1:6" ht="15" thickBot="1" x14ac:dyDescent="0.35">
      <c r="A1588" s="4"/>
    </row>
    <row r="1589" spans="1:6" x14ac:dyDescent="0.3">
      <c r="A1589" s="19" t="s">
        <v>2379</v>
      </c>
      <c r="B1589" s="20"/>
      <c r="C1589" s="20"/>
      <c r="D1589" s="20"/>
      <c r="E1589" s="20"/>
      <c r="F1589" s="20"/>
    </row>
    <row r="1590" spans="1:6" x14ac:dyDescent="0.3">
      <c r="A1590" s="12" t="s">
        <v>11</v>
      </c>
      <c r="B1590" s="13">
        <v>45729</v>
      </c>
      <c r="C1590" s="4" t="s">
        <v>12</v>
      </c>
      <c r="D1590" s="4" t="s">
        <v>4</v>
      </c>
      <c r="E1590" s="4" t="s">
        <v>13</v>
      </c>
      <c r="F1590" s="4" t="s">
        <v>13</v>
      </c>
    </row>
    <row r="1591" spans="1:6" ht="15" thickBot="1" x14ac:dyDescent="0.35">
      <c r="A1591" s="4"/>
    </row>
    <row r="1592" spans="1:6" x14ac:dyDescent="0.3">
      <c r="A1592" s="19" t="s">
        <v>2384</v>
      </c>
      <c r="B1592" s="20"/>
      <c r="C1592" s="20"/>
      <c r="D1592" s="20"/>
      <c r="E1592" s="20"/>
      <c r="F1592" s="20"/>
    </row>
    <row r="1593" spans="1:6" x14ac:dyDescent="0.3">
      <c r="A1593" s="12" t="s">
        <v>1155</v>
      </c>
      <c r="B1593" s="13">
        <v>45729</v>
      </c>
      <c r="C1593" s="4" t="s">
        <v>12</v>
      </c>
      <c r="D1593" s="4" t="s">
        <v>4</v>
      </c>
      <c r="E1593" s="4" t="s">
        <v>13</v>
      </c>
      <c r="F1593" s="4" t="s">
        <v>13</v>
      </c>
    </row>
    <row r="1594" spans="1:6" ht="15" thickBot="1" x14ac:dyDescent="0.35">
      <c r="A1594" s="4"/>
    </row>
    <row r="1595" spans="1:6" x14ac:dyDescent="0.3">
      <c r="A1595" s="19" t="s">
        <v>2387</v>
      </c>
      <c r="B1595" s="20"/>
      <c r="C1595" s="20"/>
      <c r="D1595" s="20"/>
      <c r="E1595" s="20"/>
      <c r="F1595" s="20"/>
    </row>
    <row r="1596" spans="1:6" x14ac:dyDescent="0.3">
      <c r="A1596" s="12" t="s">
        <v>960</v>
      </c>
      <c r="B1596" s="13">
        <v>45729</v>
      </c>
      <c r="C1596" s="4" t="s">
        <v>12</v>
      </c>
      <c r="D1596" s="4" t="s">
        <v>4</v>
      </c>
      <c r="E1596" s="4" t="s">
        <v>13</v>
      </c>
      <c r="F1596" s="4" t="s">
        <v>13</v>
      </c>
    </row>
    <row r="1597" spans="1:6" ht="15" thickBot="1" x14ac:dyDescent="0.35">
      <c r="A1597" s="4"/>
    </row>
    <row r="1598" spans="1:6" x14ac:dyDescent="0.3">
      <c r="A1598" s="19" t="s">
        <v>2394</v>
      </c>
      <c r="B1598" s="20"/>
      <c r="C1598" s="20"/>
      <c r="D1598" s="20"/>
      <c r="E1598" s="20"/>
      <c r="F1598" s="20"/>
    </row>
    <row r="1599" spans="1:6" x14ac:dyDescent="0.3">
      <c r="A1599" s="12" t="s">
        <v>583</v>
      </c>
      <c r="B1599" s="13">
        <v>45729</v>
      </c>
      <c r="C1599" s="4" t="s">
        <v>12</v>
      </c>
      <c r="D1599" s="4" t="s">
        <v>4</v>
      </c>
      <c r="E1599" s="4" t="s">
        <v>13</v>
      </c>
      <c r="F1599" s="4" t="s">
        <v>13</v>
      </c>
    </row>
    <row r="1600" spans="1:6" ht="15" thickBot="1" x14ac:dyDescent="0.35">
      <c r="A1600" s="4"/>
    </row>
    <row r="1601" spans="1:6" x14ac:dyDescent="0.3">
      <c r="A1601" s="19" t="s">
        <v>2405</v>
      </c>
      <c r="B1601" s="20"/>
      <c r="C1601" s="20"/>
      <c r="D1601" s="20"/>
      <c r="E1601" s="20"/>
      <c r="F1601" s="20"/>
    </row>
    <row r="1602" spans="1:6" x14ac:dyDescent="0.3">
      <c r="A1602" s="12" t="s">
        <v>1155</v>
      </c>
      <c r="B1602" s="13">
        <v>45729</v>
      </c>
      <c r="C1602" s="4" t="s">
        <v>12</v>
      </c>
      <c r="D1602" s="4" t="s">
        <v>4</v>
      </c>
      <c r="E1602" s="4" t="s">
        <v>13</v>
      </c>
      <c r="F1602" s="4" t="s">
        <v>13</v>
      </c>
    </row>
    <row r="1603" spans="1:6" ht="15" thickBot="1" x14ac:dyDescent="0.35">
      <c r="A1603" s="4"/>
    </row>
    <row r="1604" spans="1:6" x14ac:dyDescent="0.3">
      <c r="A1604" s="19" t="s">
        <v>2410</v>
      </c>
      <c r="B1604" s="20"/>
      <c r="C1604" s="20"/>
      <c r="D1604" s="20"/>
      <c r="E1604" s="20"/>
      <c r="F1604" s="20"/>
    </row>
    <row r="1605" spans="1:6" x14ac:dyDescent="0.3">
      <c r="A1605" s="12" t="s">
        <v>583</v>
      </c>
      <c r="B1605" s="13">
        <v>45729</v>
      </c>
      <c r="C1605" s="4" t="s">
        <v>12</v>
      </c>
      <c r="D1605" s="4" t="s">
        <v>4</v>
      </c>
      <c r="E1605" s="4" t="s">
        <v>13</v>
      </c>
      <c r="F1605" s="4" t="s">
        <v>13</v>
      </c>
    </row>
    <row r="1606" spans="1:6" ht="15" thickBot="1" x14ac:dyDescent="0.35">
      <c r="A1606" s="4"/>
    </row>
    <row r="1607" spans="1:6" x14ac:dyDescent="0.3">
      <c r="A1607" s="19" t="s">
        <v>2415</v>
      </c>
      <c r="B1607" s="20"/>
      <c r="C1607" s="20"/>
      <c r="D1607" s="20"/>
      <c r="E1607" s="20"/>
      <c r="F1607" s="20"/>
    </row>
    <row r="1608" spans="1:6" x14ac:dyDescent="0.3">
      <c r="A1608" s="12" t="s">
        <v>11</v>
      </c>
      <c r="B1608" s="13">
        <v>45729</v>
      </c>
      <c r="C1608" s="4" t="s">
        <v>12</v>
      </c>
      <c r="D1608" s="4" t="s">
        <v>4</v>
      </c>
      <c r="E1608" s="4" t="s">
        <v>13</v>
      </c>
      <c r="F1608" s="4" t="s">
        <v>13</v>
      </c>
    </row>
    <row r="1609" spans="1:6" ht="15" thickBot="1" x14ac:dyDescent="0.35">
      <c r="A1609" s="4"/>
    </row>
    <row r="1610" spans="1:6" x14ac:dyDescent="0.3">
      <c r="A1610" s="19" t="s">
        <v>2420</v>
      </c>
      <c r="B1610" s="20"/>
      <c r="C1610" s="20"/>
      <c r="D1610" s="20"/>
      <c r="E1610" s="20"/>
      <c r="F1610" s="20"/>
    </row>
    <row r="1611" spans="1:6" x14ac:dyDescent="0.3">
      <c r="A1611" s="12" t="s">
        <v>11</v>
      </c>
      <c r="B1611" s="13">
        <v>45729</v>
      </c>
      <c r="C1611" s="4" t="s">
        <v>12</v>
      </c>
      <c r="D1611" s="4" t="s">
        <v>4</v>
      </c>
      <c r="E1611" s="4" t="s">
        <v>13</v>
      </c>
      <c r="F1611" s="4" t="s">
        <v>13</v>
      </c>
    </row>
    <row r="1612" spans="1:6" ht="15" thickBot="1" x14ac:dyDescent="0.35">
      <c r="A1612" s="4"/>
    </row>
    <row r="1613" spans="1:6" x14ac:dyDescent="0.3">
      <c r="A1613" s="19" t="s">
        <v>2425</v>
      </c>
      <c r="B1613" s="20"/>
      <c r="C1613" s="20"/>
      <c r="D1613" s="20"/>
      <c r="E1613" s="20"/>
      <c r="F1613" s="20"/>
    </row>
    <row r="1614" spans="1:6" x14ac:dyDescent="0.3">
      <c r="A1614" s="12" t="s">
        <v>11</v>
      </c>
      <c r="B1614" s="13">
        <v>45729</v>
      </c>
      <c r="C1614" s="4" t="s">
        <v>12</v>
      </c>
      <c r="D1614" s="4" t="s">
        <v>4</v>
      </c>
      <c r="E1614" s="4" t="s">
        <v>13</v>
      </c>
      <c r="F1614" s="4" t="s">
        <v>13</v>
      </c>
    </row>
    <row r="1615" spans="1:6" ht="15" thickBot="1" x14ac:dyDescent="0.35">
      <c r="A1615" s="4"/>
    </row>
    <row r="1616" spans="1:6" x14ac:dyDescent="0.3">
      <c r="A1616" s="19" t="s">
        <v>2430</v>
      </c>
      <c r="B1616" s="20"/>
      <c r="C1616" s="20"/>
      <c r="D1616" s="20"/>
      <c r="E1616" s="20"/>
      <c r="F1616" s="20"/>
    </row>
    <row r="1617" spans="1:6" x14ac:dyDescent="0.3">
      <c r="A1617" s="12" t="s">
        <v>583</v>
      </c>
      <c r="B1617" s="13">
        <v>45729</v>
      </c>
      <c r="C1617" s="4" t="s">
        <v>12</v>
      </c>
      <c r="D1617" s="4" t="s">
        <v>4</v>
      </c>
      <c r="E1617" s="4" t="s">
        <v>13</v>
      </c>
      <c r="F1617" s="4" t="s">
        <v>13</v>
      </c>
    </row>
    <row r="1618" spans="1:6" ht="15" thickBot="1" x14ac:dyDescent="0.35">
      <c r="A1618" s="4"/>
    </row>
    <row r="1619" spans="1:6" x14ac:dyDescent="0.3">
      <c r="A1619" s="19" t="s">
        <v>2435</v>
      </c>
      <c r="B1619" s="20"/>
      <c r="C1619" s="20"/>
      <c r="D1619" s="20"/>
      <c r="E1619" s="20"/>
      <c r="F1619" s="20"/>
    </row>
    <row r="1620" spans="1:6" x14ac:dyDescent="0.3">
      <c r="A1620" s="12" t="s">
        <v>583</v>
      </c>
      <c r="B1620" s="13">
        <v>45729</v>
      </c>
      <c r="C1620" s="4" t="s">
        <v>12</v>
      </c>
      <c r="D1620" s="4" t="s">
        <v>4</v>
      </c>
      <c r="E1620" s="4" t="s">
        <v>13</v>
      </c>
      <c r="F1620" s="4" t="s">
        <v>13</v>
      </c>
    </row>
    <row r="1621" spans="1:6" ht="15" thickBot="1" x14ac:dyDescent="0.35">
      <c r="A1621" s="4"/>
    </row>
    <row r="1622" spans="1:6" x14ac:dyDescent="0.3">
      <c r="A1622" s="19" t="s">
        <v>2440</v>
      </c>
      <c r="B1622" s="20"/>
      <c r="C1622" s="20"/>
      <c r="D1622" s="20"/>
      <c r="E1622" s="20"/>
      <c r="F1622" s="20"/>
    </row>
    <row r="1623" spans="1:6" x14ac:dyDescent="0.3">
      <c r="A1623" s="12" t="s">
        <v>11</v>
      </c>
      <c r="B1623" s="13">
        <v>45729</v>
      </c>
      <c r="C1623" s="4" t="s">
        <v>12</v>
      </c>
      <c r="D1623" s="4" t="s">
        <v>4</v>
      </c>
      <c r="E1623" s="4" t="s">
        <v>13</v>
      </c>
      <c r="F1623" s="4" t="s">
        <v>13</v>
      </c>
    </row>
    <row r="1624" spans="1:6" ht="15" thickBot="1" x14ac:dyDescent="0.35">
      <c r="A1624" s="4"/>
    </row>
    <row r="1625" spans="1:6" x14ac:dyDescent="0.3">
      <c r="A1625" s="19" t="s">
        <v>2445</v>
      </c>
      <c r="B1625" s="20"/>
      <c r="C1625" s="20"/>
      <c r="D1625" s="20"/>
      <c r="E1625" s="20"/>
      <c r="F1625" s="20"/>
    </row>
    <row r="1626" spans="1:6" x14ac:dyDescent="0.3">
      <c r="A1626" s="12" t="s">
        <v>10</v>
      </c>
      <c r="B1626" s="13">
        <v>45729</v>
      </c>
      <c r="C1626" s="4" t="s">
        <v>12</v>
      </c>
      <c r="D1626" s="4" t="s">
        <v>4</v>
      </c>
      <c r="E1626" s="4" t="s">
        <v>13</v>
      </c>
      <c r="F1626" s="4" t="s">
        <v>13</v>
      </c>
    </row>
    <row r="1627" spans="1:6" ht="15" thickBot="1" x14ac:dyDescent="0.35">
      <c r="A1627" s="4"/>
    </row>
    <row r="1628" spans="1:6" x14ac:dyDescent="0.3">
      <c r="A1628" s="19" t="s">
        <v>2450</v>
      </c>
      <c r="B1628" s="20"/>
      <c r="C1628" s="20"/>
      <c r="D1628" s="20"/>
      <c r="E1628" s="20"/>
      <c r="F1628" s="20"/>
    </row>
    <row r="1629" spans="1:6" x14ac:dyDescent="0.3">
      <c r="A1629" s="12" t="s">
        <v>10</v>
      </c>
      <c r="B1629" s="13">
        <v>45729</v>
      </c>
      <c r="C1629" s="4" t="s">
        <v>12</v>
      </c>
      <c r="D1629" s="4" t="s">
        <v>4</v>
      </c>
      <c r="E1629" s="4" t="s">
        <v>13</v>
      </c>
      <c r="F1629" s="4" t="s">
        <v>13</v>
      </c>
    </row>
    <row r="1630" spans="1:6" ht="15" thickBot="1" x14ac:dyDescent="0.35">
      <c r="A1630" s="4"/>
    </row>
    <row r="1631" spans="1:6" x14ac:dyDescent="0.3">
      <c r="A1631" s="19" t="s">
        <v>2453</v>
      </c>
      <c r="B1631" s="20"/>
      <c r="C1631" s="20"/>
      <c r="D1631" s="20"/>
      <c r="E1631" s="20"/>
      <c r="F1631" s="20"/>
    </row>
    <row r="1632" spans="1:6" x14ac:dyDescent="0.3">
      <c r="A1632" s="12" t="s">
        <v>11</v>
      </c>
      <c r="B1632" s="13">
        <v>45729</v>
      </c>
      <c r="C1632" s="4" t="s">
        <v>12</v>
      </c>
      <c r="D1632" s="4" t="s">
        <v>4</v>
      </c>
      <c r="E1632" s="4" t="s">
        <v>13</v>
      </c>
      <c r="F1632" s="4" t="s">
        <v>13</v>
      </c>
    </row>
    <row r="1633" spans="1:6" ht="15" thickBot="1" x14ac:dyDescent="0.35">
      <c r="A1633" s="4"/>
    </row>
    <row r="1634" spans="1:6" x14ac:dyDescent="0.3">
      <c r="A1634" s="19" t="s">
        <v>2459</v>
      </c>
      <c r="B1634" s="20"/>
      <c r="C1634" s="20"/>
      <c r="D1634" s="20"/>
      <c r="E1634" s="20"/>
      <c r="F1634" s="20"/>
    </row>
    <row r="1635" spans="1:6" x14ac:dyDescent="0.3">
      <c r="A1635" s="12" t="s">
        <v>11</v>
      </c>
      <c r="B1635" s="13">
        <v>45729</v>
      </c>
      <c r="C1635" s="4" t="s">
        <v>12</v>
      </c>
      <c r="D1635" s="4" t="s">
        <v>4</v>
      </c>
      <c r="E1635" s="4" t="s">
        <v>13</v>
      </c>
      <c r="F1635" s="4" t="s">
        <v>13</v>
      </c>
    </row>
    <row r="1636" spans="1:6" ht="15" thickBot="1" x14ac:dyDescent="0.35">
      <c r="A1636" s="4"/>
    </row>
    <row r="1637" spans="1:6" x14ac:dyDescent="0.3">
      <c r="A1637" s="19" t="s">
        <v>2464</v>
      </c>
      <c r="B1637" s="20"/>
      <c r="C1637" s="20"/>
      <c r="D1637" s="20"/>
      <c r="E1637" s="20"/>
      <c r="F1637" s="20"/>
    </row>
    <row r="1638" spans="1:6" x14ac:dyDescent="0.3">
      <c r="A1638" s="12" t="s">
        <v>11</v>
      </c>
      <c r="B1638" s="13">
        <v>45729</v>
      </c>
      <c r="C1638" s="4" t="s">
        <v>12</v>
      </c>
      <c r="D1638" s="4" t="s">
        <v>4</v>
      </c>
      <c r="E1638" s="4" t="s">
        <v>13</v>
      </c>
      <c r="F1638" s="4" t="s">
        <v>13</v>
      </c>
    </row>
    <row r="1639" spans="1:6" ht="15" thickBot="1" x14ac:dyDescent="0.35">
      <c r="A1639" s="4"/>
    </row>
    <row r="1640" spans="1:6" x14ac:dyDescent="0.3">
      <c r="A1640" s="19" t="s">
        <v>2469</v>
      </c>
      <c r="B1640" s="20"/>
      <c r="C1640" s="20"/>
      <c r="D1640" s="20"/>
      <c r="E1640" s="20"/>
      <c r="F1640" s="20"/>
    </row>
    <row r="1641" spans="1:6" x14ac:dyDescent="0.3">
      <c r="A1641" s="12" t="s">
        <v>11</v>
      </c>
      <c r="B1641" s="13">
        <v>45729</v>
      </c>
      <c r="C1641" s="4" t="s">
        <v>12</v>
      </c>
      <c r="D1641" s="4" t="s">
        <v>4</v>
      </c>
      <c r="E1641" s="4" t="s">
        <v>13</v>
      </c>
      <c r="F1641" s="4" t="s">
        <v>13</v>
      </c>
    </row>
    <row r="1642" spans="1:6" ht="15" thickBot="1" x14ac:dyDescent="0.35">
      <c r="A1642" s="4"/>
    </row>
    <row r="1643" spans="1:6" x14ac:dyDescent="0.3">
      <c r="A1643" s="19" t="s">
        <v>2474</v>
      </c>
      <c r="B1643" s="20"/>
      <c r="C1643" s="20"/>
      <c r="D1643" s="20"/>
      <c r="E1643" s="20"/>
      <c r="F1643" s="20"/>
    </row>
    <row r="1644" spans="1:6" x14ac:dyDescent="0.3">
      <c r="A1644" s="12" t="s">
        <v>11</v>
      </c>
      <c r="B1644" s="13">
        <v>45729</v>
      </c>
      <c r="C1644" s="4" t="s">
        <v>12</v>
      </c>
      <c r="D1644" s="4" t="s">
        <v>4</v>
      </c>
      <c r="E1644" s="4" t="s">
        <v>13</v>
      </c>
      <c r="F1644" s="4" t="s">
        <v>13</v>
      </c>
    </row>
    <row r="1645" spans="1:6" ht="15" thickBot="1" x14ac:dyDescent="0.35">
      <c r="A1645" s="4"/>
    </row>
    <row r="1646" spans="1:6" x14ac:dyDescent="0.3">
      <c r="A1646" s="19" t="s">
        <v>2479</v>
      </c>
      <c r="B1646" s="20"/>
      <c r="C1646" s="20"/>
      <c r="D1646" s="20"/>
      <c r="E1646" s="20"/>
      <c r="F1646" s="20"/>
    </row>
    <row r="1647" spans="1:6" x14ac:dyDescent="0.3">
      <c r="A1647" s="12" t="s">
        <v>11</v>
      </c>
      <c r="B1647" s="13">
        <v>45729</v>
      </c>
      <c r="C1647" s="4" t="s">
        <v>12</v>
      </c>
      <c r="D1647" s="4" t="s">
        <v>4</v>
      </c>
      <c r="E1647" s="4" t="s">
        <v>13</v>
      </c>
      <c r="F1647" s="4" t="s">
        <v>13</v>
      </c>
    </row>
    <row r="1648" spans="1:6" ht="15" thickBot="1" x14ac:dyDescent="0.35">
      <c r="A1648" s="4"/>
    </row>
    <row r="1649" spans="1:6" x14ac:dyDescent="0.3">
      <c r="A1649" s="19" t="s">
        <v>2482</v>
      </c>
      <c r="B1649" s="20"/>
      <c r="C1649" s="20"/>
      <c r="D1649" s="20"/>
      <c r="E1649" s="20"/>
      <c r="F1649" s="20"/>
    </row>
    <row r="1650" spans="1:6" x14ac:dyDescent="0.3">
      <c r="A1650" s="12" t="s">
        <v>10</v>
      </c>
      <c r="B1650" s="13">
        <v>45729</v>
      </c>
      <c r="C1650" s="4" t="s">
        <v>12</v>
      </c>
      <c r="D1650" s="4" t="s">
        <v>4</v>
      </c>
      <c r="E1650" s="4" t="s">
        <v>13</v>
      </c>
      <c r="F1650" s="4" t="s">
        <v>13</v>
      </c>
    </row>
    <row r="1651" spans="1:6" ht="15" thickBot="1" x14ac:dyDescent="0.35">
      <c r="A1651" s="4"/>
    </row>
    <row r="1652" spans="1:6" x14ac:dyDescent="0.3">
      <c r="A1652" s="19" t="s">
        <v>2496</v>
      </c>
      <c r="B1652" s="20"/>
      <c r="C1652" s="20"/>
      <c r="D1652" s="20"/>
      <c r="E1652" s="20"/>
      <c r="F1652" s="20"/>
    </row>
    <row r="1653" spans="1:6" x14ac:dyDescent="0.3">
      <c r="A1653" s="12" t="s">
        <v>11</v>
      </c>
      <c r="B1653" s="13">
        <v>45729</v>
      </c>
      <c r="C1653" s="4" t="s">
        <v>12</v>
      </c>
      <c r="D1653" s="4" t="s">
        <v>4</v>
      </c>
      <c r="E1653" s="4" t="s">
        <v>13</v>
      </c>
      <c r="F1653" s="4" t="s">
        <v>13</v>
      </c>
    </row>
    <row r="1654" spans="1:6" ht="15" thickBot="1" x14ac:dyDescent="0.35">
      <c r="A1654" s="4"/>
    </row>
    <row r="1655" spans="1:6" x14ac:dyDescent="0.3">
      <c r="A1655" s="19" t="s">
        <v>2501</v>
      </c>
      <c r="B1655" s="20"/>
      <c r="C1655" s="20"/>
      <c r="D1655" s="20"/>
      <c r="E1655" s="20"/>
      <c r="F1655" s="20"/>
    </row>
    <row r="1656" spans="1:6" x14ac:dyDescent="0.3">
      <c r="A1656" s="12" t="s">
        <v>11</v>
      </c>
      <c r="B1656" s="13">
        <v>45729</v>
      </c>
      <c r="C1656" s="4" t="s">
        <v>12</v>
      </c>
      <c r="D1656" s="4" t="s">
        <v>4</v>
      </c>
      <c r="E1656" s="4" t="s">
        <v>13</v>
      </c>
      <c r="F1656" s="4" t="s">
        <v>13</v>
      </c>
    </row>
    <row r="1657" spans="1:6" ht="15" thickBot="1" x14ac:dyDescent="0.35">
      <c r="A1657" s="4"/>
    </row>
    <row r="1658" spans="1:6" x14ac:dyDescent="0.3">
      <c r="A1658" s="19" t="s">
        <v>2506</v>
      </c>
      <c r="B1658" s="20"/>
      <c r="C1658" s="20"/>
      <c r="D1658" s="20"/>
      <c r="E1658" s="20"/>
      <c r="F1658" s="20"/>
    </row>
    <row r="1659" spans="1:6" x14ac:dyDescent="0.3">
      <c r="A1659" s="12" t="s">
        <v>11</v>
      </c>
      <c r="B1659" s="13">
        <v>45729</v>
      </c>
      <c r="C1659" s="4" t="s">
        <v>12</v>
      </c>
      <c r="D1659" s="4" t="s">
        <v>4</v>
      </c>
      <c r="E1659" s="4" t="s">
        <v>13</v>
      </c>
      <c r="F1659" s="4" t="s">
        <v>13</v>
      </c>
    </row>
    <row r="1660" spans="1:6" ht="15" thickBot="1" x14ac:dyDescent="0.35">
      <c r="A1660" s="4"/>
    </row>
    <row r="1661" spans="1:6" x14ac:dyDescent="0.3">
      <c r="A1661" s="19" t="s">
        <v>2511</v>
      </c>
      <c r="B1661" s="20"/>
      <c r="C1661" s="20"/>
      <c r="D1661" s="20"/>
      <c r="E1661" s="20"/>
      <c r="F1661" s="20"/>
    </row>
    <row r="1662" spans="1:6" x14ac:dyDescent="0.3">
      <c r="A1662" s="12" t="s">
        <v>583</v>
      </c>
      <c r="B1662" s="13">
        <v>45729</v>
      </c>
      <c r="C1662" s="4" t="s">
        <v>12</v>
      </c>
      <c r="D1662" s="4" t="s">
        <v>4</v>
      </c>
      <c r="E1662" s="4" t="s">
        <v>13</v>
      </c>
      <c r="F1662" s="4" t="s">
        <v>13</v>
      </c>
    </row>
    <row r="1663" spans="1:6" ht="15" thickBot="1" x14ac:dyDescent="0.35">
      <c r="A1663" s="4"/>
    </row>
    <row r="1664" spans="1:6" x14ac:dyDescent="0.3">
      <c r="A1664" s="19" t="s">
        <v>2516</v>
      </c>
      <c r="B1664" s="20"/>
      <c r="C1664" s="20"/>
      <c r="D1664" s="20"/>
      <c r="E1664" s="20"/>
      <c r="F1664" s="20"/>
    </row>
    <row r="1665" spans="1:6" x14ac:dyDescent="0.3">
      <c r="A1665" s="12" t="s">
        <v>11</v>
      </c>
      <c r="B1665" s="13">
        <v>45729</v>
      </c>
      <c r="C1665" s="4" t="s">
        <v>12</v>
      </c>
      <c r="D1665" s="4" t="s">
        <v>4</v>
      </c>
      <c r="E1665" s="4" t="s">
        <v>13</v>
      </c>
      <c r="F1665" s="4" t="s">
        <v>13</v>
      </c>
    </row>
    <row r="1666" spans="1:6" ht="15" thickBot="1" x14ac:dyDescent="0.35">
      <c r="A1666" s="4"/>
    </row>
    <row r="1667" spans="1:6" x14ac:dyDescent="0.3">
      <c r="A1667" s="19" t="s">
        <v>2521</v>
      </c>
      <c r="B1667" s="20"/>
      <c r="C1667" s="20"/>
      <c r="D1667" s="20"/>
      <c r="E1667" s="20"/>
      <c r="F1667" s="20"/>
    </row>
    <row r="1668" spans="1:6" x14ac:dyDescent="0.3">
      <c r="A1668" s="12" t="s">
        <v>11</v>
      </c>
      <c r="B1668" s="13">
        <v>45729</v>
      </c>
      <c r="C1668" s="4" t="s">
        <v>12</v>
      </c>
      <c r="D1668" s="4" t="s">
        <v>4</v>
      </c>
      <c r="E1668" s="4" t="s">
        <v>13</v>
      </c>
      <c r="F1668" s="4" t="s">
        <v>13</v>
      </c>
    </row>
    <row r="1669" spans="1:6" ht="15" thickBot="1" x14ac:dyDescent="0.35">
      <c r="A1669" s="4"/>
    </row>
    <row r="1670" spans="1:6" x14ac:dyDescent="0.3">
      <c r="A1670" s="19" t="s">
        <v>2526</v>
      </c>
      <c r="B1670" s="20"/>
      <c r="C1670" s="20"/>
      <c r="D1670" s="20"/>
      <c r="E1670" s="20"/>
      <c r="F1670" s="20"/>
    </row>
    <row r="1671" spans="1:6" x14ac:dyDescent="0.3">
      <c r="A1671" s="12" t="s">
        <v>583</v>
      </c>
      <c r="B1671" s="13">
        <v>45729</v>
      </c>
      <c r="C1671" s="4" t="s">
        <v>12</v>
      </c>
      <c r="D1671" s="4" t="s">
        <v>4</v>
      </c>
      <c r="E1671" s="4" t="s">
        <v>13</v>
      </c>
      <c r="F1671" s="4" t="s">
        <v>13</v>
      </c>
    </row>
    <row r="1672" spans="1:6" ht="15" thickBot="1" x14ac:dyDescent="0.35">
      <c r="A1672" s="4"/>
    </row>
    <row r="1673" spans="1:6" x14ac:dyDescent="0.3">
      <c r="A1673" s="19" t="s">
        <v>2531</v>
      </c>
      <c r="B1673" s="20"/>
      <c r="C1673" s="20"/>
      <c r="D1673" s="20"/>
      <c r="E1673" s="20"/>
      <c r="F1673" s="20"/>
    </row>
    <row r="1674" spans="1:6" x14ac:dyDescent="0.3">
      <c r="A1674" s="12" t="s">
        <v>11</v>
      </c>
      <c r="B1674" s="13">
        <v>45729</v>
      </c>
      <c r="C1674" s="4" t="s">
        <v>12</v>
      </c>
      <c r="D1674" s="4" t="s">
        <v>4</v>
      </c>
      <c r="E1674" s="4" t="s">
        <v>13</v>
      </c>
      <c r="F1674" s="4" t="s">
        <v>13</v>
      </c>
    </row>
    <row r="1675" spans="1:6" ht="15" thickBot="1" x14ac:dyDescent="0.35">
      <c r="A1675" s="4"/>
    </row>
    <row r="1676" spans="1:6" x14ac:dyDescent="0.3">
      <c r="A1676" s="19" t="s">
        <v>2536</v>
      </c>
      <c r="B1676" s="20"/>
      <c r="C1676" s="20"/>
      <c r="D1676" s="20"/>
      <c r="E1676" s="20"/>
      <c r="F1676" s="20"/>
    </row>
    <row r="1677" spans="1:6" x14ac:dyDescent="0.3">
      <c r="A1677" s="12" t="s">
        <v>1155</v>
      </c>
      <c r="B1677" s="13">
        <v>45729</v>
      </c>
      <c r="C1677" s="4" t="s">
        <v>12</v>
      </c>
      <c r="D1677" s="4" t="s">
        <v>4</v>
      </c>
      <c r="E1677" s="4" t="s">
        <v>13</v>
      </c>
      <c r="F1677" s="4" t="s">
        <v>13</v>
      </c>
    </row>
    <row r="1678" spans="1:6" ht="15" thickBot="1" x14ac:dyDescent="0.35">
      <c r="A1678" s="4"/>
    </row>
    <row r="1679" spans="1:6" x14ac:dyDescent="0.3">
      <c r="A1679" s="19" t="s">
        <v>2541</v>
      </c>
      <c r="B1679" s="20"/>
      <c r="C1679" s="20"/>
      <c r="D1679" s="20"/>
      <c r="E1679" s="20"/>
      <c r="F1679" s="20"/>
    </row>
    <row r="1680" spans="1:6" x14ac:dyDescent="0.3">
      <c r="A1680" s="12" t="s">
        <v>11</v>
      </c>
      <c r="B1680" s="13">
        <v>45729</v>
      </c>
      <c r="C1680" s="4" t="s">
        <v>12</v>
      </c>
      <c r="D1680" s="4" t="s">
        <v>4</v>
      </c>
      <c r="E1680" s="4" t="s">
        <v>13</v>
      </c>
      <c r="F1680" s="4" t="s">
        <v>13</v>
      </c>
    </row>
    <row r="1681" spans="1:6" ht="15" thickBot="1" x14ac:dyDescent="0.35">
      <c r="A1681" s="4"/>
    </row>
    <row r="1682" spans="1:6" x14ac:dyDescent="0.3">
      <c r="A1682" s="19" t="s">
        <v>2546</v>
      </c>
      <c r="B1682" s="20"/>
      <c r="C1682" s="20"/>
      <c r="D1682" s="20"/>
      <c r="E1682" s="20"/>
      <c r="F1682" s="20"/>
    </row>
    <row r="1683" spans="1:6" x14ac:dyDescent="0.3">
      <c r="A1683" s="12" t="s">
        <v>11</v>
      </c>
      <c r="B1683" s="13">
        <v>45729</v>
      </c>
      <c r="C1683" s="4" t="s">
        <v>12</v>
      </c>
      <c r="D1683" s="4" t="s">
        <v>4</v>
      </c>
      <c r="E1683" s="4" t="s">
        <v>13</v>
      </c>
      <c r="F1683" s="4" t="s">
        <v>13</v>
      </c>
    </row>
    <row r="1684" spans="1:6" ht="15" thickBot="1" x14ac:dyDescent="0.35">
      <c r="A1684" s="4"/>
    </row>
    <row r="1685" spans="1:6" x14ac:dyDescent="0.3">
      <c r="A1685" s="19" t="s">
        <v>2553</v>
      </c>
      <c r="B1685" s="20"/>
      <c r="C1685" s="20"/>
      <c r="D1685" s="20"/>
      <c r="E1685" s="20"/>
      <c r="F1685" s="20"/>
    </row>
    <row r="1686" spans="1:6" x14ac:dyDescent="0.3">
      <c r="A1686" s="12" t="s">
        <v>583</v>
      </c>
      <c r="B1686" s="13">
        <v>45729</v>
      </c>
      <c r="C1686" s="4" t="s">
        <v>12</v>
      </c>
      <c r="D1686" s="4" t="s">
        <v>4</v>
      </c>
      <c r="E1686" s="4" t="s">
        <v>13</v>
      </c>
      <c r="F1686" s="4" t="s">
        <v>13</v>
      </c>
    </row>
    <row r="1687" spans="1:6" ht="15" thickBot="1" x14ac:dyDescent="0.35">
      <c r="A1687" s="4"/>
    </row>
    <row r="1688" spans="1:6" x14ac:dyDescent="0.3">
      <c r="A1688" s="19" t="s">
        <v>2558</v>
      </c>
      <c r="B1688" s="20"/>
      <c r="C1688" s="20"/>
      <c r="D1688" s="20"/>
      <c r="E1688" s="20"/>
      <c r="F1688" s="20"/>
    </row>
    <row r="1689" spans="1:6" x14ac:dyDescent="0.3">
      <c r="A1689" s="12" t="s">
        <v>11</v>
      </c>
      <c r="B1689" s="13">
        <v>45729</v>
      </c>
      <c r="C1689" s="4" t="s">
        <v>12</v>
      </c>
      <c r="D1689" s="4" t="s">
        <v>4</v>
      </c>
      <c r="E1689" s="4" t="s">
        <v>13</v>
      </c>
      <c r="F1689" s="4" t="s">
        <v>13</v>
      </c>
    </row>
    <row r="1690" spans="1:6" ht="15" thickBot="1" x14ac:dyDescent="0.35">
      <c r="A1690" s="4"/>
    </row>
    <row r="1691" spans="1:6" x14ac:dyDescent="0.3">
      <c r="A1691" s="19" t="s">
        <v>2561</v>
      </c>
      <c r="B1691" s="20"/>
      <c r="C1691" s="20"/>
      <c r="D1691" s="20"/>
      <c r="E1691" s="20"/>
      <c r="F1691" s="20"/>
    </row>
    <row r="1692" spans="1:6" x14ac:dyDescent="0.3">
      <c r="A1692" s="12" t="s">
        <v>1155</v>
      </c>
      <c r="B1692" s="13">
        <v>45729</v>
      </c>
      <c r="C1692" s="4" t="s">
        <v>12</v>
      </c>
      <c r="D1692" s="4" t="s">
        <v>4</v>
      </c>
      <c r="E1692" s="4" t="s">
        <v>13</v>
      </c>
      <c r="F1692" s="4" t="s">
        <v>13</v>
      </c>
    </row>
    <row r="1693" spans="1:6" ht="15" thickBot="1" x14ac:dyDescent="0.35">
      <c r="A1693" s="4"/>
    </row>
    <row r="1694" spans="1:6" x14ac:dyDescent="0.3">
      <c r="A1694" s="19" t="s">
        <v>2568</v>
      </c>
      <c r="B1694" s="20"/>
      <c r="C1694" s="20"/>
      <c r="D1694" s="20"/>
      <c r="E1694" s="20"/>
      <c r="F1694" s="20"/>
    </row>
    <row r="1695" spans="1:6" x14ac:dyDescent="0.3">
      <c r="A1695" s="12" t="s">
        <v>11</v>
      </c>
      <c r="B1695" s="13">
        <v>45729</v>
      </c>
      <c r="C1695" s="4" t="s">
        <v>12</v>
      </c>
      <c r="D1695" s="4" t="s">
        <v>4</v>
      </c>
      <c r="E1695" s="4" t="s">
        <v>13</v>
      </c>
      <c r="F1695" s="4" t="s">
        <v>13</v>
      </c>
    </row>
    <row r="1696" spans="1:6" ht="15" thickBot="1" x14ac:dyDescent="0.35">
      <c r="A1696" s="4"/>
    </row>
    <row r="1697" spans="1:6" x14ac:dyDescent="0.3">
      <c r="A1697" s="19" t="s">
        <v>2573</v>
      </c>
      <c r="B1697" s="20"/>
      <c r="C1697" s="20"/>
      <c r="D1697" s="20"/>
      <c r="E1697" s="20"/>
      <c r="F1697" s="20"/>
    </row>
    <row r="1698" spans="1:6" x14ac:dyDescent="0.3">
      <c r="A1698" s="12" t="s">
        <v>10</v>
      </c>
      <c r="B1698" s="13">
        <v>45729</v>
      </c>
      <c r="C1698" s="4" t="s">
        <v>12</v>
      </c>
      <c r="D1698" s="4" t="s">
        <v>4</v>
      </c>
      <c r="E1698" s="4" t="s">
        <v>13</v>
      </c>
      <c r="F1698" s="4" t="s">
        <v>13</v>
      </c>
    </row>
    <row r="1699" spans="1:6" ht="15" thickBot="1" x14ac:dyDescent="0.35">
      <c r="A1699" s="4"/>
    </row>
    <row r="1700" spans="1:6" x14ac:dyDescent="0.3">
      <c r="A1700" s="19" t="s">
        <v>2578</v>
      </c>
      <c r="B1700" s="20"/>
      <c r="C1700" s="20"/>
      <c r="D1700" s="20"/>
      <c r="E1700" s="20"/>
      <c r="F1700" s="20"/>
    </row>
    <row r="1701" spans="1:6" x14ac:dyDescent="0.3">
      <c r="A1701" s="12" t="s">
        <v>11</v>
      </c>
      <c r="B1701" s="13">
        <v>45729</v>
      </c>
      <c r="C1701" s="4" t="s">
        <v>12</v>
      </c>
      <c r="D1701" s="4" t="s">
        <v>4</v>
      </c>
      <c r="E1701" s="4" t="s">
        <v>13</v>
      </c>
      <c r="F1701" s="4" t="s">
        <v>13</v>
      </c>
    </row>
    <row r="1702" spans="1:6" ht="15" thickBot="1" x14ac:dyDescent="0.35">
      <c r="A1702" s="4"/>
    </row>
    <row r="1703" spans="1:6" x14ac:dyDescent="0.3">
      <c r="A1703" s="19" t="s">
        <v>2585</v>
      </c>
      <c r="B1703" s="20"/>
      <c r="C1703" s="20"/>
      <c r="D1703" s="20"/>
      <c r="E1703" s="20"/>
      <c r="F1703" s="20"/>
    </row>
    <row r="1704" spans="1:6" x14ac:dyDescent="0.3">
      <c r="A1704" s="12" t="s">
        <v>1155</v>
      </c>
      <c r="B1704" s="13">
        <v>45729</v>
      </c>
      <c r="C1704" s="4" t="s">
        <v>12</v>
      </c>
      <c r="D1704" s="4" t="s">
        <v>4</v>
      </c>
      <c r="E1704" s="4" t="s">
        <v>13</v>
      </c>
      <c r="F1704" s="4" t="s">
        <v>13</v>
      </c>
    </row>
    <row r="1705" spans="1:6" ht="15" thickBot="1" x14ac:dyDescent="0.35">
      <c r="A1705" s="4"/>
    </row>
    <row r="1706" spans="1:6" x14ac:dyDescent="0.3">
      <c r="A1706" s="19" t="s">
        <v>2593</v>
      </c>
      <c r="B1706" s="20"/>
      <c r="C1706" s="20"/>
      <c r="D1706" s="20"/>
      <c r="E1706" s="20"/>
      <c r="F1706" s="20"/>
    </row>
    <row r="1707" spans="1:6" x14ac:dyDescent="0.3">
      <c r="A1707" s="12" t="s">
        <v>10</v>
      </c>
      <c r="B1707" s="13">
        <v>45729</v>
      </c>
      <c r="C1707" s="4" t="s">
        <v>12</v>
      </c>
      <c r="D1707" s="4" t="s">
        <v>4</v>
      </c>
      <c r="E1707" s="4" t="s">
        <v>13</v>
      </c>
      <c r="F1707" s="4" t="s">
        <v>13</v>
      </c>
    </row>
    <row r="1708" spans="1:6" ht="15" thickBot="1" x14ac:dyDescent="0.35">
      <c r="A1708" s="4"/>
    </row>
    <row r="1709" spans="1:6" x14ac:dyDescent="0.3">
      <c r="A1709" s="19" t="s">
        <v>2598</v>
      </c>
      <c r="B1709" s="20"/>
      <c r="C1709" s="20"/>
      <c r="D1709" s="20"/>
      <c r="E1709" s="20"/>
      <c r="F1709" s="20"/>
    </row>
    <row r="1710" spans="1:6" x14ac:dyDescent="0.3">
      <c r="A1710" s="12" t="s">
        <v>11</v>
      </c>
      <c r="B1710" s="13">
        <v>45729</v>
      </c>
      <c r="C1710" s="4" t="s">
        <v>12</v>
      </c>
      <c r="D1710" s="4" t="s">
        <v>4</v>
      </c>
      <c r="E1710" s="4" t="s">
        <v>13</v>
      </c>
      <c r="F1710" s="4" t="s">
        <v>13</v>
      </c>
    </row>
    <row r="1711" spans="1:6" ht="15" thickBot="1" x14ac:dyDescent="0.35">
      <c r="A1711" s="4"/>
    </row>
    <row r="1712" spans="1:6" x14ac:dyDescent="0.3">
      <c r="A1712" s="19" t="s">
        <v>2601</v>
      </c>
      <c r="B1712" s="20"/>
      <c r="C1712" s="20"/>
      <c r="D1712" s="20"/>
      <c r="E1712" s="20"/>
      <c r="F1712" s="20"/>
    </row>
    <row r="1713" spans="1:6" x14ac:dyDescent="0.3">
      <c r="A1713" s="12" t="s">
        <v>10</v>
      </c>
      <c r="B1713" s="13">
        <v>45729</v>
      </c>
      <c r="C1713" s="4" t="s">
        <v>12</v>
      </c>
      <c r="D1713" s="4" t="s">
        <v>4</v>
      </c>
      <c r="E1713" s="4" t="s">
        <v>13</v>
      </c>
      <c r="F1713" s="4" t="s">
        <v>13</v>
      </c>
    </row>
    <row r="1714" spans="1:6" ht="15" thickBot="1" x14ac:dyDescent="0.35">
      <c r="A1714" s="4"/>
    </row>
    <row r="1715" spans="1:6" x14ac:dyDescent="0.3">
      <c r="A1715" s="19" t="s">
        <v>2606</v>
      </c>
      <c r="B1715" s="20"/>
      <c r="C1715" s="20"/>
      <c r="D1715" s="20"/>
      <c r="E1715" s="20"/>
      <c r="F1715" s="20"/>
    </row>
    <row r="1716" spans="1:6" x14ac:dyDescent="0.3">
      <c r="A1716" s="12" t="s">
        <v>11</v>
      </c>
      <c r="B1716" s="13">
        <v>45729</v>
      </c>
      <c r="C1716" s="4" t="s">
        <v>12</v>
      </c>
      <c r="D1716" s="4" t="s">
        <v>4</v>
      </c>
      <c r="E1716" s="4" t="s">
        <v>13</v>
      </c>
      <c r="F1716" s="4" t="s">
        <v>13</v>
      </c>
    </row>
    <row r="1717" spans="1:6" ht="15" thickBot="1" x14ac:dyDescent="0.35">
      <c r="A1717" s="4"/>
    </row>
    <row r="1718" spans="1:6" x14ac:dyDescent="0.3">
      <c r="A1718" s="19" t="s">
        <v>2611</v>
      </c>
      <c r="B1718" s="20"/>
      <c r="C1718" s="20"/>
      <c r="D1718" s="20"/>
      <c r="E1718" s="20"/>
      <c r="F1718" s="20"/>
    </row>
    <row r="1719" spans="1:6" x14ac:dyDescent="0.3">
      <c r="A1719" s="12" t="s">
        <v>10</v>
      </c>
      <c r="B1719" s="13">
        <v>45729</v>
      </c>
      <c r="C1719" s="4" t="s">
        <v>12</v>
      </c>
      <c r="D1719" s="4" t="s">
        <v>4</v>
      </c>
      <c r="E1719" s="4" t="s">
        <v>13</v>
      </c>
      <c r="F1719" s="4" t="s">
        <v>13</v>
      </c>
    </row>
    <row r="1720" spans="1:6" ht="15" thickBot="1" x14ac:dyDescent="0.35">
      <c r="A1720" s="4"/>
    </row>
    <row r="1721" spans="1:6" x14ac:dyDescent="0.3">
      <c r="A1721" s="19" t="s">
        <v>2614</v>
      </c>
      <c r="B1721" s="20"/>
      <c r="C1721" s="20"/>
      <c r="D1721" s="20"/>
      <c r="E1721" s="20"/>
      <c r="F1721" s="20"/>
    </row>
    <row r="1722" spans="1:6" x14ac:dyDescent="0.3">
      <c r="A1722" s="12" t="s">
        <v>10</v>
      </c>
      <c r="B1722" s="13">
        <v>45729</v>
      </c>
      <c r="C1722" s="4" t="s">
        <v>12</v>
      </c>
      <c r="D1722" s="4" t="s">
        <v>4</v>
      </c>
      <c r="E1722" s="4" t="s">
        <v>13</v>
      </c>
      <c r="F1722" s="4" t="s">
        <v>13</v>
      </c>
    </row>
    <row r="1723" spans="1:6" ht="15" thickBot="1" x14ac:dyDescent="0.35">
      <c r="A1723" s="4"/>
    </row>
    <row r="1724" spans="1:6" x14ac:dyDescent="0.3">
      <c r="A1724" s="19" t="s">
        <v>2619</v>
      </c>
      <c r="B1724" s="20"/>
      <c r="C1724" s="20"/>
      <c r="D1724" s="20"/>
      <c r="E1724" s="20"/>
      <c r="F1724" s="20"/>
    </row>
    <row r="1725" spans="1:6" x14ac:dyDescent="0.3">
      <c r="A1725" s="12" t="s">
        <v>10</v>
      </c>
      <c r="B1725" s="13">
        <v>45729</v>
      </c>
      <c r="C1725" s="4" t="s">
        <v>12</v>
      </c>
      <c r="D1725" s="4" t="s">
        <v>4</v>
      </c>
      <c r="E1725" s="4" t="s">
        <v>13</v>
      </c>
      <c r="F1725" s="4" t="s">
        <v>13</v>
      </c>
    </row>
    <row r="1726" spans="1:6" ht="15" thickBot="1" x14ac:dyDescent="0.35">
      <c r="A1726" s="4"/>
    </row>
    <row r="1727" spans="1:6" x14ac:dyDescent="0.3">
      <c r="A1727" s="19" t="s">
        <v>2622</v>
      </c>
      <c r="B1727" s="20"/>
      <c r="C1727" s="20"/>
      <c r="D1727" s="20"/>
      <c r="E1727" s="20"/>
      <c r="F1727" s="20"/>
    </row>
    <row r="1728" spans="1:6" x14ac:dyDescent="0.3">
      <c r="A1728" s="12" t="s">
        <v>10</v>
      </c>
      <c r="B1728" s="13">
        <v>45729</v>
      </c>
      <c r="C1728" s="4" t="s">
        <v>12</v>
      </c>
      <c r="D1728" s="4" t="s">
        <v>4</v>
      </c>
      <c r="E1728" s="4" t="s">
        <v>13</v>
      </c>
      <c r="F1728" s="4" t="s">
        <v>13</v>
      </c>
    </row>
    <row r="1729" spans="1:6" ht="15" thickBot="1" x14ac:dyDescent="0.35">
      <c r="A1729" s="4"/>
    </row>
    <row r="1730" spans="1:6" x14ac:dyDescent="0.3">
      <c r="A1730" s="19" t="s">
        <v>2625</v>
      </c>
      <c r="B1730" s="20"/>
      <c r="C1730" s="20"/>
      <c r="D1730" s="20"/>
      <c r="E1730" s="20"/>
      <c r="F1730" s="20"/>
    </row>
    <row r="1731" spans="1:6" x14ac:dyDescent="0.3">
      <c r="A1731" s="12" t="s">
        <v>10</v>
      </c>
      <c r="B1731" s="13">
        <v>45729</v>
      </c>
      <c r="C1731" s="4" t="s">
        <v>12</v>
      </c>
      <c r="D1731" s="4" t="s">
        <v>4</v>
      </c>
      <c r="E1731" s="4" t="s">
        <v>13</v>
      </c>
      <c r="F1731" s="4" t="s">
        <v>13</v>
      </c>
    </row>
    <row r="1732" spans="1:6" ht="15" thickBot="1" x14ac:dyDescent="0.35">
      <c r="A1732" s="4"/>
    </row>
    <row r="1733" spans="1:6" x14ac:dyDescent="0.3">
      <c r="A1733" s="19" t="s">
        <v>2628</v>
      </c>
      <c r="B1733" s="20"/>
      <c r="C1733" s="20"/>
      <c r="D1733" s="20"/>
      <c r="E1733" s="20"/>
      <c r="F1733" s="20"/>
    </row>
    <row r="1734" spans="1:6" x14ac:dyDescent="0.3">
      <c r="A1734" s="12" t="s">
        <v>10</v>
      </c>
      <c r="B1734" s="13">
        <v>45729</v>
      </c>
      <c r="C1734" s="4" t="s">
        <v>12</v>
      </c>
      <c r="D1734" s="4" t="s">
        <v>4</v>
      </c>
      <c r="E1734" s="4" t="s">
        <v>13</v>
      </c>
      <c r="F1734" s="4" t="s">
        <v>13</v>
      </c>
    </row>
    <row r="1735" spans="1:6" ht="15" thickBot="1" x14ac:dyDescent="0.35">
      <c r="A1735" s="4"/>
    </row>
    <row r="1736" spans="1:6" x14ac:dyDescent="0.3">
      <c r="A1736" s="19" t="s">
        <v>2633</v>
      </c>
      <c r="B1736" s="20"/>
      <c r="C1736" s="20"/>
      <c r="D1736" s="20"/>
      <c r="E1736" s="20"/>
      <c r="F1736" s="20"/>
    </row>
    <row r="1737" spans="1:6" x14ac:dyDescent="0.3">
      <c r="A1737" s="12" t="s">
        <v>10</v>
      </c>
      <c r="B1737" s="13">
        <v>45729</v>
      </c>
      <c r="C1737" s="4" t="s">
        <v>12</v>
      </c>
      <c r="D1737" s="4" t="s">
        <v>4</v>
      </c>
      <c r="E1737" s="4" t="s">
        <v>13</v>
      </c>
      <c r="F1737" s="4" t="s">
        <v>13</v>
      </c>
    </row>
    <row r="1738" spans="1:6" ht="15" thickBot="1" x14ac:dyDescent="0.35">
      <c r="A1738" s="4"/>
    </row>
    <row r="1739" spans="1:6" x14ac:dyDescent="0.3">
      <c r="A1739" s="19" t="s">
        <v>2636</v>
      </c>
      <c r="B1739" s="20"/>
      <c r="C1739" s="20"/>
      <c r="D1739" s="20"/>
      <c r="E1739" s="20"/>
      <c r="F1739" s="20"/>
    </row>
    <row r="1740" spans="1:6" x14ac:dyDescent="0.3">
      <c r="A1740" s="12" t="s">
        <v>14</v>
      </c>
      <c r="B1740" s="13">
        <v>45729</v>
      </c>
      <c r="C1740" s="4" t="s">
        <v>12</v>
      </c>
      <c r="D1740" s="4" t="s">
        <v>4</v>
      </c>
      <c r="E1740" s="4" t="s">
        <v>13</v>
      </c>
      <c r="F1740" s="4" t="s">
        <v>13</v>
      </c>
    </row>
    <row r="1741" spans="1:6" ht="15" thickBot="1" x14ac:dyDescent="0.35">
      <c r="A1741" s="4"/>
    </row>
    <row r="1742" spans="1:6" x14ac:dyDescent="0.3">
      <c r="A1742" s="19" t="s">
        <v>2639</v>
      </c>
      <c r="B1742" s="20"/>
      <c r="C1742" s="20"/>
      <c r="D1742" s="20"/>
      <c r="E1742" s="20"/>
      <c r="F1742" s="20"/>
    </row>
    <row r="1743" spans="1:6" x14ac:dyDescent="0.3">
      <c r="A1743" s="12" t="s">
        <v>14</v>
      </c>
      <c r="B1743" s="13">
        <v>45729</v>
      </c>
      <c r="C1743" s="4" t="s">
        <v>12</v>
      </c>
      <c r="D1743" s="4" t="s">
        <v>4</v>
      </c>
      <c r="E1743" s="4" t="s">
        <v>13</v>
      </c>
      <c r="F1743" s="4" t="s">
        <v>13</v>
      </c>
    </row>
    <row r="1744" spans="1:6" ht="15" thickBot="1" x14ac:dyDescent="0.35">
      <c r="A1744" s="4"/>
    </row>
    <row r="1745" spans="1:6" x14ac:dyDescent="0.3">
      <c r="A1745" s="19" t="s">
        <v>2643</v>
      </c>
      <c r="B1745" s="20"/>
      <c r="C1745" s="20"/>
      <c r="D1745" s="20"/>
      <c r="E1745" s="20"/>
      <c r="F1745" s="20"/>
    </row>
    <row r="1746" spans="1:6" x14ac:dyDescent="0.3">
      <c r="A1746" s="12" t="s">
        <v>1059</v>
      </c>
      <c r="B1746" s="13">
        <v>45729</v>
      </c>
      <c r="C1746" s="4" t="s">
        <v>12</v>
      </c>
      <c r="D1746" s="4" t="s">
        <v>4</v>
      </c>
      <c r="E1746" s="4" t="s">
        <v>13</v>
      </c>
      <c r="F1746" s="4" t="s">
        <v>13</v>
      </c>
    </row>
    <row r="1747" spans="1:6" ht="15" thickBot="1" x14ac:dyDescent="0.35">
      <c r="A1747" s="4"/>
    </row>
    <row r="1748" spans="1:6" x14ac:dyDescent="0.3">
      <c r="A1748" s="19" t="s">
        <v>2649</v>
      </c>
      <c r="B1748" s="20"/>
      <c r="C1748" s="20"/>
      <c r="D1748" s="20"/>
      <c r="E1748" s="20"/>
      <c r="F1748" s="20"/>
    </row>
    <row r="1749" spans="1:6" x14ac:dyDescent="0.3">
      <c r="A1749" s="12" t="s">
        <v>970</v>
      </c>
      <c r="B1749" s="13">
        <v>45729</v>
      </c>
      <c r="C1749" s="4" t="s">
        <v>12</v>
      </c>
      <c r="D1749" s="4" t="s">
        <v>4</v>
      </c>
      <c r="E1749" s="4" t="s">
        <v>13</v>
      </c>
      <c r="F1749" s="4" t="s">
        <v>13</v>
      </c>
    </row>
    <row r="1750" spans="1:6" ht="15" thickBot="1" x14ac:dyDescent="0.35">
      <c r="A1750" s="4"/>
    </row>
    <row r="1751" spans="1:6" x14ac:dyDescent="0.3">
      <c r="A1751" s="19" t="s">
        <v>2655</v>
      </c>
      <c r="B1751" s="20"/>
      <c r="C1751" s="20"/>
      <c r="D1751" s="20"/>
      <c r="E1751" s="20"/>
      <c r="F1751" s="20"/>
    </row>
    <row r="1752" spans="1:6" x14ac:dyDescent="0.3">
      <c r="A1752" s="12" t="s">
        <v>1102</v>
      </c>
      <c r="B1752" s="13">
        <v>45729</v>
      </c>
      <c r="C1752" s="4" t="s">
        <v>12</v>
      </c>
      <c r="D1752" s="4" t="s">
        <v>4</v>
      </c>
      <c r="E1752" s="4" t="s">
        <v>13</v>
      </c>
      <c r="F1752" s="4" t="s">
        <v>13</v>
      </c>
    </row>
    <row r="1753" spans="1:6" ht="15" thickBot="1" x14ac:dyDescent="0.35">
      <c r="A1753" s="4"/>
    </row>
    <row r="1754" spans="1:6" x14ac:dyDescent="0.3">
      <c r="A1754" s="19" t="s">
        <v>2661</v>
      </c>
      <c r="B1754" s="20"/>
      <c r="C1754" s="20"/>
      <c r="D1754" s="20"/>
      <c r="E1754" s="20"/>
      <c r="F1754" s="20"/>
    </row>
    <row r="1755" spans="1:6" x14ac:dyDescent="0.3">
      <c r="A1755" s="12" t="s">
        <v>11</v>
      </c>
      <c r="B1755" s="13">
        <v>45729</v>
      </c>
      <c r="C1755" s="4" t="s">
        <v>12</v>
      </c>
      <c r="D1755" s="4" t="s">
        <v>4</v>
      </c>
      <c r="E1755" s="4" t="s">
        <v>13</v>
      </c>
      <c r="F1755" s="4" t="s">
        <v>13</v>
      </c>
    </row>
    <row r="1756" spans="1:6" ht="15" thickBot="1" x14ac:dyDescent="0.35">
      <c r="A1756" s="4"/>
    </row>
    <row r="1757" spans="1:6" x14ac:dyDescent="0.3">
      <c r="A1757" s="19" t="s">
        <v>2666</v>
      </c>
      <c r="B1757" s="20"/>
      <c r="C1757" s="20"/>
      <c r="D1757" s="20"/>
      <c r="E1757" s="20"/>
      <c r="F1757" s="20"/>
    </row>
    <row r="1758" spans="1:6" x14ac:dyDescent="0.3">
      <c r="A1758" s="12" t="s">
        <v>11</v>
      </c>
      <c r="B1758" s="13">
        <v>45729</v>
      </c>
      <c r="C1758" s="4" t="s">
        <v>12</v>
      </c>
      <c r="D1758" s="4" t="s">
        <v>4</v>
      </c>
      <c r="E1758" s="4" t="s">
        <v>13</v>
      </c>
      <c r="F1758" s="4" t="s">
        <v>13</v>
      </c>
    </row>
    <row r="1759" spans="1:6" ht="15" thickBot="1" x14ac:dyDescent="0.35">
      <c r="A1759" s="4"/>
    </row>
    <row r="1760" spans="1:6" x14ac:dyDescent="0.3">
      <c r="A1760" s="19" t="s">
        <v>2671</v>
      </c>
      <c r="B1760" s="20"/>
      <c r="C1760" s="20"/>
      <c r="D1760" s="20"/>
      <c r="E1760" s="20"/>
      <c r="F1760" s="20"/>
    </row>
    <row r="1761" spans="1:6" x14ac:dyDescent="0.3">
      <c r="A1761" s="12" t="s">
        <v>10</v>
      </c>
      <c r="B1761" s="13">
        <v>45729</v>
      </c>
      <c r="C1761" s="4" t="s">
        <v>12</v>
      </c>
      <c r="D1761" s="4" t="s">
        <v>4</v>
      </c>
      <c r="E1761" s="4" t="s">
        <v>13</v>
      </c>
      <c r="F1761" s="4" t="s">
        <v>13</v>
      </c>
    </row>
    <row r="1762" spans="1:6" ht="15" thickBot="1" x14ac:dyDescent="0.35">
      <c r="A1762" s="4"/>
    </row>
    <row r="1765" spans="1:6" ht="15" thickBot="1" x14ac:dyDescent="0.35"/>
    <row r="1770" spans="1:6" ht="15" thickBot="1" x14ac:dyDescent="0.35"/>
    <row r="1775" spans="1:6" ht="15" thickBot="1" x14ac:dyDescent="0.35"/>
    <row r="1780" ht="15" thickBot="1" x14ac:dyDescent="0.35"/>
    <row r="1784" ht="15" thickBot="1" x14ac:dyDescent="0.35"/>
    <row r="1787" ht="15" thickBot="1" x14ac:dyDescent="0.35"/>
    <row r="1790" ht="15" thickBot="1" x14ac:dyDescent="0.35"/>
    <row r="1793" ht="15" thickBot="1" x14ac:dyDescent="0.35"/>
    <row r="1796" ht="15" thickBot="1" x14ac:dyDescent="0.35"/>
    <row r="1799" ht="15" thickBot="1" x14ac:dyDescent="0.35"/>
    <row r="1802" ht="15" thickBot="1" x14ac:dyDescent="0.35"/>
    <row r="1806" ht="15" thickBot="1" x14ac:dyDescent="0.35"/>
    <row r="1809" ht="15" thickBot="1" x14ac:dyDescent="0.35"/>
    <row r="1812" ht="15" thickBot="1" x14ac:dyDescent="0.35"/>
    <row r="1815" ht="15" thickBot="1" x14ac:dyDescent="0.35"/>
    <row r="1818" ht="15" thickBot="1" x14ac:dyDescent="0.35"/>
    <row r="1821" ht="15" thickBot="1" x14ac:dyDescent="0.35"/>
    <row r="1824" ht="15" thickBot="1" x14ac:dyDescent="0.35"/>
    <row r="1827" ht="15" thickBot="1" x14ac:dyDescent="0.35"/>
    <row r="1830" ht="15" thickBot="1" x14ac:dyDescent="0.35"/>
    <row r="1833" ht="15" thickBot="1" x14ac:dyDescent="0.35"/>
    <row r="1836" ht="15" thickBot="1" x14ac:dyDescent="0.35"/>
    <row r="1839" ht="15" thickBot="1" x14ac:dyDescent="0.35"/>
    <row r="1842" ht="15" thickBot="1" x14ac:dyDescent="0.35"/>
    <row r="1845" ht="15" thickBot="1" x14ac:dyDescent="0.35"/>
    <row r="1850" ht="15" thickBot="1" x14ac:dyDescent="0.35"/>
    <row r="1853" ht="15" thickBot="1" x14ac:dyDescent="0.35"/>
    <row r="1857" ht="15" thickBot="1" x14ac:dyDescent="0.35"/>
    <row r="1861" ht="15" thickBot="1" x14ac:dyDescent="0.35"/>
    <row r="1864" ht="15" thickBot="1" x14ac:dyDescent="0.35"/>
    <row r="1869" ht="15" thickBot="1" x14ac:dyDescent="0.35"/>
    <row r="1874" ht="15" thickBot="1" x14ac:dyDescent="0.35"/>
    <row r="1879" ht="15" thickBot="1" x14ac:dyDescent="0.35"/>
    <row r="1884" ht="15" thickBot="1" x14ac:dyDescent="0.35"/>
    <row r="1889" ht="15" thickBot="1" x14ac:dyDescent="0.35"/>
    <row r="1894" ht="15" thickBot="1" x14ac:dyDescent="0.35"/>
    <row r="1899" ht="15" thickBot="1" x14ac:dyDescent="0.35"/>
    <row r="1904" ht="15" thickBot="1" x14ac:dyDescent="0.35"/>
    <row r="1907" ht="15" thickBot="1" x14ac:dyDescent="0.35"/>
    <row r="1910" ht="15" thickBot="1" x14ac:dyDescent="0.35"/>
    <row r="1913" ht="15" thickBot="1" x14ac:dyDescent="0.35"/>
    <row r="1918" ht="15" thickBot="1" x14ac:dyDescent="0.35"/>
    <row r="1923" ht="15" thickBot="1" x14ac:dyDescent="0.35"/>
    <row r="1928" ht="15" thickBot="1" x14ac:dyDescent="0.35"/>
    <row r="1933" ht="15" thickBot="1" x14ac:dyDescent="0.35"/>
    <row r="1938" ht="15" thickBot="1" x14ac:dyDescent="0.35"/>
    <row r="1943" ht="15" thickBot="1" x14ac:dyDescent="0.35"/>
    <row r="1947" ht="15" thickBot="1" x14ac:dyDescent="0.35"/>
    <row r="1950" ht="15" thickBot="1" x14ac:dyDescent="0.35"/>
    <row r="1953" ht="15" thickBot="1" x14ac:dyDescent="0.35"/>
    <row r="1956" ht="15" thickBot="1" x14ac:dyDescent="0.35"/>
    <row r="1959" ht="15" thickBot="1" x14ac:dyDescent="0.35"/>
    <row r="1962" ht="15" thickBot="1" x14ac:dyDescent="0.35"/>
    <row r="1965" ht="15" thickBot="1" x14ac:dyDescent="0.35"/>
    <row r="1968" ht="15" thickBot="1" x14ac:dyDescent="0.35"/>
    <row r="1971" ht="15" thickBot="1" x14ac:dyDescent="0.35"/>
    <row r="1974" ht="15" thickBot="1" x14ac:dyDescent="0.35"/>
    <row r="1977" ht="15" thickBot="1" x14ac:dyDescent="0.35"/>
    <row r="1980" ht="15" thickBot="1" x14ac:dyDescent="0.35"/>
    <row r="1983" ht="15" thickBot="1" x14ac:dyDescent="0.35"/>
    <row r="1986" ht="15" thickBot="1" x14ac:dyDescent="0.35"/>
    <row r="1989" ht="15" thickBot="1" x14ac:dyDescent="0.35"/>
    <row r="1992" ht="15" thickBot="1" x14ac:dyDescent="0.35"/>
    <row r="1996" ht="15" thickBot="1" x14ac:dyDescent="0.35"/>
    <row r="1999" ht="15" thickBot="1" x14ac:dyDescent="0.35"/>
    <row r="2003" ht="15" thickBot="1" x14ac:dyDescent="0.35"/>
    <row r="2006" ht="15" thickBot="1" x14ac:dyDescent="0.35"/>
    <row r="2010" ht="15" thickBot="1" x14ac:dyDescent="0.35"/>
    <row r="2013" ht="15" thickBot="1" x14ac:dyDescent="0.35"/>
    <row r="2017" ht="15" thickBot="1" x14ac:dyDescent="0.35"/>
    <row r="2020" ht="15" thickBot="1" x14ac:dyDescent="0.35"/>
    <row r="2024" ht="15" thickBot="1" x14ac:dyDescent="0.35"/>
    <row r="2027" ht="15" thickBot="1" x14ac:dyDescent="0.35"/>
    <row r="2030" ht="15" thickBot="1" x14ac:dyDescent="0.35"/>
    <row r="2033" ht="15" thickBot="1" x14ac:dyDescent="0.35"/>
    <row r="2036" ht="15" thickBot="1" x14ac:dyDescent="0.35"/>
    <row r="2040" ht="15" thickBot="1" x14ac:dyDescent="0.35"/>
    <row r="2043" ht="15" thickBot="1" x14ac:dyDescent="0.35"/>
    <row r="2046" ht="15" thickBot="1" x14ac:dyDescent="0.35"/>
    <row r="2049" ht="15" thickBot="1" x14ac:dyDescent="0.35"/>
    <row r="2053" ht="15" thickBot="1" x14ac:dyDescent="0.35"/>
    <row r="2056" ht="15" thickBot="1" x14ac:dyDescent="0.35"/>
    <row r="2060" ht="15" thickBot="1" x14ac:dyDescent="0.35"/>
    <row r="2063" ht="15" thickBot="1" x14ac:dyDescent="0.35"/>
    <row r="2067" ht="15" thickBot="1" x14ac:dyDescent="0.35"/>
    <row r="2070" ht="15" thickBot="1" x14ac:dyDescent="0.35"/>
    <row r="2074" ht="15" thickBot="1" x14ac:dyDescent="0.35"/>
    <row r="2077" ht="15" thickBot="1" x14ac:dyDescent="0.35"/>
    <row r="2081" ht="15" thickBot="1" x14ac:dyDescent="0.35"/>
    <row r="2084" ht="15" thickBot="1" x14ac:dyDescent="0.35"/>
    <row r="2087" ht="15" thickBot="1" x14ac:dyDescent="0.35"/>
    <row r="2092" ht="15" thickBot="1" x14ac:dyDescent="0.35"/>
    <row r="2097" ht="15" thickBot="1" x14ac:dyDescent="0.35"/>
    <row r="2100" ht="15" thickBot="1" x14ac:dyDescent="0.35"/>
    <row r="2104" ht="15" thickBot="1" x14ac:dyDescent="0.35"/>
    <row r="2108" ht="15" thickBot="1" x14ac:dyDescent="0.35"/>
    <row r="2111" ht="15" thickBot="1" x14ac:dyDescent="0.35"/>
    <row r="2115" ht="15" thickBot="1" x14ac:dyDescent="0.35"/>
    <row r="2118" ht="15" thickBot="1" x14ac:dyDescent="0.35"/>
    <row r="2122" ht="15" thickBot="1" x14ac:dyDescent="0.35"/>
    <row r="2126" ht="15" thickBot="1" x14ac:dyDescent="0.35"/>
    <row r="2129" ht="15" thickBot="1" x14ac:dyDescent="0.35"/>
    <row r="2133" ht="15" thickBot="1" x14ac:dyDescent="0.35"/>
    <row r="2136" ht="15" thickBot="1" x14ac:dyDescent="0.35"/>
    <row r="2139" ht="15" thickBot="1" x14ac:dyDescent="0.35"/>
    <row r="2142" ht="15" thickBot="1" x14ac:dyDescent="0.35"/>
    <row r="2146" ht="15" thickBot="1" x14ac:dyDescent="0.35"/>
    <row r="2149" ht="15" thickBot="1" x14ac:dyDescent="0.35"/>
    <row r="2152" ht="15" thickBot="1" x14ac:dyDescent="0.35"/>
    <row r="2155" ht="15" thickBot="1" x14ac:dyDescent="0.35"/>
    <row r="2158" ht="15" thickBot="1" x14ac:dyDescent="0.35"/>
    <row r="2161" ht="15" thickBot="1" x14ac:dyDescent="0.35"/>
    <row r="2164" ht="15" thickBot="1" x14ac:dyDescent="0.35"/>
    <row r="2167" ht="15" thickBot="1" x14ac:dyDescent="0.35"/>
    <row r="2171" ht="15" thickBot="1" x14ac:dyDescent="0.35"/>
    <row r="2174" ht="15" thickBot="1" x14ac:dyDescent="0.35"/>
    <row r="2177" ht="15" thickBot="1" x14ac:dyDescent="0.35"/>
    <row r="2180" ht="15" thickBot="1" x14ac:dyDescent="0.35"/>
    <row r="2183" ht="15" thickBot="1" x14ac:dyDescent="0.35"/>
    <row r="2186" ht="15" thickBot="1" x14ac:dyDescent="0.35"/>
    <row r="2189" ht="15" thickBot="1" x14ac:dyDescent="0.35"/>
    <row r="2192" ht="15" thickBot="1" x14ac:dyDescent="0.35"/>
    <row r="2195" ht="15" thickBot="1" x14ac:dyDescent="0.35"/>
    <row r="2198" ht="15" thickBot="1" x14ac:dyDescent="0.35"/>
    <row r="2201" ht="15" thickBot="1" x14ac:dyDescent="0.35"/>
    <row r="2204" ht="15" thickBot="1" x14ac:dyDescent="0.35"/>
    <row r="2207" ht="15" thickBot="1" x14ac:dyDescent="0.35"/>
    <row r="2210" ht="15" thickBot="1" x14ac:dyDescent="0.35"/>
    <row r="2214" ht="15" thickBot="1" x14ac:dyDescent="0.35"/>
    <row r="2218" ht="15" thickBot="1" x14ac:dyDescent="0.35"/>
    <row r="2221" ht="15" thickBot="1" x14ac:dyDescent="0.35"/>
    <row r="2224" ht="15" thickBot="1" x14ac:dyDescent="0.35"/>
    <row r="2227" ht="15" thickBot="1" x14ac:dyDescent="0.35"/>
    <row r="2230" ht="15" thickBot="1" x14ac:dyDescent="0.35"/>
    <row r="2233" ht="15" thickBot="1" x14ac:dyDescent="0.35"/>
    <row r="2236" ht="15" thickBot="1" x14ac:dyDescent="0.35"/>
    <row r="2239" ht="15" thickBot="1" x14ac:dyDescent="0.35"/>
    <row r="2242" ht="15" thickBot="1" x14ac:dyDescent="0.35"/>
    <row r="2246" ht="15" thickBot="1" x14ac:dyDescent="0.35"/>
    <row r="2249" ht="15" thickBot="1" x14ac:dyDescent="0.35"/>
    <row r="2253" ht="15" thickBot="1" x14ac:dyDescent="0.35"/>
    <row r="2256" ht="15" thickBot="1" x14ac:dyDescent="0.35"/>
    <row r="2259" ht="15" thickBot="1" x14ac:dyDescent="0.35"/>
    <row r="2262" ht="15" thickBot="1" x14ac:dyDescent="0.35"/>
    <row r="2265" ht="15" thickBot="1" x14ac:dyDescent="0.35"/>
    <row r="2270" ht="15" thickBot="1" x14ac:dyDescent="0.35"/>
    <row r="2274" ht="15" thickBot="1" x14ac:dyDescent="0.35"/>
    <row r="2277" ht="15" thickBot="1" x14ac:dyDescent="0.35"/>
    <row r="2280" ht="15" thickBot="1" x14ac:dyDescent="0.35"/>
    <row r="2284" ht="15" thickBot="1" x14ac:dyDescent="0.35"/>
    <row r="2287" ht="15" thickBot="1" x14ac:dyDescent="0.35"/>
    <row r="2290" ht="15" thickBot="1" x14ac:dyDescent="0.35"/>
    <row r="2293" ht="15" thickBot="1" x14ac:dyDescent="0.35"/>
    <row r="2296" ht="15" thickBot="1" x14ac:dyDescent="0.35"/>
    <row r="2299" ht="15" thickBot="1" x14ac:dyDescent="0.35"/>
    <row r="2302" ht="15" thickBot="1" x14ac:dyDescent="0.35"/>
    <row r="2305" ht="15" thickBot="1" x14ac:dyDescent="0.35"/>
    <row r="2308" ht="15" thickBot="1" x14ac:dyDescent="0.35"/>
    <row r="2312" ht="15" thickBot="1" x14ac:dyDescent="0.35"/>
    <row r="2315" ht="15" thickBot="1" x14ac:dyDescent="0.35"/>
    <row r="2318" ht="15" thickBot="1" x14ac:dyDescent="0.35"/>
    <row r="2321" ht="15" thickBot="1" x14ac:dyDescent="0.35"/>
    <row r="2324" ht="15" thickBot="1" x14ac:dyDescent="0.35"/>
    <row r="2327" ht="15" thickBot="1" x14ac:dyDescent="0.35"/>
    <row r="2332" ht="15" thickBot="1" x14ac:dyDescent="0.35"/>
    <row r="2336" ht="15" thickBot="1" x14ac:dyDescent="0.35"/>
    <row r="2339" ht="15" thickBot="1" x14ac:dyDescent="0.35"/>
    <row r="2342" ht="15" thickBot="1" x14ac:dyDescent="0.35"/>
    <row r="2345" ht="15" thickBot="1" x14ac:dyDescent="0.35"/>
    <row r="2348" ht="15" thickBot="1" x14ac:dyDescent="0.35"/>
    <row r="2351" ht="15" thickBot="1" x14ac:dyDescent="0.35"/>
    <row r="2355" ht="15" thickBot="1" x14ac:dyDescent="0.35"/>
    <row r="2358" ht="15" thickBot="1" x14ac:dyDescent="0.35"/>
    <row r="2361" ht="15" thickBot="1" x14ac:dyDescent="0.35"/>
    <row r="2364" ht="15" thickBot="1" x14ac:dyDescent="0.35"/>
    <row r="2367" ht="15" thickBot="1" x14ac:dyDescent="0.35"/>
    <row r="2370" ht="15" thickBot="1" x14ac:dyDescent="0.35"/>
    <row r="2373" ht="15" thickBot="1" x14ac:dyDescent="0.35"/>
    <row r="2377" ht="15" thickBot="1" x14ac:dyDescent="0.35"/>
    <row r="2380" ht="15" thickBot="1" x14ac:dyDescent="0.35"/>
    <row r="2384" ht="15" thickBot="1" x14ac:dyDescent="0.35"/>
    <row r="2387" ht="15" thickBot="1" x14ac:dyDescent="0.35"/>
    <row r="2390" ht="15" thickBot="1" x14ac:dyDescent="0.35"/>
    <row r="2393" ht="15" thickBot="1" x14ac:dyDescent="0.35"/>
    <row r="2396" ht="15" thickBot="1" x14ac:dyDescent="0.35"/>
    <row r="2399" ht="15" thickBot="1" x14ac:dyDescent="0.35"/>
    <row r="2402" ht="15" thickBot="1" x14ac:dyDescent="0.35"/>
    <row r="2405" ht="15" thickBot="1" x14ac:dyDescent="0.35"/>
    <row r="2408" ht="15" thickBot="1" x14ac:dyDescent="0.35"/>
    <row r="2411" ht="15" thickBot="1" x14ac:dyDescent="0.35"/>
    <row r="2414" ht="15" thickBot="1" x14ac:dyDescent="0.35"/>
    <row r="2417" ht="15" thickBot="1" x14ac:dyDescent="0.35"/>
    <row r="2420" ht="15" thickBot="1" x14ac:dyDescent="0.35"/>
    <row r="2423" ht="15" thickBot="1" x14ac:dyDescent="0.35"/>
    <row r="2426" ht="15" thickBot="1" x14ac:dyDescent="0.35"/>
    <row r="2429" ht="15" thickBot="1" x14ac:dyDescent="0.35"/>
    <row r="2432" ht="15" thickBot="1" x14ac:dyDescent="0.35"/>
    <row r="2435" ht="15" thickBot="1" x14ac:dyDescent="0.35"/>
    <row r="2438" ht="15" thickBot="1" x14ac:dyDescent="0.35"/>
    <row r="2441" ht="15" thickBot="1" x14ac:dyDescent="0.35"/>
    <row r="2444" ht="15" thickBot="1" x14ac:dyDescent="0.35"/>
    <row r="2449" ht="15" thickBot="1" x14ac:dyDescent="0.35"/>
    <row r="2454" ht="15" thickBot="1" x14ac:dyDescent="0.35"/>
    <row r="2458" ht="15" thickBot="1" x14ac:dyDescent="0.35"/>
    <row r="2461" ht="15" thickBot="1" x14ac:dyDescent="0.35"/>
    <row r="2464" ht="15" thickBot="1" x14ac:dyDescent="0.35"/>
    <row r="2467" ht="15" thickBot="1" x14ac:dyDescent="0.35"/>
    <row r="2470" ht="15" thickBot="1" x14ac:dyDescent="0.35"/>
    <row r="2473" ht="15" thickBot="1" x14ac:dyDescent="0.35"/>
    <row r="2476" ht="15" thickBot="1" x14ac:dyDescent="0.35"/>
    <row r="2479" ht="15" thickBot="1" x14ac:dyDescent="0.35"/>
    <row r="2482" ht="15" thickBot="1" x14ac:dyDescent="0.35"/>
    <row r="2485" ht="15" thickBot="1" x14ac:dyDescent="0.35"/>
    <row r="2488" ht="15" thickBot="1" x14ac:dyDescent="0.35"/>
    <row r="2491" ht="15" thickBot="1" x14ac:dyDescent="0.35"/>
    <row r="2494" ht="15" thickBot="1" x14ac:dyDescent="0.35"/>
    <row r="2497" ht="15" thickBot="1" x14ac:dyDescent="0.35"/>
    <row r="2500" ht="15" thickBot="1" x14ac:dyDescent="0.35"/>
    <row r="2503" ht="15" thickBot="1" x14ac:dyDescent="0.35"/>
    <row r="2506" ht="15" thickBot="1" x14ac:dyDescent="0.35"/>
    <row r="2509" ht="15" thickBot="1" x14ac:dyDescent="0.35"/>
    <row r="2512" ht="15" thickBot="1" x14ac:dyDescent="0.35"/>
    <row r="2515" ht="15" thickBot="1" x14ac:dyDescent="0.35"/>
    <row r="2518" ht="15" thickBot="1" x14ac:dyDescent="0.35"/>
    <row r="2521" ht="15" thickBot="1" x14ac:dyDescent="0.35"/>
    <row r="2524" ht="15" thickBot="1" x14ac:dyDescent="0.35"/>
    <row r="2528" ht="15" thickBot="1" x14ac:dyDescent="0.35"/>
    <row r="2531" ht="15" thickBot="1" x14ac:dyDescent="0.35"/>
    <row r="2534" ht="15" thickBot="1" x14ac:dyDescent="0.35"/>
    <row r="2537" ht="15" thickBot="1" x14ac:dyDescent="0.35"/>
    <row r="2540" ht="15" thickBot="1" x14ac:dyDescent="0.35"/>
    <row r="2543" ht="15" thickBot="1" x14ac:dyDescent="0.35"/>
    <row r="2546" ht="15" thickBot="1" x14ac:dyDescent="0.35"/>
    <row r="2549" ht="15" thickBot="1" x14ac:dyDescent="0.35"/>
    <row r="2552" ht="15" thickBot="1" x14ac:dyDescent="0.35"/>
    <row r="2555" ht="15" thickBot="1" x14ac:dyDescent="0.35"/>
    <row r="2558" ht="15" thickBot="1" x14ac:dyDescent="0.35"/>
    <row r="2561" ht="15" thickBot="1" x14ac:dyDescent="0.35"/>
    <row r="2564" ht="15" thickBot="1" x14ac:dyDescent="0.35"/>
    <row r="2567" ht="15" thickBot="1" x14ac:dyDescent="0.35"/>
    <row r="2570" ht="15" thickBot="1" x14ac:dyDescent="0.35"/>
    <row r="2573" ht="15" thickBot="1" x14ac:dyDescent="0.35"/>
    <row r="2576" ht="15" thickBot="1" x14ac:dyDescent="0.35"/>
    <row r="2579" ht="15" thickBot="1" x14ac:dyDescent="0.35"/>
    <row r="2582" ht="15" thickBot="1" x14ac:dyDescent="0.35"/>
    <row r="2585" ht="15" thickBot="1" x14ac:dyDescent="0.35"/>
    <row r="2588" ht="15" thickBot="1" x14ac:dyDescent="0.35"/>
    <row r="2591" ht="15" thickBot="1" x14ac:dyDescent="0.35"/>
    <row r="2594" ht="15" thickBot="1" x14ac:dyDescent="0.35"/>
    <row r="2597" ht="15" thickBot="1" x14ac:dyDescent="0.35"/>
    <row r="2600" ht="15" thickBot="1" x14ac:dyDescent="0.35"/>
    <row r="2603" ht="15" thickBot="1" x14ac:dyDescent="0.35"/>
    <row r="2606" ht="15" thickBot="1" x14ac:dyDescent="0.35"/>
    <row r="2609" ht="15" thickBot="1" x14ac:dyDescent="0.35"/>
    <row r="2612" ht="15" thickBot="1" x14ac:dyDescent="0.35"/>
    <row r="2615" ht="15" thickBot="1" x14ac:dyDescent="0.35"/>
    <row r="2618" ht="15" thickBot="1" x14ac:dyDescent="0.35"/>
    <row r="2621" ht="15" thickBot="1" x14ac:dyDescent="0.35"/>
    <row r="2624" ht="15" thickBot="1" x14ac:dyDescent="0.35"/>
    <row r="2627" ht="15" thickBot="1" x14ac:dyDescent="0.35"/>
    <row r="2630" ht="15" thickBot="1" x14ac:dyDescent="0.35"/>
    <row r="2633" ht="15" thickBot="1" x14ac:dyDescent="0.35"/>
    <row r="2636" ht="15" thickBot="1" x14ac:dyDescent="0.35"/>
    <row r="2639" ht="15" thickBot="1" x14ac:dyDescent="0.35"/>
    <row r="2642" ht="15" thickBot="1" x14ac:dyDescent="0.35"/>
    <row r="2645" ht="15" thickBot="1" x14ac:dyDescent="0.35"/>
    <row r="2650" ht="15" thickBot="1" x14ac:dyDescent="0.35"/>
    <row r="2653" ht="15" thickBot="1" x14ac:dyDescent="0.35"/>
    <row r="2656" ht="15" thickBot="1" x14ac:dyDescent="0.35"/>
    <row r="2659" ht="15" thickBot="1" x14ac:dyDescent="0.35"/>
    <row r="2662" ht="15" thickBot="1" x14ac:dyDescent="0.35"/>
    <row r="2665" ht="15" thickBot="1" x14ac:dyDescent="0.35"/>
    <row r="2668" ht="15" thickBot="1" x14ac:dyDescent="0.35"/>
    <row r="2671" ht="15" thickBot="1" x14ac:dyDescent="0.35"/>
    <row r="2674" ht="15" thickBot="1" x14ac:dyDescent="0.35"/>
    <row r="2677" ht="15" thickBot="1" x14ac:dyDescent="0.35"/>
    <row r="2680" ht="15" thickBot="1" x14ac:dyDescent="0.35"/>
    <row r="2683" ht="15" thickBot="1" x14ac:dyDescent="0.35"/>
    <row r="2686" ht="15" thickBot="1" x14ac:dyDescent="0.35"/>
    <row r="2689" ht="15" thickBot="1" x14ac:dyDescent="0.35"/>
    <row r="2693" ht="15" thickBot="1" x14ac:dyDescent="0.35"/>
    <row r="2697" ht="15" thickBot="1" x14ac:dyDescent="0.35"/>
    <row r="2700" ht="15" thickBot="1" x14ac:dyDescent="0.35"/>
    <row r="2703" ht="15" thickBot="1" x14ac:dyDescent="0.35"/>
    <row r="2706" ht="15" thickBot="1" x14ac:dyDescent="0.35"/>
    <row r="2709" ht="15" thickBot="1" x14ac:dyDescent="0.35"/>
    <row r="2712" ht="15" thickBot="1" x14ac:dyDescent="0.35"/>
    <row r="2715" ht="15" thickBot="1" x14ac:dyDescent="0.35"/>
    <row r="2718" ht="15" thickBot="1" x14ac:dyDescent="0.35"/>
    <row r="2721" ht="15" thickBot="1" x14ac:dyDescent="0.35"/>
    <row r="2724" ht="15" thickBot="1" x14ac:dyDescent="0.35"/>
    <row r="2727" ht="15" thickBot="1" x14ac:dyDescent="0.35"/>
    <row r="2730" ht="15" thickBot="1" x14ac:dyDescent="0.35"/>
    <row r="2733" ht="15" thickBot="1" x14ac:dyDescent="0.35"/>
    <row r="2736" ht="15" thickBot="1" x14ac:dyDescent="0.35"/>
    <row r="2739" ht="15" thickBot="1" x14ac:dyDescent="0.35"/>
    <row r="2742" ht="15" thickBot="1" x14ac:dyDescent="0.35"/>
    <row r="2745" ht="15" thickBot="1" x14ac:dyDescent="0.35"/>
    <row r="2748" ht="15" thickBot="1" x14ac:dyDescent="0.35"/>
    <row r="2753" ht="15" thickBot="1" x14ac:dyDescent="0.35"/>
    <row r="2758" ht="15" thickBot="1" x14ac:dyDescent="0.35"/>
    <row r="2763" ht="15" thickBot="1" x14ac:dyDescent="0.35"/>
    <row r="2768" ht="15" thickBot="1" x14ac:dyDescent="0.35"/>
    <row r="2773" ht="15" thickBot="1" x14ac:dyDescent="0.35"/>
  </sheetData>
  <conditionalFormatting sqref="D1:D1048576">
    <cfRule type="containsText" dxfId="232" priority="1" operator="containsText" text="Pending">
      <formula>NOT(ISERROR(SEARCH("Pending",D1)))</formula>
    </cfRule>
    <cfRule type="containsText" dxfId="231" priority="2" operator="containsText" text="C - ">
      <formula>NOT(ISERROR(SEARCH("C - ",D1)))</formula>
    </cfRule>
    <cfRule type="containsText" dxfId="230" priority="3" operator="containsText" text="A - ">
      <formula>NOT(ISERROR(SEARCH("A - ",D1)))</formula>
    </cfRule>
    <cfRule type="containsText" dxfId="229" priority="4" operator="containsText" text="B - ">
      <formula>NOT(ISERROR(SEARCH("B - ",D1)))</formula>
    </cfRule>
  </conditionalFormatting>
  <pageMargins left="0.70866141732283472" right="0.70866141732283472" top="0.74803149606299213" bottom="0.74803149606299213" header="0.31496062992125978" footer="0.31496062992125978"/>
  <pageSetup paperSize="8" scale="89" firstPageNumber="2" fitToHeight="0" orientation="landscape" r:id="rId2"/>
  <headerFooter>
    <oddFooter>&amp;CPage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9F82E-1E27-4D68-A829-C897DEAE7BD0}">
  <dimension ref="A1:L1078"/>
  <sheetViews>
    <sheetView zoomScaleNormal="100" workbookViewId="0">
      <selection activeCell="D6" sqref="D6"/>
    </sheetView>
  </sheetViews>
  <sheetFormatPr defaultRowHeight="14.4" x14ac:dyDescent="0.3"/>
  <cols>
    <col min="1" max="1" width="27.77734375" bestFit="1" customWidth="1"/>
    <col min="2" max="2" width="16.6640625" bestFit="1" customWidth="1"/>
    <col min="3" max="3" width="10.33203125" customWidth="1"/>
    <col min="4" max="4" width="16.77734375" bestFit="1" customWidth="1"/>
    <col min="5" max="5" width="12.109375" customWidth="1"/>
    <col min="6" max="6" width="16.109375" style="1" customWidth="1"/>
    <col min="7" max="7" width="18.44140625" style="1" customWidth="1"/>
    <col min="8" max="8" width="19.6640625" customWidth="1"/>
    <col min="9" max="9" width="53" style="1" customWidth="1"/>
    <col min="10" max="10" width="15.77734375" customWidth="1"/>
    <col min="11" max="11" width="15.77734375" hidden="1" customWidth="1"/>
    <col min="12" max="12" width="25.6640625" customWidth="1"/>
    <col min="13" max="13" width="26.5546875" customWidth="1"/>
  </cols>
  <sheetData>
    <row r="1" spans="1:12" x14ac:dyDescent="0.3">
      <c r="A1" t="s">
        <v>26</v>
      </c>
      <c r="B1" t="s">
        <v>27</v>
      </c>
    </row>
    <row r="2" spans="1:12" x14ac:dyDescent="0.3">
      <c r="A2" t="s">
        <v>2672</v>
      </c>
      <c r="B2" s="8">
        <v>45739</v>
      </c>
    </row>
    <row r="4" spans="1:12" ht="30" customHeight="1" x14ac:dyDescent="0.3">
      <c r="A4" t="s">
        <v>15</v>
      </c>
      <c r="B4" t="s">
        <v>16</v>
      </c>
      <c r="C4" t="s">
        <v>17</v>
      </c>
      <c r="D4" t="s">
        <v>18</v>
      </c>
      <c r="E4" t="s">
        <v>6</v>
      </c>
      <c r="F4" s="1" t="s">
        <v>7</v>
      </c>
      <c r="G4" s="3" t="s">
        <v>2</v>
      </c>
      <c r="H4" t="s">
        <v>8</v>
      </c>
      <c r="I4" s="1" t="s">
        <v>9</v>
      </c>
      <c r="J4" t="s">
        <v>1</v>
      </c>
      <c r="K4" t="s">
        <v>19</v>
      </c>
      <c r="L4" t="s">
        <v>30</v>
      </c>
    </row>
    <row r="5" spans="1:12" ht="28.8" x14ac:dyDescent="0.3">
      <c r="A5" s="15" t="s">
        <v>31</v>
      </c>
      <c r="B5" s="15" t="s">
        <v>32</v>
      </c>
      <c r="C5" s="15" t="s">
        <v>14</v>
      </c>
      <c r="D5" s="15" t="s">
        <v>20</v>
      </c>
      <c r="E5" s="8">
        <v>45175</v>
      </c>
      <c r="F5" s="16" t="s">
        <v>33</v>
      </c>
      <c r="G5" s="17" t="s">
        <v>34</v>
      </c>
      <c r="H5" s="8">
        <v>45190</v>
      </c>
      <c r="I5" s="16"/>
      <c r="J5" t="b">
        <v>0</v>
      </c>
      <c r="K5" s="15" t="s">
        <v>35</v>
      </c>
      <c r="L5" s="18" t="str">
        <f>HYPERLINK("https://uk1.aconex.co.uk/hub/index.html?mainTarget=%2FSearchControlledDoc%3FSEARCH_ACTION%3D15%26tab%3D0%26searchMode%3D1%26searchQuery%3Ddocno:%22"&amp;RawData[[#This Row],[Document Number]]&amp;"%22%20%2Bcversion%253A1",RawData[[#This Row],[Document Number]])</f>
        <v>FS1018-ADT-ZZ-00-D-J-0001</v>
      </c>
    </row>
    <row r="6" spans="1:12" x14ac:dyDescent="0.3">
      <c r="A6" s="15" t="s">
        <v>31</v>
      </c>
      <c r="B6" s="15" t="s">
        <v>36</v>
      </c>
      <c r="C6" s="15" t="s">
        <v>10</v>
      </c>
      <c r="D6" s="15" t="s">
        <v>21</v>
      </c>
      <c r="E6" s="8">
        <v>45729</v>
      </c>
      <c r="F6" s="16" t="s">
        <v>12</v>
      </c>
      <c r="G6" s="17" t="s">
        <v>4</v>
      </c>
      <c r="H6" s="8"/>
      <c r="I6" s="16"/>
      <c r="J6" t="b">
        <v>1</v>
      </c>
      <c r="K6" s="15" t="s">
        <v>37</v>
      </c>
      <c r="L6" s="18" t="str">
        <f>HYPERLINK("https://uk1.aconex.co.uk/hub/index.html?mainTarget=%2FSearchControlledDoc%3FSEARCH_ACTION%3D15%26tab%3D0%26searchMode%3D1%26searchQuery%3Ddocno:%22"&amp;RawData[[#This Row],[Document Number]]&amp;"%22%20%2Bcversion%253A1",RawData[[#This Row],[Document Number]])</f>
        <v>FS1018-ADT-ZZ-00-D-J-0001</v>
      </c>
    </row>
    <row r="7" spans="1:12" ht="43.2" x14ac:dyDescent="0.3">
      <c r="A7" s="15" t="s">
        <v>38</v>
      </c>
      <c r="B7" s="15" t="s">
        <v>39</v>
      </c>
      <c r="C7" s="15" t="s">
        <v>14</v>
      </c>
      <c r="D7" s="15" t="s">
        <v>20</v>
      </c>
      <c r="E7" s="8">
        <v>45175</v>
      </c>
      <c r="F7" s="16" t="s">
        <v>33</v>
      </c>
      <c r="G7" s="16" t="s">
        <v>40</v>
      </c>
      <c r="H7" s="8">
        <v>45190</v>
      </c>
      <c r="I7" s="16" t="s">
        <v>41</v>
      </c>
      <c r="J7" t="b">
        <v>0</v>
      </c>
      <c r="K7" s="15" t="s">
        <v>42</v>
      </c>
      <c r="L7" s="18" t="str">
        <f>HYPERLINK("https://uk1.aconex.co.uk/hub/index.html?mainTarget=%2FSearchControlledDoc%3FSEARCH_ACTION%3D15%26tab%3D0%26searchMode%3D1%26searchQuery%3Ddocno:%22"&amp;RawData[[#This Row],[Document Number]]&amp;"%22%20%2Bcversion%253A1",RawData[[#This Row],[Document Number]])</f>
        <v>FS1018-ADT-ZZ-00-D-J-0004</v>
      </c>
    </row>
    <row r="8" spans="1:12" x14ac:dyDescent="0.3">
      <c r="A8" s="15" t="s">
        <v>38</v>
      </c>
      <c r="B8" s="15" t="s">
        <v>43</v>
      </c>
      <c r="C8" s="15" t="s">
        <v>10</v>
      </c>
      <c r="D8" s="15" t="s">
        <v>21</v>
      </c>
      <c r="E8" s="8">
        <v>45729</v>
      </c>
      <c r="F8" s="16" t="s">
        <v>12</v>
      </c>
      <c r="G8" s="16" t="s">
        <v>4</v>
      </c>
      <c r="H8" s="8"/>
      <c r="I8" s="16"/>
      <c r="J8" t="b">
        <v>1</v>
      </c>
      <c r="K8" s="15" t="s">
        <v>44</v>
      </c>
      <c r="L8" s="18" t="str">
        <f>HYPERLINK("https://uk1.aconex.co.uk/hub/index.html?mainTarget=%2FSearchControlledDoc%3FSEARCH_ACTION%3D15%26tab%3D0%26searchMode%3D1%26searchQuery%3Ddocno:%22"&amp;RawData[[#This Row],[Document Number]]&amp;"%22%20%2Bcversion%253A1",RawData[[#This Row],[Document Number]])</f>
        <v>FS1018-ADT-ZZ-00-D-J-0004</v>
      </c>
    </row>
    <row r="9" spans="1:12" ht="28.8" x14ac:dyDescent="0.3">
      <c r="A9" s="15" t="s">
        <v>45</v>
      </c>
      <c r="B9" s="15" t="s">
        <v>46</v>
      </c>
      <c r="C9" s="15" t="s">
        <v>14</v>
      </c>
      <c r="D9" s="15" t="s">
        <v>20</v>
      </c>
      <c r="E9" s="8">
        <v>45175</v>
      </c>
      <c r="F9" s="16" t="s">
        <v>33</v>
      </c>
      <c r="G9" s="16" t="s">
        <v>34</v>
      </c>
      <c r="H9" s="8">
        <v>45190</v>
      </c>
      <c r="I9" s="16"/>
      <c r="J9" t="b">
        <v>0</v>
      </c>
      <c r="K9" s="15" t="s">
        <v>47</v>
      </c>
      <c r="L9" s="18" t="str">
        <f>HYPERLINK("https://uk1.aconex.co.uk/hub/index.html?mainTarget=%2FSearchControlledDoc%3FSEARCH_ACTION%3D15%26tab%3D0%26searchMode%3D1%26searchQuery%3Ddocno:%22"&amp;RawData[[#This Row],[Document Number]]&amp;"%22%20%2Bcversion%253A1",RawData[[#This Row],[Document Number]])</f>
        <v>FS1018-ADT-ZZ-01-D-J-0002</v>
      </c>
    </row>
    <row r="10" spans="1:12" x14ac:dyDescent="0.3">
      <c r="A10" s="15" t="s">
        <v>45</v>
      </c>
      <c r="B10" s="15" t="s">
        <v>48</v>
      </c>
      <c r="C10" s="15" t="s">
        <v>10</v>
      </c>
      <c r="D10" s="15" t="s">
        <v>21</v>
      </c>
      <c r="E10" s="8">
        <v>45729</v>
      </c>
      <c r="F10" s="16" t="s">
        <v>12</v>
      </c>
      <c r="G10" s="16" t="s">
        <v>4</v>
      </c>
      <c r="H10" s="8"/>
      <c r="I10" s="16"/>
      <c r="J10" t="b">
        <v>1</v>
      </c>
      <c r="K10" s="15" t="s">
        <v>49</v>
      </c>
      <c r="L10" s="15" t="str">
        <f>HYPERLINK("https://uk1.aconex.co.uk/hub/index.html?mainTarget=%2FSearchControlledDoc%3FSEARCH_ACTION%3D15%26tab%3D0%26searchMode%3D1%26searchQuery%3Ddocno:%22"&amp;RawData[[#This Row],[Document Number]]&amp;"%22%20%2Bcversion%253A1",RawData[[#This Row],[Document Number]])</f>
        <v>FS1018-ADT-ZZ-01-D-J-0002</v>
      </c>
    </row>
    <row r="11" spans="1:12" ht="43.2" x14ac:dyDescent="0.3">
      <c r="A11" s="15" t="s">
        <v>50</v>
      </c>
      <c r="B11" s="15" t="s">
        <v>51</v>
      </c>
      <c r="C11" s="15" t="s">
        <v>14</v>
      </c>
      <c r="D11" s="15" t="s">
        <v>20</v>
      </c>
      <c r="E11" s="8">
        <v>45175</v>
      </c>
      <c r="F11" s="16" t="s">
        <v>33</v>
      </c>
      <c r="G11" s="16" t="s">
        <v>40</v>
      </c>
      <c r="H11" s="8">
        <v>45190</v>
      </c>
      <c r="I11" s="16" t="s">
        <v>52</v>
      </c>
      <c r="J11" t="b">
        <v>0</v>
      </c>
      <c r="K11" s="15" t="s">
        <v>53</v>
      </c>
      <c r="L11" s="15" t="str">
        <f>HYPERLINK("https://uk1.aconex.co.uk/hub/index.html?mainTarget=%2FSearchControlledDoc%3FSEARCH_ACTION%3D15%26tab%3D0%26searchMode%3D1%26searchQuery%3Ddocno:%22"&amp;RawData[[#This Row],[Document Number]]&amp;"%22%20%2Bcversion%253A1",RawData[[#This Row],[Document Number]])</f>
        <v>FS1018-ADT-ZZ-01-D-J-0005</v>
      </c>
    </row>
    <row r="12" spans="1:12" x14ac:dyDescent="0.3">
      <c r="A12" s="15" t="s">
        <v>50</v>
      </c>
      <c r="B12" s="15" t="s">
        <v>54</v>
      </c>
      <c r="C12" s="15" t="s">
        <v>10</v>
      </c>
      <c r="D12" s="15" t="s">
        <v>21</v>
      </c>
      <c r="E12" s="8">
        <v>45729</v>
      </c>
      <c r="F12" s="16" t="s">
        <v>12</v>
      </c>
      <c r="G12" s="16" t="s">
        <v>4</v>
      </c>
      <c r="H12" s="8"/>
      <c r="I12" s="16"/>
      <c r="J12" t="b">
        <v>1</v>
      </c>
      <c r="K12" s="15" t="s">
        <v>55</v>
      </c>
      <c r="L12" s="15" t="str">
        <f>HYPERLINK("https://uk1.aconex.co.uk/hub/index.html?mainTarget=%2FSearchControlledDoc%3FSEARCH_ACTION%3D15%26tab%3D0%26searchMode%3D1%26searchQuery%3Ddocno:%22"&amp;RawData[[#This Row],[Document Number]]&amp;"%22%20%2Bcversion%253A1",RawData[[#This Row],[Document Number]])</f>
        <v>FS1018-ADT-ZZ-01-D-J-0005</v>
      </c>
    </row>
    <row r="13" spans="1:12" ht="28.8" x14ac:dyDescent="0.3">
      <c r="A13" s="15" t="s">
        <v>56</v>
      </c>
      <c r="B13" s="15" t="s">
        <v>57</v>
      </c>
      <c r="C13" s="15" t="s">
        <v>14</v>
      </c>
      <c r="D13" s="15" t="s">
        <v>20</v>
      </c>
      <c r="E13" s="8">
        <v>45175</v>
      </c>
      <c r="F13" s="16" t="s">
        <v>33</v>
      </c>
      <c r="G13" s="16" t="s">
        <v>34</v>
      </c>
      <c r="H13" s="8">
        <v>45190</v>
      </c>
      <c r="I13" s="16"/>
      <c r="J13" t="b">
        <v>0</v>
      </c>
      <c r="K13" s="15" t="s">
        <v>58</v>
      </c>
      <c r="L13" s="15" t="str">
        <f>HYPERLINK("https://uk1.aconex.co.uk/hub/index.html?mainTarget=%2FSearchControlledDoc%3FSEARCH_ACTION%3D15%26tab%3D0%26searchMode%3D1%26searchQuery%3Ddocno:%22"&amp;RawData[[#This Row],[Document Number]]&amp;"%22%20%2Bcversion%253A1",RawData[[#This Row],[Document Number]])</f>
        <v>FS1018-ADT-ZZ-02-D-J-0003</v>
      </c>
    </row>
    <row r="14" spans="1:12" x14ac:dyDescent="0.3">
      <c r="A14" s="15" t="s">
        <v>56</v>
      </c>
      <c r="B14" s="15" t="s">
        <v>59</v>
      </c>
      <c r="C14" s="15" t="s">
        <v>10</v>
      </c>
      <c r="D14" s="15" t="s">
        <v>21</v>
      </c>
      <c r="E14" s="8">
        <v>45729</v>
      </c>
      <c r="F14" s="16" t="s">
        <v>12</v>
      </c>
      <c r="G14" s="16" t="s">
        <v>4</v>
      </c>
      <c r="H14" s="8"/>
      <c r="I14" s="16"/>
      <c r="J14" t="b">
        <v>1</v>
      </c>
      <c r="K14" s="15" t="s">
        <v>60</v>
      </c>
      <c r="L14" s="15" t="str">
        <f>HYPERLINK("https://uk1.aconex.co.uk/hub/index.html?mainTarget=%2FSearchControlledDoc%3FSEARCH_ACTION%3D15%26tab%3D0%26searchMode%3D1%26searchQuery%3Ddocno:%22"&amp;RawData[[#This Row],[Document Number]]&amp;"%22%20%2Bcversion%253A1",RawData[[#This Row],[Document Number]])</f>
        <v>FS1018-ADT-ZZ-02-D-J-0003</v>
      </c>
    </row>
    <row r="15" spans="1:12" ht="43.2" x14ac:dyDescent="0.3">
      <c r="A15" s="15" t="s">
        <v>61</v>
      </c>
      <c r="B15" s="15" t="s">
        <v>62</v>
      </c>
      <c r="C15" s="15" t="s">
        <v>14</v>
      </c>
      <c r="D15" s="15" t="s">
        <v>20</v>
      </c>
      <c r="E15" s="8">
        <v>45175</v>
      </c>
      <c r="F15" s="16" t="s">
        <v>33</v>
      </c>
      <c r="G15" s="16" t="s">
        <v>40</v>
      </c>
      <c r="H15" s="8">
        <v>45190</v>
      </c>
      <c r="I15" s="16" t="s">
        <v>52</v>
      </c>
      <c r="J15" t="b">
        <v>0</v>
      </c>
      <c r="K15" s="15" t="s">
        <v>63</v>
      </c>
      <c r="L15" s="15" t="str">
        <f>HYPERLINK("https://uk1.aconex.co.uk/hub/index.html?mainTarget=%2FSearchControlledDoc%3FSEARCH_ACTION%3D15%26tab%3D0%26searchMode%3D1%26searchQuery%3Ddocno:%22"&amp;RawData[[#This Row],[Document Number]]&amp;"%22%20%2Bcversion%253A1",RawData[[#This Row],[Document Number]])</f>
        <v>FS1018-ADT-ZZ-02-D-J-0006</v>
      </c>
    </row>
    <row r="16" spans="1:12" x14ac:dyDescent="0.3">
      <c r="A16" s="15" t="s">
        <v>61</v>
      </c>
      <c r="B16" s="15" t="s">
        <v>64</v>
      </c>
      <c r="C16" s="15" t="s">
        <v>10</v>
      </c>
      <c r="D16" s="15" t="s">
        <v>21</v>
      </c>
      <c r="E16" s="8">
        <v>45729</v>
      </c>
      <c r="F16" s="16" t="s">
        <v>12</v>
      </c>
      <c r="G16" s="16" t="s">
        <v>4</v>
      </c>
      <c r="H16" s="8"/>
      <c r="I16" s="16"/>
      <c r="J16" t="b">
        <v>1</v>
      </c>
      <c r="K16" s="15" t="s">
        <v>65</v>
      </c>
      <c r="L16" s="15" t="str">
        <f>HYPERLINK("https://uk1.aconex.co.uk/hub/index.html?mainTarget=%2FSearchControlledDoc%3FSEARCH_ACTION%3D15%26tab%3D0%26searchMode%3D1%26searchQuery%3Ddocno:%22"&amp;RawData[[#This Row],[Document Number]]&amp;"%22%20%2Bcversion%253A1",RawData[[#This Row],[Document Number]])</f>
        <v>FS1018-ADT-ZZ-02-D-J-0006</v>
      </c>
    </row>
    <row r="17" spans="1:12" ht="43.2" x14ac:dyDescent="0.3">
      <c r="A17" s="15" t="s">
        <v>66</v>
      </c>
      <c r="B17" s="15" t="s">
        <v>67</v>
      </c>
      <c r="C17" s="15" t="s">
        <v>14</v>
      </c>
      <c r="D17" s="15" t="s">
        <v>20</v>
      </c>
      <c r="E17" s="8">
        <v>45175</v>
      </c>
      <c r="F17" s="16" t="s">
        <v>33</v>
      </c>
      <c r="G17" s="16" t="s">
        <v>40</v>
      </c>
      <c r="H17" s="8">
        <v>45190</v>
      </c>
      <c r="I17" s="16" t="s">
        <v>68</v>
      </c>
      <c r="J17" t="b">
        <v>0</v>
      </c>
      <c r="K17" s="15" t="s">
        <v>69</v>
      </c>
      <c r="L17" s="15" t="str">
        <f>HYPERLINK("https://uk1.aconex.co.uk/hub/index.html?mainTarget=%2FSearchControlledDoc%3FSEARCH_ACTION%3D15%26tab%3D0%26searchMode%3D1%26searchQuery%3Ddocno:%22"&amp;RawData[[#This Row],[Document Number]]&amp;"%22%20%2Bcversion%253A1",RawData[[#This Row],[Document Number]])</f>
        <v>FS1018-ADT-ZZ-ZZ-T-J-0001</v>
      </c>
    </row>
    <row r="18" spans="1:12" ht="43.2" x14ac:dyDescent="0.3">
      <c r="A18" s="15" t="s">
        <v>66</v>
      </c>
      <c r="B18" s="15" t="s">
        <v>70</v>
      </c>
      <c r="C18" s="15" t="s">
        <v>14</v>
      </c>
      <c r="D18" s="15" t="s">
        <v>20</v>
      </c>
      <c r="E18" s="8">
        <v>45532</v>
      </c>
      <c r="F18" s="16" t="s">
        <v>33</v>
      </c>
      <c r="G18" s="16" t="s">
        <v>40</v>
      </c>
      <c r="H18" s="8">
        <v>45669</v>
      </c>
      <c r="I18" s="16" t="s">
        <v>71</v>
      </c>
      <c r="J18" t="b">
        <v>0</v>
      </c>
      <c r="K18" s="15" t="s">
        <v>72</v>
      </c>
      <c r="L18" s="15" t="str">
        <f>HYPERLINK("https://uk1.aconex.co.uk/hub/index.html?mainTarget=%2FSearchControlledDoc%3FSEARCH_ACTION%3D15%26tab%3D0%26searchMode%3D1%26searchQuery%3Ddocno:%22"&amp;RawData[[#This Row],[Document Number]]&amp;"%22%20%2Bcversion%253A1",RawData[[#This Row],[Document Number]])</f>
        <v>FS1018-ADT-ZZ-ZZ-T-J-0001</v>
      </c>
    </row>
    <row r="19" spans="1:12" x14ac:dyDescent="0.3">
      <c r="A19" s="15" t="s">
        <v>66</v>
      </c>
      <c r="B19" s="15" t="s">
        <v>70</v>
      </c>
      <c r="C19" s="15" t="s">
        <v>10</v>
      </c>
      <c r="D19" s="15" t="s">
        <v>21</v>
      </c>
      <c r="E19" s="8">
        <v>45729</v>
      </c>
      <c r="F19" s="16" t="s">
        <v>12</v>
      </c>
      <c r="G19" s="16" t="s">
        <v>4</v>
      </c>
      <c r="H19" s="8"/>
      <c r="I19" s="16"/>
      <c r="J19" t="b">
        <v>1</v>
      </c>
      <c r="K19" s="15" t="s">
        <v>72</v>
      </c>
      <c r="L19" s="15" t="str">
        <f>HYPERLINK("https://uk1.aconex.co.uk/hub/index.html?mainTarget=%2FSearchControlledDoc%3FSEARCH_ACTION%3D15%26tab%3D0%26searchMode%3D1%26searchQuery%3Ddocno:%22"&amp;RawData[[#This Row],[Document Number]]&amp;"%22%20%2Bcversion%253A1",RawData[[#This Row],[Document Number]])</f>
        <v>FS1018-ADT-ZZ-ZZ-T-J-0001</v>
      </c>
    </row>
    <row r="20" spans="1:12" ht="43.2" x14ac:dyDescent="0.3">
      <c r="A20" s="15" t="s">
        <v>73</v>
      </c>
      <c r="B20" s="15" t="s">
        <v>74</v>
      </c>
      <c r="C20" s="15" t="s">
        <v>14</v>
      </c>
      <c r="D20" s="15" t="s">
        <v>20</v>
      </c>
      <c r="E20" s="8">
        <v>45512</v>
      </c>
      <c r="F20" s="16" t="s">
        <v>33</v>
      </c>
      <c r="G20" s="16" t="s">
        <v>40</v>
      </c>
      <c r="H20" s="8">
        <v>45669</v>
      </c>
      <c r="I20" s="16" t="s">
        <v>71</v>
      </c>
      <c r="J20" t="b">
        <v>0</v>
      </c>
      <c r="K20" s="15" t="s">
        <v>75</v>
      </c>
      <c r="L20" s="15" t="str">
        <f>HYPERLINK("https://uk1.aconex.co.uk/hub/index.html?mainTarget=%2FSearchControlledDoc%3FSEARCH_ACTION%3D15%26tab%3D0%26searchMode%3D1%26searchQuery%3Ddocno:%22"&amp;RawData[[#This Row],[Document Number]]&amp;"%22%20%2Bcversion%253A1",RawData[[#This Row],[Document Number]])</f>
        <v>FS1018-ADT-ZZ-ZZ-T-Y-0002</v>
      </c>
    </row>
    <row r="21" spans="1:12" x14ac:dyDescent="0.3">
      <c r="A21" s="15" t="s">
        <v>73</v>
      </c>
      <c r="B21" s="15" t="s">
        <v>74</v>
      </c>
      <c r="C21" s="15" t="s">
        <v>10</v>
      </c>
      <c r="D21" s="15" t="s">
        <v>21</v>
      </c>
      <c r="E21" s="8">
        <v>45729</v>
      </c>
      <c r="F21" s="16" t="s">
        <v>12</v>
      </c>
      <c r="G21" s="16" t="s">
        <v>4</v>
      </c>
      <c r="H21" s="8"/>
      <c r="I21" s="16"/>
      <c r="J21" t="b">
        <v>1</v>
      </c>
      <c r="K21" s="15" t="s">
        <v>75</v>
      </c>
      <c r="L21" s="15" t="str">
        <f>HYPERLINK("https://uk1.aconex.co.uk/hub/index.html?mainTarget=%2FSearchControlledDoc%3FSEARCH_ACTION%3D15%26tab%3D0%26searchMode%3D1%26searchQuery%3Ddocno:%22"&amp;RawData[[#This Row],[Document Number]]&amp;"%22%20%2Bcversion%253A1",RawData[[#This Row],[Document Number]])</f>
        <v>FS1018-ADT-ZZ-ZZ-T-Y-0002</v>
      </c>
    </row>
    <row r="22" spans="1:12" ht="43.2" x14ac:dyDescent="0.3">
      <c r="A22" s="15" t="s">
        <v>76</v>
      </c>
      <c r="B22" s="15" t="s">
        <v>77</v>
      </c>
      <c r="C22" s="15" t="s">
        <v>14</v>
      </c>
      <c r="D22" s="15" t="s">
        <v>20</v>
      </c>
      <c r="E22" s="8">
        <v>45638</v>
      </c>
      <c r="F22" s="16" t="s">
        <v>78</v>
      </c>
      <c r="G22" s="16" t="s">
        <v>40</v>
      </c>
      <c r="H22" s="8">
        <v>45669</v>
      </c>
      <c r="I22" s="16" t="s">
        <v>71</v>
      </c>
      <c r="J22" t="b">
        <v>0</v>
      </c>
      <c r="K22" s="15" t="s">
        <v>79</v>
      </c>
      <c r="L22" s="15" t="str">
        <f>HYPERLINK("https://uk1.aconex.co.uk/hub/index.html?mainTarget=%2FSearchControlledDoc%3FSEARCH_ACTION%3D15%26tab%3D0%26searchMode%3D1%26searchQuery%3Ddocno:%22"&amp;RawData[[#This Row],[Document Number]]&amp;"%22%20%2Bcversion%253A1",RawData[[#This Row],[Document Number]])</f>
        <v>FS1018-AGL-XX-XX-L-X-0007</v>
      </c>
    </row>
    <row r="23" spans="1:12" ht="259.2" x14ac:dyDescent="0.3">
      <c r="A23" s="15" t="s">
        <v>80</v>
      </c>
      <c r="B23" s="15" t="s">
        <v>81</v>
      </c>
      <c r="C23" s="15" t="s">
        <v>14</v>
      </c>
      <c r="D23" s="15" t="s">
        <v>20</v>
      </c>
      <c r="E23" s="8">
        <v>45175</v>
      </c>
      <c r="F23" s="16" t="s">
        <v>82</v>
      </c>
      <c r="G23" s="16" t="s">
        <v>40</v>
      </c>
      <c r="H23" s="8">
        <v>45201</v>
      </c>
      <c r="I23" s="16" t="s">
        <v>83</v>
      </c>
      <c r="J23" t="b">
        <v>0</v>
      </c>
      <c r="K23" s="15" t="s">
        <v>84</v>
      </c>
      <c r="L23" s="15" t="str">
        <f>HYPERLINK("https://uk1.aconex.co.uk/hub/index.html?mainTarget=%2FSearchControlledDoc%3FSEARCH_ACTION%3D15%26tab%3D0%26searchMode%3D1%26searchQuery%3Ddocno:%22"&amp;RawData[[#This Row],[Document Number]]&amp;"%22%20%2Bcversion%253A1",RawData[[#This Row],[Document Number]])</f>
        <v>FS1018-AGL-ZZ-00-D-E-6101</v>
      </c>
    </row>
    <row r="24" spans="1:12" x14ac:dyDescent="0.3">
      <c r="A24" s="15" t="s">
        <v>85</v>
      </c>
      <c r="B24" s="15" t="s">
        <v>86</v>
      </c>
      <c r="C24" s="15" t="s">
        <v>14</v>
      </c>
      <c r="D24" s="15" t="s">
        <v>21</v>
      </c>
      <c r="E24" s="8">
        <v>45730</v>
      </c>
      <c r="F24" s="16" t="s">
        <v>12</v>
      </c>
      <c r="G24" s="16" t="s">
        <v>4</v>
      </c>
      <c r="H24" s="8"/>
      <c r="I24" s="16"/>
      <c r="J24" t="b">
        <v>0</v>
      </c>
      <c r="K24" s="15" t="s">
        <v>87</v>
      </c>
      <c r="L24" s="15" t="str">
        <f>HYPERLINK("https://uk1.aconex.co.uk/hub/index.html?mainTarget=%2FSearchControlledDoc%3FSEARCH_ACTION%3D15%26tab%3D0%26searchMode%3D1%26searchQuery%3Ddocno:%22"&amp;RawData[[#This Row],[Document Number]]&amp;"%22%20%2Bcversion%253A1",RawData[[#This Row],[Document Number]])</f>
        <v>FS1018-AGL-ZZ-00-D-E-6110</v>
      </c>
    </row>
    <row r="25" spans="1:12" x14ac:dyDescent="0.3">
      <c r="A25" s="15" t="s">
        <v>88</v>
      </c>
      <c r="B25" s="15" t="s">
        <v>89</v>
      </c>
      <c r="C25" s="15" t="s">
        <v>14</v>
      </c>
      <c r="D25" s="15" t="s">
        <v>21</v>
      </c>
      <c r="E25" s="8">
        <v>45730</v>
      </c>
      <c r="F25" s="16" t="s">
        <v>12</v>
      </c>
      <c r="G25" s="16" t="s">
        <v>4</v>
      </c>
      <c r="H25" s="8"/>
      <c r="I25" s="16"/>
      <c r="J25" t="b">
        <v>0</v>
      </c>
      <c r="K25" s="15" t="s">
        <v>90</v>
      </c>
      <c r="L25" s="15" t="str">
        <f>HYPERLINK("https://uk1.aconex.co.uk/hub/index.html?mainTarget=%2FSearchControlledDoc%3FSEARCH_ACTION%3D15%26tab%3D0%26searchMode%3D1%26searchQuery%3Ddocno:%22"&amp;RawData[[#This Row],[Document Number]]&amp;"%22%20%2Bcversion%253A1",RawData[[#This Row],[Document Number]])</f>
        <v>FS1018-AGL-ZZ-00-D-E-6111</v>
      </c>
    </row>
    <row r="26" spans="1:12" x14ac:dyDescent="0.3">
      <c r="A26" s="15" t="s">
        <v>91</v>
      </c>
      <c r="B26" s="15" t="s">
        <v>92</v>
      </c>
      <c r="C26" s="15" t="s">
        <v>14</v>
      </c>
      <c r="D26" s="15" t="s">
        <v>21</v>
      </c>
      <c r="E26" s="8">
        <v>45730</v>
      </c>
      <c r="F26" s="16" t="s">
        <v>12</v>
      </c>
      <c r="G26" s="16" t="s">
        <v>4</v>
      </c>
      <c r="H26" s="8"/>
      <c r="I26" s="16"/>
      <c r="J26" t="b">
        <v>0</v>
      </c>
      <c r="K26" s="15" t="s">
        <v>93</v>
      </c>
      <c r="L26" s="15" t="str">
        <f>HYPERLINK("https://uk1.aconex.co.uk/hub/index.html?mainTarget=%2FSearchControlledDoc%3FSEARCH_ACTION%3D15%26tab%3D0%26searchMode%3D1%26searchQuery%3Ddocno:%22"&amp;RawData[[#This Row],[Document Number]]&amp;"%22%20%2Bcversion%253A1",RawData[[#This Row],[Document Number]])</f>
        <v>FS1018-AGL-ZZ-00-D-E-6112</v>
      </c>
    </row>
    <row r="27" spans="1:12" x14ac:dyDescent="0.3">
      <c r="A27" s="15" t="s">
        <v>94</v>
      </c>
      <c r="B27" s="15" t="s">
        <v>95</v>
      </c>
      <c r="C27" s="15" t="s">
        <v>14</v>
      </c>
      <c r="D27" s="15" t="s">
        <v>21</v>
      </c>
      <c r="E27" s="8">
        <v>45730</v>
      </c>
      <c r="F27" s="16" t="s">
        <v>12</v>
      </c>
      <c r="G27" s="16" t="s">
        <v>4</v>
      </c>
      <c r="H27" s="8"/>
      <c r="I27" s="16"/>
      <c r="J27" t="b">
        <v>0</v>
      </c>
      <c r="K27" s="15" t="s">
        <v>96</v>
      </c>
      <c r="L27" s="15" t="str">
        <f>HYPERLINK("https://uk1.aconex.co.uk/hub/index.html?mainTarget=%2FSearchControlledDoc%3FSEARCH_ACTION%3D15%26tab%3D0%26searchMode%3D1%26searchQuery%3Ddocno:%22"&amp;RawData[[#This Row],[Document Number]]&amp;"%22%20%2Bcversion%253A1",RawData[[#This Row],[Document Number]])</f>
        <v>FS1018-AGL-ZZ-00-D-E-6114</v>
      </c>
    </row>
    <row r="28" spans="1:12" x14ac:dyDescent="0.3">
      <c r="A28" s="15" t="s">
        <v>97</v>
      </c>
      <c r="B28" s="15" t="s">
        <v>98</v>
      </c>
      <c r="C28" s="15" t="s">
        <v>14</v>
      </c>
      <c r="D28" s="15" t="s">
        <v>21</v>
      </c>
      <c r="E28" s="8">
        <v>45730</v>
      </c>
      <c r="F28" s="16" t="s">
        <v>12</v>
      </c>
      <c r="G28" s="16" t="s">
        <v>4</v>
      </c>
      <c r="H28" s="8"/>
      <c r="I28" s="16"/>
      <c r="J28" t="b">
        <v>0</v>
      </c>
      <c r="K28" s="15" t="s">
        <v>99</v>
      </c>
      <c r="L28" s="15" t="str">
        <f>HYPERLINK("https://uk1.aconex.co.uk/hub/index.html?mainTarget=%2FSearchControlledDoc%3FSEARCH_ACTION%3D15%26tab%3D0%26searchMode%3D1%26searchQuery%3Ddocno:%22"&amp;RawData[[#This Row],[Document Number]]&amp;"%22%20%2Bcversion%253A1",RawData[[#This Row],[Document Number]])</f>
        <v>FS1018-AGL-ZZ-00-D-E-6210</v>
      </c>
    </row>
    <row r="29" spans="1:12" x14ac:dyDescent="0.3">
      <c r="A29" s="15" t="s">
        <v>100</v>
      </c>
      <c r="B29" s="15" t="s">
        <v>101</v>
      </c>
      <c r="C29" s="15" t="s">
        <v>14</v>
      </c>
      <c r="D29" s="15" t="s">
        <v>21</v>
      </c>
      <c r="E29" s="8">
        <v>45730</v>
      </c>
      <c r="F29" s="16" t="s">
        <v>12</v>
      </c>
      <c r="G29" s="16" t="s">
        <v>4</v>
      </c>
      <c r="H29" s="8"/>
      <c r="I29" s="16"/>
      <c r="J29" t="b">
        <v>0</v>
      </c>
      <c r="K29" s="15" t="s">
        <v>102</v>
      </c>
      <c r="L29" s="15" t="str">
        <f>HYPERLINK("https://uk1.aconex.co.uk/hub/index.html?mainTarget=%2FSearchControlledDoc%3FSEARCH_ACTION%3D15%26tab%3D0%26searchMode%3D1%26searchQuery%3Ddocno:%22"&amp;RawData[[#This Row],[Document Number]]&amp;"%22%20%2Bcversion%253A1",RawData[[#This Row],[Document Number]])</f>
        <v>FS1018-AGL-ZZ-00-D-E-6211</v>
      </c>
    </row>
    <row r="30" spans="1:12" x14ac:dyDescent="0.3">
      <c r="A30" s="15" t="s">
        <v>103</v>
      </c>
      <c r="B30" s="15" t="s">
        <v>104</v>
      </c>
      <c r="C30" s="15" t="s">
        <v>14</v>
      </c>
      <c r="D30" s="15" t="s">
        <v>21</v>
      </c>
      <c r="E30" s="8">
        <v>45730</v>
      </c>
      <c r="F30" s="16" t="s">
        <v>12</v>
      </c>
      <c r="G30" s="16" t="s">
        <v>4</v>
      </c>
      <c r="H30" s="8"/>
      <c r="I30" s="16"/>
      <c r="J30" t="b">
        <v>0</v>
      </c>
      <c r="K30" s="15" t="s">
        <v>105</v>
      </c>
      <c r="L30" s="15" t="str">
        <f>HYPERLINK("https://uk1.aconex.co.uk/hub/index.html?mainTarget=%2FSearchControlledDoc%3FSEARCH_ACTION%3D15%26tab%3D0%26searchMode%3D1%26searchQuery%3Ddocno:%22"&amp;RawData[[#This Row],[Document Number]]&amp;"%22%20%2Bcversion%253A1",RawData[[#This Row],[Document Number]])</f>
        <v>FS1018-AGL-ZZ-00-D-E-6212</v>
      </c>
    </row>
    <row r="31" spans="1:12" x14ac:dyDescent="0.3">
      <c r="A31" s="15" t="s">
        <v>106</v>
      </c>
      <c r="B31" s="15" t="s">
        <v>107</v>
      </c>
      <c r="C31" s="15" t="s">
        <v>14</v>
      </c>
      <c r="D31" s="15" t="s">
        <v>21</v>
      </c>
      <c r="E31" s="8">
        <v>45730</v>
      </c>
      <c r="F31" s="16" t="s">
        <v>12</v>
      </c>
      <c r="G31" s="16" t="s">
        <v>4</v>
      </c>
      <c r="H31" s="8"/>
      <c r="I31" s="16"/>
      <c r="J31" t="b">
        <v>0</v>
      </c>
      <c r="K31" s="15" t="s">
        <v>108</v>
      </c>
      <c r="L31" s="15" t="str">
        <f>HYPERLINK("https://uk1.aconex.co.uk/hub/index.html?mainTarget=%2FSearchControlledDoc%3FSEARCH_ACTION%3D15%26tab%3D0%26searchMode%3D1%26searchQuery%3Ddocno:%22"&amp;RawData[[#This Row],[Document Number]]&amp;"%22%20%2Bcversion%253A1",RawData[[#This Row],[Document Number]])</f>
        <v>FS1018-AGL-ZZ-00-D-E-6213</v>
      </c>
    </row>
    <row r="32" spans="1:12" x14ac:dyDescent="0.3">
      <c r="A32" s="15" t="s">
        <v>109</v>
      </c>
      <c r="B32" s="15" t="s">
        <v>110</v>
      </c>
      <c r="C32" s="15" t="s">
        <v>14</v>
      </c>
      <c r="D32" s="15" t="s">
        <v>21</v>
      </c>
      <c r="E32" s="8">
        <v>45730</v>
      </c>
      <c r="F32" s="16" t="s">
        <v>12</v>
      </c>
      <c r="G32" s="16" t="s">
        <v>4</v>
      </c>
      <c r="H32" s="8"/>
      <c r="I32" s="16"/>
      <c r="J32" t="b">
        <v>0</v>
      </c>
      <c r="K32" s="15" t="s">
        <v>111</v>
      </c>
      <c r="L32" s="15" t="str">
        <f>HYPERLINK("https://uk1.aconex.co.uk/hub/index.html?mainTarget=%2FSearchControlledDoc%3FSEARCH_ACTION%3D15%26tab%3D0%26searchMode%3D1%26searchQuery%3Ddocno:%22"&amp;RawData[[#This Row],[Document Number]]&amp;"%22%20%2Bcversion%253A1",RawData[[#This Row],[Document Number]])</f>
        <v>FS1018-AGL-ZZ-00-D-E-6214</v>
      </c>
    </row>
    <row r="33" spans="1:12" x14ac:dyDescent="0.3">
      <c r="A33" s="15" t="s">
        <v>112</v>
      </c>
      <c r="B33" s="15" t="s">
        <v>113</v>
      </c>
      <c r="C33" s="15" t="s">
        <v>14</v>
      </c>
      <c r="D33" s="15" t="s">
        <v>21</v>
      </c>
      <c r="E33" s="8">
        <v>45730</v>
      </c>
      <c r="F33" s="16" t="s">
        <v>12</v>
      </c>
      <c r="G33" s="16" t="s">
        <v>4</v>
      </c>
      <c r="H33" s="8"/>
      <c r="I33" s="16"/>
      <c r="J33" t="b">
        <v>0</v>
      </c>
      <c r="K33" s="15" t="s">
        <v>114</v>
      </c>
      <c r="L33" s="15" t="str">
        <f>HYPERLINK("https://uk1.aconex.co.uk/hub/index.html?mainTarget=%2FSearchControlledDoc%3FSEARCH_ACTION%3D15%26tab%3D0%26searchMode%3D1%26searchQuery%3Ddocno:%22"&amp;RawData[[#This Row],[Document Number]]&amp;"%22%20%2Bcversion%253A1",RawData[[#This Row],[Document Number]])</f>
        <v>FS1018-AGL-ZZ-00-D-E-6215</v>
      </c>
    </row>
    <row r="34" spans="1:12" ht="129.6" x14ac:dyDescent="0.3">
      <c r="A34" s="15" t="s">
        <v>115</v>
      </c>
      <c r="B34" s="15" t="s">
        <v>116</v>
      </c>
      <c r="C34" s="15" t="s">
        <v>14</v>
      </c>
      <c r="D34" s="15" t="s">
        <v>20</v>
      </c>
      <c r="E34" s="8">
        <v>45175</v>
      </c>
      <c r="F34" s="16" t="s">
        <v>82</v>
      </c>
      <c r="G34" s="16" t="s">
        <v>40</v>
      </c>
      <c r="H34" s="8">
        <v>45201</v>
      </c>
      <c r="I34" s="16" t="s">
        <v>117</v>
      </c>
      <c r="J34" t="b">
        <v>0</v>
      </c>
      <c r="K34" s="15" t="s">
        <v>118</v>
      </c>
      <c r="L34" s="15" t="str">
        <f>HYPERLINK("https://uk1.aconex.co.uk/hub/index.html?mainTarget=%2FSearchControlledDoc%3FSEARCH_ACTION%3D15%26tab%3D0%26searchMode%3D1%26searchQuery%3Ddocno:%22"&amp;RawData[[#This Row],[Document Number]]&amp;"%22%20%2Bcversion%253A1",RawData[[#This Row],[Document Number]])</f>
        <v>FS1018-AGL-ZZ-00-D-E-6301</v>
      </c>
    </row>
    <row r="35" spans="1:12" x14ac:dyDescent="0.3">
      <c r="A35" s="15" t="s">
        <v>119</v>
      </c>
      <c r="B35" s="15" t="s">
        <v>120</v>
      </c>
      <c r="C35" s="15" t="s">
        <v>14</v>
      </c>
      <c r="D35" s="15" t="s">
        <v>20</v>
      </c>
      <c r="E35" s="8">
        <v>45175</v>
      </c>
      <c r="F35" s="16" t="s">
        <v>82</v>
      </c>
      <c r="G35" s="16" t="s">
        <v>34</v>
      </c>
      <c r="H35" s="8">
        <v>45201</v>
      </c>
      <c r="I35" s="16"/>
      <c r="J35" t="b">
        <v>0</v>
      </c>
      <c r="K35" s="15" t="s">
        <v>121</v>
      </c>
      <c r="L35" s="15" t="str">
        <f>HYPERLINK("https://uk1.aconex.co.uk/hub/index.html?mainTarget=%2FSearchControlledDoc%3FSEARCH_ACTION%3D15%26tab%3D0%26searchMode%3D1%26searchQuery%3Ddocno:%22"&amp;RawData[[#This Row],[Document Number]]&amp;"%22%20%2Bcversion%253A1",RawData[[#This Row],[Document Number]])</f>
        <v>FS1018-AGL-ZZ-00-D-E-6302</v>
      </c>
    </row>
    <row r="36" spans="1:12" x14ac:dyDescent="0.3">
      <c r="A36" s="15" t="s">
        <v>122</v>
      </c>
      <c r="B36" s="15" t="s">
        <v>123</v>
      </c>
      <c r="C36" s="15" t="s">
        <v>14</v>
      </c>
      <c r="D36" s="15" t="s">
        <v>21</v>
      </c>
      <c r="E36" s="8">
        <v>45730</v>
      </c>
      <c r="F36" s="16" t="s">
        <v>12</v>
      </c>
      <c r="G36" s="16" t="s">
        <v>4</v>
      </c>
      <c r="H36" s="8"/>
      <c r="I36" s="16"/>
      <c r="J36" t="b">
        <v>0</v>
      </c>
      <c r="K36" s="15" t="s">
        <v>124</v>
      </c>
      <c r="L36" s="15" t="str">
        <f>HYPERLINK("https://uk1.aconex.co.uk/hub/index.html?mainTarget=%2FSearchControlledDoc%3FSEARCH_ACTION%3D15%26tab%3D0%26searchMode%3D1%26searchQuery%3Ddocno:%22"&amp;RawData[[#This Row],[Document Number]]&amp;"%22%20%2Bcversion%253A1",RawData[[#This Row],[Document Number]])</f>
        <v>FS1018-AGL-ZZ-00-D-E-6310</v>
      </c>
    </row>
    <row r="37" spans="1:12" x14ac:dyDescent="0.3">
      <c r="A37" s="15" t="s">
        <v>125</v>
      </c>
      <c r="B37" s="15" t="s">
        <v>126</v>
      </c>
      <c r="C37" s="15" t="s">
        <v>14</v>
      </c>
      <c r="D37" s="15" t="s">
        <v>21</v>
      </c>
      <c r="E37" s="8">
        <v>45730</v>
      </c>
      <c r="F37" s="16" t="s">
        <v>12</v>
      </c>
      <c r="G37" s="16" t="s">
        <v>4</v>
      </c>
      <c r="H37" s="8"/>
      <c r="I37" s="16"/>
      <c r="J37" t="b">
        <v>0</v>
      </c>
      <c r="K37" s="15" t="s">
        <v>127</v>
      </c>
      <c r="L37" s="15" t="str">
        <f>HYPERLINK("https://uk1.aconex.co.uk/hub/index.html?mainTarget=%2FSearchControlledDoc%3FSEARCH_ACTION%3D15%26tab%3D0%26searchMode%3D1%26searchQuery%3Ddocno:%22"&amp;RawData[[#This Row],[Document Number]]&amp;"%22%20%2Bcversion%253A1",RawData[[#This Row],[Document Number]])</f>
        <v>FS1018-AGL-ZZ-00-D-E-6311</v>
      </c>
    </row>
    <row r="38" spans="1:12" x14ac:dyDescent="0.3">
      <c r="A38" s="15" t="s">
        <v>128</v>
      </c>
      <c r="B38" s="15" t="s">
        <v>129</v>
      </c>
      <c r="C38" s="15" t="s">
        <v>14</v>
      </c>
      <c r="D38" s="15" t="s">
        <v>21</v>
      </c>
      <c r="E38" s="8">
        <v>45730</v>
      </c>
      <c r="F38" s="16" t="s">
        <v>12</v>
      </c>
      <c r="G38" s="16" t="s">
        <v>4</v>
      </c>
      <c r="H38" s="8"/>
      <c r="I38" s="16"/>
      <c r="J38" t="b">
        <v>0</v>
      </c>
      <c r="K38" s="15" t="s">
        <v>130</v>
      </c>
      <c r="L38" s="15" t="str">
        <f>HYPERLINK("https://uk1.aconex.co.uk/hub/index.html?mainTarget=%2FSearchControlledDoc%3FSEARCH_ACTION%3D15%26tab%3D0%26searchMode%3D1%26searchQuery%3Ddocno:%22"&amp;RawData[[#This Row],[Document Number]]&amp;"%22%20%2Bcversion%253A1",RawData[[#This Row],[Document Number]])</f>
        <v>FS1018-AGL-ZZ-00-D-E-6312</v>
      </c>
    </row>
    <row r="39" spans="1:12" ht="57.6" x14ac:dyDescent="0.3">
      <c r="A39" s="15" t="s">
        <v>131</v>
      </c>
      <c r="B39" s="15" t="s">
        <v>132</v>
      </c>
      <c r="C39" s="15" t="s">
        <v>14</v>
      </c>
      <c r="D39" s="15" t="s">
        <v>20</v>
      </c>
      <c r="E39" s="8">
        <v>45175</v>
      </c>
      <c r="F39" s="16" t="s">
        <v>82</v>
      </c>
      <c r="G39" s="16" t="s">
        <v>40</v>
      </c>
      <c r="H39" s="8">
        <v>45201</v>
      </c>
      <c r="I39" s="16" t="s">
        <v>133</v>
      </c>
      <c r="J39" t="b">
        <v>0</v>
      </c>
      <c r="K39" s="15" t="s">
        <v>134</v>
      </c>
      <c r="L39" s="15" t="str">
        <f>HYPERLINK("https://uk1.aconex.co.uk/hub/index.html?mainTarget=%2FSearchControlledDoc%3FSEARCH_ACTION%3D15%26tab%3D0%26searchMode%3D1%26searchQuery%3Ddocno:%22"&amp;RawData[[#This Row],[Document Number]]&amp;"%22%20%2Bcversion%253A1",RawData[[#This Row],[Document Number]])</f>
        <v>FS1018-AGL-ZZ-00-D-E-6801</v>
      </c>
    </row>
    <row r="40" spans="1:12" ht="43.2" x14ac:dyDescent="0.3">
      <c r="A40" s="15" t="s">
        <v>135</v>
      </c>
      <c r="B40" s="15" t="s">
        <v>136</v>
      </c>
      <c r="C40" s="15" t="s">
        <v>14</v>
      </c>
      <c r="D40" s="15" t="s">
        <v>20</v>
      </c>
      <c r="E40" s="8">
        <v>45175</v>
      </c>
      <c r="F40" s="16" t="s">
        <v>82</v>
      </c>
      <c r="G40" s="16" t="s">
        <v>40</v>
      </c>
      <c r="H40" s="8">
        <v>45201</v>
      </c>
      <c r="I40" s="16" t="s">
        <v>137</v>
      </c>
      <c r="J40" t="b">
        <v>0</v>
      </c>
      <c r="K40" s="15" t="s">
        <v>138</v>
      </c>
      <c r="L40" s="15" t="str">
        <f>HYPERLINK("https://uk1.aconex.co.uk/hub/index.html?mainTarget=%2FSearchControlledDoc%3FSEARCH_ACTION%3D15%26tab%3D0%26searchMode%3D1%26searchQuery%3Ddocno:%22"&amp;RawData[[#This Row],[Document Number]]&amp;"%22%20%2Bcversion%253A1",RawData[[#This Row],[Document Number]])</f>
        <v>FS1018-AGL-ZZ-00-D-E-6802</v>
      </c>
    </row>
    <row r="41" spans="1:12" ht="158.4" x14ac:dyDescent="0.3">
      <c r="A41" s="15" t="s">
        <v>139</v>
      </c>
      <c r="B41" s="15" t="s">
        <v>140</v>
      </c>
      <c r="C41" s="15" t="s">
        <v>14</v>
      </c>
      <c r="D41" s="15" t="s">
        <v>20</v>
      </c>
      <c r="E41" s="8">
        <v>45175</v>
      </c>
      <c r="F41" s="16" t="s">
        <v>82</v>
      </c>
      <c r="G41" s="16" t="s">
        <v>40</v>
      </c>
      <c r="H41" s="8">
        <v>45201</v>
      </c>
      <c r="I41" s="16" t="s">
        <v>141</v>
      </c>
      <c r="J41" t="b">
        <v>0</v>
      </c>
      <c r="K41" s="15" t="s">
        <v>142</v>
      </c>
      <c r="L41" s="15" t="str">
        <f>HYPERLINK("https://uk1.aconex.co.uk/hub/index.html?mainTarget=%2FSearchControlledDoc%3FSEARCH_ACTION%3D15%26tab%3D0%26searchMode%3D1%26searchQuery%3Ddocno:%22"&amp;RawData[[#This Row],[Document Number]]&amp;"%22%20%2Bcversion%253A1",RawData[[#This Row],[Document Number]])</f>
        <v>FS1018-AGL-ZZ-00-D-E-6803</v>
      </c>
    </row>
    <row r="42" spans="1:12" x14ac:dyDescent="0.3">
      <c r="A42" s="15" t="s">
        <v>143</v>
      </c>
      <c r="B42" s="15" t="s">
        <v>144</v>
      </c>
      <c r="C42" s="15" t="s">
        <v>14</v>
      </c>
      <c r="D42" s="15" t="s">
        <v>21</v>
      </c>
      <c r="E42" s="8">
        <v>45730</v>
      </c>
      <c r="F42" s="16" t="s">
        <v>12</v>
      </c>
      <c r="G42" s="16" t="s">
        <v>4</v>
      </c>
      <c r="H42" s="8"/>
      <c r="I42" s="16"/>
      <c r="J42" t="b">
        <v>0</v>
      </c>
      <c r="K42" s="15" t="s">
        <v>145</v>
      </c>
      <c r="L42" s="15" t="str">
        <f>HYPERLINK("https://uk1.aconex.co.uk/hub/index.html?mainTarget=%2FSearchControlledDoc%3FSEARCH_ACTION%3D15%26tab%3D0%26searchMode%3D1%26searchQuery%3Ddocno:%22"&amp;RawData[[#This Row],[Document Number]]&amp;"%22%20%2Bcversion%253A1",RawData[[#This Row],[Document Number]])</f>
        <v>FS1018-AGL-ZZ-00-D-E-6810</v>
      </c>
    </row>
    <row r="43" spans="1:12" x14ac:dyDescent="0.3">
      <c r="A43" s="15" t="s">
        <v>146</v>
      </c>
      <c r="B43" s="15" t="s">
        <v>147</v>
      </c>
      <c r="C43" s="15" t="s">
        <v>14</v>
      </c>
      <c r="D43" s="15" t="s">
        <v>21</v>
      </c>
      <c r="E43" s="8">
        <v>45730</v>
      </c>
      <c r="F43" s="16" t="s">
        <v>12</v>
      </c>
      <c r="G43" s="16" t="s">
        <v>4</v>
      </c>
      <c r="H43" s="8"/>
      <c r="I43" s="16"/>
      <c r="J43" t="b">
        <v>0</v>
      </c>
      <c r="K43" s="15" t="s">
        <v>148</v>
      </c>
      <c r="L43" s="15" t="str">
        <f>HYPERLINK("https://uk1.aconex.co.uk/hub/index.html?mainTarget=%2FSearchControlledDoc%3FSEARCH_ACTION%3D15%26tab%3D0%26searchMode%3D1%26searchQuery%3Ddocno:%22"&amp;RawData[[#This Row],[Document Number]]&amp;"%22%20%2Bcversion%253A1",RawData[[#This Row],[Document Number]])</f>
        <v>FS1018-AGL-ZZ-00-D-E-6811</v>
      </c>
    </row>
    <row r="44" spans="1:12" x14ac:dyDescent="0.3">
      <c r="A44" s="15" t="s">
        <v>149</v>
      </c>
      <c r="B44" s="15" t="s">
        <v>150</v>
      </c>
      <c r="C44" s="15" t="s">
        <v>14</v>
      </c>
      <c r="D44" s="15" t="s">
        <v>21</v>
      </c>
      <c r="E44" s="8">
        <v>45730</v>
      </c>
      <c r="F44" s="16" t="s">
        <v>12</v>
      </c>
      <c r="G44" s="16" t="s">
        <v>4</v>
      </c>
      <c r="H44" s="8"/>
      <c r="I44" s="16"/>
      <c r="J44" t="b">
        <v>0</v>
      </c>
      <c r="K44" s="15" t="s">
        <v>151</v>
      </c>
      <c r="L44" s="15" t="str">
        <f>HYPERLINK("https://uk1.aconex.co.uk/hub/index.html?mainTarget=%2FSearchControlledDoc%3FSEARCH_ACTION%3D15%26tab%3D0%26searchMode%3D1%26searchQuery%3Ddocno:%22"&amp;RawData[[#This Row],[Document Number]]&amp;"%22%20%2Bcversion%253A1",RawData[[#This Row],[Document Number]])</f>
        <v>FS1018-AGL-ZZ-00-D-E-6812</v>
      </c>
    </row>
    <row r="45" spans="1:12" x14ac:dyDescent="0.3">
      <c r="A45" s="15" t="s">
        <v>152</v>
      </c>
      <c r="B45" s="15" t="s">
        <v>153</v>
      </c>
      <c r="C45" s="15" t="s">
        <v>14</v>
      </c>
      <c r="D45" s="15" t="s">
        <v>21</v>
      </c>
      <c r="E45" s="8">
        <v>45730</v>
      </c>
      <c r="F45" s="16" t="s">
        <v>12</v>
      </c>
      <c r="G45" s="16" t="s">
        <v>4</v>
      </c>
      <c r="H45" s="8"/>
      <c r="I45" s="16"/>
      <c r="J45" t="b">
        <v>0</v>
      </c>
      <c r="K45" s="15" t="s">
        <v>154</v>
      </c>
      <c r="L45" s="15" t="str">
        <f>HYPERLINK("https://uk1.aconex.co.uk/hub/index.html?mainTarget=%2FSearchControlledDoc%3FSEARCH_ACTION%3D15%26tab%3D0%26searchMode%3D1%26searchQuery%3Ddocno:%22"&amp;RawData[[#This Row],[Document Number]]&amp;"%22%20%2Bcversion%253A1",RawData[[#This Row],[Document Number]])</f>
        <v>FS1018-AGL-ZZ-00-D-E-6820</v>
      </c>
    </row>
    <row r="46" spans="1:12" x14ac:dyDescent="0.3">
      <c r="A46" s="15" t="s">
        <v>155</v>
      </c>
      <c r="B46" s="15" t="s">
        <v>156</v>
      </c>
      <c r="C46" s="15" t="s">
        <v>14</v>
      </c>
      <c r="D46" s="15" t="s">
        <v>21</v>
      </c>
      <c r="E46" s="8">
        <v>45730</v>
      </c>
      <c r="F46" s="16" t="s">
        <v>12</v>
      </c>
      <c r="G46" s="16" t="s">
        <v>4</v>
      </c>
      <c r="H46" s="8"/>
      <c r="I46" s="16"/>
      <c r="J46" t="b">
        <v>0</v>
      </c>
      <c r="K46" s="15" t="s">
        <v>157</v>
      </c>
      <c r="L46" s="15" t="str">
        <f>HYPERLINK("https://uk1.aconex.co.uk/hub/index.html?mainTarget=%2FSearchControlledDoc%3FSEARCH_ACTION%3D15%26tab%3D0%26searchMode%3D1%26searchQuery%3Ddocno:%22"&amp;RawData[[#This Row],[Document Number]]&amp;"%22%20%2Bcversion%253A1",RawData[[#This Row],[Document Number]])</f>
        <v>FS1018-AGL-ZZ-00-D-E-6821</v>
      </c>
    </row>
    <row r="47" spans="1:12" x14ac:dyDescent="0.3">
      <c r="A47" s="15" t="s">
        <v>158</v>
      </c>
      <c r="B47" s="15" t="s">
        <v>159</v>
      </c>
      <c r="C47" s="15" t="s">
        <v>14</v>
      </c>
      <c r="D47" s="15" t="s">
        <v>21</v>
      </c>
      <c r="E47" s="8">
        <v>45730</v>
      </c>
      <c r="F47" s="16" t="s">
        <v>12</v>
      </c>
      <c r="G47" s="16" t="s">
        <v>4</v>
      </c>
      <c r="H47" s="8"/>
      <c r="I47" s="16"/>
      <c r="J47" t="b">
        <v>0</v>
      </c>
      <c r="K47" s="15" t="s">
        <v>160</v>
      </c>
      <c r="L47" s="15" t="str">
        <f>HYPERLINK("https://uk1.aconex.co.uk/hub/index.html?mainTarget=%2FSearchControlledDoc%3FSEARCH_ACTION%3D15%26tab%3D0%26searchMode%3D1%26searchQuery%3Ddocno:%22"&amp;RawData[[#This Row],[Document Number]]&amp;"%22%20%2Bcversion%253A1",RawData[[#This Row],[Document Number]])</f>
        <v>FS1018-AGL-ZZ-00-D-E-6822</v>
      </c>
    </row>
    <row r="48" spans="1:12" x14ac:dyDescent="0.3">
      <c r="A48" s="15" t="s">
        <v>161</v>
      </c>
      <c r="B48" s="15" t="s">
        <v>162</v>
      </c>
      <c r="C48" s="15" t="s">
        <v>14</v>
      </c>
      <c r="D48" s="15" t="s">
        <v>21</v>
      </c>
      <c r="E48" s="8">
        <v>45730</v>
      </c>
      <c r="F48" s="16" t="s">
        <v>12</v>
      </c>
      <c r="G48" s="16" t="s">
        <v>4</v>
      </c>
      <c r="H48" s="8"/>
      <c r="I48" s="16"/>
      <c r="J48" t="b">
        <v>0</v>
      </c>
      <c r="K48" s="15" t="s">
        <v>163</v>
      </c>
      <c r="L48" s="15" t="str">
        <f>HYPERLINK("https://uk1.aconex.co.uk/hub/index.html?mainTarget=%2FSearchControlledDoc%3FSEARCH_ACTION%3D15%26tab%3D0%26searchMode%3D1%26searchQuery%3Ddocno:%22"&amp;RawData[[#This Row],[Document Number]]&amp;"%22%20%2Bcversion%253A1",RawData[[#This Row],[Document Number]])</f>
        <v>FS1018-AGL-ZZ-00-D-E-6840</v>
      </c>
    </row>
    <row r="49" spans="1:12" x14ac:dyDescent="0.3">
      <c r="A49" s="15" t="s">
        <v>164</v>
      </c>
      <c r="B49" s="15" t="s">
        <v>165</v>
      </c>
      <c r="C49" s="15" t="s">
        <v>14</v>
      </c>
      <c r="D49" s="15" t="s">
        <v>21</v>
      </c>
      <c r="E49" s="8">
        <v>45730</v>
      </c>
      <c r="F49" s="16" t="s">
        <v>12</v>
      </c>
      <c r="G49" s="16" t="s">
        <v>4</v>
      </c>
      <c r="H49" s="8"/>
      <c r="I49" s="16"/>
      <c r="J49" t="b">
        <v>0</v>
      </c>
      <c r="K49" s="15" t="s">
        <v>166</v>
      </c>
      <c r="L49" s="15" t="str">
        <f>HYPERLINK("https://uk1.aconex.co.uk/hub/index.html?mainTarget=%2FSearchControlledDoc%3FSEARCH_ACTION%3D15%26tab%3D0%26searchMode%3D1%26searchQuery%3Ddocno:%22"&amp;RawData[[#This Row],[Document Number]]&amp;"%22%20%2Bcversion%253A1",RawData[[#This Row],[Document Number]])</f>
        <v>FS1018-AGL-ZZ-00-D-E-6841</v>
      </c>
    </row>
    <row r="50" spans="1:12" x14ac:dyDescent="0.3">
      <c r="A50" s="15" t="s">
        <v>167</v>
      </c>
      <c r="B50" s="15" t="s">
        <v>168</v>
      </c>
      <c r="C50" s="15" t="s">
        <v>14</v>
      </c>
      <c r="D50" s="15" t="s">
        <v>21</v>
      </c>
      <c r="E50" s="8">
        <v>45730</v>
      </c>
      <c r="F50" s="16" t="s">
        <v>12</v>
      </c>
      <c r="G50" s="16" t="s">
        <v>4</v>
      </c>
      <c r="H50" s="8"/>
      <c r="I50" s="16"/>
      <c r="J50" t="b">
        <v>0</v>
      </c>
      <c r="K50" s="15" t="s">
        <v>169</v>
      </c>
      <c r="L50" s="15" t="str">
        <f>HYPERLINK("https://uk1.aconex.co.uk/hub/index.html?mainTarget=%2FSearchControlledDoc%3FSEARCH_ACTION%3D15%26tab%3D0%26searchMode%3D1%26searchQuery%3Ddocno:%22"&amp;RawData[[#This Row],[Document Number]]&amp;"%22%20%2Bcversion%253A1",RawData[[#This Row],[Document Number]])</f>
        <v>FS1018-AGL-ZZ-00-D-E-6842</v>
      </c>
    </row>
    <row r="51" spans="1:12" x14ac:dyDescent="0.3">
      <c r="A51" s="15" t="s">
        <v>170</v>
      </c>
      <c r="B51" s="15" t="s">
        <v>171</v>
      </c>
      <c r="C51" s="15" t="s">
        <v>14</v>
      </c>
      <c r="D51" s="15" t="s">
        <v>21</v>
      </c>
      <c r="E51" s="8">
        <v>45730</v>
      </c>
      <c r="F51" s="16" t="s">
        <v>12</v>
      </c>
      <c r="G51" s="16" t="s">
        <v>4</v>
      </c>
      <c r="H51" s="8"/>
      <c r="I51" s="16"/>
      <c r="J51" t="b">
        <v>0</v>
      </c>
      <c r="K51" s="15" t="s">
        <v>172</v>
      </c>
      <c r="L51" s="15" t="str">
        <f>HYPERLINK("https://uk1.aconex.co.uk/hub/index.html?mainTarget=%2FSearchControlledDoc%3FSEARCH_ACTION%3D15%26tab%3D0%26searchMode%3D1%26searchQuery%3Ddocno:%22"&amp;RawData[[#This Row],[Document Number]]&amp;"%22%20%2Bcversion%253A1",RawData[[#This Row],[Document Number]])</f>
        <v>FS1018-AGL-ZZ-00-D-E-9001</v>
      </c>
    </row>
    <row r="52" spans="1:12" ht="43.2" x14ac:dyDescent="0.3">
      <c r="A52" s="15" t="s">
        <v>173</v>
      </c>
      <c r="B52" s="15" t="s">
        <v>174</v>
      </c>
      <c r="C52" s="15" t="s">
        <v>14</v>
      </c>
      <c r="D52" s="15" t="s">
        <v>20</v>
      </c>
      <c r="E52" s="8">
        <v>45175</v>
      </c>
      <c r="F52" s="16" t="s">
        <v>175</v>
      </c>
      <c r="G52" s="16" t="s">
        <v>40</v>
      </c>
      <c r="H52" s="8">
        <v>45198</v>
      </c>
      <c r="I52" s="16" t="s">
        <v>176</v>
      </c>
      <c r="J52" t="b">
        <v>0</v>
      </c>
      <c r="K52" s="15" t="s">
        <v>177</v>
      </c>
      <c r="L52" s="15" t="str">
        <f>HYPERLINK("https://uk1.aconex.co.uk/hub/index.html?mainTarget=%2FSearchControlledDoc%3FSEARCH_ACTION%3D15%26tab%3D0%26searchMode%3D1%26searchQuery%3Ddocno:%22"&amp;RawData[[#This Row],[Document Number]]&amp;"%22%20%2Bcversion%253A1",RawData[[#This Row],[Document Number]])</f>
        <v>FS1018-AGL-ZZ-00-D-M-5201</v>
      </c>
    </row>
    <row r="53" spans="1:12" x14ac:dyDescent="0.3">
      <c r="A53" s="15" t="s">
        <v>178</v>
      </c>
      <c r="B53" s="15" t="s">
        <v>179</v>
      </c>
      <c r="C53" s="15" t="s">
        <v>10</v>
      </c>
      <c r="D53" s="15" t="s">
        <v>21</v>
      </c>
      <c r="E53" s="8">
        <v>45730</v>
      </c>
      <c r="F53" s="16" t="s">
        <v>12</v>
      </c>
      <c r="G53" s="16" t="s">
        <v>4</v>
      </c>
      <c r="H53" s="8"/>
      <c r="I53" s="16"/>
      <c r="J53" t="b">
        <v>1</v>
      </c>
      <c r="K53" s="15" t="s">
        <v>180</v>
      </c>
      <c r="L53" s="15" t="str">
        <f>HYPERLINK("https://uk1.aconex.co.uk/hub/index.html?mainTarget=%2FSearchControlledDoc%3FSEARCH_ACTION%3D15%26tab%3D0%26searchMode%3D1%26searchQuery%3Ddocno:%22"&amp;RawData[[#This Row],[Document Number]]&amp;"%22%20%2Bcversion%253A1",RawData[[#This Row],[Document Number]])</f>
        <v>FS1018-AGL-ZZ-00-D-M-5210</v>
      </c>
    </row>
    <row r="54" spans="1:12" x14ac:dyDescent="0.3">
      <c r="A54" s="15" t="s">
        <v>181</v>
      </c>
      <c r="B54" s="15" t="s">
        <v>182</v>
      </c>
      <c r="C54" s="15" t="s">
        <v>10</v>
      </c>
      <c r="D54" s="15" t="s">
        <v>21</v>
      </c>
      <c r="E54" s="8">
        <v>45730</v>
      </c>
      <c r="F54" s="16" t="s">
        <v>12</v>
      </c>
      <c r="G54" s="16" t="s">
        <v>4</v>
      </c>
      <c r="H54" s="8"/>
      <c r="I54" s="16"/>
      <c r="J54" t="b">
        <v>1</v>
      </c>
      <c r="K54" s="15" t="s">
        <v>183</v>
      </c>
      <c r="L54" s="15" t="str">
        <f>HYPERLINK("https://uk1.aconex.co.uk/hub/index.html?mainTarget=%2FSearchControlledDoc%3FSEARCH_ACTION%3D15%26tab%3D0%26searchMode%3D1%26searchQuery%3Ddocno:%22"&amp;RawData[[#This Row],[Document Number]]&amp;"%22%20%2Bcversion%253A1",RawData[[#This Row],[Document Number]])</f>
        <v>FS1018-AGL-ZZ-00-D-M-5211</v>
      </c>
    </row>
    <row r="55" spans="1:12" x14ac:dyDescent="0.3">
      <c r="A55" s="15" t="s">
        <v>184</v>
      </c>
      <c r="B55" s="15" t="s">
        <v>185</v>
      </c>
      <c r="C55" s="15" t="s">
        <v>10</v>
      </c>
      <c r="D55" s="15" t="s">
        <v>21</v>
      </c>
      <c r="E55" s="8">
        <v>45730</v>
      </c>
      <c r="F55" s="16" t="s">
        <v>12</v>
      </c>
      <c r="G55" s="16" t="s">
        <v>4</v>
      </c>
      <c r="H55" s="8"/>
      <c r="I55" s="16"/>
      <c r="J55" t="b">
        <v>1</v>
      </c>
      <c r="K55" s="15" t="s">
        <v>186</v>
      </c>
      <c r="L55" s="15" t="str">
        <f>HYPERLINK("https://uk1.aconex.co.uk/hub/index.html?mainTarget=%2FSearchControlledDoc%3FSEARCH_ACTION%3D15%26tab%3D0%26searchMode%3D1%26searchQuery%3Ddocno:%22"&amp;RawData[[#This Row],[Document Number]]&amp;"%22%20%2Bcversion%253A1",RawData[[#This Row],[Document Number]])</f>
        <v>FS1018-AGL-ZZ-00-D-M-5212</v>
      </c>
    </row>
    <row r="56" spans="1:12" ht="43.2" x14ac:dyDescent="0.3">
      <c r="A56" s="15" t="s">
        <v>187</v>
      </c>
      <c r="B56" s="15" t="s">
        <v>188</v>
      </c>
      <c r="C56" s="15" t="s">
        <v>14</v>
      </c>
      <c r="D56" s="15" t="s">
        <v>20</v>
      </c>
      <c r="E56" s="8">
        <v>45175</v>
      </c>
      <c r="F56" s="16" t="s">
        <v>175</v>
      </c>
      <c r="G56" s="16" t="s">
        <v>40</v>
      </c>
      <c r="H56" s="8">
        <v>45198</v>
      </c>
      <c r="I56" s="16" t="s">
        <v>176</v>
      </c>
      <c r="J56" t="b">
        <v>0</v>
      </c>
      <c r="K56" s="15" t="s">
        <v>189</v>
      </c>
      <c r="L56" s="15" t="str">
        <f>HYPERLINK("https://uk1.aconex.co.uk/hub/index.html?mainTarget=%2FSearchControlledDoc%3FSEARCH_ACTION%3D15%26tab%3D0%26searchMode%3D1%26searchQuery%3Ddocno:%22"&amp;RawData[[#This Row],[Document Number]]&amp;"%22%20%2Bcversion%253A1",RawData[[#This Row],[Document Number]])</f>
        <v>FS1018-AGL-ZZ-00-D-M-5301</v>
      </c>
    </row>
    <row r="57" spans="1:12" x14ac:dyDescent="0.3">
      <c r="A57" s="15" t="s">
        <v>190</v>
      </c>
      <c r="B57" s="15" t="s">
        <v>191</v>
      </c>
      <c r="C57" s="15" t="s">
        <v>10</v>
      </c>
      <c r="D57" s="15" t="s">
        <v>21</v>
      </c>
      <c r="E57" s="8">
        <v>45730</v>
      </c>
      <c r="F57" s="16" t="s">
        <v>12</v>
      </c>
      <c r="G57" s="16" t="s">
        <v>4</v>
      </c>
      <c r="H57" s="8"/>
      <c r="I57" s="16"/>
      <c r="J57" t="b">
        <v>1</v>
      </c>
      <c r="K57" s="15" t="s">
        <v>192</v>
      </c>
      <c r="L57" s="15" t="str">
        <f>HYPERLINK("https://uk1.aconex.co.uk/hub/index.html?mainTarget=%2FSearchControlledDoc%3FSEARCH_ACTION%3D15%26tab%3D0%26searchMode%3D1%26searchQuery%3Ddocno:%22"&amp;RawData[[#This Row],[Document Number]]&amp;"%22%20%2Bcversion%253A1",RawData[[#This Row],[Document Number]])</f>
        <v>FS1018-AGL-ZZ-00-D-M-5310</v>
      </c>
    </row>
    <row r="58" spans="1:12" x14ac:dyDescent="0.3">
      <c r="A58" s="15" t="s">
        <v>193</v>
      </c>
      <c r="B58" s="15" t="s">
        <v>194</v>
      </c>
      <c r="C58" s="15" t="s">
        <v>10</v>
      </c>
      <c r="D58" s="15" t="s">
        <v>21</v>
      </c>
      <c r="E58" s="8">
        <v>45730</v>
      </c>
      <c r="F58" s="16" t="s">
        <v>12</v>
      </c>
      <c r="G58" s="16" t="s">
        <v>4</v>
      </c>
      <c r="H58" s="8"/>
      <c r="I58" s="16"/>
      <c r="J58" t="b">
        <v>1</v>
      </c>
      <c r="K58" s="15" t="s">
        <v>195</v>
      </c>
      <c r="L58" s="15" t="str">
        <f>HYPERLINK("https://uk1.aconex.co.uk/hub/index.html?mainTarget=%2FSearchControlledDoc%3FSEARCH_ACTION%3D15%26tab%3D0%26searchMode%3D1%26searchQuery%3Ddocno:%22"&amp;RawData[[#This Row],[Document Number]]&amp;"%22%20%2Bcversion%253A1",RawData[[#This Row],[Document Number]])</f>
        <v>FS1018-AGL-ZZ-00-D-M-5311</v>
      </c>
    </row>
    <row r="59" spans="1:12" x14ac:dyDescent="0.3">
      <c r="A59" s="15" t="s">
        <v>196</v>
      </c>
      <c r="B59" s="15" t="s">
        <v>197</v>
      </c>
      <c r="C59" s="15" t="s">
        <v>10</v>
      </c>
      <c r="D59" s="15" t="s">
        <v>21</v>
      </c>
      <c r="E59" s="8">
        <v>45730</v>
      </c>
      <c r="F59" s="16" t="s">
        <v>12</v>
      </c>
      <c r="G59" s="16" t="s">
        <v>4</v>
      </c>
      <c r="H59" s="8"/>
      <c r="I59" s="16"/>
      <c r="J59" t="b">
        <v>1</v>
      </c>
      <c r="K59" s="15" t="s">
        <v>198</v>
      </c>
      <c r="L59" s="15" t="str">
        <f>HYPERLINK("https://uk1.aconex.co.uk/hub/index.html?mainTarget=%2FSearchControlledDoc%3FSEARCH_ACTION%3D15%26tab%3D0%26searchMode%3D1%26searchQuery%3Ddocno:%22"&amp;RawData[[#This Row],[Document Number]]&amp;"%22%20%2Bcversion%253A1",RawData[[#This Row],[Document Number]])</f>
        <v>FS1018-AGL-ZZ-00-D-M-5312</v>
      </c>
    </row>
    <row r="60" spans="1:12" ht="43.2" x14ac:dyDescent="0.3">
      <c r="A60" s="15" t="s">
        <v>199</v>
      </c>
      <c r="B60" s="15" t="s">
        <v>200</v>
      </c>
      <c r="C60" s="15" t="s">
        <v>14</v>
      </c>
      <c r="D60" s="15" t="s">
        <v>20</v>
      </c>
      <c r="E60" s="8">
        <v>45175</v>
      </c>
      <c r="F60" s="16" t="s">
        <v>175</v>
      </c>
      <c r="G60" s="16" t="s">
        <v>40</v>
      </c>
      <c r="H60" s="8">
        <v>45205</v>
      </c>
      <c r="I60" s="16" t="s">
        <v>201</v>
      </c>
      <c r="J60" t="b">
        <v>0</v>
      </c>
      <c r="K60" s="15" t="s">
        <v>202</v>
      </c>
      <c r="L60" s="15" t="str">
        <f>HYPERLINK("https://uk1.aconex.co.uk/hub/index.html?mainTarget=%2FSearchControlledDoc%3FSEARCH_ACTION%3D15%26tab%3D0%26searchMode%3D1%26searchQuery%3Ddocno:%22"&amp;RawData[[#This Row],[Document Number]]&amp;"%22%20%2Bcversion%253A1",RawData[[#This Row],[Document Number]])</f>
        <v>FS1018-AGL-ZZ-00-D-M-5401</v>
      </c>
    </row>
    <row r="61" spans="1:12" x14ac:dyDescent="0.3">
      <c r="A61" s="15" t="s">
        <v>203</v>
      </c>
      <c r="B61" s="15" t="s">
        <v>204</v>
      </c>
      <c r="C61" s="15" t="s">
        <v>10</v>
      </c>
      <c r="D61" s="15" t="s">
        <v>21</v>
      </c>
      <c r="E61" s="8">
        <v>45730</v>
      </c>
      <c r="F61" s="16" t="s">
        <v>12</v>
      </c>
      <c r="G61" s="16" t="s">
        <v>4</v>
      </c>
      <c r="H61" s="8"/>
      <c r="I61" s="16"/>
      <c r="J61" t="b">
        <v>1</v>
      </c>
      <c r="K61" s="15" t="s">
        <v>205</v>
      </c>
      <c r="L61" s="15" t="str">
        <f>HYPERLINK("https://uk1.aconex.co.uk/hub/index.html?mainTarget=%2FSearchControlledDoc%3FSEARCH_ACTION%3D15%26tab%3D0%26searchMode%3D1%26searchQuery%3Ddocno:%22"&amp;RawData[[#This Row],[Document Number]]&amp;"%22%20%2Bcversion%253A1",RawData[[#This Row],[Document Number]])</f>
        <v>FS1018-AGL-ZZ-00-D-M-5410</v>
      </c>
    </row>
    <row r="62" spans="1:12" ht="43.2" x14ac:dyDescent="0.3">
      <c r="A62" s="15" t="s">
        <v>206</v>
      </c>
      <c r="B62" s="15" t="s">
        <v>207</v>
      </c>
      <c r="C62" s="15" t="s">
        <v>14</v>
      </c>
      <c r="D62" s="15" t="s">
        <v>20</v>
      </c>
      <c r="E62" s="8">
        <v>45175</v>
      </c>
      <c r="F62" s="16" t="s">
        <v>175</v>
      </c>
      <c r="G62" s="16" t="s">
        <v>40</v>
      </c>
      <c r="H62" s="8">
        <v>45205</v>
      </c>
      <c r="I62" s="16" t="s">
        <v>208</v>
      </c>
      <c r="J62" t="b">
        <v>0</v>
      </c>
      <c r="K62" s="15" t="s">
        <v>209</v>
      </c>
      <c r="L62" s="15" t="str">
        <f>HYPERLINK("https://uk1.aconex.co.uk/hub/index.html?mainTarget=%2FSearchControlledDoc%3FSEARCH_ACTION%3D15%26tab%3D0%26searchMode%3D1%26searchQuery%3Ddocno:%22"&amp;RawData[[#This Row],[Document Number]]&amp;"%22%20%2Bcversion%253A1",RawData[[#This Row],[Document Number]])</f>
        <v>FS1018-AGL-ZZ-00-D-M-5601</v>
      </c>
    </row>
    <row r="63" spans="1:12" x14ac:dyDescent="0.3">
      <c r="A63" s="15" t="s">
        <v>210</v>
      </c>
      <c r="B63" s="15" t="s">
        <v>211</v>
      </c>
      <c r="C63" s="15" t="s">
        <v>14</v>
      </c>
      <c r="D63" s="15" t="s">
        <v>21</v>
      </c>
      <c r="E63" s="8">
        <v>45730</v>
      </c>
      <c r="F63" s="16" t="s">
        <v>12</v>
      </c>
      <c r="G63" s="16" t="s">
        <v>4</v>
      </c>
      <c r="H63" s="8"/>
      <c r="I63" s="16"/>
      <c r="J63" t="b">
        <v>0</v>
      </c>
      <c r="K63" s="15" t="s">
        <v>212</v>
      </c>
      <c r="L63" s="15" t="str">
        <f>HYPERLINK("https://uk1.aconex.co.uk/hub/index.html?mainTarget=%2FSearchControlledDoc%3FSEARCH_ACTION%3D15%26tab%3D0%26searchMode%3D1%26searchQuery%3Ddocno:%22"&amp;RawData[[#This Row],[Document Number]]&amp;"%22%20%2Bcversion%253A1",RawData[[#This Row],[Document Number]])</f>
        <v>FS1018-AGL-ZZ-00-D-M-5610</v>
      </c>
    </row>
    <row r="64" spans="1:12" x14ac:dyDescent="0.3">
      <c r="A64" s="15" t="s">
        <v>213</v>
      </c>
      <c r="B64" s="15" t="s">
        <v>214</v>
      </c>
      <c r="C64" s="15" t="s">
        <v>14</v>
      </c>
      <c r="D64" s="15" t="s">
        <v>21</v>
      </c>
      <c r="E64" s="8">
        <v>45730</v>
      </c>
      <c r="F64" s="16" t="s">
        <v>12</v>
      </c>
      <c r="G64" s="16" t="s">
        <v>4</v>
      </c>
      <c r="H64" s="8"/>
      <c r="I64" s="16"/>
      <c r="J64" t="b">
        <v>0</v>
      </c>
      <c r="K64" s="15" t="s">
        <v>215</v>
      </c>
      <c r="L64" s="15" t="str">
        <f>HYPERLINK("https://uk1.aconex.co.uk/hub/index.html?mainTarget=%2FSearchControlledDoc%3FSEARCH_ACTION%3D15%26tab%3D0%26searchMode%3D1%26searchQuery%3Ddocno:%22"&amp;RawData[[#This Row],[Document Number]]&amp;"%22%20%2Bcversion%253A1",RawData[[#This Row],[Document Number]])</f>
        <v>FS1018-AGL-ZZ-00-D-M-5611</v>
      </c>
    </row>
    <row r="65" spans="1:12" x14ac:dyDescent="0.3">
      <c r="A65" s="15" t="s">
        <v>216</v>
      </c>
      <c r="B65" s="15" t="s">
        <v>217</v>
      </c>
      <c r="C65" s="15" t="s">
        <v>14</v>
      </c>
      <c r="D65" s="15" t="s">
        <v>21</v>
      </c>
      <c r="E65" s="8">
        <v>45730</v>
      </c>
      <c r="F65" s="16" t="s">
        <v>12</v>
      </c>
      <c r="G65" s="16" t="s">
        <v>4</v>
      </c>
      <c r="H65" s="8"/>
      <c r="I65" s="16"/>
      <c r="J65" t="b">
        <v>0</v>
      </c>
      <c r="K65" s="15" t="s">
        <v>218</v>
      </c>
      <c r="L65" s="15" t="str">
        <f>HYPERLINK("https://uk1.aconex.co.uk/hub/index.html?mainTarget=%2FSearchControlledDoc%3FSEARCH_ACTION%3D15%26tab%3D0%26searchMode%3D1%26searchQuery%3Ddocno:%22"&amp;RawData[[#This Row],[Document Number]]&amp;"%22%20%2Bcversion%253A1",RawData[[#This Row],[Document Number]])</f>
        <v>FS1018-AGL-ZZ-00-D-M-5612</v>
      </c>
    </row>
    <row r="66" spans="1:12" ht="43.2" x14ac:dyDescent="0.3">
      <c r="A66" s="15" t="s">
        <v>219</v>
      </c>
      <c r="B66" s="15" t="s">
        <v>220</v>
      </c>
      <c r="C66" s="15" t="s">
        <v>14</v>
      </c>
      <c r="D66" s="15" t="s">
        <v>20</v>
      </c>
      <c r="E66" s="8">
        <v>45175</v>
      </c>
      <c r="F66" s="16" t="s">
        <v>175</v>
      </c>
      <c r="G66" s="16" t="s">
        <v>40</v>
      </c>
      <c r="H66" s="8">
        <v>45205</v>
      </c>
      <c r="I66" s="16" t="s">
        <v>221</v>
      </c>
      <c r="J66" t="b">
        <v>0</v>
      </c>
      <c r="K66" s="15" t="s">
        <v>222</v>
      </c>
      <c r="L66" s="15" t="str">
        <f>HYPERLINK("https://uk1.aconex.co.uk/hub/index.html?mainTarget=%2FSearchControlledDoc%3FSEARCH_ACTION%3D15%26tab%3D0%26searchMode%3D1%26searchQuery%3Ddocno:%22"&amp;RawData[[#This Row],[Document Number]]&amp;"%22%20%2Bcversion%253A1",RawData[[#This Row],[Document Number]])</f>
        <v>FS1018-AGL-ZZ-00-D-M-5701</v>
      </c>
    </row>
    <row r="67" spans="1:12" x14ac:dyDescent="0.3">
      <c r="A67" s="15" t="s">
        <v>223</v>
      </c>
      <c r="B67" s="15" t="s">
        <v>224</v>
      </c>
      <c r="C67" s="15" t="s">
        <v>10</v>
      </c>
      <c r="D67" s="15" t="s">
        <v>21</v>
      </c>
      <c r="E67" s="8">
        <v>45730</v>
      </c>
      <c r="F67" s="16" t="s">
        <v>12</v>
      </c>
      <c r="G67" s="16" t="s">
        <v>4</v>
      </c>
      <c r="H67" s="8"/>
      <c r="I67" s="16"/>
      <c r="J67" t="b">
        <v>1</v>
      </c>
      <c r="K67" s="15" t="s">
        <v>225</v>
      </c>
      <c r="L67" s="15" t="str">
        <f>HYPERLINK("https://uk1.aconex.co.uk/hub/index.html?mainTarget=%2FSearchControlledDoc%3FSEARCH_ACTION%3D15%26tab%3D0%26searchMode%3D1%26searchQuery%3Ddocno:%22"&amp;RawData[[#This Row],[Document Number]]&amp;"%22%20%2Bcversion%253A1",RawData[[#This Row],[Document Number]])</f>
        <v>FS1018-AGL-ZZ-00-D-M-5710</v>
      </c>
    </row>
    <row r="68" spans="1:12" x14ac:dyDescent="0.3">
      <c r="A68" s="15" t="s">
        <v>226</v>
      </c>
      <c r="B68" s="15" t="s">
        <v>227</v>
      </c>
      <c r="C68" s="15" t="s">
        <v>10</v>
      </c>
      <c r="D68" s="15" t="s">
        <v>21</v>
      </c>
      <c r="E68" s="8">
        <v>45730</v>
      </c>
      <c r="F68" s="16" t="s">
        <v>12</v>
      </c>
      <c r="G68" s="16" t="s">
        <v>4</v>
      </c>
      <c r="H68" s="8"/>
      <c r="I68" s="16"/>
      <c r="J68" t="b">
        <v>1</v>
      </c>
      <c r="K68" s="15" t="s">
        <v>228</v>
      </c>
      <c r="L68" s="15" t="str">
        <f>HYPERLINK("https://uk1.aconex.co.uk/hub/index.html?mainTarget=%2FSearchControlledDoc%3FSEARCH_ACTION%3D15%26tab%3D0%26searchMode%3D1%26searchQuery%3Ddocno:%22"&amp;RawData[[#This Row],[Document Number]]&amp;"%22%20%2Bcversion%253A1",RawData[[#This Row],[Document Number]])</f>
        <v>FS1018-AGL-ZZ-00-D-M-5711</v>
      </c>
    </row>
    <row r="69" spans="1:12" x14ac:dyDescent="0.3">
      <c r="A69" s="15" t="s">
        <v>229</v>
      </c>
      <c r="B69" s="15" t="s">
        <v>230</v>
      </c>
      <c r="C69" s="15" t="s">
        <v>10</v>
      </c>
      <c r="D69" s="15" t="s">
        <v>21</v>
      </c>
      <c r="E69" s="8">
        <v>45730</v>
      </c>
      <c r="F69" s="16" t="s">
        <v>12</v>
      </c>
      <c r="G69" s="16" t="s">
        <v>4</v>
      </c>
      <c r="H69" s="8"/>
      <c r="I69" s="16"/>
      <c r="J69" t="b">
        <v>1</v>
      </c>
      <c r="K69" s="15" t="s">
        <v>231</v>
      </c>
      <c r="L69" s="15" t="str">
        <f>HYPERLINK("https://uk1.aconex.co.uk/hub/index.html?mainTarget=%2FSearchControlledDoc%3FSEARCH_ACTION%3D15%26tab%3D0%26searchMode%3D1%26searchQuery%3Ddocno:%22"&amp;RawData[[#This Row],[Document Number]]&amp;"%22%20%2Bcversion%253A1",RawData[[#This Row],[Document Number]])</f>
        <v>FS1018-AGL-ZZ-00-D-M-5712</v>
      </c>
    </row>
    <row r="70" spans="1:12" x14ac:dyDescent="0.3">
      <c r="A70" s="15" t="s">
        <v>232</v>
      </c>
      <c r="B70" s="15" t="s">
        <v>233</v>
      </c>
      <c r="C70" s="15" t="s">
        <v>14</v>
      </c>
      <c r="D70" s="15" t="s">
        <v>21</v>
      </c>
      <c r="E70" s="8">
        <v>45730</v>
      </c>
      <c r="F70" s="16" t="s">
        <v>12</v>
      </c>
      <c r="G70" s="16" t="s">
        <v>4</v>
      </c>
      <c r="H70" s="8"/>
      <c r="I70" s="16"/>
      <c r="J70" t="b">
        <v>0</v>
      </c>
      <c r="K70" s="15" t="s">
        <v>234</v>
      </c>
      <c r="L70" s="15" t="str">
        <f>HYPERLINK("https://uk1.aconex.co.uk/hub/index.html?mainTarget=%2FSearchControlledDoc%3FSEARCH_ACTION%3D15%26tab%3D0%26searchMode%3D1%26searchQuery%3Ddocno:%22"&amp;RawData[[#This Row],[Document Number]]&amp;"%22%20%2Bcversion%253A1",RawData[[#This Row],[Document Number]])</f>
        <v>FS1018-AGL-ZZ-00-D-M-5810</v>
      </c>
    </row>
    <row r="71" spans="1:12" x14ac:dyDescent="0.3">
      <c r="A71" s="15" t="s">
        <v>235</v>
      </c>
      <c r="B71" s="15" t="s">
        <v>236</v>
      </c>
      <c r="C71" s="15" t="s">
        <v>14</v>
      </c>
      <c r="D71" s="15" t="s">
        <v>21</v>
      </c>
      <c r="E71" s="8">
        <v>45730</v>
      </c>
      <c r="F71" s="16" t="s">
        <v>12</v>
      </c>
      <c r="G71" s="16" t="s">
        <v>4</v>
      </c>
      <c r="H71" s="8"/>
      <c r="I71" s="16"/>
      <c r="J71" t="b">
        <v>0</v>
      </c>
      <c r="K71" s="15" t="s">
        <v>237</v>
      </c>
      <c r="L71" s="15" t="str">
        <f>HYPERLINK("https://uk1.aconex.co.uk/hub/index.html?mainTarget=%2FSearchControlledDoc%3FSEARCH_ACTION%3D15%26tab%3D0%26searchMode%3D1%26searchQuery%3Ddocno:%22"&amp;RawData[[#This Row],[Document Number]]&amp;"%22%20%2Bcversion%253A1",RawData[[#This Row],[Document Number]])</f>
        <v>FS1018-AGL-ZZ-00-D-M-5811</v>
      </c>
    </row>
    <row r="72" spans="1:12" x14ac:dyDescent="0.3">
      <c r="A72" s="15" t="s">
        <v>238</v>
      </c>
      <c r="B72" s="15" t="s">
        <v>239</v>
      </c>
      <c r="C72" s="15" t="s">
        <v>14</v>
      </c>
      <c r="D72" s="15" t="s">
        <v>21</v>
      </c>
      <c r="E72" s="8">
        <v>45730</v>
      </c>
      <c r="F72" s="16" t="s">
        <v>12</v>
      </c>
      <c r="G72" s="16" t="s">
        <v>4</v>
      </c>
      <c r="H72" s="8"/>
      <c r="I72" s="16"/>
      <c r="J72" t="b">
        <v>0</v>
      </c>
      <c r="K72" s="15" t="s">
        <v>240</v>
      </c>
      <c r="L72" s="15" t="str">
        <f>HYPERLINK("https://uk1.aconex.co.uk/hub/index.html?mainTarget=%2FSearchControlledDoc%3FSEARCH_ACTION%3D15%26tab%3D0%26searchMode%3D1%26searchQuery%3Ddocno:%22"&amp;RawData[[#This Row],[Document Number]]&amp;"%22%20%2Bcversion%253A1",RawData[[#This Row],[Document Number]])</f>
        <v>FS1018-AGL-ZZ-00-D-Z-6010</v>
      </c>
    </row>
    <row r="73" spans="1:12" x14ac:dyDescent="0.3">
      <c r="A73" s="15" t="s">
        <v>241</v>
      </c>
      <c r="B73" s="15" t="s">
        <v>242</v>
      </c>
      <c r="C73" s="15" t="s">
        <v>14</v>
      </c>
      <c r="D73" s="15" t="s">
        <v>21</v>
      </c>
      <c r="E73" s="8">
        <v>45730</v>
      </c>
      <c r="F73" s="16" t="s">
        <v>12</v>
      </c>
      <c r="G73" s="16" t="s">
        <v>4</v>
      </c>
      <c r="H73" s="8"/>
      <c r="I73" s="16"/>
      <c r="J73" t="b">
        <v>0</v>
      </c>
      <c r="K73" s="15" t="s">
        <v>243</v>
      </c>
      <c r="L73" s="15" t="str">
        <f>HYPERLINK("https://uk1.aconex.co.uk/hub/index.html?mainTarget=%2FSearchControlledDoc%3FSEARCH_ACTION%3D15%26tab%3D0%26searchMode%3D1%26searchQuery%3Ddocno:%22"&amp;RawData[[#This Row],[Document Number]]&amp;"%22%20%2Bcversion%253A1",RawData[[#This Row],[Document Number]])</f>
        <v>FS1018-AGL-ZZ-00-D-Z-6011</v>
      </c>
    </row>
    <row r="74" spans="1:12" x14ac:dyDescent="0.3">
      <c r="A74" s="15" t="s">
        <v>244</v>
      </c>
      <c r="B74" s="15" t="s">
        <v>245</v>
      </c>
      <c r="C74" s="15" t="s">
        <v>14</v>
      </c>
      <c r="D74" s="15" t="s">
        <v>21</v>
      </c>
      <c r="E74" s="8">
        <v>45730</v>
      </c>
      <c r="F74" s="16" t="s">
        <v>12</v>
      </c>
      <c r="G74" s="16" t="s">
        <v>4</v>
      </c>
      <c r="H74" s="8"/>
      <c r="I74" s="16"/>
      <c r="J74" t="b">
        <v>0</v>
      </c>
      <c r="K74" s="15" t="s">
        <v>246</v>
      </c>
      <c r="L74" s="15" t="str">
        <f>HYPERLINK("https://uk1.aconex.co.uk/hub/index.html?mainTarget=%2FSearchControlledDoc%3FSEARCH_ACTION%3D15%26tab%3D0%26searchMode%3D1%26searchQuery%3Ddocno:%22"&amp;RawData[[#This Row],[Document Number]]&amp;"%22%20%2Bcversion%253A1",RawData[[#This Row],[Document Number]])</f>
        <v>FS1018-AGL-ZZ-00-D-Z-6012</v>
      </c>
    </row>
    <row r="75" spans="1:12" ht="86.4" x14ac:dyDescent="0.3">
      <c r="A75" s="15" t="s">
        <v>247</v>
      </c>
      <c r="B75" s="15" t="s">
        <v>248</v>
      </c>
      <c r="C75" s="15" t="s">
        <v>14</v>
      </c>
      <c r="D75" s="15" t="s">
        <v>20</v>
      </c>
      <c r="E75" s="8">
        <v>45175</v>
      </c>
      <c r="F75" s="16" t="s">
        <v>249</v>
      </c>
      <c r="G75" s="16" t="s">
        <v>40</v>
      </c>
      <c r="H75" s="8">
        <v>45205</v>
      </c>
      <c r="I75" s="16" t="s">
        <v>250</v>
      </c>
      <c r="J75" t="b">
        <v>0</v>
      </c>
      <c r="K75" s="15" t="s">
        <v>251</v>
      </c>
      <c r="L75" s="15" t="str">
        <f>HYPERLINK("https://uk1.aconex.co.uk/hub/index.html?mainTarget=%2FSearchControlledDoc%3FSEARCH_ACTION%3D15%26tab%3D0%26searchMode%3D1%26searchQuery%3Ddocno:%22"&amp;RawData[[#This Row],[Document Number]]&amp;"%22%20%2Bcversion%253A1",RawData[[#This Row],[Document Number]])</f>
        <v>FS1018-AGL-ZZ-00-D-Z-9501</v>
      </c>
    </row>
    <row r="76" spans="1:12" x14ac:dyDescent="0.3">
      <c r="A76" s="15" t="s">
        <v>252</v>
      </c>
      <c r="B76" s="15" t="s">
        <v>253</v>
      </c>
      <c r="C76" s="15" t="s">
        <v>14</v>
      </c>
      <c r="D76" s="15" t="s">
        <v>21</v>
      </c>
      <c r="E76" s="8">
        <v>45730</v>
      </c>
      <c r="F76" s="16" t="s">
        <v>12</v>
      </c>
      <c r="G76" s="16" t="s">
        <v>4</v>
      </c>
      <c r="H76" s="8"/>
      <c r="I76" s="16"/>
      <c r="J76" t="b">
        <v>0</v>
      </c>
      <c r="K76" s="15" t="s">
        <v>254</v>
      </c>
      <c r="L76" s="15" t="str">
        <f>HYPERLINK("https://uk1.aconex.co.uk/hub/index.html?mainTarget=%2FSearchControlledDoc%3FSEARCH_ACTION%3D15%26tab%3D0%26searchMode%3D1%26searchQuery%3Ddocno:%22"&amp;RawData[[#This Row],[Document Number]]&amp;"%22%20%2Bcversion%253A1",RawData[[#This Row],[Document Number]])</f>
        <v>FS1018-AGL-ZZ-00-D-Z-9610</v>
      </c>
    </row>
    <row r="77" spans="1:12" x14ac:dyDescent="0.3">
      <c r="A77" s="15" t="s">
        <v>255</v>
      </c>
      <c r="B77" s="15" t="s">
        <v>256</v>
      </c>
      <c r="C77" s="15" t="s">
        <v>14</v>
      </c>
      <c r="D77" s="15" t="s">
        <v>21</v>
      </c>
      <c r="E77" s="8">
        <v>45730</v>
      </c>
      <c r="F77" s="16" t="s">
        <v>12</v>
      </c>
      <c r="G77" s="16" t="s">
        <v>4</v>
      </c>
      <c r="H77" s="8"/>
      <c r="I77" s="16"/>
      <c r="J77" t="b">
        <v>0</v>
      </c>
      <c r="K77" s="15" t="s">
        <v>257</v>
      </c>
      <c r="L77" s="15" t="str">
        <f>HYPERLINK("https://uk1.aconex.co.uk/hub/index.html?mainTarget=%2FSearchControlledDoc%3FSEARCH_ACTION%3D15%26tab%3D0%26searchMode%3D1%26searchQuery%3Ddocno:%22"&amp;RawData[[#This Row],[Document Number]]&amp;"%22%20%2Bcversion%253A1",RawData[[#This Row],[Document Number]])</f>
        <v>FS1018-AGL-ZZ-00-D-Z-9611</v>
      </c>
    </row>
    <row r="78" spans="1:12" x14ac:dyDescent="0.3">
      <c r="A78" s="15" t="s">
        <v>258</v>
      </c>
      <c r="B78" s="15" t="s">
        <v>259</v>
      </c>
      <c r="C78" s="15" t="s">
        <v>14</v>
      </c>
      <c r="D78" s="15" t="s">
        <v>21</v>
      </c>
      <c r="E78" s="8">
        <v>45730</v>
      </c>
      <c r="F78" s="16" t="s">
        <v>12</v>
      </c>
      <c r="G78" s="16" t="s">
        <v>4</v>
      </c>
      <c r="H78" s="8"/>
      <c r="I78" s="16"/>
      <c r="J78" t="b">
        <v>0</v>
      </c>
      <c r="K78" s="15" t="s">
        <v>260</v>
      </c>
      <c r="L78" s="15" t="str">
        <f>HYPERLINK("https://uk1.aconex.co.uk/hub/index.html?mainTarget=%2FSearchControlledDoc%3FSEARCH_ACTION%3D15%26tab%3D0%26searchMode%3D1%26searchQuery%3Ddocno:%22"&amp;RawData[[#This Row],[Document Number]]&amp;"%22%20%2Bcversion%253A1",RawData[[#This Row],[Document Number]])</f>
        <v>FS1018-AGL-ZZ-00-D-Z-9612</v>
      </c>
    </row>
    <row r="79" spans="1:12" ht="129.6" x14ac:dyDescent="0.3">
      <c r="A79" s="15" t="s">
        <v>261</v>
      </c>
      <c r="B79" s="15" t="s">
        <v>262</v>
      </c>
      <c r="C79" s="15" t="s">
        <v>14</v>
      </c>
      <c r="D79" s="15" t="s">
        <v>20</v>
      </c>
      <c r="E79" s="8">
        <v>45175</v>
      </c>
      <c r="F79" s="16" t="s">
        <v>82</v>
      </c>
      <c r="G79" s="16" t="s">
        <v>40</v>
      </c>
      <c r="H79" s="8">
        <v>45201</v>
      </c>
      <c r="I79" s="16" t="s">
        <v>263</v>
      </c>
      <c r="J79" t="b">
        <v>0</v>
      </c>
      <c r="K79" s="15" t="s">
        <v>264</v>
      </c>
      <c r="L79" s="15" t="str">
        <f>HYPERLINK("https://uk1.aconex.co.uk/hub/index.html?mainTarget=%2FSearchControlledDoc%3FSEARCH_ACTION%3D15%26tab%3D0%26searchMode%3D1%26searchQuery%3Ddocno:%22"&amp;RawData[[#This Row],[Document Number]]&amp;"%22%20%2Bcversion%253A1",RawData[[#This Row],[Document Number]])</f>
        <v>FS1018-AGL-ZZ-01-D-E-6101</v>
      </c>
    </row>
    <row r="80" spans="1:12" x14ac:dyDescent="0.3">
      <c r="A80" s="15" t="s">
        <v>265</v>
      </c>
      <c r="B80" s="15" t="s">
        <v>266</v>
      </c>
      <c r="C80" s="15" t="s">
        <v>14</v>
      </c>
      <c r="D80" s="15" t="s">
        <v>21</v>
      </c>
      <c r="E80" s="8">
        <v>45730</v>
      </c>
      <c r="F80" s="16" t="s">
        <v>12</v>
      </c>
      <c r="G80" s="16" t="s">
        <v>4</v>
      </c>
      <c r="H80" s="8"/>
      <c r="I80" s="16"/>
      <c r="J80" t="b">
        <v>0</v>
      </c>
      <c r="K80" s="15" t="s">
        <v>267</v>
      </c>
      <c r="L80" s="15" t="str">
        <f>HYPERLINK("https://uk1.aconex.co.uk/hub/index.html?mainTarget=%2FSearchControlledDoc%3FSEARCH_ACTION%3D15%26tab%3D0%26searchMode%3D1%26searchQuery%3Ddocno:%22"&amp;RawData[[#This Row],[Document Number]]&amp;"%22%20%2Bcversion%253A1",RawData[[#This Row],[Document Number]])</f>
        <v>FS1018-AGL-ZZ-01-D-E-6110</v>
      </c>
    </row>
    <row r="81" spans="1:12" x14ac:dyDescent="0.3">
      <c r="A81" s="15" t="s">
        <v>268</v>
      </c>
      <c r="B81" s="15" t="s">
        <v>269</v>
      </c>
      <c r="C81" s="15" t="s">
        <v>14</v>
      </c>
      <c r="D81" s="15" t="s">
        <v>21</v>
      </c>
      <c r="E81" s="8">
        <v>45730</v>
      </c>
      <c r="F81" s="16" t="s">
        <v>12</v>
      </c>
      <c r="G81" s="16" t="s">
        <v>4</v>
      </c>
      <c r="H81" s="8"/>
      <c r="I81" s="16"/>
      <c r="J81" t="b">
        <v>0</v>
      </c>
      <c r="K81" s="15" t="s">
        <v>270</v>
      </c>
      <c r="L81" s="15" t="str">
        <f>HYPERLINK("https://uk1.aconex.co.uk/hub/index.html?mainTarget=%2FSearchControlledDoc%3FSEARCH_ACTION%3D15%26tab%3D0%26searchMode%3D1%26searchQuery%3Ddocno:%22"&amp;RawData[[#This Row],[Document Number]]&amp;"%22%20%2Bcversion%253A1",RawData[[#This Row],[Document Number]])</f>
        <v>FS1018-AGL-ZZ-01-D-E-6111</v>
      </c>
    </row>
    <row r="82" spans="1:12" x14ac:dyDescent="0.3">
      <c r="A82" s="15" t="s">
        <v>271</v>
      </c>
      <c r="B82" s="15" t="s">
        <v>272</v>
      </c>
      <c r="C82" s="15" t="s">
        <v>14</v>
      </c>
      <c r="D82" s="15" t="s">
        <v>21</v>
      </c>
      <c r="E82" s="8">
        <v>45730</v>
      </c>
      <c r="F82" s="16" t="s">
        <v>12</v>
      </c>
      <c r="G82" s="16" t="s">
        <v>4</v>
      </c>
      <c r="H82" s="8"/>
      <c r="I82" s="16"/>
      <c r="J82" t="b">
        <v>0</v>
      </c>
      <c r="K82" s="15" t="s">
        <v>273</v>
      </c>
      <c r="L82" s="15" t="str">
        <f>HYPERLINK("https://uk1.aconex.co.uk/hub/index.html?mainTarget=%2FSearchControlledDoc%3FSEARCH_ACTION%3D15%26tab%3D0%26searchMode%3D1%26searchQuery%3Ddocno:%22"&amp;RawData[[#This Row],[Document Number]]&amp;"%22%20%2Bcversion%253A1",RawData[[#This Row],[Document Number]])</f>
        <v>FS1018-AGL-ZZ-01-D-E-6210</v>
      </c>
    </row>
    <row r="83" spans="1:12" x14ac:dyDescent="0.3">
      <c r="A83" s="15" t="s">
        <v>274</v>
      </c>
      <c r="B83" s="15" t="s">
        <v>275</v>
      </c>
      <c r="C83" s="15" t="s">
        <v>14</v>
      </c>
      <c r="D83" s="15" t="s">
        <v>21</v>
      </c>
      <c r="E83" s="8">
        <v>45730</v>
      </c>
      <c r="F83" s="16" t="s">
        <v>12</v>
      </c>
      <c r="G83" s="16" t="s">
        <v>4</v>
      </c>
      <c r="H83" s="8"/>
      <c r="I83" s="16"/>
      <c r="J83" t="b">
        <v>0</v>
      </c>
      <c r="K83" s="15" t="s">
        <v>276</v>
      </c>
      <c r="L83" s="15" t="str">
        <f>HYPERLINK("https://uk1.aconex.co.uk/hub/index.html?mainTarget=%2FSearchControlledDoc%3FSEARCH_ACTION%3D15%26tab%3D0%26searchMode%3D1%26searchQuery%3Ddocno:%22"&amp;RawData[[#This Row],[Document Number]]&amp;"%22%20%2Bcversion%253A1",RawData[[#This Row],[Document Number]])</f>
        <v>FS1018-AGL-ZZ-01-D-E-6211</v>
      </c>
    </row>
    <row r="84" spans="1:12" x14ac:dyDescent="0.3">
      <c r="A84" s="15" t="s">
        <v>277</v>
      </c>
      <c r="B84" s="15" t="s">
        <v>278</v>
      </c>
      <c r="C84" s="15" t="s">
        <v>14</v>
      </c>
      <c r="D84" s="15" t="s">
        <v>21</v>
      </c>
      <c r="E84" s="8">
        <v>45730</v>
      </c>
      <c r="F84" s="16" t="s">
        <v>12</v>
      </c>
      <c r="G84" s="16" t="s">
        <v>4</v>
      </c>
      <c r="H84" s="8"/>
      <c r="I84" s="16"/>
      <c r="J84" t="b">
        <v>0</v>
      </c>
      <c r="K84" s="15" t="s">
        <v>279</v>
      </c>
      <c r="L84" s="15" t="str">
        <f>HYPERLINK("https://uk1.aconex.co.uk/hub/index.html?mainTarget=%2FSearchControlledDoc%3FSEARCH_ACTION%3D15%26tab%3D0%26searchMode%3D1%26searchQuery%3Ddocno:%22"&amp;RawData[[#This Row],[Document Number]]&amp;"%22%20%2Bcversion%253A1",RawData[[#This Row],[Document Number]])</f>
        <v>FS1018-AGL-ZZ-01-D-E-6212</v>
      </c>
    </row>
    <row r="85" spans="1:12" x14ac:dyDescent="0.3">
      <c r="A85" s="15" t="s">
        <v>280</v>
      </c>
      <c r="B85" s="15" t="s">
        <v>281</v>
      </c>
      <c r="C85" s="15" t="s">
        <v>14</v>
      </c>
      <c r="D85" s="15" t="s">
        <v>21</v>
      </c>
      <c r="E85" s="8">
        <v>45730</v>
      </c>
      <c r="F85" s="16" t="s">
        <v>12</v>
      </c>
      <c r="G85" s="16" t="s">
        <v>4</v>
      </c>
      <c r="H85" s="8"/>
      <c r="I85" s="16"/>
      <c r="J85" t="b">
        <v>0</v>
      </c>
      <c r="K85" s="15" t="s">
        <v>282</v>
      </c>
      <c r="L85" s="15" t="str">
        <f>HYPERLINK("https://uk1.aconex.co.uk/hub/index.html?mainTarget=%2FSearchControlledDoc%3FSEARCH_ACTION%3D15%26tab%3D0%26searchMode%3D1%26searchQuery%3Ddocno:%22"&amp;RawData[[#This Row],[Document Number]]&amp;"%22%20%2Bcversion%253A1",RawData[[#This Row],[Document Number]])</f>
        <v>FS1018-AGL-ZZ-01-D-E-6213</v>
      </c>
    </row>
    <row r="86" spans="1:12" ht="43.2" x14ac:dyDescent="0.3">
      <c r="A86" s="15" t="s">
        <v>283</v>
      </c>
      <c r="B86" s="15" t="s">
        <v>284</v>
      </c>
      <c r="C86" s="15" t="s">
        <v>14</v>
      </c>
      <c r="D86" s="15" t="s">
        <v>20</v>
      </c>
      <c r="E86" s="8">
        <v>45175</v>
      </c>
      <c r="F86" s="16" t="s">
        <v>82</v>
      </c>
      <c r="G86" s="16" t="s">
        <v>40</v>
      </c>
      <c r="H86" s="8">
        <v>45201</v>
      </c>
      <c r="I86" s="16" t="s">
        <v>285</v>
      </c>
      <c r="J86" t="b">
        <v>0</v>
      </c>
      <c r="K86" s="15" t="s">
        <v>286</v>
      </c>
      <c r="L86" s="15" t="str">
        <f>HYPERLINK("https://uk1.aconex.co.uk/hub/index.html?mainTarget=%2FSearchControlledDoc%3FSEARCH_ACTION%3D15%26tab%3D0%26searchMode%3D1%26searchQuery%3Ddocno:%22"&amp;RawData[[#This Row],[Document Number]]&amp;"%22%20%2Bcversion%253A1",RawData[[#This Row],[Document Number]])</f>
        <v>FS1018-AGL-ZZ-01-D-E-6301</v>
      </c>
    </row>
    <row r="87" spans="1:12" x14ac:dyDescent="0.3">
      <c r="A87" s="15" t="s">
        <v>287</v>
      </c>
      <c r="B87" s="15" t="s">
        <v>288</v>
      </c>
      <c r="C87" s="15" t="s">
        <v>14</v>
      </c>
      <c r="D87" s="15" t="s">
        <v>20</v>
      </c>
      <c r="E87" s="8">
        <v>45175</v>
      </c>
      <c r="F87" s="16" t="s">
        <v>82</v>
      </c>
      <c r="G87" s="16" t="s">
        <v>34</v>
      </c>
      <c r="H87" s="8">
        <v>45201</v>
      </c>
      <c r="I87" s="16"/>
      <c r="J87" t="b">
        <v>0</v>
      </c>
      <c r="K87" s="15" t="s">
        <v>289</v>
      </c>
      <c r="L87" s="15" t="str">
        <f>HYPERLINK("https://uk1.aconex.co.uk/hub/index.html?mainTarget=%2FSearchControlledDoc%3FSEARCH_ACTION%3D15%26tab%3D0%26searchMode%3D1%26searchQuery%3Ddocno:%22"&amp;RawData[[#This Row],[Document Number]]&amp;"%22%20%2Bcversion%253A1",RawData[[#This Row],[Document Number]])</f>
        <v>FS1018-AGL-ZZ-01-D-E-6302</v>
      </c>
    </row>
    <row r="88" spans="1:12" x14ac:dyDescent="0.3">
      <c r="A88" s="15" t="s">
        <v>290</v>
      </c>
      <c r="B88" s="15" t="s">
        <v>291</v>
      </c>
      <c r="C88" s="15" t="s">
        <v>14</v>
      </c>
      <c r="D88" s="15" t="s">
        <v>21</v>
      </c>
      <c r="E88" s="8">
        <v>45730</v>
      </c>
      <c r="F88" s="16" t="s">
        <v>12</v>
      </c>
      <c r="G88" s="16" t="s">
        <v>4</v>
      </c>
      <c r="H88" s="8"/>
      <c r="I88" s="16"/>
      <c r="J88" t="b">
        <v>0</v>
      </c>
      <c r="K88" s="15" t="s">
        <v>292</v>
      </c>
      <c r="L88" s="15" t="str">
        <f>HYPERLINK("https://uk1.aconex.co.uk/hub/index.html?mainTarget=%2FSearchControlledDoc%3FSEARCH_ACTION%3D15%26tab%3D0%26searchMode%3D1%26searchQuery%3Ddocno:%22"&amp;RawData[[#This Row],[Document Number]]&amp;"%22%20%2Bcversion%253A1",RawData[[#This Row],[Document Number]])</f>
        <v>FS1018-AGL-ZZ-01-D-E-6310</v>
      </c>
    </row>
    <row r="89" spans="1:12" x14ac:dyDescent="0.3">
      <c r="A89" s="15" t="s">
        <v>293</v>
      </c>
      <c r="B89" s="15" t="s">
        <v>294</v>
      </c>
      <c r="C89" s="15" t="s">
        <v>14</v>
      </c>
      <c r="D89" s="15" t="s">
        <v>21</v>
      </c>
      <c r="E89" s="8">
        <v>45730</v>
      </c>
      <c r="F89" s="16" t="s">
        <v>12</v>
      </c>
      <c r="G89" s="16" t="s">
        <v>4</v>
      </c>
      <c r="H89" s="8"/>
      <c r="I89" s="16"/>
      <c r="J89" t="b">
        <v>0</v>
      </c>
      <c r="K89" s="15" t="s">
        <v>295</v>
      </c>
      <c r="L89" s="15" t="str">
        <f>HYPERLINK("https://uk1.aconex.co.uk/hub/index.html?mainTarget=%2FSearchControlledDoc%3FSEARCH_ACTION%3D15%26tab%3D0%26searchMode%3D1%26searchQuery%3Ddocno:%22"&amp;RawData[[#This Row],[Document Number]]&amp;"%22%20%2Bcversion%253A1",RawData[[#This Row],[Document Number]])</f>
        <v>FS1018-AGL-ZZ-01-D-E-6311</v>
      </c>
    </row>
    <row r="90" spans="1:12" ht="43.2" x14ac:dyDescent="0.3">
      <c r="A90" s="15" t="s">
        <v>296</v>
      </c>
      <c r="B90" s="15" t="s">
        <v>297</v>
      </c>
      <c r="C90" s="15" t="s">
        <v>14</v>
      </c>
      <c r="D90" s="15" t="s">
        <v>20</v>
      </c>
      <c r="E90" s="8">
        <v>45175</v>
      </c>
      <c r="F90" s="16" t="s">
        <v>82</v>
      </c>
      <c r="G90" s="16" t="s">
        <v>40</v>
      </c>
      <c r="H90" s="8">
        <v>45201</v>
      </c>
      <c r="I90" s="16" t="s">
        <v>298</v>
      </c>
      <c r="J90" t="b">
        <v>0</v>
      </c>
      <c r="K90" s="15" t="s">
        <v>299</v>
      </c>
      <c r="L90" s="15" t="str">
        <f>HYPERLINK("https://uk1.aconex.co.uk/hub/index.html?mainTarget=%2FSearchControlledDoc%3FSEARCH_ACTION%3D15%26tab%3D0%26searchMode%3D1%26searchQuery%3Ddocno:%22"&amp;RawData[[#This Row],[Document Number]]&amp;"%22%20%2Bcversion%253A1",RawData[[#This Row],[Document Number]])</f>
        <v>FS1018-AGL-ZZ-01-D-E-6801</v>
      </c>
    </row>
    <row r="91" spans="1:12" x14ac:dyDescent="0.3">
      <c r="A91" s="15" t="s">
        <v>300</v>
      </c>
      <c r="B91" s="15" t="s">
        <v>301</v>
      </c>
      <c r="C91" s="15" t="s">
        <v>14</v>
      </c>
      <c r="D91" s="15" t="s">
        <v>20</v>
      </c>
      <c r="E91" s="8">
        <v>45175</v>
      </c>
      <c r="F91" s="16" t="s">
        <v>82</v>
      </c>
      <c r="G91" s="16" t="s">
        <v>34</v>
      </c>
      <c r="H91" s="8">
        <v>45201</v>
      </c>
      <c r="I91" s="16"/>
      <c r="J91" t="b">
        <v>0</v>
      </c>
      <c r="K91" s="15" t="s">
        <v>302</v>
      </c>
      <c r="L91" s="15" t="str">
        <f>HYPERLINK("https://uk1.aconex.co.uk/hub/index.html?mainTarget=%2FSearchControlledDoc%3FSEARCH_ACTION%3D15%26tab%3D0%26searchMode%3D1%26searchQuery%3Ddocno:%22"&amp;RawData[[#This Row],[Document Number]]&amp;"%22%20%2Bcversion%253A1",RawData[[#This Row],[Document Number]])</f>
        <v>FS1018-AGL-ZZ-01-D-E-6802</v>
      </c>
    </row>
    <row r="92" spans="1:12" ht="158.4" x14ac:dyDescent="0.3">
      <c r="A92" s="15" t="s">
        <v>303</v>
      </c>
      <c r="B92" s="15" t="s">
        <v>304</v>
      </c>
      <c r="C92" s="15" t="s">
        <v>14</v>
      </c>
      <c r="D92" s="15" t="s">
        <v>20</v>
      </c>
      <c r="E92" s="8">
        <v>45175</v>
      </c>
      <c r="F92" s="16" t="s">
        <v>82</v>
      </c>
      <c r="G92" s="16" t="s">
        <v>40</v>
      </c>
      <c r="H92" s="8">
        <v>45201</v>
      </c>
      <c r="I92" s="16" t="s">
        <v>141</v>
      </c>
      <c r="J92" t="b">
        <v>0</v>
      </c>
      <c r="K92" s="15" t="s">
        <v>305</v>
      </c>
      <c r="L92" s="15" t="str">
        <f>HYPERLINK("https://uk1.aconex.co.uk/hub/index.html?mainTarget=%2FSearchControlledDoc%3FSEARCH_ACTION%3D15%26tab%3D0%26searchMode%3D1%26searchQuery%3Ddocno:%22"&amp;RawData[[#This Row],[Document Number]]&amp;"%22%20%2Bcversion%253A1",RawData[[#This Row],[Document Number]])</f>
        <v>FS1018-AGL-ZZ-01-D-E-6803</v>
      </c>
    </row>
    <row r="93" spans="1:12" x14ac:dyDescent="0.3">
      <c r="A93" s="15" t="s">
        <v>306</v>
      </c>
      <c r="B93" s="15" t="s">
        <v>307</v>
      </c>
      <c r="C93" s="15" t="s">
        <v>14</v>
      </c>
      <c r="D93" s="15" t="s">
        <v>21</v>
      </c>
      <c r="E93" s="8">
        <v>45730</v>
      </c>
      <c r="F93" s="16" t="s">
        <v>12</v>
      </c>
      <c r="G93" s="16" t="s">
        <v>4</v>
      </c>
      <c r="H93" s="8"/>
      <c r="I93" s="16"/>
      <c r="J93" t="b">
        <v>0</v>
      </c>
      <c r="K93" s="15" t="s">
        <v>308</v>
      </c>
      <c r="L93" s="15" t="str">
        <f>HYPERLINK("https://uk1.aconex.co.uk/hub/index.html?mainTarget=%2FSearchControlledDoc%3FSEARCH_ACTION%3D15%26tab%3D0%26searchMode%3D1%26searchQuery%3Ddocno:%22"&amp;RawData[[#This Row],[Document Number]]&amp;"%22%20%2Bcversion%253A1",RawData[[#This Row],[Document Number]])</f>
        <v>FS1018-AGL-ZZ-01-D-E-6810</v>
      </c>
    </row>
    <row r="94" spans="1:12" x14ac:dyDescent="0.3">
      <c r="A94" s="15" t="s">
        <v>309</v>
      </c>
      <c r="B94" s="15" t="s">
        <v>310</v>
      </c>
      <c r="C94" s="15" t="s">
        <v>14</v>
      </c>
      <c r="D94" s="15" t="s">
        <v>21</v>
      </c>
      <c r="E94" s="8">
        <v>45730</v>
      </c>
      <c r="F94" s="16" t="s">
        <v>12</v>
      </c>
      <c r="G94" s="16" t="s">
        <v>4</v>
      </c>
      <c r="H94" s="8"/>
      <c r="I94" s="16"/>
      <c r="J94" t="b">
        <v>0</v>
      </c>
      <c r="K94" s="15" t="s">
        <v>311</v>
      </c>
      <c r="L94" s="15" t="str">
        <f>HYPERLINK("https://uk1.aconex.co.uk/hub/index.html?mainTarget=%2FSearchControlledDoc%3FSEARCH_ACTION%3D15%26tab%3D0%26searchMode%3D1%26searchQuery%3Ddocno:%22"&amp;RawData[[#This Row],[Document Number]]&amp;"%22%20%2Bcversion%253A1",RawData[[#This Row],[Document Number]])</f>
        <v>FS1018-AGL-ZZ-01-D-E-6811</v>
      </c>
    </row>
    <row r="95" spans="1:12" x14ac:dyDescent="0.3">
      <c r="A95" s="15" t="s">
        <v>312</v>
      </c>
      <c r="B95" s="15" t="s">
        <v>313</v>
      </c>
      <c r="C95" s="15" t="s">
        <v>14</v>
      </c>
      <c r="D95" s="15" t="s">
        <v>21</v>
      </c>
      <c r="E95" s="8">
        <v>45730</v>
      </c>
      <c r="F95" s="16" t="s">
        <v>12</v>
      </c>
      <c r="G95" s="16" t="s">
        <v>4</v>
      </c>
      <c r="H95" s="8"/>
      <c r="I95" s="16"/>
      <c r="J95" t="b">
        <v>0</v>
      </c>
      <c r="K95" s="15" t="s">
        <v>314</v>
      </c>
      <c r="L95" s="15" t="str">
        <f>HYPERLINK("https://uk1.aconex.co.uk/hub/index.html?mainTarget=%2FSearchControlledDoc%3FSEARCH_ACTION%3D15%26tab%3D0%26searchMode%3D1%26searchQuery%3Ddocno:%22"&amp;RawData[[#This Row],[Document Number]]&amp;"%22%20%2Bcversion%253A1",RawData[[#This Row],[Document Number]])</f>
        <v>FS1018-AGL-ZZ-01-D-E-6820</v>
      </c>
    </row>
    <row r="96" spans="1:12" x14ac:dyDescent="0.3">
      <c r="A96" s="15" t="s">
        <v>315</v>
      </c>
      <c r="B96" s="15" t="s">
        <v>316</v>
      </c>
      <c r="C96" s="15" t="s">
        <v>14</v>
      </c>
      <c r="D96" s="15" t="s">
        <v>21</v>
      </c>
      <c r="E96" s="8">
        <v>45730</v>
      </c>
      <c r="F96" s="16" t="s">
        <v>12</v>
      </c>
      <c r="G96" s="16" t="s">
        <v>4</v>
      </c>
      <c r="H96" s="8"/>
      <c r="I96" s="16"/>
      <c r="J96" t="b">
        <v>0</v>
      </c>
      <c r="K96" s="15" t="s">
        <v>317</v>
      </c>
      <c r="L96" s="15" t="str">
        <f>HYPERLINK("https://uk1.aconex.co.uk/hub/index.html?mainTarget=%2FSearchControlledDoc%3FSEARCH_ACTION%3D15%26tab%3D0%26searchMode%3D1%26searchQuery%3Ddocno:%22"&amp;RawData[[#This Row],[Document Number]]&amp;"%22%20%2Bcversion%253A1",RawData[[#This Row],[Document Number]])</f>
        <v>FS1018-AGL-ZZ-01-D-E-6821</v>
      </c>
    </row>
    <row r="97" spans="1:12" x14ac:dyDescent="0.3">
      <c r="A97" s="15" t="s">
        <v>318</v>
      </c>
      <c r="B97" s="15" t="s">
        <v>319</v>
      </c>
      <c r="C97" s="15" t="s">
        <v>14</v>
      </c>
      <c r="D97" s="15" t="s">
        <v>21</v>
      </c>
      <c r="E97" s="8">
        <v>45730</v>
      </c>
      <c r="F97" s="16" t="s">
        <v>12</v>
      </c>
      <c r="G97" s="16" t="s">
        <v>4</v>
      </c>
      <c r="H97" s="8"/>
      <c r="I97" s="16"/>
      <c r="J97" t="b">
        <v>0</v>
      </c>
      <c r="K97" s="15" t="s">
        <v>320</v>
      </c>
      <c r="L97" s="15" t="str">
        <f>HYPERLINK("https://uk1.aconex.co.uk/hub/index.html?mainTarget=%2FSearchControlledDoc%3FSEARCH_ACTION%3D15%26tab%3D0%26searchMode%3D1%26searchQuery%3Ddocno:%22"&amp;RawData[[#This Row],[Document Number]]&amp;"%22%20%2Bcversion%253A1",RawData[[#This Row],[Document Number]])</f>
        <v>FS1018-AGL-ZZ-01-D-E-6840</v>
      </c>
    </row>
    <row r="98" spans="1:12" x14ac:dyDescent="0.3">
      <c r="A98" s="15" t="s">
        <v>321</v>
      </c>
      <c r="B98" s="15" t="s">
        <v>322</v>
      </c>
      <c r="C98" s="15" t="s">
        <v>14</v>
      </c>
      <c r="D98" s="15" t="s">
        <v>21</v>
      </c>
      <c r="E98" s="8">
        <v>45730</v>
      </c>
      <c r="F98" s="16" t="s">
        <v>12</v>
      </c>
      <c r="G98" s="16" t="s">
        <v>4</v>
      </c>
      <c r="H98" s="8"/>
      <c r="I98" s="16"/>
      <c r="J98" t="b">
        <v>0</v>
      </c>
      <c r="K98" s="15" t="s">
        <v>323</v>
      </c>
      <c r="L98" s="15" t="str">
        <f>HYPERLINK("https://uk1.aconex.co.uk/hub/index.html?mainTarget=%2FSearchControlledDoc%3FSEARCH_ACTION%3D15%26tab%3D0%26searchMode%3D1%26searchQuery%3Ddocno:%22"&amp;RawData[[#This Row],[Document Number]]&amp;"%22%20%2Bcversion%253A1",RawData[[#This Row],[Document Number]])</f>
        <v>FS1018-AGL-ZZ-01-D-E-6841</v>
      </c>
    </row>
    <row r="99" spans="1:12" ht="43.2" x14ac:dyDescent="0.3">
      <c r="A99" s="15" t="s">
        <v>324</v>
      </c>
      <c r="B99" s="15" t="s">
        <v>325</v>
      </c>
      <c r="C99" s="15" t="s">
        <v>14</v>
      </c>
      <c r="D99" s="15" t="s">
        <v>20</v>
      </c>
      <c r="E99" s="8">
        <v>45175</v>
      </c>
      <c r="F99" s="16" t="s">
        <v>175</v>
      </c>
      <c r="G99" s="16" t="s">
        <v>40</v>
      </c>
      <c r="H99" s="8">
        <v>45198</v>
      </c>
      <c r="I99" s="16" t="s">
        <v>176</v>
      </c>
      <c r="J99" t="b">
        <v>0</v>
      </c>
      <c r="K99" s="15" t="s">
        <v>326</v>
      </c>
      <c r="L99" s="15" t="str">
        <f>HYPERLINK("https://uk1.aconex.co.uk/hub/index.html?mainTarget=%2FSearchControlledDoc%3FSEARCH_ACTION%3D15%26tab%3D0%26searchMode%3D1%26searchQuery%3Ddocno:%22"&amp;RawData[[#This Row],[Document Number]]&amp;"%22%20%2Bcversion%253A1",RawData[[#This Row],[Document Number]])</f>
        <v>FS1018-AGL-ZZ-01-D-M-5201</v>
      </c>
    </row>
    <row r="100" spans="1:12" x14ac:dyDescent="0.3">
      <c r="A100" s="15" t="s">
        <v>327</v>
      </c>
      <c r="B100" s="15" t="s">
        <v>328</v>
      </c>
      <c r="C100" s="15" t="s">
        <v>10</v>
      </c>
      <c r="D100" s="15" t="s">
        <v>21</v>
      </c>
      <c r="E100" s="8">
        <v>45730</v>
      </c>
      <c r="F100" s="16" t="s">
        <v>12</v>
      </c>
      <c r="G100" s="16" t="s">
        <v>4</v>
      </c>
      <c r="H100" s="8"/>
      <c r="I100" s="16"/>
      <c r="J100" t="b">
        <v>1</v>
      </c>
      <c r="K100" s="15" t="s">
        <v>329</v>
      </c>
      <c r="L100" s="15" t="str">
        <f>HYPERLINK("https://uk1.aconex.co.uk/hub/index.html?mainTarget=%2FSearchControlledDoc%3FSEARCH_ACTION%3D15%26tab%3D0%26searchMode%3D1%26searchQuery%3Ddocno:%22"&amp;RawData[[#This Row],[Document Number]]&amp;"%22%20%2Bcversion%253A1",RawData[[#This Row],[Document Number]])</f>
        <v>FS1018-AGL-ZZ-01-D-M-5210</v>
      </c>
    </row>
    <row r="101" spans="1:12" x14ac:dyDescent="0.3">
      <c r="A101" s="15" t="s">
        <v>330</v>
      </c>
      <c r="B101" s="15" t="s">
        <v>331</v>
      </c>
      <c r="C101" s="15" t="s">
        <v>10</v>
      </c>
      <c r="D101" s="15" t="s">
        <v>21</v>
      </c>
      <c r="E101" s="8">
        <v>45730</v>
      </c>
      <c r="F101" s="16" t="s">
        <v>12</v>
      </c>
      <c r="G101" s="16" t="s">
        <v>4</v>
      </c>
      <c r="H101" s="8"/>
      <c r="I101" s="16"/>
      <c r="J101" t="b">
        <v>1</v>
      </c>
      <c r="K101" s="15" t="s">
        <v>332</v>
      </c>
      <c r="L101" s="15" t="str">
        <f>HYPERLINK("https://uk1.aconex.co.uk/hub/index.html?mainTarget=%2FSearchControlledDoc%3FSEARCH_ACTION%3D15%26tab%3D0%26searchMode%3D1%26searchQuery%3Ddocno:%22"&amp;RawData[[#This Row],[Document Number]]&amp;"%22%20%2Bcversion%253A1",RawData[[#This Row],[Document Number]])</f>
        <v>FS1018-AGL-ZZ-01-D-M-5211</v>
      </c>
    </row>
    <row r="102" spans="1:12" ht="43.2" x14ac:dyDescent="0.3">
      <c r="A102" s="15" t="s">
        <v>333</v>
      </c>
      <c r="B102" s="15" t="s">
        <v>334</v>
      </c>
      <c r="C102" s="15" t="s">
        <v>14</v>
      </c>
      <c r="D102" s="15" t="s">
        <v>20</v>
      </c>
      <c r="E102" s="8">
        <v>45175</v>
      </c>
      <c r="F102" s="16" t="s">
        <v>175</v>
      </c>
      <c r="G102" s="16" t="s">
        <v>40</v>
      </c>
      <c r="H102" s="8">
        <v>45198</v>
      </c>
      <c r="I102" s="16" t="s">
        <v>176</v>
      </c>
      <c r="J102" t="b">
        <v>0</v>
      </c>
      <c r="K102" s="15" t="s">
        <v>335</v>
      </c>
      <c r="L102" s="15" t="str">
        <f>HYPERLINK("https://uk1.aconex.co.uk/hub/index.html?mainTarget=%2FSearchControlledDoc%3FSEARCH_ACTION%3D15%26tab%3D0%26searchMode%3D1%26searchQuery%3Ddocno:%22"&amp;RawData[[#This Row],[Document Number]]&amp;"%22%20%2Bcversion%253A1",RawData[[#This Row],[Document Number]])</f>
        <v>FS1018-AGL-ZZ-01-D-M-5301</v>
      </c>
    </row>
    <row r="103" spans="1:12" x14ac:dyDescent="0.3">
      <c r="A103" s="15" t="s">
        <v>336</v>
      </c>
      <c r="B103" s="15" t="s">
        <v>337</v>
      </c>
      <c r="C103" s="15" t="s">
        <v>10</v>
      </c>
      <c r="D103" s="15" t="s">
        <v>21</v>
      </c>
      <c r="E103" s="8">
        <v>45730</v>
      </c>
      <c r="F103" s="16" t="s">
        <v>12</v>
      </c>
      <c r="G103" s="16" t="s">
        <v>4</v>
      </c>
      <c r="H103" s="8"/>
      <c r="I103" s="16"/>
      <c r="J103" t="b">
        <v>1</v>
      </c>
      <c r="K103" s="15" t="s">
        <v>338</v>
      </c>
      <c r="L103" s="15" t="str">
        <f>HYPERLINK("https://uk1.aconex.co.uk/hub/index.html?mainTarget=%2FSearchControlledDoc%3FSEARCH_ACTION%3D15%26tab%3D0%26searchMode%3D1%26searchQuery%3Ddocno:%22"&amp;RawData[[#This Row],[Document Number]]&amp;"%22%20%2Bcversion%253A1",RawData[[#This Row],[Document Number]])</f>
        <v>FS1018-AGL-ZZ-01-D-M-5310</v>
      </c>
    </row>
    <row r="104" spans="1:12" x14ac:dyDescent="0.3">
      <c r="A104" s="15" t="s">
        <v>339</v>
      </c>
      <c r="B104" s="15" t="s">
        <v>340</v>
      </c>
      <c r="C104" s="15" t="s">
        <v>10</v>
      </c>
      <c r="D104" s="15" t="s">
        <v>21</v>
      </c>
      <c r="E104" s="8">
        <v>45730</v>
      </c>
      <c r="F104" s="16" t="s">
        <v>12</v>
      </c>
      <c r="G104" s="16" t="s">
        <v>4</v>
      </c>
      <c r="H104" s="8"/>
      <c r="I104" s="16"/>
      <c r="J104" t="b">
        <v>1</v>
      </c>
      <c r="K104" s="15" t="s">
        <v>341</v>
      </c>
      <c r="L104" s="15" t="str">
        <f>HYPERLINK("https://uk1.aconex.co.uk/hub/index.html?mainTarget=%2FSearchControlledDoc%3FSEARCH_ACTION%3D15%26tab%3D0%26searchMode%3D1%26searchQuery%3Ddocno:%22"&amp;RawData[[#This Row],[Document Number]]&amp;"%22%20%2Bcversion%253A1",RawData[[#This Row],[Document Number]])</f>
        <v>FS1018-AGL-ZZ-01-D-M-5311</v>
      </c>
    </row>
    <row r="105" spans="1:12" ht="43.2" x14ac:dyDescent="0.3">
      <c r="A105" s="15" t="s">
        <v>342</v>
      </c>
      <c r="B105" s="15" t="s">
        <v>343</v>
      </c>
      <c r="C105" s="15" t="s">
        <v>14</v>
      </c>
      <c r="D105" s="15" t="s">
        <v>20</v>
      </c>
      <c r="E105" s="8">
        <v>45175</v>
      </c>
      <c r="F105" s="16" t="s">
        <v>175</v>
      </c>
      <c r="G105" s="16" t="s">
        <v>40</v>
      </c>
      <c r="H105" s="8">
        <v>45205</v>
      </c>
      <c r="I105" s="16" t="s">
        <v>201</v>
      </c>
      <c r="J105" t="b">
        <v>0</v>
      </c>
      <c r="K105" s="15" t="s">
        <v>344</v>
      </c>
      <c r="L105" s="15" t="str">
        <f>HYPERLINK("https://uk1.aconex.co.uk/hub/index.html?mainTarget=%2FSearchControlledDoc%3FSEARCH_ACTION%3D15%26tab%3D0%26searchMode%3D1%26searchQuery%3Ddocno:%22"&amp;RawData[[#This Row],[Document Number]]&amp;"%22%20%2Bcversion%253A1",RawData[[#This Row],[Document Number]])</f>
        <v>FS1018-AGL-ZZ-01-D-M-5401</v>
      </c>
    </row>
    <row r="106" spans="1:12" x14ac:dyDescent="0.3">
      <c r="A106" s="15" t="s">
        <v>345</v>
      </c>
      <c r="B106" s="15" t="s">
        <v>346</v>
      </c>
      <c r="C106" s="15" t="s">
        <v>10</v>
      </c>
      <c r="D106" s="15" t="s">
        <v>21</v>
      </c>
      <c r="E106" s="8">
        <v>45730</v>
      </c>
      <c r="F106" s="16" t="s">
        <v>12</v>
      </c>
      <c r="G106" s="16" t="s">
        <v>4</v>
      </c>
      <c r="H106" s="8"/>
      <c r="I106" s="16"/>
      <c r="J106" t="b">
        <v>1</v>
      </c>
      <c r="K106" s="15" t="s">
        <v>347</v>
      </c>
      <c r="L106" s="15" t="str">
        <f>HYPERLINK("https://uk1.aconex.co.uk/hub/index.html?mainTarget=%2FSearchControlledDoc%3FSEARCH_ACTION%3D15%26tab%3D0%26searchMode%3D1%26searchQuery%3Ddocno:%22"&amp;RawData[[#This Row],[Document Number]]&amp;"%22%20%2Bcversion%253A1",RawData[[#This Row],[Document Number]])</f>
        <v>FS1018-AGL-ZZ-01-D-M-5410</v>
      </c>
    </row>
    <row r="107" spans="1:12" ht="43.2" x14ac:dyDescent="0.3">
      <c r="A107" s="15" t="s">
        <v>348</v>
      </c>
      <c r="B107" s="15" t="s">
        <v>349</v>
      </c>
      <c r="C107" s="15" t="s">
        <v>14</v>
      </c>
      <c r="D107" s="15" t="s">
        <v>20</v>
      </c>
      <c r="E107" s="8">
        <v>45175</v>
      </c>
      <c r="F107" s="16" t="s">
        <v>175</v>
      </c>
      <c r="G107" s="16" t="s">
        <v>40</v>
      </c>
      <c r="H107" s="8">
        <v>45205</v>
      </c>
      <c r="I107" s="16" t="s">
        <v>208</v>
      </c>
      <c r="J107" t="b">
        <v>0</v>
      </c>
      <c r="K107" s="15" t="s">
        <v>350</v>
      </c>
      <c r="L107" s="15" t="str">
        <f>HYPERLINK("https://uk1.aconex.co.uk/hub/index.html?mainTarget=%2FSearchControlledDoc%3FSEARCH_ACTION%3D15%26tab%3D0%26searchMode%3D1%26searchQuery%3Ddocno:%22"&amp;RawData[[#This Row],[Document Number]]&amp;"%22%20%2Bcversion%253A1",RawData[[#This Row],[Document Number]])</f>
        <v>FS1018-AGL-ZZ-01-D-M-5601</v>
      </c>
    </row>
    <row r="108" spans="1:12" x14ac:dyDescent="0.3">
      <c r="A108" s="15" t="s">
        <v>351</v>
      </c>
      <c r="B108" s="15" t="s">
        <v>352</v>
      </c>
      <c r="C108" s="15" t="s">
        <v>14</v>
      </c>
      <c r="D108" s="15" t="s">
        <v>21</v>
      </c>
      <c r="E108" s="8">
        <v>45730</v>
      </c>
      <c r="F108" s="16" t="s">
        <v>12</v>
      </c>
      <c r="G108" s="16" t="s">
        <v>4</v>
      </c>
      <c r="H108" s="8"/>
      <c r="I108" s="16"/>
      <c r="J108" t="b">
        <v>0</v>
      </c>
      <c r="K108" s="15" t="s">
        <v>353</v>
      </c>
      <c r="L108" s="15" t="str">
        <f>HYPERLINK("https://uk1.aconex.co.uk/hub/index.html?mainTarget=%2FSearchControlledDoc%3FSEARCH_ACTION%3D15%26tab%3D0%26searchMode%3D1%26searchQuery%3Ddocno:%22"&amp;RawData[[#This Row],[Document Number]]&amp;"%22%20%2Bcversion%253A1",RawData[[#This Row],[Document Number]])</f>
        <v>FS1018-AGL-ZZ-01-D-M-5610</v>
      </c>
    </row>
    <row r="109" spans="1:12" x14ac:dyDescent="0.3">
      <c r="A109" s="15" t="s">
        <v>354</v>
      </c>
      <c r="B109" s="15" t="s">
        <v>355</v>
      </c>
      <c r="C109" s="15" t="s">
        <v>14</v>
      </c>
      <c r="D109" s="15" t="s">
        <v>21</v>
      </c>
      <c r="E109" s="8">
        <v>45730</v>
      </c>
      <c r="F109" s="16" t="s">
        <v>12</v>
      </c>
      <c r="G109" s="16" t="s">
        <v>4</v>
      </c>
      <c r="H109" s="8"/>
      <c r="I109" s="16"/>
      <c r="J109" t="b">
        <v>0</v>
      </c>
      <c r="K109" s="15" t="s">
        <v>356</v>
      </c>
      <c r="L109" s="15" t="str">
        <f>HYPERLINK("https://uk1.aconex.co.uk/hub/index.html?mainTarget=%2FSearchControlledDoc%3FSEARCH_ACTION%3D15%26tab%3D0%26searchMode%3D1%26searchQuery%3Ddocno:%22"&amp;RawData[[#This Row],[Document Number]]&amp;"%22%20%2Bcversion%253A1",RawData[[#This Row],[Document Number]])</f>
        <v>FS1018-AGL-ZZ-01-D-M-5611</v>
      </c>
    </row>
    <row r="110" spans="1:12" ht="43.2" x14ac:dyDescent="0.3">
      <c r="A110" s="15" t="s">
        <v>357</v>
      </c>
      <c r="B110" s="15" t="s">
        <v>358</v>
      </c>
      <c r="C110" s="15" t="s">
        <v>14</v>
      </c>
      <c r="D110" s="15" t="s">
        <v>20</v>
      </c>
      <c r="E110" s="8">
        <v>45175</v>
      </c>
      <c r="F110" s="16" t="s">
        <v>175</v>
      </c>
      <c r="G110" s="16" t="s">
        <v>40</v>
      </c>
      <c r="H110" s="8">
        <v>45205</v>
      </c>
      <c r="I110" s="16" t="s">
        <v>221</v>
      </c>
      <c r="J110" t="b">
        <v>0</v>
      </c>
      <c r="K110" s="15" t="s">
        <v>359</v>
      </c>
      <c r="L110" s="15" t="str">
        <f>HYPERLINK("https://uk1.aconex.co.uk/hub/index.html?mainTarget=%2FSearchControlledDoc%3FSEARCH_ACTION%3D15%26tab%3D0%26searchMode%3D1%26searchQuery%3Ddocno:%22"&amp;RawData[[#This Row],[Document Number]]&amp;"%22%20%2Bcversion%253A1",RawData[[#This Row],[Document Number]])</f>
        <v>FS1018-AGL-ZZ-01-D-M-5701</v>
      </c>
    </row>
    <row r="111" spans="1:12" x14ac:dyDescent="0.3">
      <c r="A111" s="15" t="s">
        <v>360</v>
      </c>
      <c r="B111" s="15" t="s">
        <v>361</v>
      </c>
      <c r="C111" s="15" t="s">
        <v>10</v>
      </c>
      <c r="D111" s="15" t="s">
        <v>21</v>
      </c>
      <c r="E111" s="8">
        <v>45730</v>
      </c>
      <c r="F111" s="16" t="s">
        <v>12</v>
      </c>
      <c r="G111" s="16" t="s">
        <v>4</v>
      </c>
      <c r="H111" s="8"/>
      <c r="I111" s="16"/>
      <c r="J111" t="b">
        <v>1</v>
      </c>
      <c r="K111" s="15" t="s">
        <v>362</v>
      </c>
      <c r="L111" s="15" t="str">
        <f>HYPERLINK("https://uk1.aconex.co.uk/hub/index.html?mainTarget=%2FSearchControlledDoc%3FSEARCH_ACTION%3D15%26tab%3D0%26searchMode%3D1%26searchQuery%3Ddocno:%22"&amp;RawData[[#This Row],[Document Number]]&amp;"%22%20%2Bcversion%253A1",RawData[[#This Row],[Document Number]])</f>
        <v>FS1018-AGL-ZZ-01-D-M-5710</v>
      </c>
    </row>
    <row r="112" spans="1:12" x14ac:dyDescent="0.3">
      <c r="A112" s="15" t="s">
        <v>363</v>
      </c>
      <c r="B112" s="15" t="s">
        <v>364</v>
      </c>
      <c r="C112" s="15" t="s">
        <v>10</v>
      </c>
      <c r="D112" s="15" t="s">
        <v>21</v>
      </c>
      <c r="E112" s="8">
        <v>45730</v>
      </c>
      <c r="F112" s="16" t="s">
        <v>12</v>
      </c>
      <c r="G112" s="16" t="s">
        <v>4</v>
      </c>
      <c r="H112" s="8"/>
      <c r="I112" s="16"/>
      <c r="J112" t="b">
        <v>1</v>
      </c>
      <c r="K112" s="15" t="s">
        <v>365</v>
      </c>
      <c r="L112" s="15" t="str">
        <f>HYPERLINK("https://uk1.aconex.co.uk/hub/index.html?mainTarget=%2FSearchControlledDoc%3FSEARCH_ACTION%3D15%26tab%3D0%26searchMode%3D1%26searchQuery%3Ddocno:%22"&amp;RawData[[#This Row],[Document Number]]&amp;"%22%20%2Bcversion%253A1",RawData[[#This Row],[Document Number]])</f>
        <v>FS1018-AGL-ZZ-01-D-M-5711</v>
      </c>
    </row>
    <row r="113" spans="1:12" x14ac:dyDescent="0.3">
      <c r="A113" s="15" t="s">
        <v>366</v>
      </c>
      <c r="B113" s="15" t="s">
        <v>367</v>
      </c>
      <c r="C113" s="15" t="s">
        <v>14</v>
      </c>
      <c r="D113" s="15" t="s">
        <v>21</v>
      </c>
      <c r="E113" s="8">
        <v>45730</v>
      </c>
      <c r="F113" s="16" t="s">
        <v>12</v>
      </c>
      <c r="G113" s="16" t="s">
        <v>4</v>
      </c>
      <c r="H113" s="8"/>
      <c r="I113" s="16"/>
      <c r="J113" t="b">
        <v>0</v>
      </c>
      <c r="K113" s="15" t="s">
        <v>368</v>
      </c>
      <c r="L113" s="15" t="str">
        <f>HYPERLINK("https://uk1.aconex.co.uk/hub/index.html?mainTarget=%2FSearchControlledDoc%3FSEARCH_ACTION%3D15%26tab%3D0%26searchMode%3D1%26searchQuery%3Ddocno:%22"&amp;RawData[[#This Row],[Document Number]]&amp;"%22%20%2Bcversion%253A1",RawData[[#This Row],[Document Number]])</f>
        <v>FS1018-AGL-ZZ-01-D-Z-6010</v>
      </c>
    </row>
    <row r="114" spans="1:12" x14ac:dyDescent="0.3">
      <c r="A114" s="15" t="s">
        <v>369</v>
      </c>
      <c r="B114" s="15" t="s">
        <v>370</v>
      </c>
      <c r="C114" s="15" t="s">
        <v>14</v>
      </c>
      <c r="D114" s="15" t="s">
        <v>21</v>
      </c>
      <c r="E114" s="8">
        <v>45730</v>
      </c>
      <c r="F114" s="16" t="s">
        <v>12</v>
      </c>
      <c r="G114" s="16" t="s">
        <v>4</v>
      </c>
      <c r="H114" s="8"/>
      <c r="I114" s="16"/>
      <c r="J114" t="b">
        <v>0</v>
      </c>
      <c r="K114" s="15" t="s">
        <v>371</v>
      </c>
      <c r="L114" s="15" t="str">
        <f>HYPERLINK("https://uk1.aconex.co.uk/hub/index.html?mainTarget=%2FSearchControlledDoc%3FSEARCH_ACTION%3D15%26tab%3D0%26searchMode%3D1%26searchQuery%3Ddocno:%22"&amp;RawData[[#This Row],[Document Number]]&amp;"%22%20%2Bcversion%253A1",RawData[[#This Row],[Document Number]])</f>
        <v>FS1018-AGL-ZZ-01-D-Z-6011</v>
      </c>
    </row>
    <row r="115" spans="1:12" ht="86.4" x14ac:dyDescent="0.3">
      <c r="A115" s="15" t="s">
        <v>372</v>
      </c>
      <c r="B115" s="15" t="s">
        <v>373</v>
      </c>
      <c r="C115" s="15" t="s">
        <v>14</v>
      </c>
      <c r="D115" s="15" t="s">
        <v>20</v>
      </c>
      <c r="E115" s="8">
        <v>45175</v>
      </c>
      <c r="F115" s="16" t="s">
        <v>249</v>
      </c>
      <c r="G115" s="16" t="s">
        <v>40</v>
      </c>
      <c r="H115" s="8">
        <v>45205</v>
      </c>
      <c r="I115" s="16" t="s">
        <v>250</v>
      </c>
      <c r="J115" t="b">
        <v>0</v>
      </c>
      <c r="K115" s="15" t="s">
        <v>374</v>
      </c>
      <c r="L115" s="15" t="str">
        <f>HYPERLINK("https://uk1.aconex.co.uk/hub/index.html?mainTarget=%2FSearchControlledDoc%3FSEARCH_ACTION%3D15%26tab%3D0%26searchMode%3D1%26searchQuery%3Ddocno:%22"&amp;RawData[[#This Row],[Document Number]]&amp;"%22%20%2Bcversion%253A1",RawData[[#This Row],[Document Number]])</f>
        <v>FS1018-AGL-ZZ-01-D-Z-9501</v>
      </c>
    </row>
    <row r="116" spans="1:12" x14ac:dyDescent="0.3">
      <c r="A116" s="15" t="s">
        <v>375</v>
      </c>
      <c r="B116" s="15" t="s">
        <v>376</v>
      </c>
      <c r="C116" s="15" t="s">
        <v>14</v>
      </c>
      <c r="D116" s="15" t="s">
        <v>21</v>
      </c>
      <c r="E116" s="8">
        <v>45730</v>
      </c>
      <c r="F116" s="16" t="s">
        <v>12</v>
      </c>
      <c r="G116" s="16" t="s">
        <v>4</v>
      </c>
      <c r="H116" s="8"/>
      <c r="I116" s="16"/>
      <c r="J116" t="b">
        <v>0</v>
      </c>
      <c r="K116" s="15" t="s">
        <v>377</v>
      </c>
      <c r="L116" s="15" t="str">
        <f>HYPERLINK("https://uk1.aconex.co.uk/hub/index.html?mainTarget=%2FSearchControlledDoc%3FSEARCH_ACTION%3D15%26tab%3D0%26searchMode%3D1%26searchQuery%3Ddocno:%22"&amp;RawData[[#This Row],[Document Number]]&amp;"%22%20%2Bcversion%253A1",RawData[[#This Row],[Document Number]])</f>
        <v>FS1018-AGL-ZZ-01-D-Z-9610</v>
      </c>
    </row>
    <row r="117" spans="1:12" x14ac:dyDescent="0.3">
      <c r="A117" s="15" t="s">
        <v>378</v>
      </c>
      <c r="B117" s="15" t="s">
        <v>379</v>
      </c>
      <c r="C117" s="15" t="s">
        <v>14</v>
      </c>
      <c r="D117" s="15" t="s">
        <v>21</v>
      </c>
      <c r="E117" s="8">
        <v>45730</v>
      </c>
      <c r="F117" s="16" t="s">
        <v>12</v>
      </c>
      <c r="G117" s="16" t="s">
        <v>4</v>
      </c>
      <c r="H117" s="8"/>
      <c r="I117" s="16"/>
      <c r="J117" t="b">
        <v>0</v>
      </c>
      <c r="K117" s="15" t="s">
        <v>380</v>
      </c>
      <c r="L117" s="15" t="str">
        <f>HYPERLINK("https://uk1.aconex.co.uk/hub/index.html?mainTarget=%2FSearchControlledDoc%3FSEARCH_ACTION%3D15%26tab%3D0%26searchMode%3D1%26searchQuery%3Ddocno:%22"&amp;RawData[[#This Row],[Document Number]]&amp;"%22%20%2Bcversion%253A1",RawData[[#This Row],[Document Number]])</f>
        <v>FS1018-AGL-ZZ-01-D-Z-9611</v>
      </c>
    </row>
    <row r="118" spans="1:12" ht="129.6" x14ac:dyDescent="0.3">
      <c r="A118" s="15" t="s">
        <v>381</v>
      </c>
      <c r="B118" s="15" t="s">
        <v>382</v>
      </c>
      <c r="C118" s="15" t="s">
        <v>14</v>
      </c>
      <c r="D118" s="15" t="s">
        <v>20</v>
      </c>
      <c r="E118" s="8">
        <v>45175</v>
      </c>
      <c r="F118" s="16" t="s">
        <v>82</v>
      </c>
      <c r="G118" s="16" t="s">
        <v>40</v>
      </c>
      <c r="H118" s="8">
        <v>45201</v>
      </c>
      <c r="I118" s="16" t="s">
        <v>263</v>
      </c>
      <c r="J118" t="b">
        <v>0</v>
      </c>
      <c r="K118" s="15" t="s">
        <v>383</v>
      </c>
      <c r="L118" s="15" t="str">
        <f>HYPERLINK("https://uk1.aconex.co.uk/hub/index.html?mainTarget=%2FSearchControlledDoc%3FSEARCH_ACTION%3D15%26tab%3D0%26searchMode%3D1%26searchQuery%3Ddocno:%22"&amp;RawData[[#This Row],[Document Number]]&amp;"%22%20%2Bcversion%253A1",RawData[[#This Row],[Document Number]])</f>
        <v>FS1018-AGL-ZZ-02-D-E-6101</v>
      </c>
    </row>
    <row r="119" spans="1:12" x14ac:dyDescent="0.3">
      <c r="A119" s="15" t="s">
        <v>384</v>
      </c>
      <c r="B119" s="15" t="s">
        <v>385</v>
      </c>
      <c r="C119" s="15" t="s">
        <v>14</v>
      </c>
      <c r="D119" s="15" t="s">
        <v>21</v>
      </c>
      <c r="E119" s="8">
        <v>45730</v>
      </c>
      <c r="F119" s="16" t="s">
        <v>12</v>
      </c>
      <c r="G119" s="16" t="s">
        <v>4</v>
      </c>
      <c r="H119" s="8"/>
      <c r="I119" s="16"/>
      <c r="J119" t="b">
        <v>0</v>
      </c>
      <c r="K119" s="15" t="s">
        <v>386</v>
      </c>
      <c r="L119" s="15" t="str">
        <f>HYPERLINK("https://uk1.aconex.co.uk/hub/index.html?mainTarget=%2FSearchControlledDoc%3FSEARCH_ACTION%3D15%26tab%3D0%26searchMode%3D1%26searchQuery%3Ddocno:%22"&amp;RawData[[#This Row],[Document Number]]&amp;"%22%20%2Bcversion%253A1",RawData[[#This Row],[Document Number]])</f>
        <v>FS1018-AGL-ZZ-02-D-E-6110</v>
      </c>
    </row>
    <row r="120" spans="1:12" x14ac:dyDescent="0.3">
      <c r="A120" s="15" t="s">
        <v>387</v>
      </c>
      <c r="B120" s="15" t="s">
        <v>388</v>
      </c>
      <c r="C120" s="15" t="s">
        <v>14</v>
      </c>
      <c r="D120" s="15" t="s">
        <v>21</v>
      </c>
      <c r="E120" s="8">
        <v>45730</v>
      </c>
      <c r="F120" s="16" t="s">
        <v>12</v>
      </c>
      <c r="G120" s="16" t="s">
        <v>4</v>
      </c>
      <c r="H120" s="8"/>
      <c r="I120" s="16"/>
      <c r="J120" t="b">
        <v>0</v>
      </c>
      <c r="K120" s="15" t="s">
        <v>389</v>
      </c>
      <c r="L120" s="15" t="str">
        <f>HYPERLINK("https://uk1.aconex.co.uk/hub/index.html?mainTarget=%2FSearchControlledDoc%3FSEARCH_ACTION%3D15%26tab%3D0%26searchMode%3D1%26searchQuery%3Ddocno:%22"&amp;RawData[[#This Row],[Document Number]]&amp;"%22%20%2Bcversion%253A1",RawData[[#This Row],[Document Number]])</f>
        <v>FS1018-AGL-ZZ-02-D-E-6111</v>
      </c>
    </row>
    <row r="121" spans="1:12" x14ac:dyDescent="0.3">
      <c r="A121" s="15" t="s">
        <v>390</v>
      </c>
      <c r="B121" s="15" t="s">
        <v>391</v>
      </c>
      <c r="C121" s="15" t="s">
        <v>14</v>
      </c>
      <c r="D121" s="15" t="s">
        <v>21</v>
      </c>
      <c r="E121" s="8">
        <v>45730</v>
      </c>
      <c r="F121" s="16" t="s">
        <v>12</v>
      </c>
      <c r="G121" s="16" t="s">
        <v>4</v>
      </c>
      <c r="H121" s="8"/>
      <c r="I121" s="16"/>
      <c r="J121" t="b">
        <v>0</v>
      </c>
      <c r="K121" s="15" t="s">
        <v>392</v>
      </c>
      <c r="L121" s="15" t="str">
        <f>HYPERLINK("https://uk1.aconex.co.uk/hub/index.html?mainTarget=%2FSearchControlledDoc%3FSEARCH_ACTION%3D15%26tab%3D0%26searchMode%3D1%26searchQuery%3Ddocno:%22"&amp;RawData[[#This Row],[Document Number]]&amp;"%22%20%2Bcversion%253A1",RawData[[#This Row],[Document Number]])</f>
        <v>FS1018-AGL-ZZ-02-D-E-6210</v>
      </c>
    </row>
    <row r="122" spans="1:12" x14ac:dyDescent="0.3">
      <c r="A122" s="15" t="s">
        <v>393</v>
      </c>
      <c r="B122" s="15" t="s">
        <v>394</v>
      </c>
      <c r="C122" s="15" t="s">
        <v>14</v>
      </c>
      <c r="D122" s="15" t="s">
        <v>21</v>
      </c>
      <c r="E122" s="8">
        <v>45730</v>
      </c>
      <c r="F122" s="16" t="s">
        <v>12</v>
      </c>
      <c r="G122" s="16" t="s">
        <v>4</v>
      </c>
      <c r="H122" s="8"/>
      <c r="I122" s="16"/>
      <c r="J122" t="b">
        <v>0</v>
      </c>
      <c r="K122" s="15" t="s">
        <v>395</v>
      </c>
      <c r="L122" s="15" t="str">
        <f>HYPERLINK("https://uk1.aconex.co.uk/hub/index.html?mainTarget=%2FSearchControlledDoc%3FSEARCH_ACTION%3D15%26tab%3D0%26searchMode%3D1%26searchQuery%3Ddocno:%22"&amp;RawData[[#This Row],[Document Number]]&amp;"%22%20%2Bcversion%253A1",RawData[[#This Row],[Document Number]])</f>
        <v>FS1018-AGL-ZZ-02-D-E-6211</v>
      </c>
    </row>
    <row r="123" spans="1:12" x14ac:dyDescent="0.3">
      <c r="A123" s="15" t="s">
        <v>396</v>
      </c>
      <c r="B123" s="15" t="s">
        <v>397</v>
      </c>
      <c r="C123" s="15" t="s">
        <v>14</v>
      </c>
      <c r="D123" s="15" t="s">
        <v>21</v>
      </c>
      <c r="E123" s="8">
        <v>45730</v>
      </c>
      <c r="F123" s="16" t="s">
        <v>12</v>
      </c>
      <c r="G123" s="16" t="s">
        <v>4</v>
      </c>
      <c r="H123" s="8"/>
      <c r="I123" s="16"/>
      <c r="J123" t="b">
        <v>0</v>
      </c>
      <c r="K123" s="15" t="s">
        <v>398</v>
      </c>
      <c r="L123" s="15" t="str">
        <f>HYPERLINK("https://uk1.aconex.co.uk/hub/index.html?mainTarget=%2FSearchControlledDoc%3FSEARCH_ACTION%3D15%26tab%3D0%26searchMode%3D1%26searchQuery%3Ddocno:%22"&amp;RawData[[#This Row],[Document Number]]&amp;"%22%20%2Bcversion%253A1",RawData[[#This Row],[Document Number]])</f>
        <v>FS1018-AGL-ZZ-02-D-E-6212</v>
      </c>
    </row>
    <row r="124" spans="1:12" x14ac:dyDescent="0.3">
      <c r="A124" s="15" t="s">
        <v>399</v>
      </c>
      <c r="B124" s="15" t="s">
        <v>400</v>
      </c>
      <c r="C124" s="15" t="s">
        <v>14</v>
      </c>
      <c r="D124" s="15" t="s">
        <v>21</v>
      </c>
      <c r="E124" s="8">
        <v>45730</v>
      </c>
      <c r="F124" s="16" t="s">
        <v>12</v>
      </c>
      <c r="G124" s="16" t="s">
        <v>4</v>
      </c>
      <c r="H124" s="8"/>
      <c r="I124" s="16"/>
      <c r="J124" t="b">
        <v>0</v>
      </c>
      <c r="K124" s="15" t="s">
        <v>401</v>
      </c>
      <c r="L124" s="15" t="str">
        <f>HYPERLINK("https://uk1.aconex.co.uk/hub/index.html?mainTarget=%2FSearchControlledDoc%3FSEARCH_ACTION%3D15%26tab%3D0%26searchMode%3D1%26searchQuery%3Ddocno:%22"&amp;RawData[[#This Row],[Document Number]]&amp;"%22%20%2Bcversion%253A1",RawData[[#This Row],[Document Number]])</f>
        <v>FS1018-AGL-ZZ-02-D-E-6213</v>
      </c>
    </row>
    <row r="125" spans="1:12" ht="72" x14ac:dyDescent="0.3">
      <c r="A125" s="15" t="s">
        <v>402</v>
      </c>
      <c r="B125" s="15" t="s">
        <v>403</v>
      </c>
      <c r="C125" s="15" t="s">
        <v>14</v>
      </c>
      <c r="D125" s="15" t="s">
        <v>20</v>
      </c>
      <c r="E125" s="8">
        <v>45175</v>
      </c>
      <c r="F125" s="16" t="s">
        <v>82</v>
      </c>
      <c r="G125" s="16" t="s">
        <v>40</v>
      </c>
      <c r="H125" s="8">
        <v>45201</v>
      </c>
      <c r="I125" s="16" t="s">
        <v>404</v>
      </c>
      <c r="J125" t="b">
        <v>0</v>
      </c>
      <c r="K125" s="15" t="s">
        <v>405</v>
      </c>
      <c r="L125" s="15" t="str">
        <f>HYPERLINK("https://uk1.aconex.co.uk/hub/index.html?mainTarget=%2FSearchControlledDoc%3FSEARCH_ACTION%3D15%26tab%3D0%26searchMode%3D1%26searchQuery%3Ddocno:%22"&amp;RawData[[#This Row],[Document Number]]&amp;"%22%20%2Bcversion%253A1",RawData[[#This Row],[Document Number]])</f>
        <v>FS1018-AGL-ZZ-02-D-E-6301</v>
      </c>
    </row>
    <row r="126" spans="1:12" x14ac:dyDescent="0.3">
      <c r="A126" s="15" t="s">
        <v>406</v>
      </c>
      <c r="B126" s="15" t="s">
        <v>407</v>
      </c>
      <c r="C126" s="15" t="s">
        <v>14</v>
      </c>
      <c r="D126" s="15" t="s">
        <v>20</v>
      </c>
      <c r="E126" s="8">
        <v>45175</v>
      </c>
      <c r="F126" s="16" t="s">
        <v>82</v>
      </c>
      <c r="G126" s="16" t="s">
        <v>34</v>
      </c>
      <c r="H126" s="8">
        <v>45201</v>
      </c>
      <c r="I126" s="16"/>
      <c r="J126" t="b">
        <v>0</v>
      </c>
      <c r="K126" s="15" t="s">
        <v>408</v>
      </c>
      <c r="L126" s="15" t="str">
        <f>HYPERLINK("https://uk1.aconex.co.uk/hub/index.html?mainTarget=%2FSearchControlledDoc%3FSEARCH_ACTION%3D15%26tab%3D0%26searchMode%3D1%26searchQuery%3Ddocno:%22"&amp;RawData[[#This Row],[Document Number]]&amp;"%22%20%2Bcversion%253A1",RawData[[#This Row],[Document Number]])</f>
        <v>FS1018-AGL-ZZ-02-D-E-6302</v>
      </c>
    </row>
    <row r="127" spans="1:12" x14ac:dyDescent="0.3">
      <c r="A127" s="15" t="s">
        <v>409</v>
      </c>
      <c r="B127" s="15" t="s">
        <v>410</v>
      </c>
      <c r="C127" s="15" t="s">
        <v>14</v>
      </c>
      <c r="D127" s="15" t="s">
        <v>21</v>
      </c>
      <c r="E127" s="8">
        <v>45730</v>
      </c>
      <c r="F127" s="16" t="s">
        <v>12</v>
      </c>
      <c r="G127" s="16" t="s">
        <v>4</v>
      </c>
      <c r="H127" s="8"/>
      <c r="I127" s="16"/>
      <c r="J127" t="b">
        <v>0</v>
      </c>
      <c r="K127" s="15" t="s">
        <v>411</v>
      </c>
      <c r="L127" s="15" t="str">
        <f>HYPERLINK("https://uk1.aconex.co.uk/hub/index.html?mainTarget=%2FSearchControlledDoc%3FSEARCH_ACTION%3D15%26tab%3D0%26searchMode%3D1%26searchQuery%3Ddocno:%22"&amp;RawData[[#This Row],[Document Number]]&amp;"%22%20%2Bcversion%253A1",RawData[[#This Row],[Document Number]])</f>
        <v>FS1018-AGL-ZZ-02-D-E-6310</v>
      </c>
    </row>
    <row r="128" spans="1:12" x14ac:dyDescent="0.3">
      <c r="A128" s="15" t="s">
        <v>412</v>
      </c>
      <c r="B128" s="15" t="s">
        <v>413</v>
      </c>
      <c r="C128" s="15" t="s">
        <v>14</v>
      </c>
      <c r="D128" s="15" t="s">
        <v>21</v>
      </c>
      <c r="E128" s="8">
        <v>45730</v>
      </c>
      <c r="F128" s="16" t="s">
        <v>12</v>
      </c>
      <c r="G128" s="16" t="s">
        <v>4</v>
      </c>
      <c r="H128" s="8"/>
      <c r="I128" s="16"/>
      <c r="J128" t="b">
        <v>0</v>
      </c>
      <c r="K128" s="15" t="s">
        <v>414</v>
      </c>
      <c r="L128" s="15" t="str">
        <f>HYPERLINK("https://uk1.aconex.co.uk/hub/index.html?mainTarget=%2FSearchControlledDoc%3FSEARCH_ACTION%3D15%26tab%3D0%26searchMode%3D1%26searchQuery%3Ddocno:%22"&amp;RawData[[#This Row],[Document Number]]&amp;"%22%20%2Bcversion%253A1",RawData[[#This Row],[Document Number]])</f>
        <v>FS1018-AGL-ZZ-02-D-E-6311</v>
      </c>
    </row>
    <row r="129" spans="1:12" ht="43.2" x14ac:dyDescent="0.3">
      <c r="A129" s="15" t="s">
        <v>415</v>
      </c>
      <c r="B129" s="15" t="s">
        <v>416</v>
      </c>
      <c r="C129" s="15" t="s">
        <v>14</v>
      </c>
      <c r="D129" s="15" t="s">
        <v>20</v>
      </c>
      <c r="E129" s="8">
        <v>45175</v>
      </c>
      <c r="F129" s="16" t="s">
        <v>82</v>
      </c>
      <c r="G129" s="16" t="s">
        <v>40</v>
      </c>
      <c r="H129" s="8">
        <v>45201</v>
      </c>
      <c r="I129" s="16" t="s">
        <v>298</v>
      </c>
      <c r="J129" t="b">
        <v>0</v>
      </c>
      <c r="K129" s="15" t="s">
        <v>417</v>
      </c>
      <c r="L129" s="15" t="str">
        <f>HYPERLINK("https://uk1.aconex.co.uk/hub/index.html?mainTarget=%2FSearchControlledDoc%3FSEARCH_ACTION%3D15%26tab%3D0%26searchMode%3D1%26searchQuery%3Ddocno:%22"&amp;RawData[[#This Row],[Document Number]]&amp;"%22%20%2Bcversion%253A1",RawData[[#This Row],[Document Number]])</f>
        <v>FS1018-AGL-ZZ-02-D-E-6801</v>
      </c>
    </row>
    <row r="130" spans="1:12" x14ac:dyDescent="0.3">
      <c r="A130" s="15" t="s">
        <v>418</v>
      </c>
      <c r="B130" s="15" t="s">
        <v>419</v>
      </c>
      <c r="C130" s="15" t="s">
        <v>14</v>
      </c>
      <c r="D130" s="15" t="s">
        <v>20</v>
      </c>
      <c r="E130" s="8">
        <v>45175</v>
      </c>
      <c r="F130" s="16" t="s">
        <v>82</v>
      </c>
      <c r="G130" s="16" t="s">
        <v>34</v>
      </c>
      <c r="H130" s="8">
        <v>45201</v>
      </c>
      <c r="I130" s="16"/>
      <c r="J130" t="b">
        <v>0</v>
      </c>
      <c r="K130" s="15" t="s">
        <v>420</v>
      </c>
      <c r="L130" s="15" t="str">
        <f>HYPERLINK("https://uk1.aconex.co.uk/hub/index.html?mainTarget=%2FSearchControlledDoc%3FSEARCH_ACTION%3D15%26tab%3D0%26searchMode%3D1%26searchQuery%3Ddocno:%22"&amp;RawData[[#This Row],[Document Number]]&amp;"%22%20%2Bcversion%253A1",RawData[[#This Row],[Document Number]])</f>
        <v>FS1018-AGL-ZZ-02-D-E-6802</v>
      </c>
    </row>
    <row r="131" spans="1:12" ht="158.4" x14ac:dyDescent="0.3">
      <c r="A131" s="15" t="s">
        <v>421</v>
      </c>
      <c r="B131" s="15" t="s">
        <v>422</v>
      </c>
      <c r="C131" s="15" t="s">
        <v>14</v>
      </c>
      <c r="D131" s="15" t="s">
        <v>20</v>
      </c>
      <c r="E131" s="8">
        <v>45175</v>
      </c>
      <c r="F131" s="16" t="s">
        <v>82</v>
      </c>
      <c r="G131" s="16" t="s">
        <v>40</v>
      </c>
      <c r="H131" s="8">
        <v>45201</v>
      </c>
      <c r="I131" s="16" t="s">
        <v>141</v>
      </c>
      <c r="J131" t="b">
        <v>0</v>
      </c>
      <c r="K131" s="15" t="s">
        <v>423</v>
      </c>
      <c r="L131" s="15" t="str">
        <f>HYPERLINK("https://uk1.aconex.co.uk/hub/index.html?mainTarget=%2FSearchControlledDoc%3FSEARCH_ACTION%3D15%26tab%3D0%26searchMode%3D1%26searchQuery%3Ddocno:%22"&amp;RawData[[#This Row],[Document Number]]&amp;"%22%20%2Bcversion%253A1",RawData[[#This Row],[Document Number]])</f>
        <v>FS1018-AGL-ZZ-02-D-E-6803</v>
      </c>
    </row>
    <row r="132" spans="1:12" x14ac:dyDescent="0.3">
      <c r="A132" s="15" t="s">
        <v>424</v>
      </c>
      <c r="B132" s="15" t="s">
        <v>425</v>
      </c>
      <c r="C132" s="15" t="s">
        <v>14</v>
      </c>
      <c r="D132" s="15" t="s">
        <v>21</v>
      </c>
      <c r="E132" s="8">
        <v>45730</v>
      </c>
      <c r="F132" s="16" t="s">
        <v>12</v>
      </c>
      <c r="G132" s="16" t="s">
        <v>4</v>
      </c>
      <c r="H132" s="8"/>
      <c r="I132" s="16"/>
      <c r="J132" t="b">
        <v>0</v>
      </c>
      <c r="K132" s="15" t="s">
        <v>426</v>
      </c>
      <c r="L132" s="15" t="str">
        <f>HYPERLINK("https://uk1.aconex.co.uk/hub/index.html?mainTarget=%2FSearchControlledDoc%3FSEARCH_ACTION%3D15%26tab%3D0%26searchMode%3D1%26searchQuery%3Ddocno:%22"&amp;RawData[[#This Row],[Document Number]]&amp;"%22%20%2Bcversion%253A1",RawData[[#This Row],[Document Number]])</f>
        <v>FS1018-AGL-ZZ-02-D-E-6810</v>
      </c>
    </row>
    <row r="133" spans="1:12" x14ac:dyDescent="0.3">
      <c r="A133" s="15" t="s">
        <v>427</v>
      </c>
      <c r="B133" s="15" t="s">
        <v>428</v>
      </c>
      <c r="C133" s="15" t="s">
        <v>14</v>
      </c>
      <c r="D133" s="15" t="s">
        <v>21</v>
      </c>
      <c r="E133" s="8">
        <v>45730</v>
      </c>
      <c r="F133" s="16" t="s">
        <v>12</v>
      </c>
      <c r="G133" s="16" t="s">
        <v>4</v>
      </c>
      <c r="H133" s="8"/>
      <c r="I133" s="16"/>
      <c r="J133" t="b">
        <v>0</v>
      </c>
      <c r="K133" s="15" t="s">
        <v>429</v>
      </c>
      <c r="L133" s="15" t="str">
        <f>HYPERLINK("https://uk1.aconex.co.uk/hub/index.html?mainTarget=%2FSearchControlledDoc%3FSEARCH_ACTION%3D15%26tab%3D0%26searchMode%3D1%26searchQuery%3Ddocno:%22"&amp;RawData[[#This Row],[Document Number]]&amp;"%22%20%2Bcversion%253A1",RawData[[#This Row],[Document Number]])</f>
        <v>FS1018-AGL-ZZ-02-D-E-6811</v>
      </c>
    </row>
    <row r="134" spans="1:12" x14ac:dyDescent="0.3">
      <c r="A134" s="15" t="s">
        <v>430</v>
      </c>
      <c r="B134" s="15" t="s">
        <v>431</v>
      </c>
      <c r="C134" s="15" t="s">
        <v>14</v>
      </c>
      <c r="D134" s="15" t="s">
        <v>21</v>
      </c>
      <c r="E134" s="8">
        <v>45730</v>
      </c>
      <c r="F134" s="16" t="s">
        <v>12</v>
      </c>
      <c r="G134" s="16" t="s">
        <v>4</v>
      </c>
      <c r="H134" s="8"/>
      <c r="I134" s="16"/>
      <c r="J134" t="b">
        <v>0</v>
      </c>
      <c r="K134" s="15" t="s">
        <v>432</v>
      </c>
      <c r="L134" s="15" t="str">
        <f>HYPERLINK("https://uk1.aconex.co.uk/hub/index.html?mainTarget=%2FSearchControlledDoc%3FSEARCH_ACTION%3D15%26tab%3D0%26searchMode%3D1%26searchQuery%3Ddocno:%22"&amp;RawData[[#This Row],[Document Number]]&amp;"%22%20%2Bcversion%253A1",RawData[[#This Row],[Document Number]])</f>
        <v>FS1018-AGL-ZZ-02-D-E-6820</v>
      </c>
    </row>
    <row r="135" spans="1:12" x14ac:dyDescent="0.3">
      <c r="A135" s="15" t="s">
        <v>433</v>
      </c>
      <c r="B135" s="15" t="s">
        <v>434</v>
      </c>
      <c r="C135" s="15" t="s">
        <v>14</v>
      </c>
      <c r="D135" s="15" t="s">
        <v>21</v>
      </c>
      <c r="E135" s="8">
        <v>45730</v>
      </c>
      <c r="F135" s="16" t="s">
        <v>12</v>
      </c>
      <c r="G135" s="16" t="s">
        <v>4</v>
      </c>
      <c r="H135" s="8"/>
      <c r="I135" s="16"/>
      <c r="J135" t="b">
        <v>0</v>
      </c>
      <c r="K135" s="15" t="s">
        <v>435</v>
      </c>
      <c r="L135" s="15" t="str">
        <f>HYPERLINK("https://uk1.aconex.co.uk/hub/index.html?mainTarget=%2FSearchControlledDoc%3FSEARCH_ACTION%3D15%26tab%3D0%26searchMode%3D1%26searchQuery%3Ddocno:%22"&amp;RawData[[#This Row],[Document Number]]&amp;"%22%20%2Bcversion%253A1",RawData[[#This Row],[Document Number]])</f>
        <v>FS1018-AGL-ZZ-02-D-E-6821</v>
      </c>
    </row>
    <row r="136" spans="1:12" x14ac:dyDescent="0.3">
      <c r="A136" s="15" t="s">
        <v>436</v>
      </c>
      <c r="B136" s="15" t="s">
        <v>437</v>
      </c>
      <c r="C136" s="15" t="s">
        <v>14</v>
      </c>
      <c r="D136" s="15" t="s">
        <v>21</v>
      </c>
      <c r="E136" s="8">
        <v>45730</v>
      </c>
      <c r="F136" s="16" t="s">
        <v>12</v>
      </c>
      <c r="G136" s="16" t="s">
        <v>4</v>
      </c>
      <c r="H136" s="8"/>
      <c r="I136" s="16"/>
      <c r="J136" t="b">
        <v>0</v>
      </c>
      <c r="K136" s="15" t="s">
        <v>438</v>
      </c>
      <c r="L136" s="15" t="str">
        <f>HYPERLINK("https://uk1.aconex.co.uk/hub/index.html?mainTarget=%2FSearchControlledDoc%3FSEARCH_ACTION%3D15%26tab%3D0%26searchMode%3D1%26searchQuery%3Ddocno:%22"&amp;RawData[[#This Row],[Document Number]]&amp;"%22%20%2Bcversion%253A1",RawData[[#This Row],[Document Number]])</f>
        <v>FS1018-AGL-ZZ-02-D-E-6840</v>
      </c>
    </row>
    <row r="137" spans="1:12" x14ac:dyDescent="0.3">
      <c r="A137" s="15" t="s">
        <v>439</v>
      </c>
      <c r="B137" s="15" t="s">
        <v>440</v>
      </c>
      <c r="C137" s="15" t="s">
        <v>14</v>
      </c>
      <c r="D137" s="15" t="s">
        <v>21</v>
      </c>
      <c r="E137" s="8">
        <v>45730</v>
      </c>
      <c r="F137" s="16" t="s">
        <v>12</v>
      </c>
      <c r="G137" s="16" t="s">
        <v>4</v>
      </c>
      <c r="H137" s="8"/>
      <c r="I137" s="16"/>
      <c r="J137" t="b">
        <v>0</v>
      </c>
      <c r="K137" s="15" t="s">
        <v>441</v>
      </c>
      <c r="L137" s="15" t="str">
        <f>HYPERLINK("https://uk1.aconex.co.uk/hub/index.html?mainTarget=%2FSearchControlledDoc%3FSEARCH_ACTION%3D15%26tab%3D0%26searchMode%3D1%26searchQuery%3Ddocno:%22"&amp;RawData[[#This Row],[Document Number]]&amp;"%22%20%2Bcversion%253A1",RawData[[#This Row],[Document Number]])</f>
        <v>FS1018-AGL-ZZ-02-D-E-6841</v>
      </c>
    </row>
    <row r="138" spans="1:12" ht="43.2" x14ac:dyDescent="0.3">
      <c r="A138" s="15" t="s">
        <v>442</v>
      </c>
      <c r="B138" s="15" t="s">
        <v>443</v>
      </c>
      <c r="C138" s="15" t="s">
        <v>14</v>
      </c>
      <c r="D138" s="15" t="s">
        <v>20</v>
      </c>
      <c r="E138" s="8">
        <v>45175</v>
      </c>
      <c r="F138" s="16" t="s">
        <v>175</v>
      </c>
      <c r="G138" s="16" t="s">
        <v>40</v>
      </c>
      <c r="H138" s="8">
        <v>45198</v>
      </c>
      <c r="I138" s="16" t="s">
        <v>176</v>
      </c>
      <c r="J138" t="b">
        <v>0</v>
      </c>
      <c r="K138" s="15" t="s">
        <v>444</v>
      </c>
      <c r="L138" s="15" t="str">
        <f>HYPERLINK("https://uk1.aconex.co.uk/hub/index.html?mainTarget=%2FSearchControlledDoc%3FSEARCH_ACTION%3D15%26tab%3D0%26searchMode%3D1%26searchQuery%3Ddocno:%22"&amp;RawData[[#This Row],[Document Number]]&amp;"%22%20%2Bcversion%253A1",RawData[[#This Row],[Document Number]])</f>
        <v>FS1018-AGL-ZZ-02-D-M-5201</v>
      </c>
    </row>
    <row r="139" spans="1:12" x14ac:dyDescent="0.3">
      <c r="A139" s="15" t="s">
        <v>445</v>
      </c>
      <c r="B139" s="15" t="s">
        <v>446</v>
      </c>
      <c r="C139" s="15" t="s">
        <v>10</v>
      </c>
      <c r="D139" s="15" t="s">
        <v>21</v>
      </c>
      <c r="E139" s="8">
        <v>45730</v>
      </c>
      <c r="F139" s="16" t="s">
        <v>12</v>
      </c>
      <c r="G139" s="16" t="s">
        <v>4</v>
      </c>
      <c r="H139" s="8"/>
      <c r="I139" s="16"/>
      <c r="J139" t="b">
        <v>1</v>
      </c>
      <c r="K139" s="15" t="s">
        <v>447</v>
      </c>
      <c r="L139" s="15" t="str">
        <f>HYPERLINK("https://uk1.aconex.co.uk/hub/index.html?mainTarget=%2FSearchControlledDoc%3FSEARCH_ACTION%3D15%26tab%3D0%26searchMode%3D1%26searchQuery%3Ddocno:%22"&amp;RawData[[#This Row],[Document Number]]&amp;"%22%20%2Bcversion%253A1",RawData[[#This Row],[Document Number]])</f>
        <v>FS1018-AGL-ZZ-02-D-M-5210</v>
      </c>
    </row>
    <row r="140" spans="1:12" x14ac:dyDescent="0.3">
      <c r="A140" s="15" t="s">
        <v>448</v>
      </c>
      <c r="B140" s="15" t="s">
        <v>449</v>
      </c>
      <c r="C140" s="15" t="s">
        <v>10</v>
      </c>
      <c r="D140" s="15" t="s">
        <v>21</v>
      </c>
      <c r="E140" s="8">
        <v>45730</v>
      </c>
      <c r="F140" s="16" t="s">
        <v>12</v>
      </c>
      <c r="G140" s="16" t="s">
        <v>4</v>
      </c>
      <c r="H140" s="8"/>
      <c r="I140" s="16"/>
      <c r="J140" t="b">
        <v>1</v>
      </c>
      <c r="K140" s="15" t="s">
        <v>450</v>
      </c>
      <c r="L140" s="15" t="str">
        <f>HYPERLINK("https://uk1.aconex.co.uk/hub/index.html?mainTarget=%2FSearchControlledDoc%3FSEARCH_ACTION%3D15%26tab%3D0%26searchMode%3D1%26searchQuery%3Ddocno:%22"&amp;RawData[[#This Row],[Document Number]]&amp;"%22%20%2Bcversion%253A1",RawData[[#This Row],[Document Number]])</f>
        <v>FS1018-AGL-ZZ-02-D-M-5211</v>
      </c>
    </row>
    <row r="141" spans="1:12" ht="43.2" x14ac:dyDescent="0.3">
      <c r="A141" s="15" t="s">
        <v>451</v>
      </c>
      <c r="B141" s="15" t="s">
        <v>452</v>
      </c>
      <c r="C141" s="15" t="s">
        <v>14</v>
      </c>
      <c r="D141" s="15" t="s">
        <v>20</v>
      </c>
      <c r="E141" s="8">
        <v>45175</v>
      </c>
      <c r="F141" s="16" t="s">
        <v>175</v>
      </c>
      <c r="G141" s="16" t="s">
        <v>40</v>
      </c>
      <c r="H141" s="8">
        <v>45198</v>
      </c>
      <c r="I141" s="16" t="s">
        <v>176</v>
      </c>
      <c r="J141" t="b">
        <v>0</v>
      </c>
      <c r="K141" s="15" t="s">
        <v>453</v>
      </c>
      <c r="L141" s="15" t="str">
        <f>HYPERLINK("https://uk1.aconex.co.uk/hub/index.html?mainTarget=%2FSearchControlledDoc%3FSEARCH_ACTION%3D15%26tab%3D0%26searchMode%3D1%26searchQuery%3Ddocno:%22"&amp;RawData[[#This Row],[Document Number]]&amp;"%22%20%2Bcversion%253A1",RawData[[#This Row],[Document Number]])</f>
        <v>FS1018-AGL-ZZ-02-D-M-5301</v>
      </c>
    </row>
    <row r="142" spans="1:12" x14ac:dyDescent="0.3">
      <c r="A142" s="15" t="s">
        <v>454</v>
      </c>
      <c r="B142" s="15" t="s">
        <v>455</v>
      </c>
      <c r="C142" s="15" t="s">
        <v>10</v>
      </c>
      <c r="D142" s="15" t="s">
        <v>21</v>
      </c>
      <c r="E142" s="8">
        <v>45730</v>
      </c>
      <c r="F142" s="16" t="s">
        <v>12</v>
      </c>
      <c r="G142" s="16" t="s">
        <v>4</v>
      </c>
      <c r="H142" s="8"/>
      <c r="I142" s="16"/>
      <c r="J142" t="b">
        <v>1</v>
      </c>
      <c r="K142" s="15" t="s">
        <v>456</v>
      </c>
      <c r="L142" s="15" t="str">
        <f>HYPERLINK("https://uk1.aconex.co.uk/hub/index.html?mainTarget=%2FSearchControlledDoc%3FSEARCH_ACTION%3D15%26tab%3D0%26searchMode%3D1%26searchQuery%3Ddocno:%22"&amp;RawData[[#This Row],[Document Number]]&amp;"%22%20%2Bcversion%253A1",RawData[[#This Row],[Document Number]])</f>
        <v>FS1018-AGL-ZZ-02-D-M-5310</v>
      </c>
    </row>
    <row r="143" spans="1:12" x14ac:dyDescent="0.3">
      <c r="A143" s="15" t="s">
        <v>457</v>
      </c>
      <c r="B143" s="15" t="s">
        <v>458</v>
      </c>
      <c r="C143" s="15" t="s">
        <v>10</v>
      </c>
      <c r="D143" s="15" t="s">
        <v>21</v>
      </c>
      <c r="E143" s="8">
        <v>45730</v>
      </c>
      <c r="F143" s="16" t="s">
        <v>12</v>
      </c>
      <c r="G143" s="16" t="s">
        <v>4</v>
      </c>
      <c r="H143" s="8"/>
      <c r="I143" s="16"/>
      <c r="J143" t="b">
        <v>1</v>
      </c>
      <c r="K143" s="15" t="s">
        <v>459</v>
      </c>
      <c r="L143" s="15" t="str">
        <f>HYPERLINK("https://uk1.aconex.co.uk/hub/index.html?mainTarget=%2FSearchControlledDoc%3FSEARCH_ACTION%3D15%26tab%3D0%26searchMode%3D1%26searchQuery%3Ddocno:%22"&amp;RawData[[#This Row],[Document Number]]&amp;"%22%20%2Bcversion%253A1",RawData[[#This Row],[Document Number]])</f>
        <v>FS1018-AGL-ZZ-02-D-M-5311</v>
      </c>
    </row>
    <row r="144" spans="1:12" ht="43.2" x14ac:dyDescent="0.3">
      <c r="A144" s="15" t="s">
        <v>460</v>
      </c>
      <c r="B144" s="15" t="s">
        <v>461</v>
      </c>
      <c r="C144" s="15" t="s">
        <v>14</v>
      </c>
      <c r="D144" s="15" t="s">
        <v>20</v>
      </c>
      <c r="E144" s="8">
        <v>45175</v>
      </c>
      <c r="F144" s="16" t="s">
        <v>175</v>
      </c>
      <c r="G144" s="16" t="s">
        <v>40</v>
      </c>
      <c r="H144" s="8">
        <v>45205</v>
      </c>
      <c r="I144" s="16" t="s">
        <v>201</v>
      </c>
      <c r="J144" t="b">
        <v>0</v>
      </c>
      <c r="K144" s="15" t="s">
        <v>462</v>
      </c>
      <c r="L144" s="15" t="str">
        <f>HYPERLINK("https://uk1.aconex.co.uk/hub/index.html?mainTarget=%2FSearchControlledDoc%3FSEARCH_ACTION%3D15%26tab%3D0%26searchMode%3D1%26searchQuery%3Ddocno:%22"&amp;RawData[[#This Row],[Document Number]]&amp;"%22%20%2Bcversion%253A1",RawData[[#This Row],[Document Number]])</f>
        <v>FS1018-AGL-ZZ-02-D-M-5401</v>
      </c>
    </row>
    <row r="145" spans="1:12" x14ac:dyDescent="0.3">
      <c r="A145" s="15" t="s">
        <v>463</v>
      </c>
      <c r="B145" s="15" t="s">
        <v>464</v>
      </c>
      <c r="C145" s="15" t="s">
        <v>10</v>
      </c>
      <c r="D145" s="15" t="s">
        <v>21</v>
      </c>
      <c r="E145" s="8">
        <v>45730</v>
      </c>
      <c r="F145" s="16" t="s">
        <v>12</v>
      </c>
      <c r="G145" s="16" t="s">
        <v>4</v>
      </c>
      <c r="H145" s="8"/>
      <c r="I145" s="16"/>
      <c r="J145" t="b">
        <v>1</v>
      </c>
      <c r="K145" s="15" t="s">
        <v>465</v>
      </c>
      <c r="L145" s="15" t="str">
        <f>HYPERLINK("https://uk1.aconex.co.uk/hub/index.html?mainTarget=%2FSearchControlledDoc%3FSEARCH_ACTION%3D15%26tab%3D0%26searchMode%3D1%26searchQuery%3Ddocno:%22"&amp;RawData[[#This Row],[Document Number]]&amp;"%22%20%2Bcversion%253A1",RawData[[#This Row],[Document Number]])</f>
        <v>FS1018-AGL-ZZ-02-D-M-5410</v>
      </c>
    </row>
    <row r="146" spans="1:12" ht="43.2" x14ac:dyDescent="0.3">
      <c r="A146" s="15" t="s">
        <v>466</v>
      </c>
      <c r="B146" s="15" t="s">
        <v>467</v>
      </c>
      <c r="C146" s="15" t="s">
        <v>14</v>
      </c>
      <c r="D146" s="15" t="s">
        <v>20</v>
      </c>
      <c r="E146" s="8">
        <v>45175</v>
      </c>
      <c r="F146" s="16" t="s">
        <v>175</v>
      </c>
      <c r="G146" s="16" t="s">
        <v>40</v>
      </c>
      <c r="H146" s="8">
        <v>45205</v>
      </c>
      <c r="I146" s="16" t="s">
        <v>208</v>
      </c>
      <c r="J146" t="b">
        <v>0</v>
      </c>
      <c r="K146" s="15" t="s">
        <v>468</v>
      </c>
      <c r="L146" s="15" t="str">
        <f>HYPERLINK("https://uk1.aconex.co.uk/hub/index.html?mainTarget=%2FSearchControlledDoc%3FSEARCH_ACTION%3D15%26tab%3D0%26searchMode%3D1%26searchQuery%3Ddocno:%22"&amp;RawData[[#This Row],[Document Number]]&amp;"%22%20%2Bcversion%253A1",RawData[[#This Row],[Document Number]])</f>
        <v>FS1018-AGL-ZZ-02-D-M-5601</v>
      </c>
    </row>
    <row r="147" spans="1:12" x14ac:dyDescent="0.3">
      <c r="A147" s="15" t="s">
        <v>469</v>
      </c>
      <c r="B147" s="15" t="s">
        <v>470</v>
      </c>
      <c r="C147" s="15" t="s">
        <v>14</v>
      </c>
      <c r="D147" s="15" t="s">
        <v>21</v>
      </c>
      <c r="E147" s="8">
        <v>45730</v>
      </c>
      <c r="F147" s="16" t="s">
        <v>12</v>
      </c>
      <c r="G147" s="16" t="s">
        <v>4</v>
      </c>
      <c r="H147" s="8"/>
      <c r="I147" s="16"/>
      <c r="J147" t="b">
        <v>0</v>
      </c>
      <c r="K147" s="15" t="s">
        <v>471</v>
      </c>
      <c r="L147" s="15" t="str">
        <f>HYPERLINK("https://uk1.aconex.co.uk/hub/index.html?mainTarget=%2FSearchControlledDoc%3FSEARCH_ACTION%3D15%26tab%3D0%26searchMode%3D1%26searchQuery%3Ddocno:%22"&amp;RawData[[#This Row],[Document Number]]&amp;"%22%20%2Bcversion%253A1",RawData[[#This Row],[Document Number]])</f>
        <v>FS1018-AGL-ZZ-02-D-M-5610</v>
      </c>
    </row>
    <row r="148" spans="1:12" x14ac:dyDescent="0.3">
      <c r="A148" s="15" t="s">
        <v>472</v>
      </c>
      <c r="B148" s="15" t="s">
        <v>473</v>
      </c>
      <c r="C148" s="15" t="s">
        <v>14</v>
      </c>
      <c r="D148" s="15" t="s">
        <v>21</v>
      </c>
      <c r="E148" s="8">
        <v>45730</v>
      </c>
      <c r="F148" s="16" t="s">
        <v>12</v>
      </c>
      <c r="G148" s="16" t="s">
        <v>4</v>
      </c>
      <c r="H148" s="8"/>
      <c r="I148" s="16"/>
      <c r="J148" t="b">
        <v>0</v>
      </c>
      <c r="K148" s="15" t="s">
        <v>474</v>
      </c>
      <c r="L148" s="15" t="str">
        <f>HYPERLINK("https://uk1.aconex.co.uk/hub/index.html?mainTarget=%2FSearchControlledDoc%3FSEARCH_ACTION%3D15%26tab%3D0%26searchMode%3D1%26searchQuery%3Ddocno:%22"&amp;RawData[[#This Row],[Document Number]]&amp;"%22%20%2Bcversion%253A1",RawData[[#This Row],[Document Number]])</f>
        <v>FS1018-AGL-ZZ-02-D-M-5611</v>
      </c>
    </row>
    <row r="149" spans="1:12" ht="43.2" x14ac:dyDescent="0.3">
      <c r="A149" s="15" t="s">
        <v>475</v>
      </c>
      <c r="B149" s="15" t="s">
        <v>476</v>
      </c>
      <c r="C149" s="15" t="s">
        <v>14</v>
      </c>
      <c r="D149" s="15" t="s">
        <v>20</v>
      </c>
      <c r="E149" s="8">
        <v>45175</v>
      </c>
      <c r="F149" s="16" t="s">
        <v>175</v>
      </c>
      <c r="G149" s="16" t="s">
        <v>40</v>
      </c>
      <c r="H149" s="8">
        <v>45205</v>
      </c>
      <c r="I149" s="16" t="s">
        <v>221</v>
      </c>
      <c r="J149" t="b">
        <v>0</v>
      </c>
      <c r="K149" s="15" t="s">
        <v>477</v>
      </c>
      <c r="L149" s="15" t="str">
        <f>HYPERLINK("https://uk1.aconex.co.uk/hub/index.html?mainTarget=%2FSearchControlledDoc%3FSEARCH_ACTION%3D15%26tab%3D0%26searchMode%3D1%26searchQuery%3Ddocno:%22"&amp;RawData[[#This Row],[Document Number]]&amp;"%22%20%2Bcversion%253A1",RawData[[#This Row],[Document Number]])</f>
        <v>FS1018-AGL-ZZ-02-D-M-5701</v>
      </c>
    </row>
    <row r="150" spans="1:12" x14ac:dyDescent="0.3">
      <c r="A150" s="15" t="s">
        <v>478</v>
      </c>
      <c r="B150" s="15" t="s">
        <v>479</v>
      </c>
      <c r="C150" s="15" t="s">
        <v>10</v>
      </c>
      <c r="D150" s="15" t="s">
        <v>21</v>
      </c>
      <c r="E150" s="8">
        <v>45730</v>
      </c>
      <c r="F150" s="16" t="s">
        <v>12</v>
      </c>
      <c r="G150" s="16" t="s">
        <v>4</v>
      </c>
      <c r="H150" s="8"/>
      <c r="I150" s="16"/>
      <c r="J150" t="b">
        <v>1</v>
      </c>
      <c r="K150" s="15" t="s">
        <v>480</v>
      </c>
      <c r="L150" s="15" t="str">
        <f>HYPERLINK("https://uk1.aconex.co.uk/hub/index.html?mainTarget=%2FSearchControlledDoc%3FSEARCH_ACTION%3D15%26tab%3D0%26searchMode%3D1%26searchQuery%3Ddocno:%22"&amp;RawData[[#This Row],[Document Number]]&amp;"%22%20%2Bcversion%253A1",RawData[[#This Row],[Document Number]])</f>
        <v>FS1018-AGL-ZZ-02-D-M-5710</v>
      </c>
    </row>
    <row r="151" spans="1:12" x14ac:dyDescent="0.3">
      <c r="A151" s="15" t="s">
        <v>481</v>
      </c>
      <c r="B151" s="15" t="s">
        <v>482</v>
      </c>
      <c r="C151" s="15" t="s">
        <v>10</v>
      </c>
      <c r="D151" s="15" t="s">
        <v>21</v>
      </c>
      <c r="E151" s="8">
        <v>45730</v>
      </c>
      <c r="F151" s="16" t="s">
        <v>12</v>
      </c>
      <c r="G151" s="16" t="s">
        <v>4</v>
      </c>
      <c r="H151" s="8"/>
      <c r="I151" s="16"/>
      <c r="J151" t="b">
        <v>1</v>
      </c>
      <c r="K151" s="15" t="s">
        <v>483</v>
      </c>
      <c r="L151" s="15" t="str">
        <f>HYPERLINK("https://uk1.aconex.co.uk/hub/index.html?mainTarget=%2FSearchControlledDoc%3FSEARCH_ACTION%3D15%26tab%3D0%26searchMode%3D1%26searchQuery%3Ddocno:%22"&amp;RawData[[#This Row],[Document Number]]&amp;"%22%20%2Bcversion%253A1",RawData[[#This Row],[Document Number]])</f>
        <v>FS1018-AGL-ZZ-02-D-M-5711</v>
      </c>
    </row>
    <row r="152" spans="1:12" x14ac:dyDescent="0.3">
      <c r="A152" s="15" t="s">
        <v>484</v>
      </c>
      <c r="B152" s="15" t="s">
        <v>485</v>
      </c>
      <c r="C152" s="15" t="s">
        <v>14</v>
      </c>
      <c r="D152" s="15" t="s">
        <v>21</v>
      </c>
      <c r="E152" s="8">
        <v>45730</v>
      </c>
      <c r="F152" s="16" t="s">
        <v>12</v>
      </c>
      <c r="G152" s="16" t="s">
        <v>4</v>
      </c>
      <c r="H152" s="8"/>
      <c r="I152" s="16"/>
      <c r="J152" t="b">
        <v>0</v>
      </c>
      <c r="K152" s="15" t="s">
        <v>486</v>
      </c>
      <c r="L152" s="15" t="str">
        <f>HYPERLINK("https://uk1.aconex.co.uk/hub/index.html?mainTarget=%2FSearchControlledDoc%3FSEARCH_ACTION%3D15%26tab%3D0%26searchMode%3D1%26searchQuery%3Ddocno:%22"&amp;RawData[[#This Row],[Document Number]]&amp;"%22%20%2Bcversion%253A1",RawData[[#This Row],[Document Number]])</f>
        <v>FS1018-AGL-ZZ-02-D-Z-6010</v>
      </c>
    </row>
    <row r="153" spans="1:12" x14ac:dyDescent="0.3">
      <c r="A153" s="15" t="s">
        <v>487</v>
      </c>
      <c r="B153" s="15" t="s">
        <v>488</v>
      </c>
      <c r="C153" s="15" t="s">
        <v>14</v>
      </c>
      <c r="D153" s="15" t="s">
        <v>21</v>
      </c>
      <c r="E153" s="8">
        <v>45730</v>
      </c>
      <c r="F153" s="16" t="s">
        <v>12</v>
      </c>
      <c r="G153" s="16" t="s">
        <v>4</v>
      </c>
      <c r="H153" s="8"/>
      <c r="I153" s="16"/>
      <c r="J153" t="b">
        <v>0</v>
      </c>
      <c r="K153" s="15" t="s">
        <v>489</v>
      </c>
      <c r="L153" s="15" t="str">
        <f>HYPERLINK("https://uk1.aconex.co.uk/hub/index.html?mainTarget=%2FSearchControlledDoc%3FSEARCH_ACTION%3D15%26tab%3D0%26searchMode%3D1%26searchQuery%3Ddocno:%22"&amp;RawData[[#This Row],[Document Number]]&amp;"%22%20%2Bcversion%253A1",RawData[[#This Row],[Document Number]])</f>
        <v>FS1018-AGL-ZZ-02-D-Z-6011</v>
      </c>
    </row>
    <row r="154" spans="1:12" ht="86.4" x14ac:dyDescent="0.3">
      <c r="A154" s="15" t="s">
        <v>490</v>
      </c>
      <c r="B154" s="15" t="s">
        <v>491</v>
      </c>
      <c r="C154" s="15" t="s">
        <v>14</v>
      </c>
      <c r="D154" s="15" t="s">
        <v>20</v>
      </c>
      <c r="E154" s="8">
        <v>45175</v>
      </c>
      <c r="F154" s="16" t="s">
        <v>249</v>
      </c>
      <c r="G154" s="16" t="s">
        <v>40</v>
      </c>
      <c r="H154" s="8">
        <v>45205</v>
      </c>
      <c r="I154" s="16" t="s">
        <v>250</v>
      </c>
      <c r="J154" t="b">
        <v>0</v>
      </c>
      <c r="K154" s="15" t="s">
        <v>492</v>
      </c>
      <c r="L154" s="15" t="str">
        <f>HYPERLINK("https://uk1.aconex.co.uk/hub/index.html?mainTarget=%2FSearchControlledDoc%3FSEARCH_ACTION%3D15%26tab%3D0%26searchMode%3D1%26searchQuery%3Ddocno:%22"&amp;RawData[[#This Row],[Document Number]]&amp;"%22%20%2Bcversion%253A1",RawData[[#This Row],[Document Number]])</f>
        <v>FS1018-AGL-ZZ-02-D-Z-9501</v>
      </c>
    </row>
    <row r="155" spans="1:12" x14ac:dyDescent="0.3">
      <c r="A155" s="15" t="s">
        <v>493</v>
      </c>
      <c r="B155" s="15" t="s">
        <v>494</v>
      </c>
      <c r="C155" s="15" t="s">
        <v>14</v>
      </c>
      <c r="D155" s="15" t="s">
        <v>21</v>
      </c>
      <c r="E155" s="8">
        <v>45730</v>
      </c>
      <c r="F155" s="16" t="s">
        <v>12</v>
      </c>
      <c r="G155" s="16" t="s">
        <v>4</v>
      </c>
      <c r="H155" s="8"/>
      <c r="I155" s="16"/>
      <c r="J155" t="b">
        <v>0</v>
      </c>
      <c r="K155" s="15" t="s">
        <v>495</v>
      </c>
      <c r="L155" s="15" t="str">
        <f>HYPERLINK("https://uk1.aconex.co.uk/hub/index.html?mainTarget=%2FSearchControlledDoc%3FSEARCH_ACTION%3D15%26tab%3D0%26searchMode%3D1%26searchQuery%3Ddocno:%22"&amp;RawData[[#This Row],[Document Number]]&amp;"%22%20%2Bcversion%253A1",RawData[[#This Row],[Document Number]])</f>
        <v>FS1018-AGL-ZZ-02-D-Z-9610</v>
      </c>
    </row>
    <row r="156" spans="1:12" x14ac:dyDescent="0.3">
      <c r="A156" s="15" t="s">
        <v>496</v>
      </c>
      <c r="B156" s="15" t="s">
        <v>497</v>
      </c>
      <c r="C156" s="15" t="s">
        <v>14</v>
      </c>
      <c r="D156" s="15" t="s">
        <v>21</v>
      </c>
      <c r="E156" s="8">
        <v>45730</v>
      </c>
      <c r="F156" s="16" t="s">
        <v>12</v>
      </c>
      <c r="G156" s="16" t="s">
        <v>4</v>
      </c>
      <c r="H156" s="8"/>
      <c r="I156" s="16"/>
      <c r="J156" t="b">
        <v>0</v>
      </c>
      <c r="K156" s="15" t="s">
        <v>498</v>
      </c>
      <c r="L156" s="15" t="str">
        <f>HYPERLINK("https://uk1.aconex.co.uk/hub/index.html?mainTarget=%2FSearchControlledDoc%3FSEARCH_ACTION%3D15%26tab%3D0%26searchMode%3D1%26searchQuery%3Ddocno:%22"&amp;RawData[[#This Row],[Document Number]]&amp;"%22%20%2Bcversion%253A1",RawData[[#This Row],[Document Number]])</f>
        <v>FS1018-AGL-ZZ-02-D-Z-9611</v>
      </c>
    </row>
    <row r="157" spans="1:12" x14ac:dyDescent="0.3">
      <c r="A157" s="15" t="s">
        <v>499</v>
      </c>
      <c r="B157" s="15" t="s">
        <v>500</v>
      </c>
      <c r="C157" s="15" t="s">
        <v>14</v>
      </c>
      <c r="D157" s="15" t="s">
        <v>21</v>
      </c>
      <c r="E157" s="8">
        <v>45730</v>
      </c>
      <c r="F157" s="16" t="s">
        <v>12</v>
      </c>
      <c r="G157" s="16" t="s">
        <v>4</v>
      </c>
      <c r="H157" s="8"/>
      <c r="I157" s="16"/>
      <c r="J157" t="b">
        <v>0</v>
      </c>
      <c r="K157" s="15" t="s">
        <v>501</v>
      </c>
      <c r="L157" s="15" t="str">
        <f>HYPERLINK("https://uk1.aconex.co.uk/hub/index.html?mainTarget=%2FSearchControlledDoc%3FSEARCH_ACTION%3D15%26tab%3D0%26searchMode%3D1%26searchQuery%3Ddocno:%22"&amp;RawData[[#This Row],[Document Number]]&amp;"%22%20%2Bcversion%253A1",RawData[[#This Row],[Document Number]])</f>
        <v>FS1018-AGL-ZZ-RF-D-E-6213</v>
      </c>
    </row>
    <row r="158" spans="1:12" x14ac:dyDescent="0.3">
      <c r="A158" s="15" t="s">
        <v>502</v>
      </c>
      <c r="B158" s="15" t="s">
        <v>503</v>
      </c>
      <c r="C158" s="15" t="s">
        <v>14</v>
      </c>
      <c r="D158" s="15" t="s">
        <v>21</v>
      </c>
      <c r="E158" s="8">
        <v>45730</v>
      </c>
      <c r="F158" s="16" t="s">
        <v>12</v>
      </c>
      <c r="G158" s="16" t="s">
        <v>4</v>
      </c>
      <c r="H158" s="8"/>
      <c r="I158" s="16"/>
      <c r="J158" t="b">
        <v>0</v>
      </c>
      <c r="K158" s="15" t="s">
        <v>504</v>
      </c>
      <c r="L158" s="15" t="str">
        <f>HYPERLINK("https://uk1.aconex.co.uk/hub/index.html?mainTarget=%2FSearchControlledDoc%3FSEARCH_ACTION%3D15%26tab%3D0%26searchMode%3D1%26searchQuery%3Ddocno:%22"&amp;RawData[[#This Row],[Document Number]]&amp;"%22%20%2Bcversion%253A1",RawData[[#This Row],[Document Number]])</f>
        <v>FS1018-AGL-ZZ-RF-D-E-6810</v>
      </c>
    </row>
    <row r="159" spans="1:12" x14ac:dyDescent="0.3">
      <c r="A159" s="15" t="s">
        <v>505</v>
      </c>
      <c r="B159" s="15" t="s">
        <v>506</v>
      </c>
      <c r="C159" s="15" t="s">
        <v>14</v>
      </c>
      <c r="D159" s="15" t="s">
        <v>21</v>
      </c>
      <c r="E159" s="8">
        <v>45730</v>
      </c>
      <c r="F159" s="16" t="s">
        <v>12</v>
      </c>
      <c r="G159" s="16" t="s">
        <v>4</v>
      </c>
      <c r="H159" s="8"/>
      <c r="I159" s="16"/>
      <c r="J159" t="b">
        <v>0</v>
      </c>
      <c r="K159" s="15" t="s">
        <v>507</v>
      </c>
      <c r="L159" s="15" t="str">
        <f>HYPERLINK("https://uk1.aconex.co.uk/hub/index.html?mainTarget=%2FSearchControlledDoc%3FSEARCH_ACTION%3D15%26tab%3D0%26searchMode%3D1%26searchQuery%3Ddocno:%22"&amp;RawData[[#This Row],[Document Number]]&amp;"%22%20%2Bcversion%253A1",RawData[[#This Row],[Document Number]])</f>
        <v>FS1018-AGL-ZZ-RF-D-E-6811</v>
      </c>
    </row>
    <row r="160" spans="1:12" x14ac:dyDescent="0.3">
      <c r="A160" s="15" t="s">
        <v>508</v>
      </c>
      <c r="B160" s="15" t="s">
        <v>509</v>
      </c>
      <c r="C160" s="15" t="s">
        <v>14</v>
      </c>
      <c r="D160" s="15" t="s">
        <v>21</v>
      </c>
      <c r="E160" s="8">
        <v>45730</v>
      </c>
      <c r="F160" s="16" t="s">
        <v>12</v>
      </c>
      <c r="G160" s="16" t="s">
        <v>4</v>
      </c>
      <c r="H160" s="8"/>
      <c r="I160" s="16"/>
      <c r="J160" t="b">
        <v>0</v>
      </c>
      <c r="K160" s="15" t="s">
        <v>510</v>
      </c>
      <c r="L160" s="15" t="str">
        <f>HYPERLINK("https://uk1.aconex.co.uk/hub/index.html?mainTarget=%2FSearchControlledDoc%3FSEARCH_ACTION%3D15%26tab%3D0%26searchMode%3D1%26searchQuery%3Ddocno:%22"&amp;RawData[[#This Row],[Document Number]]&amp;"%22%20%2Bcversion%253A1",RawData[[#This Row],[Document Number]])</f>
        <v>FS1018-AGL-ZZ-RF-D-E-6840</v>
      </c>
    </row>
    <row r="161" spans="1:12" x14ac:dyDescent="0.3">
      <c r="A161" s="15" t="s">
        <v>511</v>
      </c>
      <c r="B161" s="15" t="s">
        <v>512</v>
      </c>
      <c r="C161" s="15" t="s">
        <v>14</v>
      </c>
      <c r="D161" s="15" t="s">
        <v>21</v>
      </c>
      <c r="E161" s="8">
        <v>45730</v>
      </c>
      <c r="F161" s="16" t="s">
        <v>12</v>
      </c>
      <c r="G161" s="16" t="s">
        <v>4</v>
      </c>
      <c r="H161" s="8"/>
      <c r="I161" s="16"/>
      <c r="J161" t="b">
        <v>0</v>
      </c>
      <c r="K161" s="15" t="s">
        <v>513</v>
      </c>
      <c r="L161" s="15" t="str">
        <f>HYPERLINK("https://uk1.aconex.co.uk/hub/index.html?mainTarget=%2FSearchControlledDoc%3FSEARCH_ACTION%3D15%26tab%3D0%26searchMode%3D1%26searchQuery%3Ddocno:%22"&amp;RawData[[#This Row],[Document Number]]&amp;"%22%20%2Bcversion%253A1",RawData[[#This Row],[Document Number]])</f>
        <v>FS1018-AGL-ZZ-RF-D-E-6841</v>
      </c>
    </row>
    <row r="162" spans="1:12" x14ac:dyDescent="0.3">
      <c r="A162" s="15" t="s">
        <v>514</v>
      </c>
      <c r="B162" s="15" t="s">
        <v>515</v>
      </c>
      <c r="C162" s="15" t="s">
        <v>14</v>
      </c>
      <c r="D162" s="15" t="s">
        <v>21</v>
      </c>
      <c r="E162" s="8">
        <v>45730</v>
      </c>
      <c r="F162" s="16" t="s">
        <v>12</v>
      </c>
      <c r="G162" s="16" t="s">
        <v>4</v>
      </c>
      <c r="H162" s="8"/>
      <c r="I162" s="16"/>
      <c r="J162" t="b">
        <v>0</v>
      </c>
      <c r="K162" s="15" t="s">
        <v>516</v>
      </c>
      <c r="L162" s="15" t="str">
        <f>HYPERLINK("https://uk1.aconex.co.uk/hub/index.html?mainTarget=%2FSearchControlledDoc%3FSEARCH_ACTION%3D15%26tab%3D0%26searchMode%3D1%26searchQuery%3Ddocno:%22"&amp;RawData[[#This Row],[Document Number]]&amp;"%22%20%2Bcversion%253A1",RawData[[#This Row],[Document Number]])</f>
        <v>FS1018-AGL-ZZ-RF-D-E-6842</v>
      </c>
    </row>
    <row r="163" spans="1:12" ht="43.2" x14ac:dyDescent="0.3">
      <c r="A163" s="15" t="s">
        <v>517</v>
      </c>
      <c r="B163" s="15" t="s">
        <v>518</v>
      </c>
      <c r="C163" s="15" t="s">
        <v>14</v>
      </c>
      <c r="D163" s="15" t="s">
        <v>20</v>
      </c>
      <c r="E163" s="8">
        <v>45638</v>
      </c>
      <c r="F163" s="16" t="s">
        <v>78</v>
      </c>
      <c r="G163" s="16" t="s">
        <v>40</v>
      </c>
      <c r="H163" s="8">
        <v>45669</v>
      </c>
      <c r="I163" s="16" t="s">
        <v>71</v>
      </c>
      <c r="J163" t="b">
        <v>0</v>
      </c>
      <c r="K163" s="15" t="s">
        <v>519</v>
      </c>
      <c r="L163" s="15" t="str">
        <f>HYPERLINK("https://uk1.aconex.co.uk/hub/index.html?mainTarget=%2FSearchControlledDoc%3FSEARCH_ACTION%3D15%26tab%3D0%26searchMode%3D1%26searchQuery%3Ddocno:%22"&amp;RawData[[#This Row],[Document Number]]&amp;"%22%20%2Bcversion%253A1",RawData[[#This Row],[Document Number]])</f>
        <v>FS1018-AGL-ZZ-RF-D-E-9001</v>
      </c>
    </row>
    <row r="164" spans="1:12" x14ac:dyDescent="0.3">
      <c r="A164" s="15" t="s">
        <v>517</v>
      </c>
      <c r="B164" s="15" t="s">
        <v>518</v>
      </c>
      <c r="C164" s="15" t="s">
        <v>10</v>
      </c>
      <c r="D164" s="15" t="s">
        <v>21</v>
      </c>
      <c r="E164" s="8">
        <v>45730</v>
      </c>
      <c r="F164" s="16" t="s">
        <v>12</v>
      </c>
      <c r="G164" s="16" t="s">
        <v>4</v>
      </c>
      <c r="H164" s="8"/>
      <c r="I164" s="16"/>
      <c r="J164" t="b">
        <v>1</v>
      </c>
      <c r="K164" s="15" t="s">
        <v>519</v>
      </c>
      <c r="L164" s="15" t="str">
        <f>HYPERLINK("https://uk1.aconex.co.uk/hub/index.html?mainTarget=%2FSearchControlledDoc%3FSEARCH_ACTION%3D15%26tab%3D0%26searchMode%3D1%26searchQuery%3Ddocno:%22"&amp;RawData[[#This Row],[Document Number]]&amp;"%22%20%2Bcversion%253A1",RawData[[#This Row],[Document Number]])</f>
        <v>FS1018-AGL-ZZ-RF-D-E-9001</v>
      </c>
    </row>
    <row r="165" spans="1:12" x14ac:dyDescent="0.3">
      <c r="A165" s="15" t="s">
        <v>520</v>
      </c>
      <c r="B165" s="15" t="s">
        <v>521</v>
      </c>
      <c r="C165" s="15" t="s">
        <v>10</v>
      </c>
      <c r="D165" s="15" t="s">
        <v>21</v>
      </c>
      <c r="E165" s="8">
        <v>45730</v>
      </c>
      <c r="F165" s="16" t="s">
        <v>12</v>
      </c>
      <c r="G165" s="16" t="s">
        <v>4</v>
      </c>
      <c r="H165" s="8"/>
      <c r="I165" s="16"/>
      <c r="J165" t="b">
        <v>1</v>
      </c>
      <c r="K165" s="15" t="s">
        <v>522</v>
      </c>
      <c r="L165" s="15" t="str">
        <f>HYPERLINK("https://uk1.aconex.co.uk/hub/index.html?mainTarget=%2FSearchControlledDoc%3FSEARCH_ACTION%3D15%26tab%3D0%26searchMode%3D1%26searchQuery%3Ddocno:%22"&amp;RawData[[#This Row],[Document Number]]&amp;"%22%20%2Bcversion%253A1",RawData[[#This Row],[Document Number]])</f>
        <v>FS1018-AGL-ZZ-RF-D-M-5210</v>
      </c>
    </row>
    <row r="166" spans="1:12" x14ac:dyDescent="0.3">
      <c r="A166" s="15" t="s">
        <v>523</v>
      </c>
      <c r="B166" s="15" t="s">
        <v>524</v>
      </c>
      <c r="C166" s="15" t="s">
        <v>10</v>
      </c>
      <c r="D166" s="15" t="s">
        <v>21</v>
      </c>
      <c r="E166" s="8">
        <v>45730</v>
      </c>
      <c r="F166" s="16" t="s">
        <v>12</v>
      </c>
      <c r="G166" s="16" t="s">
        <v>4</v>
      </c>
      <c r="H166" s="8"/>
      <c r="I166" s="16"/>
      <c r="J166" t="b">
        <v>1</v>
      </c>
      <c r="K166" s="15" t="s">
        <v>525</v>
      </c>
      <c r="L166" s="15" t="str">
        <f>HYPERLINK("https://uk1.aconex.co.uk/hub/index.html?mainTarget=%2FSearchControlledDoc%3FSEARCH_ACTION%3D15%26tab%3D0%26searchMode%3D1%26searchQuery%3Ddocno:%22"&amp;RawData[[#This Row],[Document Number]]&amp;"%22%20%2Bcversion%253A1",RawData[[#This Row],[Document Number]])</f>
        <v>FS1018-AGL-ZZ-RF-D-M-5211</v>
      </c>
    </row>
    <row r="167" spans="1:12" x14ac:dyDescent="0.3">
      <c r="A167" s="15" t="s">
        <v>526</v>
      </c>
      <c r="B167" s="15" t="s">
        <v>527</v>
      </c>
      <c r="C167" s="15" t="s">
        <v>10</v>
      </c>
      <c r="D167" s="15" t="s">
        <v>21</v>
      </c>
      <c r="E167" s="8">
        <v>45730</v>
      </c>
      <c r="F167" s="16" t="s">
        <v>12</v>
      </c>
      <c r="G167" s="16" t="s">
        <v>4</v>
      </c>
      <c r="H167" s="8"/>
      <c r="I167" s="16"/>
      <c r="J167" t="b">
        <v>1</v>
      </c>
      <c r="K167" s="15" t="s">
        <v>528</v>
      </c>
      <c r="L167" s="15" t="str">
        <f>HYPERLINK("https://uk1.aconex.co.uk/hub/index.html?mainTarget=%2FSearchControlledDoc%3FSEARCH_ACTION%3D15%26tab%3D0%26searchMode%3D1%26searchQuery%3Ddocno:%22"&amp;RawData[[#This Row],[Document Number]]&amp;"%22%20%2Bcversion%253A1",RawData[[#This Row],[Document Number]])</f>
        <v>FS1018-AGL-ZZ-RF-D-M-5212</v>
      </c>
    </row>
    <row r="168" spans="1:12" ht="43.2" x14ac:dyDescent="0.3">
      <c r="A168" s="15" t="s">
        <v>529</v>
      </c>
      <c r="B168" s="15" t="s">
        <v>530</v>
      </c>
      <c r="C168" s="15" t="s">
        <v>14</v>
      </c>
      <c r="D168" s="15" t="s">
        <v>20</v>
      </c>
      <c r="E168" s="8">
        <v>45175</v>
      </c>
      <c r="F168" s="16" t="s">
        <v>175</v>
      </c>
      <c r="G168" s="16" t="s">
        <v>40</v>
      </c>
      <c r="H168" s="8">
        <v>45198</v>
      </c>
      <c r="I168" s="16" t="s">
        <v>176</v>
      </c>
      <c r="J168" t="b">
        <v>0</v>
      </c>
      <c r="K168" s="15" t="s">
        <v>531</v>
      </c>
      <c r="L168" s="15" t="str">
        <f>HYPERLINK("https://uk1.aconex.co.uk/hub/index.html?mainTarget=%2FSearchControlledDoc%3FSEARCH_ACTION%3D15%26tab%3D0%26searchMode%3D1%26searchQuery%3Ddocno:%22"&amp;RawData[[#This Row],[Document Number]]&amp;"%22%20%2Bcversion%253A1",RawData[[#This Row],[Document Number]])</f>
        <v>FS1018-AGL-ZZ-RF-D-M-5301</v>
      </c>
    </row>
    <row r="169" spans="1:12" x14ac:dyDescent="0.3">
      <c r="A169" s="15" t="s">
        <v>532</v>
      </c>
      <c r="B169" s="15" t="s">
        <v>533</v>
      </c>
      <c r="C169" s="15" t="s">
        <v>10</v>
      </c>
      <c r="D169" s="15" t="s">
        <v>21</v>
      </c>
      <c r="E169" s="8">
        <v>45730</v>
      </c>
      <c r="F169" s="16" t="s">
        <v>12</v>
      </c>
      <c r="G169" s="16" t="s">
        <v>4</v>
      </c>
      <c r="H169" s="8"/>
      <c r="I169" s="16"/>
      <c r="J169" t="b">
        <v>1</v>
      </c>
      <c r="K169" s="15" t="s">
        <v>534</v>
      </c>
      <c r="L169" s="15" t="str">
        <f>HYPERLINK("https://uk1.aconex.co.uk/hub/index.html?mainTarget=%2FSearchControlledDoc%3FSEARCH_ACTION%3D15%26tab%3D0%26searchMode%3D1%26searchQuery%3Ddocno:%22"&amp;RawData[[#This Row],[Document Number]]&amp;"%22%20%2Bcversion%253A1",RawData[[#This Row],[Document Number]])</f>
        <v>FS1018-AGL-ZZ-RF-D-M-5310</v>
      </c>
    </row>
    <row r="170" spans="1:12" x14ac:dyDescent="0.3">
      <c r="A170" s="15" t="s">
        <v>535</v>
      </c>
      <c r="B170" s="15" t="s">
        <v>536</v>
      </c>
      <c r="C170" s="15" t="s">
        <v>10</v>
      </c>
      <c r="D170" s="15" t="s">
        <v>21</v>
      </c>
      <c r="E170" s="8">
        <v>45730</v>
      </c>
      <c r="F170" s="16" t="s">
        <v>12</v>
      </c>
      <c r="G170" s="16" t="s">
        <v>4</v>
      </c>
      <c r="H170" s="8"/>
      <c r="I170" s="16"/>
      <c r="J170" t="b">
        <v>1</v>
      </c>
      <c r="K170" s="15" t="s">
        <v>537</v>
      </c>
      <c r="L170" s="15" t="str">
        <f>HYPERLINK("https://uk1.aconex.co.uk/hub/index.html?mainTarget=%2FSearchControlledDoc%3FSEARCH_ACTION%3D15%26tab%3D0%26searchMode%3D1%26searchQuery%3Ddocno:%22"&amp;RawData[[#This Row],[Document Number]]&amp;"%22%20%2Bcversion%253A1",RawData[[#This Row],[Document Number]])</f>
        <v>FS1018-AGL-ZZ-RF-D-M-5311</v>
      </c>
    </row>
    <row r="171" spans="1:12" x14ac:dyDescent="0.3">
      <c r="A171" s="15" t="s">
        <v>538</v>
      </c>
      <c r="B171" s="15" t="s">
        <v>539</v>
      </c>
      <c r="C171" s="15" t="s">
        <v>10</v>
      </c>
      <c r="D171" s="15" t="s">
        <v>21</v>
      </c>
      <c r="E171" s="8">
        <v>45730</v>
      </c>
      <c r="F171" s="16" t="s">
        <v>12</v>
      </c>
      <c r="G171" s="16" t="s">
        <v>4</v>
      </c>
      <c r="H171" s="8"/>
      <c r="I171" s="16"/>
      <c r="J171" t="b">
        <v>1</v>
      </c>
      <c r="K171" s="15" t="s">
        <v>540</v>
      </c>
      <c r="L171" s="15" t="str">
        <f>HYPERLINK("https://uk1.aconex.co.uk/hub/index.html?mainTarget=%2FSearchControlledDoc%3FSEARCH_ACTION%3D15%26tab%3D0%26searchMode%3D1%26searchQuery%3Ddocno:%22"&amp;RawData[[#This Row],[Document Number]]&amp;"%22%20%2Bcversion%253A1",RawData[[#This Row],[Document Number]])</f>
        <v>FS1018-AGL-ZZ-RF-D-M-5312</v>
      </c>
    </row>
    <row r="172" spans="1:12" x14ac:dyDescent="0.3">
      <c r="A172" s="15" t="s">
        <v>541</v>
      </c>
      <c r="B172" s="15" t="s">
        <v>542</v>
      </c>
      <c r="C172" s="15" t="s">
        <v>14</v>
      </c>
      <c r="D172" s="15" t="s">
        <v>21</v>
      </c>
      <c r="E172" s="8">
        <v>45730</v>
      </c>
      <c r="F172" s="16" t="s">
        <v>12</v>
      </c>
      <c r="G172" s="16" t="s">
        <v>4</v>
      </c>
      <c r="H172" s="8"/>
      <c r="I172" s="16"/>
      <c r="J172" t="b">
        <v>0</v>
      </c>
      <c r="K172" s="15" t="s">
        <v>543</v>
      </c>
      <c r="L172" s="15" t="str">
        <f>HYPERLINK("https://uk1.aconex.co.uk/hub/index.html?mainTarget=%2FSearchControlledDoc%3FSEARCH_ACTION%3D15%26tab%3D0%26searchMode%3D1%26searchQuery%3Ddocno:%22"&amp;RawData[[#This Row],[Document Number]]&amp;"%22%20%2Bcversion%253A1",RawData[[#This Row],[Document Number]])</f>
        <v>FS1018-AGL-ZZ-RF-D-M-5710</v>
      </c>
    </row>
    <row r="173" spans="1:12" x14ac:dyDescent="0.3">
      <c r="A173" s="15" t="s">
        <v>544</v>
      </c>
      <c r="B173" s="15" t="s">
        <v>545</v>
      </c>
      <c r="C173" s="15" t="s">
        <v>14</v>
      </c>
      <c r="D173" s="15" t="s">
        <v>21</v>
      </c>
      <c r="E173" s="8">
        <v>45730</v>
      </c>
      <c r="F173" s="16" t="s">
        <v>12</v>
      </c>
      <c r="G173" s="16" t="s">
        <v>4</v>
      </c>
      <c r="H173" s="8"/>
      <c r="I173" s="16"/>
      <c r="J173" t="b">
        <v>0</v>
      </c>
      <c r="K173" s="15" t="s">
        <v>546</v>
      </c>
      <c r="L173" s="15" t="str">
        <f>HYPERLINK("https://uk1.aconex.co.uk/hub/index.html?mainTarget=%2FSearchControlledDoc%3FSEARCH_ACTION%3D15%26tab%3D0%26searchMode%3D1%26searchQuery%3Ddocno:%22"&amp;RawData[[#This Row],[Document Number]]&amp;"%22%20%2Bcversion%253A1",RawData[[#This Row],[Document Number]])</f>
        <v>FS1018-AGL-ZZ-RF-D-M-5711</v>
      </c>
    </row>
    <row r="174" spans="1:12" x14ac:dyDescent="0.3">
      <c r="A174" s="15" t="s">
        <v>547</v>
      </c>
      <c r="B174" s="15" t="s">
        <v>548</v>
      </c>
      <c r="C174" s="15" t="s">
        <v>14</v>
      </c>
      <c r="D174" s="15" t="s">
        <v>21</v>
      </c>
      <c r="E174" s="8">
        <v>45730</v>
      </c>
      <c r="F174" s="16" t="s">
        <v>12</v>
      </c>
      <c r="G174" s="16" t="s">
        <v>4</v>
      </c>
      <c r="H174" s="8"/>
      <c r="I174" s="16"/>
      <c r="J174" t="b">
        <v>0</v>
      </c>
      <c r="K174" s="15" t="s">
        <v>549</v>
      </c>
      <c r="L174" s="15" t="str">
        <f>HYPERLINK("https://uk1.aconex.co.uk/hub/index.html?mainTarget=%2FSearchControlledDoc%3FSEARCH_ACTION%3D15%26tab%3D0%26searchMode%3D1%26searchQuery%3Ddocno:%22"&amp;RawData[[#This Row],[Document Number]]&amp;"%22%20%2Bcversion%253A1",RawData[[#This Row],[Document Number]])</f>
        <v>FS1018-AGL-ZZ-RF-D-M-5712</v>
      </c>
    </row>
    <row r="175" spans="1:12" ht="43.2" x14ac:dyDescent="0.3">
      <c r="A175" s="15" t="s">
        <v>550</v>
      </c>
      <c r="B175" s="15" t="s">
        <v>551</v>
      </c>
      <c r="C175" s="15" t="s">
        <v>14</v>
      </c>
      <c r="D175" s="15" t="s">
        <v>20</v>
      </c>
      <c r="E175" s="8">
        <v>45175</v>
      </c>
      <c r="F175" s="16" t="s">
        <v>175</v>
      </c>
      <c r="G175" s="16" t="s">
        <v>40</v>
      </c>
      <c r="H175" s="8">
        <v>45205</v>
      </c>
      <c r="I175" s="16" t="s">
        <v>552</v>
      </c>
      <c r="J175" t="b">
        <v>0</v>
      </c>
      <c r="K175" s="15" t="s">
        <v>553</v>
      </c>
      <c r="L175" s="15" t="str">
        <f>HYPERLINK("https://uk1.aconex.co.uk/hub/index.html?mainTarget=%2FSearchControlledDoc%3FSEARCH_ACTION%3D15%26tab%3D0%26searchMode%3D1%26searchQuery%3Ddocno:%22"&amp;RawData[[#This Row],[Document Number]]&amp;"%22%20%2Bcversion%253A1",RawData[[#This Row],[Document Number]])</f>
        <v>FS1018-AGL-ZZ-RF-D-M-5801</v>
      </c>
    </row>
    <row r="176" spans="1:12" ht="43.2" x14ac:dyDescent="0.3">
      <c r="A176" s="15" t="s">
        <v>554</v>
      </c>
      <c r="B176" s="15" t="s">
        <v>555</v>
      </c>
      <c r="C176" s="15" t="s">
        <v>14</v>
      </c>
      <c r="D176" s="15" t="s">
        <v>20</v>
      </c>
      <c r="E176" s="8">
        <v>45638</v>
      </c>
      <c r="F176" s="16" t="s">
        <v>78</v>
      </c>
      <c r="G176" s="16" t="s">
        <v>40</v>
      </c>
      <c r="H176" s="8">
        <v>45669</v>
      </c>
      <c r="I176" s="16" t="s">
        <v>71</v>
      </c>
      <c r="J176" t="b">
        <v>0</v>
      </c>
      <c r="K176" s="15" t="s">
        <v>556</v>
      </c>
      <c r="L176" s="15" t="str">
        <f>HYPERLINK("https://uk1.aconex.co.uk/hub/index.html?mainTarget=%2FSearchControlledDoc%3FSEARCH_ACTION%3D15%26tab%3D0%26searchMode%3D1%26searchQuery%3Ddocno:%22"&amp;RawData[[#This Row],[Document Number]]&amp;"%22%20%2Bcversion%253A1",RawData[[#This Row],[Document Number]])</f>
        <v>FS1018-AGL-ZZ-RF-D-Z-5810</v>
      </c>
    </row>
    <row r="177" spans="1:12" x14ac:dyDescent="0.3">
      <c r="A177" s="15" t="s">
        <v>554</v>
      </c>
      <c r="B177" s="15" t="s">
        <v>555</v>
      </c>
      <c r="C177" s="15" t="s">
        <v>10</v>
      </c>
      <c r="D177" s="15" t="s">
        <v>21</v>
      </c>
      <c r="E177" s="8">
        <v>45730</v>
      </c>
      <c r="F177" s="16" t="s">
        <v>12</v>
      </c>
      <c r="G177" s="16" t="s">
        <v>4</v>
      </c>
      <c r="H177" s="8"/>
      <c r="I177" s="16"/>
      <c r="J177" t="b">
        <v>1</v>
      </c>
      <c r="K177" s="15" t="s">
        <v>556</v>
      </c>
      <c r="L177" s="15" t="str">
        <f>HYPERLINK("https://uk1.aconex.co.uk/hub/index.html?mainTarget=%2FSearchControlledDoc%3FSEARCH_ACTION%3D15%26tab%3D0%26searchMode%3D1%26searchQuery%3Ddocno:%22"&amp;RawData[[#This Row],[Document Number]]&amp;"%22%20%2Bcversion%253A1",RawData[[#This Row],[Document Number]])</f>
        <v>FS1018-AGL-ZZ-RF-D-Z-5810</v>
      </c>
    </row>
    <row r="178" spans="1:12" ht="43.2" x14ac:dyDescent="0.3">
      <c r="A178" s="15" t="s">
        <v>557</v>
      </c>
      <c r="B178" s="15" t="s">
        <v>558</v>
      </c>
      <c r="C178" s="15" t="s">
        <v>14</v>
      </c>
      <c r="D178" s="15" t="s">
        <v>20</v>
      </c>
      <c r="E178" s="8">
        <v>45638</v>
      </c>
      <c r="F178" s="16" t="s">
        <v>78</v>
      </c>
      <c r="G178" s="16" t="s">
        <v>40</v>
      </c>
      <c r="H178" s="8">
        <v>45669</v>
      </c>
      <c r="I178" s="16" t="s">
        <v>71</v>
      </c>
      <c r="J178" t="b">
        <v>0</v>
      </c>
      <c r="K178" s="15" t="s">
        <v>559</v>
      </c>
      <c r="L178" s="15" t="str">
        <f>HYPERLINK("https://uk1.aconex.co.uk/hub/index.html?mainTarget=%2FSearchControlledDoc%3FSEARCH_ACTION%3D15%26tab%3D0%26searchMode%3D1%26searchQuery%3Ddocno:%22"&amp;RawData[[#This Row],[Document Number]]&amp;"%22%20%2Bcversion%253A1",RawData[[#This Row],[Document Number]])</f>
        <v>FS1018-AGL-ZZ-RF-D-Z-5811</v>
      </c>
    </row>
    <row r="179" spans="1:12" x14ac:dyDescent="0.3">
      <c r="A179" s="15" t="s">
        <v>557</v>
      </c>
      <c r="B179" s="15" t="s">
        <v>558</v>
      </c>
      <c r="C179" s="15" t="s">
        <v>10</v>
      </c>
      <c r="D179" s="15" t="s">
        <v>21</v>
      </c>
      <c r="E179" s="8">
        <v>45730</v>
      </c>
      <c r="F179" s="16" t="s">
        <v>12</v>
      </c>
      <c r="G179" s="16" t="s">
        <v>4</v>
      </c>
      <c r="H179" s="8"/>
      <c r="I179" s="16"/>
      <c r="J179" t="b">
        <v>1</v>
      </c>
      <c r="K179" s="15" t="s">
        <v>559</v>
      </c>
      <c r="L179" s="15" t="str">
        <f>HYPERLINK("https://uk1.aconex.co.uk/hub/index.html?mainTarget=%2FSearchControlledDoc%3FSEARCH_ACTION%3D15%26tab%3D0%26searchMode%3D1%26searchQuery%3Ddocno:%22"&amp;RawData[[#This Row],[Document Number]]&amp;"%22%20%2Bcversion%253A1",RawData[[#This Row],[Document Number]])</f>
        <v>FS1018-AGL-ZZ-RF-D-Z-5811</v>
      </c>
    </row>
    <row r="180" spans="1:12" ht="43.2" x14ac:dyDescent="0.3">
      <c r="A180" s="15" t="s">
        <v>560</v>
      </c>
      <c r="B180" s="15" t="s">
        <v>561</v>
      </c>
      <c r="C180" s="15" t="s">
        <v>14</v>
      </c>
      <c r="D180" s="15" t="s">
        <v>20</v>
      </c>
      <c r="E180" s="8">
        <v>45638</v>
      </c>
      <c r="F180" s="16" t="s">
        <v>78</v>
      </c>
      <c r="G180" s="16" t="s">
        <v>40</v>
      </c>
      <c r="H180" s="8">
        <v>45669</v>
      </c>
      <c r="I180" s="16" t="s">
        <v>71</v>
      </c>
      <c r="J180" t="b">
        <v>0</v>
      </c>
      <c r="K180" s="15" t="s">
        <v>562</v>
      </c>
      <c r="L180" s="15" t="str">
        <f>HYPERLINK("https://uk1.aconex.co.uk/hub/index.html?mainTarget=%2FSearchControlledDoc%3FSEARCH_ACTION%3D15%26tab%3D0%26searchMode%3D1%26searchQuery%3Ddocno:%22"&amp;RawData[[#This Row],[Document Number]]&amp;"%22%20%2Bcversion%253A1",RawData[[#This Row],[Document Number]])</f>
        <v>FS1018-AGL-ZZ-RF-D-Z-5812</v>
      </c>
    </row>
    <row r="181" spans="1:12" x14ac:dyDescent="0.3">
      <c r="A181" s="15" t="s">
        <v>560</v>
      </c>
      <c r="B181" s="15" t="s">
        <v>561</v>
      </c>
      <c r="C181" s="15" t="s">
        <v>10</v>
      </c>
      <c r="D181" s="15" t="s">
        <v>21</v>
      </c>
      <c r="E181" s="8">
        <v>45730</v>
      </c>
      <c r="F181" s="16" t="s">
        <v>12</v>
      </c>
      <c r="G181" s="16" t="s">
        <v>4</v>
      </c>
      <c r="H181" s="8"/>
      <c r="I181" s="16"/>
      <c r="J181" t="b">
        <v>1</v>
      </c>
      <c r="K181" s="15" t="s">
        <v>562</v>
      </c>
      <c r="L181" s="15" t="str">
        <f>HYPERLINK("https://uk1.aconex.co.uk/hub/index.html?mainTarget=%2FSearchControlledDoc%3FSEARCH_ACTION%3D15%26tab%3D0%26searchMode%3D1%26searchQuery%3Ddocno:%22"&amp;RawData[[#This Row],[Document Number]]&amp;"%22%20%2Bcversion%253A1",RawData[[#This Row],[Document Number]])</f>
        <v>FS1018-AGL-ZZ-RF-D-Z-5812</v>
      </c>
    </row>
    <row r="182" spans="1:12" x14ac:dyDescent="0.3">
      <c r="A182" s="15" t="s">
        <v>563</v>
      </c>
      <c r="B182" s="15" t="s">
        <v>564</v>
      </c>
      <c r="C182" s="15" t="s">
        <v>14</v>
      </c>
      <c r="D182" s="15" t="s">
        <v>21</v>
      </c>
      <c r="E182" s="8">
        <v>45730</v>
      </c>
      <c r="F182" s="16" t="s">
        <v>12</v>
      </c>
      <c r="G182" s="16" t="s">
        <v>4</v>
      </c>
      <c r="H182" s="8"/>
      <c r="I182" s="16"/>
      <c r="J182" t="b">
        <v>0</v>
      </c>
      <c r="K182" s="15" t="s">
        <v>565</v>
      </c>
      <c r="L182" s="15" t="str">
        <f>HYPERLINK("https://uk1.aconex.co.uk/hub/index.html?mainTarget=%2FSearchControlledDoc%3FSEARCH_ACTION%3D15%26tab%3D0%26searchMode%3D1%26searchQuery%3Ddocno:%22"&amp;RawData[[#This Row],[Document Number]]&amp;"%22%20%2Bcversion%253A1",RawData[[#This Row],[Document Number]])</f>
        <v>FS1018-AGL-ZZ-RF-D-Z-6010</v>
      </c>
    </row>
    <row r="183" spans="1:12" x14ac:dyDescent="0.3">
      <c r="A183" s="15" t="s">
        <v>566</v>
      </c>
      <c r="B183" s="15" t="s">
        <v>567</v>
      </c>
      <c r="C183" s="15" t="s">
        <v>14</v>
      </c>
      <c r="D183" s="15" t="s">
        <v>21</v>
      </c>
      <c r="E183" s="8">
        <v>45730</v>
      </c>
      <c r="F183" s="16" t="s">
        <v>12</v>
      </c>
      <c r="G183" s="16" t="s">
        <v>4</v>
      </c>
      <c r="H183" s="8"/>
      <c r="I183" s="16"/>
      <c r="J183" t="b">
        <v>0</v>
      </c>
      <c r="K183" s="15" t="s">
        <v>568</v>
      </c>
      <c r="L183" s="15" t="str">
        <f>HYPERLINK("https://uk1.aconex.co.uk/hub/index.html?mainTarget=%2FSearchControlledDoc%3FSEARCH_ACTION%3D15%26tab%3D0%26searchMode%3D1%26searchQuery%3Ddocno:%22"&amp;RawData[[#This Row],[Document Number]]&amp;"%22%20%2Bcversion%253A1",RawData[[#This Row],[Document Number]])</f>
        <v>FS1018-AGL-ZZ-RF-D-Z-6011</v>
      </c>
    </row>
    <row r="184" spans="1:12" x14ac:dyDescent="0.3">
      <c r="A184" s="15" t="s">
        <v>569</v>
      </c>
      <c r="B184" s="15" t="s">
        <v>570</v>
      </c>
      <c r="C184" s="15" t="s">
        <v>14</v>
      </c>
      <c r="D184" s="15" t="s">
        <v>21</v>
      </c>
      <c r="E184" s="8">
        <v>45730</v>
      </c>
      <c r="F184" s="16" t="s">
        <v>12</v>
      </c>
      <c r="G184" s="16" t="s">
        <v>4</v>
      </c>
      <c r="H184" s="8"/>
      <c r="I184" s="16"/>
      <c r="J184" t="b">
        <v>0</v>
      </c>
      <c r="K184" s="15" t="s">
        <v>571</v>
      </c>
      <c r="L184" s="15" t="str">
        <f>HYPERLINK("https://uk1.aconex.co.uk/hub/index.html?mainTarget=%2FSearchControlledDoc%3FSEARCH_ACTION%3D15%26tab%3D0%26searchMode%3D1%26searchQuery%3Ddocno:%22"&amp;RawData[[#This Row],[Document Number]]&amp;"%22%20%2Bcversion%253A1",RawData[[#This Row],[Document Number]])</f>
        <v>FS1018-AGL-ZZ-RF-D-Z-6012</v>
      </c>
    </row>
    <row r="185" spans="1:12" ht="43.2" x14ac:dyDescent="0.3">
      <c r="A185" s="15" t="s">
        <v>572</v>
      </c>
      <c r="B185" s="15" t="s">
        <v>573</v>
      </c>
      <c r="C185" s="15" t="s">
        <v>14</v>
      </c>
      <c r="D185" s="15" t="s">
        <v>20</v>
      </c>
      <c r="E185" s="8">
        <v>45175</v>
      </c>
      <c r="F185" s="16" t="s">
        <v>249</v>
      </c>
      <c r="G185" s="16" t="s">
        <v>40</v>
      </c>
      <c r="H185" s="8">
        <v>45205</v>
      </c>
      <c r="I185" s="16" t="s">
        <v>574</v>
      </c>
      <c r="J185" t="b">
        <v>0</v>
      </c>
      <c r="K185" s="15" t="s">
        <v>575</v>
      </c>
      <c r="L185" s="15" t="str">
        <f>HYPERLINK("https://uk1.aconex.co.uk/hub/index.html?mainTarget=%2FSearchControlledDoc%3FSEARCH_ACTION%3D15%26tab%3D0%26searchMode%3D1%26searchQuery%3Ddocno:%22"&amp;RawData[[#This Row],[Document Number]]&amp;"%22%20%2Bcversion%253A1",RawData[[#This Row],[Document Number]])</f>
        <v>FS1018-AGL-ZZ-RF-D-Z-6101</v>
      </c>
    </row>
    <row r="186" spans="1:12" x14ac:dyDescent="0.3">
      <c r="A186" s="15" t="s">
        <v>576</v>
      </c>
      <c r="B186" s="15" t="s">
        <v>577</v>
      </c>
      <c r="C186" s="15" t="s">
        <v>14</v>
      </c>
      <c r="D186" s="15" t="s">
        <v>20</v>
      </c>
      <c r="E186" s="8">
        <v>45175</v>
      </c>
      <c r="F186" s="16" t="s">
        <v>82</v>
      </c>
      <c r="G186" s="16" t="s">
        <v>34</v>
      </c>
      <c r="H186" s="8">
        <v>45201</v>
      </c>
      <c r="I186" s="16"/>
      <c r="J186" t="b">
        <v>0</v>
      </c>
      <c r="K186" s="15" t="s">
        <v>578</v>
      </c>
      <c r="L186" s="15" t="str">
        <f>HYPERLINK("https://uk1.aconex.co.uk/hub/index.html?mainTarget=%2FSearchControlledDoc%3FSEARCH_ACTION%3D15%26tab%3D0%26searchMode%3D1%26searchQuery%3Ddocno:%22"&amp;RawData[[#This Row],[Document Number]]&amp;"%22%20%2Bcversion%253A1",RawData[[#This Row],[Document Number]])</f>
        <v>FS1018-AGL-ZZ-XX-D-E-6802</v>
      </c>
    </row>
    <row r="187" spans="1:12" ht="43.2" x14ac:dyDescent="0.3">
      <c r="A187" s="15" t="s">
        <v>579</v>
      </c>
      <c r="B187" s="15" t="s">
        <v>580</v>
      </c>
      <c r="C187" s="15" t="s">
        <v>14</v>
      </c>
      <c r="D187" s="15" t="s">
        <v>20</v>
      </c>
      <c r="E187" s="8">
        <v>45175</v>
      </c>
      <c r="F187" s="16" t="s">
        <v>82</v>
      </c>
      <c r="G187" s="16" t="s">
        <v>40</v>
      </c>
      <c r="H187" s="8">
        <v>45201</v>
      </c>
      <c r="I187" s="16" t="s">
        <v>581</v>
      </c>
      <c r="J187" t="b">
        <v>0</v>
      </c>
      <c r="K187" s="15" t="s">
        <v>582</v>
      </c>
      <c r="L187" s="15" t="str">
        <f>HYPERLINK("https://uk1.aconex.co.uk/hub/index.html?mainTarget=%2FSearchControlledDoc%3FSEARCH_ACTION%3D15%26tab%3D0%26searchMode%3D1%26searchQuery%3Ddocno:%22"&amp;RawData[[#This Row],[Document Number]]&amp;"%22%20%2Bcversion%253A1",RawData[[#This Row],[Document Number]])</f>
        <v>FS1018-AGL-ZZ-XX-D-E-9001</v>
      </c>
    </row>
    <row r="188" spans="1:12" ht="43.2" x14ac:dyDescent="0.3">
      <c r="A188" s="15" t="s">
        <v>579</v>
      </c>
      <c r="B188" s="15" t="s">
        <v>580</v>
      </c>
      <c r="C188" s="15" t="s">
        <v>10</v>
      </c>
      <c r="D188" s="15" t="s">
        <v>20</v>
      </c>
      <c r="E188" s="8">
        <v>45533</v>
      </c>
      <c r="F188" s="16" t="s">
        <v>175</v>
      </c>
      <c r="G188" s="16" t="s">
        <v>40</v>
      </c>
      <c r="H188" s="8">
        <v>45669</v>
      </c>
      <c r="I188" s="16" t="s">
        <v>71</v>
      </c>
      <c r="J188" t="b">
        <v>1</v>
      </c>
      <c r="K188" s="15" t="s">
        <v>582</v>
      </c>
      <c r="L188" s="15" t="str">
        <f>HYPERLINK("https://uk1.aconex.co.uk/hub/index.html?mainTarget=%2FSearchControlledDoc%3FSEARCH_ACTION%3D15%26tab%3D0%26searchMode%3D1%26searchQuery%3Ddocno:%22"&amp;RawData[[#This Row],[Document Number]]&amp;"%22%20%2Bcversion%253A1",RawData[[#This Row],[Document Number]])</f>
        <v>FS1018-AGL-ZZ-XX-D-E-9001</v>
      </c>
    </row>
    <row r="189" spans="1:12" x14ac:dyDescent="0.3">
      <c r="A189" s="15" t="s">
        <v>579</v>
      </c>
      <c r="B189" s="15" t="s">
        <v>580</v>
      </c>
      <c r="C189" s="15" t="s">
        <v>583</v>
      </c>
      <c r="D189" s="15" t="s">
        <v>21</v>
      </c>
      <c r="E189" s="8">
        <v>45730</v>
      </c>
      <c r="F189" s="16" t="s">
        <v>12</v>
      </c>
      <c r="G189" s="16" t="s">
        <v>4</v>
      </c>
      <c r="H189" s="8"/>
      <c r="I189" s="16"/>
      <c r="J189" t="b">
        <v>0</v>
      </c>
      <c r="K189" s="15" t="s">
        <v>582</v>
      </c>
      <c r="L189" s="15" t="str">
        <f>HYPERLINK("https://uk1.aconex.co.uk/hub/index.html?mainTarget=%2FSearchControlledDoc%3FSEARCH_ACTION%3D15%26tab%3D0%26searchMode%3D1%26searchQuery%3Ddocno:%22"&amp;RawData[[#This Row],[Document Number]]&amp;"%22%20%2Bcversion%253A1",RawData[[#This Row],[Document Number]])</f>
        <v>FS1018-AGL-ZZ-XX-D-E-9001</v>
      </c>
    </row>
    <row r="190" spans="1:12" ht="72" x14ac:dyDescent="0.3">
      <c r="A190" s="15" t="s">
        <v>584</v>
      </c>
      <c r="B190" s="15" t="s">
        <v>585</v>
      </c>
      <c r="C190" s="15" t="s">
        <v>14</v>
      </c>
      <c r="D190" s="15" t="s">
        <v>20</v>
      </c>
      <c r="E190" s="8">
        <v>45175</v>
      </c>
      <c r="F190" s="16" t="s">
        <v>82</v>
      </c>
      <c r="G190" s="16" t="s">
        <v>40</v>
      </c>
      <c r="H190" s="8">
        <v>45201</v>
      </c>
      <c r="I190" s="16" t="s">
        <v>586</v>
      </c>
      <c r="J190" t="b">
        <v>0</v>
      </c>
      <c r="K190" s="15" t="s">
        <v>587</v>
      </c>
      <c r="L190" s="15" t="str">
        <f>HYPERLINK("https://uk1.aconex.co.uk/hub/index.html?mainTarget=%2FSearchControlledDoc%3FSEARCH_ACTION%3D15%26tab%3D0%26searchMode%3D1%26searchQuery%3Ddocno:%22"&amp;RawData[[#This Row],[Document Number]]&amp;"%22%20%2Bcversion%253A1",RawData[[#This Row],[Document Number]])</f>
        <v>FS1018-AGL-ZZ-XX-D-E-9002</v>
      </c>
    </row>
    <row r="191" spans="1:12" x14ac:dyDescent="0.3">
      <c r="A191" s="15" t="s">
        <v>584</v>
      </c>
      <c r="B191" s="15" t="s">
        <v>585</v>
      </c>
      <c r="C191" s="15" t="s">
        <v>10</v>
      </c>
      <c r="D191" s="15" t="s">
        <v>21</v>
      </c>
      <c r="E191" s="8">
        <v>45730</v>
      </c>
      <c r="F191" s="16" t="s">
        <v>12</v>
      </c>
      <c r="G191" s="16" t="s">
        <v>4</v>
      </c>
      <c r="H191" s="8"/>
      <c r="I191" s="16"/>
      <c r="J191" t="b">
        <v>1</v>
      </c>
      <c r="K191" s="15" t="s">
        <v>587</v>
      </c>
      <c r="L191" s="15" t="str">
        <f>HYPERLINK("https://uk1.aconex.co.uk/hub/index.html?mainTarget=%2FSearchControlledDoc%3FSEARCH_ACTION%3D15%26tab%3D0%26searchMode%3D1%26searchQuery%3Ddocno:%22"&amp;RawData[[#This Row],[Document Number]]&amp;"%22%20%2Bcversion%253A1",RawData[[#This Row],[Document Number]])</f>
        <v>FS1018-AGL-ZZ-XX-D-E-9002</v>
      </c>
    </row>
    <row r="192" spans="1:12" x14ac:dyDescent="0.3">
      <c r="A192" s="15" t="s">
        <v>588</v>
      </c>
      <c r="B192" s="15" t="s">
        <v>589</v>
      </c>
      <c r="C192" s="15" t="s">
        <v>14</v>
      </c>
      <c r="D192" s="15" t="s">
        <v>21</v>
      </c>
      <c r="E192" s="8">
        <v>45730</v>
      </c>
      <c r="F192" s="16" t="s">
        <v>12</v>
      </c>
      <c r="G192" s="16" t="s">
        <v>4</v>
      </c>
      <c r="H192" s="8"/>
      <c r="I192" s="16"/>
      <c r="J192" t="b">
        <v>0</v>
      </c>
      <c r="K192" s="15" t="s">
        <v>590</v>
      </c>
      <c r="L192" s="15" t="str">
        <f>HYPERLINK("https://uk1.aconex.co.uk/hub/index.html?mainTarget=%2FSearchControlledDoc%3FSEARCH_ACTION%3D15%26tab%3D0%26searchMode%3D1%26searchQuery%3Ddocno:%22"&amp;RawData[[#This Row],[Document Number]]&amp;"%22%20%2Bcversion%253A1",RawData[[#This Row],[Document Number]])</f>
        <v>FS1018-AGL-ZZ-XX-D-E-9511</v>
      </c>
    </row>
    <row r="193" spans="1:12" x14ac:dyDescent="0.3">
      <c r="A193" s="15" t="s">
        <v>591</v>
      </c>
      <c r="B193" s="15" t="s">
        <v>592</v>
      </c>
      <c r="C193" s="15" t="s">
        <v>14</v>
      </c>
      <c r="D193" s="15" t="s">
        <v>21</v>
      </c>
      <c r="E193" s="8">
        <v>45730</v>
      </c>
      <c r="F193" s="16" t="s">
        <v>12</v>
      </c>
      <c r="G193" s="16" t="s">
        <v>4</v>
      </c>
      <c r="H193" s="8"/>
      <c r="I193" s="16"/>
      <c r="J193" t="b">
        <v>0</v>
      </c>
      <c r="K193" s="15" t="s">
        <v>593</v>
      </c>
      <c r="L193" s="15" t="str">
        <f>HYPERLINK("https://uk1.aconex.co.uk/hub/index.html?mainTarget=%2FSearchControlledDoc%3FSEARCH_ACTION%3D15%26tab%3D0%26searchMode%3D1%26searchQuery%3Ddocno:%22"&amp;RawData[[#This Row],[Document Number]]&amp;"%22%20%2Bcversion%253A1",RawData[[#This Row],[Document Number]])</f>
        <v>FS1018-AGL-ZZ-XX-D-Z-5810</v>
      </c>
    </row>
    <row r="194" spans="1:12" ht="43.2" x14ac:dyDescent="0.3">
      <c r="A194" s="15" t="s">
        <v>594</v>
      </c>
      <c r="B194" s="15" t="s">
        <v>595</v>
      </c>
      <c r="C194" s="15" t="s">
        <v>10</v>
      </c>
      <c r="D194" s="15" t="s">
        <v>20</v>
      </c>
      <c r="E194" s="8">
        <v>45638</v>
      </c>
      <c r="F194" s="16" t="s">
        <v>78</v>
      </c>
      <c r="G194" s="16" t="s">
        <v>40</v>
      </c>
      <c r="H194" s="8">
        <v>45669</v>
      </c>
      <c r="I194" s="16" t="s">
        <v>71</v>
      </c>
      <c r="J194" t="b">
        <v>1</v>
      </c>
      <c r="K194" s="15" t="s">
        <v>596</v>
      </c>
      <c r="L194" s="15" t="str">
        <f>HYPERLINK("https://uk1.aconex.co.uk/hub/index.html?mainTarget=%2FSearchControlledDoc%3FSEARCH_ACTION%3D15%26tab%3D0%26searchMode%3D1%26searchQuery%3Ddocno:%22"&amp;RawData[[#This Row],[Document Number]]&amp;"%22%20%2Bcversion%253A1",RawData[[#This Row],[Document Number]])</f>
        <v>FS1018-AGL-ZZ-XX-D-Z-9510</v>
      </c>
    </row>
    <row r="195" spans="1:12" x14ac:dyDescent="0.3">
      <c r="A195" s="15" t="s">
        <v>594</v>
      </c>
      <c r="B195" s="15" t="s">
        <v>595</v>
      </c>
      <c r="C195" s="15" t="s">
        <v>11</v>
      </c>
      <c r="D195" s="15" t="s">
        <v>21</v>
      </c>
      <c r="E195" s="8">
        <v>45730</v>
      </c>
      <c r="F195" s="16" t="s">
        <v>12</v>
      </c>
      <c r="G195" s="16" t="s">
        <v>4</v>
      </c>
      <c r="H195" s="8"/>
      <c r="I195" s="16"/>
      <c r="J195" t="b">
        <v>0</v>
      </c>
      <c r="K195" s="15" t="s">
        <v>596</v>
      </c>
      <c r="L195" s="15" t="str">
        <f>HYPERLINK("https://uk1.aconex.co.uk/hub/index.html?mainTarget=%2FSearchControlledDoc%3FSEARCH_ACTION%3D15%26tab%3D0%26searchMode%3D1%26searchQuery%3Ddocno:%22"&amp;RawData[[#This Row],[Document Number]]&amp;"%22%20%2Bcversion%253A1",RawData[[#This Row],[Document Number]])</f>
        <v>FS1018-AGL-ZZ-XX-D-Z-9510</v>
      </c>
    </row>
    <row r="196" spans="1:12" x14ac:dyDescent="0.3">
      <c r="A196" s="15" t="s">
        <v>597</v>
      </c>
      <c r="B196" s="15" t="s">
        <v>598</v>
      </c>
      <c r="C196" s="15" t="s">
        <v>14</v>
      </c>
      <c r="D196" s="15" t="s">
        <v>20</v>
      </c>
      <c r="E196" s="8">
        <v>45175</v>
      </c>
      <c r="F196" s="16" t="s">
        <v>82</v>
      </c>
      <c r="G196" s="16" t="s">
        <v>34</v>
      </c>
      <c r="H196" s="8">
        <v>45201</v>
      </c>
      <c r="I196" s="16"/>
      <c r="J196" t="b">
        <v>0</v>
      </c>
      <c r="K196" s="15" t="s">
        <v>599</v>
      </c>
      <c r="L196" s="15" t="str">
        <f>HYPERLINK("https://uk1.aconex.co.uk/hub/index.html?mainTarget=%2FSearchControlledDoc%3FSEARCH_ACTION%3D15%26tab%3D0%26searchMode%3D1%26searchQuery%3Ddocno:%22"&amp;RawData[[#This Row],[Document Number]]&amp;"%22%20%2Bcversion%253A1",RawData[[#This Row],[Document Number]])</f>
        <v>FS1018-AGL-ZZ-XX-L-E-0001</v>
      </c>
    </row>
    <row r="197" spans="1:12" x14ac:dyDescent="0.3">
      <c r="A197" s="15" t="s">
        <v>597</v>
      </c>
      <c r="B197" s="15" t="s">
        <v>598</v>
      </c>
      <c r="C197" s="15" t="s">
        <v>14</v>
      </c>
      <c r="D197" s="15" t="s">
        <v>21</v>
      </c>
      <c r="E197" s="8">
        <v>45730</v>
      </c>
      <c r="F197" s="16" t="s">
        <v>12</v>
      </c>
      <c r="G197" s="16" t="s">
        <v>4</v>
      </c>
      <c r="H197" s="8"/>
      <c r="I197" s="16"/>
      <c r="J197" t="b">
        <v>0</v>
      </c>
      <c r="K197" s="15" t="s">
        <v>599</v>
      </c>
      <c r="L197" s="15" t="str">
        <f>HYPERLINK("https://uk1.aconex.co.uk/hub/index.html?mainTarget=%2FSearchControlledDoc%3FSEARCH_ACTION%3D15%26tab%3D0%26searchMode%3D1%26searchQuery%3Ddocno:%22"&amp;RawData[[#This Row],[Document Number]]&amp;"%22%20%2Bcversion%253A1",RawData[[#This Row],[Document Number]])</f>
        <v>FS1018-AGL-ZZ-XX-L-E-0001</v>
      </c>
    </row>
    <row r="198" spans="1:12" x14ac:dyDescent="0.3">
      <c r="A198" s="15" t="s">
        <v>600</v>
      </c>
      <c r="B198" s="15" t="s">
        <v>601</v>
      </c>
      <c r="C198" s="15" t="s">
        <v>14</v>
      </c>
      <c r="D198" s="15" t="s">
        <v>21</v>
      </c>
      <c r="E198" s="8">
        <v>45730</v>
      </c>
      <c r="F198" s="16" t="s">
        <v>12</v>
      </c>
      <c r="G198" s="16" t="s">
        <v>4</v>
      </c>
      <c r="H198" s="8"/>
      <c r="I198" s="16"/>
      <c r="J198" t="b">
        <v>0</v>
      </c>
      <c r="K198" s="15" t="s">
        <v>602</v>
      </c>
      <c r="L198" s="15" t="str">
        <f>HYPERLINK("https://uk1.aconex.co.uk/hub/index.html?mainTarget=%2FSearchControlledDoc%3FSEARCH_ACTION%3D15%26tab%3D0%26searchMode%3D1%26searchQuery%3Ddocno:%22"&amp;RawData[[#This Row],[Document Number]]&amp;"%22%20%2Bcversion%253A1",RawData[[#This Row],[Document Number]])</f>
        <v>FS1018-AGL-ZZ-XX-L-E-0002</v>
      </c>
    </row>
    <row r="199" spans="1:12" x14ac:dyDescent="0.3">
      <c r="A199" s="15" t="s">
        <v>603</v>
      </c>
      <c r="B199" s="15" t="s">
        <v>604</v>
      </c>
      <c r="C199" s="15" t="s">
        <v>14</v>
      </c>
      <c r="D199" s="15" t="s">
        <v>21</v>
      </c>
      <c r="E199" s="8">
        <v>45730</v>
      </c>
      <c r="F199" s="16" t="s">
        <v>12</v>
      </c>
      <c r="G199" s="16" t="s">
        <v>4</v>
      </c>
      <c r="H199" s="8"/>
      <c r="I199" s="16"/>
      <c r="J199" t="b">
        <v>0</v>
      </c>
      <c r="K199" s="15" t="s">
        <v>605</v>
      </c>
      <c r="L199" s="15" t="str">
        <f>HYPERLINK("https://uk1.aconex.co.uk/hub/index.html?mainTarget=%2FSearchControlledDoc%3FSEARCH_ACTION%3D15%26tab%3D0%26searchMode%3D1%26searchQuery%3Ddocno:%22"&amp;RawData[[#This Row],[Document Number]]&amp;"%22%20%2Bcversion%253A1",RawData[[#This Row],[Document Number]])</f>
        <v>FS1018-AGL-ZZ-XX-L-E-0003</v>
      </c>
    </row>
    <row r="200" spans="1:12" x14ac:dyDescent="0.3">
      <c r="A200" s="15" t="s">
        <v>606</v>
      </c>
      <c r="B200" s="15" t="s">
        <v>607</v>
      </c>
      <c r="C200" s="15" t="s">
        <v>14</v>
      </c>
      <c r="D200" s="15" t="s">
        <v>21</v>
      </c>
      <c r="E200" s="8">
        <v>45730</v>
      </c>
      <c r="F200" s="16" t="s">
        <v>12</v>
      </c>
      <c r="G200" s="16" t="s">
        <v>4</v>
      </c>
      <c r="H200" s="8"/>
      <c r="I200" s="16"/>
      <c r="J200" t="b">
        <v>0</v>
      </c>
      <c r="K200" s="15" t="s">
        <v>608</v>
      </c>
      <c r="L200" s="15" t="str">
        <f>HYPERLINK("https://uk1.aconex.co.uk/hub/index.html?mainTarget=%2FSearchControlledDoc%3FSEARCH_ACTION%3D15%26tab%3D0%26searchMode%3D1%26searchQuery%3Ddocno:%22"&amp;RawData[[#This Row],[Document Number]]&amp;"%22%20%2Bcversion%253A1",RawData[[#This Row],[Document Number]])</f>
        <v>FS1018-AGL-ZZ-XX-L-E-0004</v>
      </c>
    </row>
    <row r="201" spans="1:12" x14ac:dyDescent="0.3">
      <c r="A201" s="15" t="s">
        <v>609</v>
      </c>
      <c r="B201" s="15" t="s">
        <v>610</v>
      </c>
      <c r="C201" s="15" t="s">
        <v>14</v>
      </c>
      <c r="D201" s="15" t="s">
        <v>21</v>
      </c>
      <c r="E201" s="8">
        <v>45730</v>
      </c>
      <c r="F201" s="16" t="s">
        <v>12</v>
      </c>
      <c r="G201" s="16" t="s">
        <v>4</v>
      </c>
      <c r="H201" s="8"/>
      <c r="I201" s="16"/>
      <c r="J201" t="b">
        <v>0</v>
      </c>
      <c r="K201" s="15" t="s">
        <v>611</v>
      </c>
      <c r="L201" s="15" t="str">
        <f>HYPERLINK("https://uk1.aconex.co.uk/hub/index.html?mainTarget=%2FSearchControlledDoc%3FSEARCH_ACTION%3D15%26tab%3D0%26searchMode%3D1%26searchQuery%3Ddocno:%22"&amp;RawData[[#This Row],[Document Number]]&amp;"%22%20%2Bcversion%253A1",RawData[[#This Row],[Document Number]])</f>
        <v>FS1018-AGL-ZZ-XX-L-E-0005</v>
      </c>
    </row>
    <row r="202" spans="1:12" x14ac:dyDescent="0.3">
      <c r="A202" s="15" t="s">
        <v>612</v>
      </c>
      <c r="B202" s="15" t="s">
        <v>613</v>
      </c>
      <c r="C202" s="15" t="s">
        <v>14</v>
      </c>
      <c r="D202" s="15" t="s">
        <v>21</v>
      </c>
      <c r="E202" s="8">
        <v>45730</v>
      </c>
      <c r="F202" s="16" t="s">
        <v>12</v>
      </c>
      <c r="G202" s="16" t="s">
        <v>4</v>
      </c>
      <c r="H202" s="8"/>
      <c r="I202" s="16"/>
      <c r="J202" t="b">
        <v>0</v>
      </c>
      <c r="K202" s="15" t="s">
        <v>614</v>
      </c>
      <c r="L202" s="15" t="str">
        <f>HYPERLINK("https://uk1.aconex.co.uk/hub/index.html?mainTarget=%2FSearchControlledDoc%3FSEARCH_ACTION%3D15%26tab%3D0%26searchMode%3D1%26searchQuery%3Ddocno:%22"&amp;RawData[[#This Row],[Document Number]]&amp;"%22%20%2Bcversion%253A1",RawData[[#This Row],[Document Number]])</f>
        <v>FS1018-AGL-ZZ-XX-L-E-9602</v>
      </c>
    </row>
    <row r="203" spans="1:12" ht="43.2" x14ac:dyDescent="0.3">
      <c r="A203" s="15" t="s">
        <v>615</v>
      </c>
      <c r="B203" s="15" t="s">
        <v>616</v>
      </c>
      <c r="C203" s="15" t="s">
        <v>14</v>
      </c>
      <c r="D203" s="15" t="s">
        <v>20</v>
      </c>
      <c r="E203" s="8">
        <v>45175</v>
      </c>
      <c r="F203" s="16" t="s">
        <v>175</v>
      </c>
      <c r="G203" s="16" t="s">
        <v>40</v>
      </c>
      <c r="H203" s="8">
        <v>45205</v>
      </c>
      <c r="I203" s="16" t="s">
        <v>617</v>
      </c>
      <c r="J203" t="b">
        <v>0</v>
      </c>
      <c r="K203" s="15" t="s">
        <v>618</v>
      </c>
      <c r="L203" s="15" t="str">
        <f>HYPERLINK("https://uk1.aconex.co.uk/hub/index.html?mainTarget=%2FSearchControlledDoc%3FSEARCH_ACTION%3D15%26tab%3D0%26searchMode%3D1%26searchQuery%3Ddocno:%22"&amp;RawData[[#This Row],[Document Number]]&amp;"%22%20%2Bcversion%253A1",RawData[[#This Row],[Document Number]])</f>
        <v>FS1018-AGL-ZZ-XX-L-M-0001</v>
      </c>
    </row>
    <row r="204" spans="1:12" ht="43.2" x14ac:dyDescent="0.3">
      <c r="A204" s="15" t="s">
        <v>619</v>
      </c>
      <c r="B204" s="15" t="s">
        <v>620</v>
      </c>
      <c r="C204" s="15" t="s">
        <v>14</v>
      </c>
      <c r="D204" s="15" t="s">
        <v>20</v>
      </c>
      <c r="E204" s="8">
        <v>45175</v>
      </c>
      <c r="F204" s="16" t="s">
        <v>175</v>
      </c>
      <c r="G204" s="16" t="s">
        <v>40</v>
      </c>
      <c r="H204" s="8">
        <v>45205</v>
      </c>
      <c r="I204" s="16" t="s">
        <v>621</v>
      </c>
      <c r="J204" t="b">
        <v>0</v>
      </c>
      <c r="K204" s="15" t="s">
        <v>622</v>
      </c>
      <c r="L204" s="15" t="str">
        <f>HYPERLINK("https://uk1.aconex.co.uk/hub/index.html?mainTarget=%2FSearchControlledDoc%3FSEARCH_ACTION%3D15%26tab%3D0%26searchMode%3D1%26searchQuery%3Ddocno:%22"&amp;RawData[[#This Row],[Document Number]]&amp;"%22%20%2Bcversion%253A1",RawData[[#This Row],[Document Number]])</f>
        <v>FS1018-AGL-ZZ-XX-L-M-0002</v>
      </c>
    </row>
    <row r="205" spans="1:12" x14ac:dyDescent="0.3">
      <c r="A205" s="15" t="s">
        <v>623</v>
      </c>
      <c r="B205" s="15" t="s">
        <v>624</v>
      </c>
      <c r="C205" s="15" t="s">
        <v>14</v>
      </c>
      <c r="D205" s="15" t="s">
        <v>21</v>
      </c>
      <c r="E205" s="8">
        <v>45730</v>
      </c>
      <c r="F205" s="16" t="s">
        <v>12</v>
      </c>
      <c r="G205" s="16" t="s">
        <v>4</v>
      </c>
      <c r="H205" s="8"/>
      <c r="I205" s="16"/>
      <c r="J205" t="b">
        <v>0</v>
      </c>
      <c r="K205" s="15" t="s">
        <v>625</v>
      </c>
      <c r="L205" s="15" t="str">
        <f>HYPERLINK("https://uk1.aconex.co.uk/hub/index.html?mainTarget=%2FSearchControlledDoc%3FSEARCH_ACTION%3D15%26tab%3D0%26searchMode%3D1%26searchQuery%3Ddocno:%22"&amp;RawData[[#This Row],[Document Number]]&amp;"%22%20%2Bcversion%253A1",RawData[[#This Row],[Document Number]])</f>
        <v>FS1018-AGL-ZZ-XX-L-M-0003</v>
      </c>
    </row>
    <row r="206" spans="1:12" x14ac:dyDescent="0.3">
      <c r="A206" s="15" t="s">
        <v>626</v>
      </c>
      <c r="B206" s="15" t="s">
        <v>627</v>
      </c>
      <c r="C206" s="15" t="s">
        <v>14</v>
      </c>
      <c r="D206" s="15" t="s">
        <v>21</v>
      </c>
      <c r="E206" s="8">
        <v>45730</v>
      </c>
      <c r="F206" s="16" t="s">
        <v>12</v>
      </c>
      <c r="G206" s="16" t="s">
        <v>4</v>
      </c>
      <c r="H206" s="8"/>
      <c r="I206" s="16"/>
      <c r="J206" t="b">
        <v>0</v>
      </c>
      <c r="K206" s="15" t="s">
        <v>628</v>
      </c>
      <c r="L206" s="15" t="str">
        <f>HYPERLINK("https://uk1.aconex.co.uk/hub/index.html?mainTarget=%2FSearchControlledDoc%3FSEARCH_ACTION%3D15%26tab%3D0%26searchMode%3D1%26searchQuery%3Ddocno:%22"&amp;RawData[[#This Row],[Document Number]]&amp;"%22%20%2Bcversion%253A1",RawData[[#This Row],[Document Number]])</f>
        <v>FS1018-AGL-ZZ-XX-L-M-0004</v>
      </c>
    </row>
    <row r="207" spans="1:12" x14ac:dyDescent="0.3">
      <c r="A207" s="15" t="s">
        <v>629</v>
      </c>
      <c r="B207" s="15" t="s">
        <v>630</v>
      </c>
      <c r="C207" s="15" t="s">
        <v>14</v>
      </c>
      <c r="D207" s="15" t="s">
        <v>21</v>
      </c>
      <c r="E207" s="8">
        <v>45730</v>
      </c>
      <c r="F207" s="16" t="s">
        <v>12</v>
      </c>
      <c r="G207" s="16" t="s">
        <v>4</v>
      </c>
      <c r="H207" s="8"/>
      <c r="I207" s="16"/>
      <c r="J207" t="b">
        <v>0</v>
      </c>
      <c r="K207" s="15" t="s">
        <v>631</v>
      </c>
      <c r="L207" s="15" t="str">
        <f>HYPERLINK("https://uk1.aconex.co.uk/hub/index.html?mainTarget=%2FSearchControlledDoc%3FSEARCH_ACTION%3D15%26tab%3D0%26searchMode%3D1%26searchQuery%3Ddocno:%22"&amp;RawData[[#This Row],[Document Number]]&amp;"%22%20%2Bcversion%253A1",RawData[[#This Row],[Document Number]])</f>
        <v>FS1018-AGL-ZZ-XX-L-M-0005</v>
      </c>
    </row>
    <row r="208" spans="1:12" x14ac:dyDescent="0.3">
      <c r="A208" s="15" t="s">
        <v>632</v>
      </c>
      <c r="B208" s="15" t="s">
        <v>633</v>
      </c>
      <c r="C208" s="15" t="s">
        <v>14</v>
      </c>
      <c r="D208" s="15" t="s">
        <v>21</v>
      </c>
      <c r="E208" s="8">
        <v>45730</v>
      </c>
      <c r="F208" s="16" t="s">
        <v>12</v>
      </c>
      <c r="G208" s="16" t="s">
        <v>4</v>
      </c>
      <c r="H208" s="8"/>
      <c r="I208" s="16"/>
      <c r="J208" t="b">
        <v>0</v>
      </c>
      <c r="K208" s="15" t="s">
        <v>634</v>
      </c>
      <c r="L208" s="15" t="str">
        <f>HYPERLINK("https://uk1.aconex.co.uk/hub/index.html?mainTarget=%2FSearchControlledDoc%3FSEARCH_ACTION%3D15%26tab%3D0%26searchMode%3D1%26searchQuery%3Ddocno:%22"&amp;RawData[[#This Row],[Document Number]]&amp;"%22%20%2Bcversion%253A1",RawData[[#This Row],[Document Number]])</f>
        <v>FS1018-AGL-ZZ-XX-L-M-0006</v>
      </c>
    </row>
    <row r="209" spans="1:12" x14ac:dyDescent="0.3">
      <c r="A209" s="15" t="s">
        <v>635</v>
      </c>
      <c r="B209" s="15" t="s">
        <v>636</v>
      </c>
      <c r="C209" s="15" t="s">
        <v>14</v>
      </c>
      <c r="D209" s="15" t="s">
        <v>21</v>
      </c>
      <c r="E209" s="8">
        <v>45730</v>
      </c>
      <c r="F209" s="16" t="s">
        <v>12</v>
      </c>
      <c r="G209" s="16" t="s">
        <v>4</v>
      </c>
      <c r="H209" s="8"/>
      <c r="I209" s="16"/>
      <c r="J209" t="b">
        <v>0</v>
      </c>
      <c r="K209" s="15" t="s">
        <v>637</v>
      </c>
      <c r="L209" s="15" t="str">
        <f>HYPERLINK("https://uk1.aconex.co.uk/hub/index.html?mainTarget=%2FSearchControlledDoc%3FSEARCH_ACTION%3D15%26tab%3D0%26searchMode%3D1%26searchQuery%3Ddocno:%22"&amp;RawData[[#This Row],[Document Number]]&amp;"%22%20%2Bcversion%253A1",RawData[[#This Row],[Document Number]])</f>
        <v>FS1018-AGL-ZZ-XX-L-M-0007</v>
      </c>
    </row>
    <row r="210" spans="1:12" x14ac:dyDescent="0.3">
      <c r="A210" s="15" t="s">
        <v>638</v>
      </c>
      <c r="B210" s="15" t="s">
        <v>639</v>
      </c>
      <c r="C210" s="15" t="s">
        <v>14</v>
      </c>
      <c r="D210" s="15" t="s">
        <v>21</v>
      </c>
      <c r="E210" s="8">
        <v>45730</v>
      </c>
      <c r="F210" s="16" t="s">
        <v>12</v>
      </c>
      <c r="G210" s="16" t="s">
        <v>4</v>
      </c>
      <c r="H210" s="8"/>
      <c r="I210" s="16"/>
      <c r="J210" t="b">
        <v>0</v>
      </c>
      <c r="K210" s="15" t="s">
        <v>640</v>
      </c>
      <c r="L210" s="15" t="str">
        <f>HYPERLINK("https://uk1.aconex.co.uk/hub/index.html?mainTarget=%2FSearchControlledDoc%3FSEARCH_ACTION%3D15%26tab%3D0%26searchMode%3D1%26searchQuery%3Ddocno:%22"&amp;RawData[[#This Row],[Document Number]]&amp;"%22%20%2Bcversion%253A1",RawData[[#This Row],[Document Number]])</f>
        <v>FS1018-AGL-ZZ-XX-L-M-0008</v>
      </c>
    </row>
    <row r="211" spans="1:12" x14ac:dyDescent="0.3">
      <c r="A211" s="15" t="s">
        <v>641</v>
      </c>
      <c r="B211" s="15" t="s">
        <v>642</v>
      </c>
      <c r="C211" s="15" t="s">
        <v>14</v>
      </c>
      <c r="D211" s="15" t="s">
        <v>21</v>
      </c>
      <c r="E211" s="8">
        <v>45730</v>
      </c>
      <c r="F211" s="16" t="s">
        <v>12</v>
      </c>
      <c r="G211" s="16" t="s">
        <v>4</v>
      </c>
      <c r="H211" s="8"/>
      <c r="I211" s="16"/>
      <c r="J211" t="b">
        <v>0</v>
      </c>
      <c r="K211" s="15" t="s">
        <v>643</v>
      </c>
      <c r="L211" s="15" t="str">
        <f>HYPERLINK("https://uk1.aconex.co.uk/hub/index.html?mainTarget=%2FSearchControlledDoc%3FSEARCH_ACTION%3D15%26tab%3D0%26searchMode%3D1%26searchQuery%3Ddocno:%22"&amp;RawData[[#This Row],[Document Number]]&amp;"%22%20%2Bcversion%253A1",RawData[[#This Row],[Document Number]])</f>
        <v>FS1018-AGL-ZZ-XX-L-M-9604</v>
      </c>
    </row>
    <row r="212" spans="1:12" x14ac:dyDescent="0.3">
      <c r="A212" s="15" t="s">
        <v>644</v>
      </c>
      <c r="B212" s="15" t="s">
        <v>645</v>
      </c>
      <c r="C212" s="15" t="s">
        <v>14</v>
      </c>
      <c r="D212" s="15" t="s">
        <v>21</v>
      </c>
      <c r="E212" s="8">
        <v>45730</v>
      </c>
      <c r="F212" s="16" t="s">
        <v>12</v>
      </c>
      <c r="G212" s="16" t="s">
        <v>4</v>
      </c>
      <c r="H212" s="8"/>
      <c r="I212" s="16"/>
      <c r="J212" t="b">
        <v>0</v>
      </c>
      <c r="K212" s="15" t="s">
        <v>646</v>
      </c>
      <c r="L212" s="15" t="str">
        <f>HYPERLINK("https://uk1.aconex.co.uk/hub/index.html?mainTarget=%2FSearchControlledDoc%3FSEARCH_ACTION%3D15%26tab%3D0%26searchMode%3D1%26searchQuery%3Ddocno:%22"&amp;RawData[[#This Row],[Document Number]]&amp;"%22%20%2Bcversion%253A1",RawData[[#This Row],[Document Number]])</f>
        <v>FS1018-AGL-ZZ-XX-L-M-9605</v>
      </c>
    </row>
    <row r="213" spans="1:12" x14ac:dyDescent="0.3">
      <c r="A213" s="15" t="s">
        <v>647</v>
      </c>
      <c r="B213" s="15" t="s">
        <v>648</v>
      </c>
      <c r="C213" s="15" t="s">
        <v>14</v>
      </c>
      <c r="D213" s="15" t="s">
        <v>21</v>
      </c>
      <c r="E213" s="8">
        <v>45730</v>
      </c>
      <c r="F213" s="16" t="s">
        <v>12</v>
      </c>
      <c r="G213" s="16" t="s">
        <v>4</v>
      </c>
      <c r="H213" s="8"/>
      <c r="I213" s="16"/>
      <c r="J213" t="b">
        <v>0</v>
      </c>
      <c r="K213" s="15" t="s">
        <v>649</v>
      </c>
      <c r="L213" s="15" t="str">
        <f>HYPERLINK("https://uk1.aconex.co.uk/hub/index.html?mainTarget=%2FSearchControlledDoc%3FSEARCH_ACTION%3D15%26tab%3D0%26searchMode%3D1%26searchQuery%3Ddocno:%22"&amp;RawData[[#This Row],[Document Number]]&amp;"%22%20%2Bcversion%253A1",RawData[[#This Row],[Document Number]])</f>
        <v>FS1018-AGL-ZZ-XX-L-M-9607</v>
      </c>
    </row>
    <row r="214" spans="1:12" x14ac:dyDescent="0.3">
      <c r="A214" s="15" t="s">
        <v>650</v>
      </c>
      <c r="B214" s="15" t="s">
        <v>651</v>
      </c>
      <c r="C214" s="15" t="s">
        <v>14</v>
      </c>
      <c r="D214" s="15" t="s">
        <v>21</v>
      </c>
      <c r="E214" s="8">
        <v>45730</v>
      </c>
      <c r="F214" s="16" t="s">
        <v>12</v>
      </c>
      <c r="G214" s="16" t="s">
        <v>4</v>
      </c>
      <c r="H214" s="8"/>
      <c r="I214" s="16"/>
      <c r="J214" t="b">
        <v>0</v>
      </c>
      <c r="K214" s="15" t="s">
        <v>652</v>
      </c>
      <c r="L214" s="15" t="str">
        <f>HYPERLINK("https://uk1.aconex.co.uk/hub/index.html?mainTarget=%2FSearchControlledDoc%3FSEARCH_ACTION%3D15%26tab%3D0%26searchMode%3D1%26searchQuery%3Ddocno:%22"&amp;RawData[[#This Row],[Document Number]]&amp;"%22%20%2Bcversion%253A1",RawData[[#This Row],[Document Number]])</f>
        <v>FS1018-AGL-ZZ-XX-L-M-9608</v>
      </c>
    </row>
    <row r="215" spans="1:12" x14ac:dyDescent="0.3">
      <c r="A215" s="15" t="s">
        <v>653</v>
      </c>
      <c r="B215" s="15" t="s">
        <v>654</v>
      </c>
      <c r="C215" s="15" t="s">
        <v>14</v>
      </c>
      <c r="D215" s="15" t="s">
        <v>21</v>
      </c>
      <c r="E215" s="8">
        <v>45730</v>
      </c>
      <c r="F215" s="16" t="s">
        <v>12</v>
      </c>
      <c r="G215" s="16" t="s">
        <v>4</v>
      </c>
      <c r="H215" s="8"/>
      <c r="I215" s="16"/>
      <c r="J215" t="b">
        <v>0</v>
      </c>
      <c r="K215" s="15" t="s">
        <v>655</v>
      </c>
      <c r="L215" s="15" t="str">
        <f>HYPERLINK("https://uk1.aconex.co.uk/hub/index.html?mainTarget=%2FSearchControlledDoc%3FSEARCH_ACTION%3D15%26tab%3D0%26searchMode%3D1%26searchQuery%3Ddocno:%22"&amp;RawData[[#This Row],[Document Number]]&amp;"%22%20%2Bcversion%253A1",RawData[[#This Row],[Document Number]])</f>
        <v>FS1018-AGL-ZZ-XX-L-M-9609</v>
      </c>
    </row>
    <row r="216" spans="1:12" x14ac:dyDescent="0.3">
      <c r="A216" s="15" t="s">
        <v>656</v>
      </c>
      <c r="B216" s="15" t="s">
        <v>657</v>
      </c>
      <c r="C216" s="15" t="s">
        <v>14</v>
      </c>
      <c r="D216" s="15" t="s">
        <v>21</v>
      </c>
      <c r="E216" s="8">
        <v>45730</v>
      </c>
      <c r="F216" s="16" t="s">
        <v>12</v>
      </c>
      <c r="G216" s="16" t="s">
        <v>4</v>
      </c>
      <c r="H216" s="8"/>
      <c r="I216" s="16"/>
      <c r="J216" t="b">
        <v>0</v>
      </c>
      <c r="K216" s="15" t="s">
        <v>658</v>
      </c>
      <c r="L216" s="15" t="str">
        <f>HYPERLINK("https://uk1.aconex.co.uk/hub/index.html?mainTarget=%2FSearchControlledDoc%3FSEARCH_ACTION%3D15%26tab%3D0%26searchMode%3D1%26searchQuery%3Ddocno:%22"&amp;RawData[[#This Row],[Document Number]]&amp;"%22%20%2Bcversion%253A1",RawData[[#This Row],[Document Number]])</f>
        <v>FS1018-AGL-ZZ-XX-L-M-9610</v>
      </c>
    </row>
    <row r="217" spans="1:12" x14ac:dyDescent="0.3">
      <c r="A217" s="15" t="s">
        <v>659</v>
      </c>
      <c r="B217" s="15" t="s">
        <v>660</v>
      </c>
      <c r="C217" s="15" t="s">
        <v>14</v>
      </c>
      <c r="D217" s="15" t="s">
        <v>21</v>
      </c>
      <c r="E217" s="8">
        <v>45730</v>
      </c>
      <c r="F217" s="16" t="s">
        <v>12</v>
      </c>
      <c r="G217" s="16" t="s">
        <v>4</v>
      </c>
      <c r="H217" s="8"/>
      <c r="I217" s="16"/>
      <c r="J217" t="b">
        <v>0</v>
      </c>
      <c r="K217" s="15" t="s">
        <v>661</v>
      </c>
      <c r="L217" s="15" t="str">
        <f>HYPERLINK("https://uk1.aconex.co.uk/hub/index.html?mainTarget=%2FSearchControlledDoc%3FSEARCH_ACTION%3D15%26tab%3D0%26searchMode%3D1%26searchQuery%3Ddocno:%22"&amp;RawData[[#This Row],[Document Number]]&amp;"%22%20%2Bcversion%253A1",RawData[[#This Row],[Document Number]])</f>
        <v>FS1018-AGL-ZZ-XX-L-M-9613</v>
      </c>
    </row>
    <row r="218" spans="1:12" x14ac:dyDescent="0.3">
      <c r="A218" s="15" t="s">
        <v>662</v>
      </c>
      <c r="B218" s="15" t="s">
        <v>663</v>
      </c>
      <c r="C218" s="15" t="s">
        <v>14</v>
      </c>
      <c r="D218" s="15" t="s">
        <v>21</v>
      </c>
      <c r="E218" s="8">
        <v>45730</v>
      </c>
      <c r="F218" s="16" t="s">
        <v>12</v>
      </c>
      <c r="G218" s="16" t="s">
        <v>4</v>
      </c>
      <c r="H218" s="8"/>
      <c r="I218" s="16"/>
      <c r="J218" t="b">
        <v>0</v>
      </c>
      <c r="K218" s="15" t="s">
        <v>664</v>
      </c>
      <c r="L218" s="15" t="str">
        <f>HYPERLINK("https://uk1.aconex.co.uk/hub/index.html?mainTarget=%2FSearchControlledDoc%3FSEARCH_ACTION%3D15%26tab%3D0%26searchMode%3D1%26searchQuery%3Ddocno:%22"&amp;RawData[[#This Row],[Document Number]]&amp;"%22%20%2Bcversion%253A1",RawData[[#This Row],[Document Number]])</f>
        <v>FS1018-AGL-ZZ-XX-L-M-9614</v>
      </c>
    </row>
    <row r="219" spans="1:12" x14ac:dyDescent="0.3">
      <c r="A219" s="15" t="s">
        <v>665</v>
      </c>
      <c r="B219" s="15" t="s">
        <v>666</v>
      </c>
      <c r="C219" s="15" t="s">
        <v>14</v>
      </c>
      <c r="D219" s="15" t="s">
        <v>21</v>
      </c>
      <c r="E219" s="8">
        <v>45730</v>
      </c>
      <c r="F219" s="16" t="s">
        <v>12</v>
      </c>
      <c r="G219" s="16" t="s">
        <v>4</v>
      </c>
      <c r="H219" s="8"/>
      <c r="I219" s="16"/>
      <c r="J219" t="b">
        <v>0</v>
      </c>
      <c r="K219" s="15" t="s">
        <v>667</v>
      </c>
      <c r="L219" s="15" t="str">
        <f>HYPERLINK("https://uk1.aconex.co.uk/hub/index.html?mainTarget=%2FSearchControlledDoc%3FSEARCH_ACTION%3D15%26tab%3D0%26searchMode%3D1%26searchQuery%3Ddocno:%22"&amp;RawData[[#This Row],[Document Number]]&amp;"%22%20%2Bcversion%253A1",RawData[[#This Row],[Document Number]])</f>
        <v>FS1018-AGL-ZZ-XX-L-M-9617</v>
      </c>
    </row>
    <row r="220" spans="1:12" x14ac:dyDescent="0.3">
      <c r="A220" s="15" t="s">
        <v>668</v>
      </c>
      <c r="B220" s="15" t="s">
        <v>669</v>
      </c>
      <c r="C220" s="15" t="s">
        <v>14</v>
      </c>
      <c r="D220" s="15" t="s">
        <v>21</v>
      </c>
      <c r="E220" s="8">
        <v>45730</v>
      </c>
      <c r="F220" s="16" t="s">
        <v>12</v>
      </c>
      <c r="G220" s="16" t="s">
        <v>4</v>
      </c>
      <c r="H220" s="8"/>
      <c r="I220" s="16"/>
      <c r="J220" t="b">
        <v>0</v>
      </c>
      <c r="K220" s="15" t="s">
        <v>670</v>
      </c>
      <c r="L220" s="15" t="str">
        <f>HYPERLINK("https://uk1.aconex.co.uk/hub/index.html?mainTarget=%2FSearchControlledDoc%3FSEARCH_ACTION%3D15%26tab%3D0%26searchMode%3D1%26searchQuery%3Ddocno:%22"&amp;RawData[[#This Row],[Document Number]]&amp;"%22%20%2Bcversion%253A1",RawData[[#This Row],[Document Number]])</f>
        <v>FS1018-AGL-ZZ-XX-L-M-9619</v>
      </c>
    </row>
    <row r="221" spans="1:12" x14ac:dyDescent="0.3">
      <c r="A221" s="15" t="s">
        <v>671</v>
      </c>
      <c r="B221" s="15" t="s">
        <v>672</v>
      </c>
      <c r="C221" s="15" t="s">
        <v>14</v>
      </c>
      <c r="D221" s="15" t="s">
        <v>21</v>
      </c>
      <c r="E221" s="8">
        <v>45730</v>
      </c>
      <c r="F221" s="16" t="s">
        <v>12</v>
      </c>
      <c r="G221" s="16" t="s">
        <v>4</v>
      </c>
      <c r="H221" s="8"/>
      <c r="I221" s="16"/>
      <c r="J221" t="b">
        <v>0</v>
      </c>
      <c r="K221" s="15" t="s">
        <v>673</v>
      </c>
      <c r="L221" s="15" t="str">
        <f>HYPERLINK("https://uk1.aconex.co.uk/hub/index.html?mainTarget=%2FSearchControlledDoc%3FSEARCH_ACTION%3D15%26tab%3D0%26searchMode%3D1%26searchQuery%3Ddocno:%22"&amp;RawData[[#This Row],[Document Number]]&amp;"%22%20%2Bcversion%253A1",RawData[[#This Row],[Document Number]])</f>
        <v>FS1018-AGL-ZZ-XX-L-M-9620</v>
      </c>
    </row>
    <row r="222" spans="1:12" x14ac:dyDescent="0.3">
      <c r="A222" s="15" t="s">
        <v>674</v>
      </c>
      <c r="B222" s="15" t="s">
        <v>675</v>
      </c>
      <c r="C222" s="15" t="s">
        <v>14</v>
      </c>
      <c r="D222" s="15" t="s">
        <v>21</v>
      </c>
      <c r="E222" s="8">
        <v>45730</v>
      </c>
      <c r="F222" s="16" t="s">
        <v>12</v>
      </c>
      <c r="G222" s="16" t="s">
        <v>4</v>
      </c>
      <c r="H222" s="8"/>
      <c r="I222" s="16"/>
      <c r="J222" t="b">
        <v>0</v>
      </c>
      <c r="K222" s="15" t="s">
        <v>676</v>
      </c>
      <c r="L222" s="15" t="str">
        <f>HYPERLINK("https://uk1.aconex.co.uk/hub/index.html?mainTarget=%2FSearchControlledDoc%3FSEARCH_ACTION%3D15%26tab%3D0%26searchMode%3D1%26searchQuery%3Ddocno:%22"&amp;RawData[[#This Row],[Document Number]]&amp;"%22%20%2Bcversion%253A1",RawData[[#This Row],[Document Number]])</f>
        <v>FS1018-AGL-ZZ-XX-L-M-9621</v>
      </c>
    </row>
    <row r="223" spans="1:12" x14ac:dyDescent="0.3">
      <c r="A223" s="15" t="s">
        <v>677</v>
      </c>
      <c r="B223" s="15" t="s">
        <v>678</v>
      </c>
      <c r="C223" s="15" t="s">
        <v>14</v>
      </c>
      <c r="D223" s="15" t="s">
        <v>21</v>
      </c>
      <c r="E223" s="8">
        <v>45730</v>
      </c>
      <c r="F223" s="16" t="s">
        <v>12</v>
      </c>
      <c r="G223" s="16" t="s">
        <v>4</v>
      </c>
      <c r="H223" s="8"/>
      <c r="I223" s="16"/>
      <c r="J223" t="b">
        <v>0</v>
      </c>
      <c r="K223" s="15" t="s">
        <v>679</v>
      </c>
      <c r="L223" s="15" t="str">
        <f>HYPERLINK("https://uk1.aconex.co.uk/hub/index.html?mainTarget=%2FSearchControlledDoc%3FSEARCH_ACTION%3D15%26tab%3D0%26searchMode%3D1%26searchQuery%3Ddocno:%22"&amp;RawData[[#This Row],[Document Number]]&amp;"%22%20%2Bcversion%253A1",RawData[[#This Row],[Document Number]])</f>
        <v>FS1018-AGL-ZZ-XX-L-M-9623</v>
      </c>
    </row>
    <row r="224" spans="1:12" x14ac:dyDescent="0.3">
      <c r="A224" s="15" t="s">
        <v>680</v>
      </c>
      <c r="B224" s="15" t="s">
        <v>681</v>
      </c>
      <c r="C224" s="15" t="s">
        <v>14</v>
      </c>
      <c r="D224" s="15" t="s">
        <v>21</v>
      </c>
      <c r="E224" s="8">
        <v>45730</v>
      </c>
      <c r="F224" s="16" t="s">
        <v>12</v>
      </c>
      <c r="G224" s="16" t="s">
        <v>4</v>
      </c>
      <c r="H224" s="8"/>
      <c r="I224" s="16"/>
      <c r="J224" t="b">
        <v>0</v>
      </c>
      <c r="K224" s="15" t="s">
        <v>682</v>
      </c>
      <c r="L224" s="15" t="str">
        <f>HYPERLINK("https://uk1.aconex.co.uk/hub/index.html?mainTarget=%2FSearchControlledDoc%3FSEARCH_ACTION%3D15%26tab%3D0%26searchMode%3D1%26searchQuery%3Ddocno:%22"&amp;RawData[[#This Row],[Document Number]]&amp;"%22%20%2Bcversion%253A1",RawData[[#This Row],[Document Number]])</f>
        <v>FS1018-AGL-ZZ-XX-L-M-9624</v>
      </c>
    </row>
    <row r="225" spans="1:12" x14ac:dyDescent="0.3">
      <c r="A225" s="15" t="s">
        <v>683</v>
      </c>
      <c r="B225" s="15" t="s">
        <v>684</v>
      </c>
      <c r="C225" s="15" t="s">
        <v>14</v>
      </c>
      <c r="D225" s="15" t="s">
        <v>21</v>
      </c>
      <c r="E225" s="8">
        <v>45730</v>
      </c>
      <c r="F225" s="16" t="s">
        <v>12</v>
      </c>
      <c r="G225" s="16" t="s">
        <v>4</v>
      </c>
      <c r="H225" s="8"/>
      <c r="I225" s="16"/>
      <c r="J225" t="b">
        <v>0</v>
      </c>
      <c r="K225" s="15" t="s">
        <v>685</v>
      </c>
      <c r="L225" s="15" t="str">
        <f>HYPERLINK("https://uk1.aconex.co.uk/hub/index.html?mainTarget=%2FSearchControlledDoc%3FSEARCH_ACTION%3D15%26tab%3D0%26searchMode%3D1%26searchQuery%3Ddocno:%22"&amp;RawData[[#This Row],[Document Number]]&amp;"%22%20%2Bcversion%253A1",RawData[[#This Row],[Document Number]])</f>
        <v>FS1018-AGL-ZZ-XX-L-M-9625</v>
      </c>
    </row>
    <row r="226" spans="1:12" x14ac:dyDescent="0.3">
      <c r="A226" s="15" t="s">
        <v>686</v>
      </c>
      <c r="B226" s="15" t="s">
        <v>687</v>
      </c>
      <c r="C226" s="15" t="s">
        <v>14</v>
      </c>
      <c r="D226" s="15" t="s">
        <v>21</v>
      </c>
      <c r="E226" s="8">
        <v>45730</v>
      </c>
      <c r="F226" s="16" t="s">
        <v>12</v>
      </c>
      <c r="G226" s="16" t="s">
        <v>4</v>
      </c>
      <c r="H226" s="8"/>
      <c r="I226" s="16"/>
      <c r="J226" t="b">
        <v>0</v>
      </c>
      <c r="K226" s="15" t="s">
        <v>688</v>
      </c>
      <c r="L226" s="15" t="str">
        <f>HYPERLINK("https://uk1.aconex.co.uk/hub/index.html?mainTarget=%2FSearchControlledDoc%3FSEARCH_ACTION%3D15%26tab%3D0%26searchMode%3D1%26searchQuery%3Ddocno:%22"&amp;RawData[[#This Row],[Document Number]]&amp;"%22%20%2Bcversion%253A1",RawData[[#This Row],[Document Number]])</f>
        <v>FS1018-AGL-ZZ-XX-L-M-9627</v>
      </c>
    </row>
    <row r="227" spans="1:12" x14ac:dyDescent="0.3">
      <c r="A227" s="15" t="s">
        <v>689</v>
      </c>
      <c r="B227" s="15" t="s">
        <v>690</v>
      </c>
      <c r="C227" s="15" t="s">
        <v>14</v>
      </c>
      <c r="D227" s="15" t="s">
        <v>21</v>
      </c>
      <c r="E227" s="8">
        <v>45730</v>
      </c>
      <c r="F227" s="16" t="s">
        <v>12</v>
      </c>
      <c r="G227" s="16" t="s">
        <v>4</v>
      </c>
      <c r="H227" s="8"/>
      <c r="I227" s="16"/>
      <c r="J227" t="b">
        <v>0</v>
      </c>
      <c r="K227" s="15" t="s">
        <v>691</v>
      </c>
      <c r="L227" s="15" t="str">
        <f>HYPERLINK("https://uk1.aconex.co.uk/hub/index.html?mainTarget=%2FSearchControlledDoc%3FSEARCH_ACTION%3D15%26tab%3D0%26searchMode%3D1%26searchQuery%3Ddocno:%22"&amp;RawData[[#This Row],[Document Number]]&amp;"%22%20%2Bcversion%253A1",RawData[[#This Row],[Document Number]])</f>
        <v>FS1018-AGL-ZZ-XX-L-M-9628</v>
      </c>
    </row>
    <row r="228" spans="1:12" x14ac:dyDescent="0.3">
      <c r="A228" s="15" t="s">
        <v>692</v>
      </c>
      <c r="B228" s="15" t="s">
        <v>693</v>
      </c>
      <c r="C228" s="15" t="s">
        <v>14</v>
      </c>
      <c r="D228" s="15" t="s">
        <v>21</v>
      </c>
      <c r="E228" s="8">
        <v>45730</v>
      </c>
      <c r="F228" s="16" t="s">
        <v>12</v>
      </c>
      <c r="G228" s="16" t="s">
        <v>4</v>
      </c>
      <c r="H228" s="8"/>
      <c r="I228" s="16"/>
      <c r="J228" t="b">
        <v>0</v>
      </c>
      <c r="K228" s="15" t="s">
        <v>694</v>
      </c>
      <c r="L228" s="15" t="str">
        <f>HYPERLINK("https://uk1.aconex.co.uk/hub/index.html?mainTarget=%2FSearchControlledDoc%3FSEARCH_ACTION%3D15%26tab%3D0%26searchMode%3D1%26searchQuery%3Ddocno:%22"&amp;RawData[[#This Row],[Document Number]]&amp;"%22%20%2Bcversion%253A1",RawData[[#This Row],[Document Number]])</f>
        <v>FS1018-AGL-ZZ-XX-L-M-9630</v>
      </c>
    </row>
    <row r="229" spans="1:12" x14ac:dyDescent="0.3">
      <c r="A229" s="15" t="s">
        <v>695</v>
      </c>
      <c r="B229" s="15" t="s">
        <v>696</v>
      </c>
      <c r="C229" s="15" t="s">
        <v>14</v>
      </c>
      <c r="D229" s="15" t="s">
        <v>21</v>
      </c>
      <c r="E229" s="8">
        <v>45730</v>
      </c>
      <c r="F229" s="16" t="s">
        <v>12</v>
      </c>
      <c r="G229" s="16" t="s">
        <v>4</v>
      </c>
      <c r="H229" s="8"/>
      <c r="I229" s="16"/>
      <c r="J229" t="b">
        <v>0</v>
      </c>
      <c r="K229" s="15" t="s">
        <v>697</v>
      </c>
      <c r="L229" s="15" t="str">
        <f>HYPERLINK("https://uk1.aconex.co.uk/hub/index.html?mainTarget=%2FSearchControlledDoc%3FSEARCH_ACTION%3D15%26tab%3D0%26searchMode%3D1%26searchQuery%3Ddocno:%22"&amp;RawData[[#This Row],[Document Number]]&amp;"%22%20%2Bcversion%253A1",RawData[[#This Row],[Document Number]])</f>
        <v>FS1018-AGL-ZZ-XX-L-M-9634</v>
      </c>
    </row>
    <row r="230" spans="1:12" x14ac:dyDescent="0.3">
      <c r="A230" s="15" t="s">
        <v>698</v>
      </c>
      <c r="B230" s="15" t="s">
        <v>699</v>
      </c>
      <c r="C230" s="15" t="s">
        <v>14</v>
      </c>
      <c r="D230" s="15" t="s">
        <v>21</v>
      </c>
      <c r="E230" s="8">
        <v>45730</v>
      </c>
      <c r="F230" s="16" t="s">
        <v>12</v>
      </c>
      <c r="G230" s="16" t="s">
        <v>4</v>
      </c>
      <c r="H230" s="8"/>
      <c r="I230" s="16"/>
      <c r="J230" t="b">
        <v>0</v>
      </c>
      <c r="K230" s="15" t="s">
        <v>700</v>
      </c>
      <c r="L230" s="15" t="str">
        <f>HYPERLINK("https://uk1.aconex.co.uk/hub/index.html?mainTarget=%2FSearchControlledDoc%3FSEARCH_ACTION%3D15%26tab%3D0%26searchMode%3D1%26searchQuery%3Ddocno:%22"&amp;RawData[[#This Row],[Document Number]]&amp;"%22%20%2Bcversion%253A1",RawData[[#This Row],[Document Number]])</f>
        <v>FS1018-AGL-ZZ-XX-L-M-9637</v>
      </c>
    </row>
    <row r="231" spans="1:12" x14ac:dyDescent="0.3">
      <c r="A231" s="15" t="s">
        <v>701</v>
      </c>
      <c r="B231" s="15" t="s">
        <v>702</v>
      </c>
      <c r="C231" s="15" t="s">
        <v>14</v>
      </c>
      <c r="D231" s="15" t="s">
        <v>21</v>
      </c>
      <c r="E231" s="8">
        <v>45730</v>
      </c>
      <c r="F231" s="16" t="s">
        <v>12</v>
      </c>
      <c r="G231" s="16" t="s">
        <v>4</v>
      </c>
      <c r="H231" s="8"/>
      <c r="I231" s="16"/>
      <c r="J231" t="b">
        <v>0</v>
      </c>
      <c r="K231" s="15" t="s">
        <v>703</v>
      </c>
      <c r="L231" s="15" t="str">
        <f>HYPERLINK("https://uk1.aconex.co.uk/hub/index.html?mainTarget=%2FSearchControlledDoc%3FSEARCH_ACTION%3D15%26tab%3D0%26searchMode%3D1%26searchQuery%3Ddocno:%22"&amp;RawData[[#This Row],[Document Number]]&amp;"%22%20%2Bcversion%253A1",RawData[[#This Row],[Document Number]])</f>
        <v>FS1018-AGL-ZZ-XX-L-M-9641</v>
      </c>
    </row>
    <row r="232" spans="1:12" x14ac:dyDescent="0.3">
      <c r="A232" s="15" t="s">
        <v>704</v>
      </c>
      <c r="B232" s="15" t="s">
        <v>705</v>
      </c>
      <c r="C232" s="15" t="s">
        <v>14</v>
      </c>
      <c r="D232" s="15" t="s">
        <v>21</v>
      </c>
      <c r="E232" s="8">
        <v>45730</v>
      </c>
      <c r="F232" s="16" t="s">
        <v>12</v>
      </c>
      <c r="G232" s="16" t="s">
        <v>4</v>
      </c>
      <c r="H232" s="8"/>
      <c r="I232" s="16"/>
      <c r="J232" t="b">
        <v>0</v>
      </c>
      <c r="K232" s="15" t="s">
        <v>706</v>
      </c>
      <c r="L232" s="15" t="str">
        <f>HYPERLINK("https://uk1.aconex.co.uk/hub/index.html?mainTarget=%2FSearchControlledDoc%3FSEARCH_ACTION%3D15%26tab%3D0%26searchMode%3D1%26searchQuery%3Ddocno:%22"&amp;RawData[[#This Row],[Document Number]]&amp;"%22%20%2Bcversion%253A1",RawData[[#This Row],[Document Number]])</f>
        <v>FS1018-AGL-ZZ-XX-L-M-9642</v>
      </c>
    </row>
    <row r="233" spans="1:12" x14ac:dyDescent="0.3">
      <c r="A233" s="15" t="s">
        <v>707</v>
      </c>
      <c r="B233" s="15" t="s">
        <v>708</v>
      </c>
      <c r="C233" s="15" t="s">
        <v>14</v>
      </c>
      <c r="D233" s="15" t="s">
        <v>21</v>
      </c>
      <c r="E233" s="8">
        <v>45730</v>
      </c>
      <c r="F233" s="16" t="s">
        <v>12</v>
      </c>
      <c r="G233" s="16" t="s">
        <v>4</v>
      </c>
      <c r="H233" s="8"/>
      <c r="I233" s="16"/>
      <c r="J233" t="b">
        <v>0</v>
      </c>
      <c r="K233" s="15" t="s">
        <v>709</v>
      </c>
      <c r="L233" s="15" t="str">
        <f>HYPERLINK("https://uk1.aconex.co.uk/hub/index.html?mainTarget=%2FSearchControlledDoc%3FSEARCH_ACTION%3D15%26tab%3D0%26searchMode%3D1%26searchQuery%3Ddocno:%22"&amp;RawData[[#This Row],[Document Number]]&amp;"%22%20%2Bcversion%253A1",RawData[[#This Row],[Document Number]])</f>
        <v>FS1018-AGL-ZZ-XX-L-M-9644</v>
      </c>
    </row>
    <row r="234" spans="1:12" x14ac:dyDescent="0.3">
      <c r="A234" s="15" t="s">
        <v>710</v>
      </c>
      <c r="B234" s="15" t="s">
        <v>711</v>
      </c>
      <c r="C234" s="15" t="s">
        <v>14</v>
      </c>
      <c r="D234" s="15" t="s">
        <v>21</v>
      </c>
      <c r="E234" s="8">
        <v>45730</v>
      </c>
      <c r="F234" s="16" t="s">
        <v>12</v>
      </c>
      <c r="G234" s="16" t="s">
        <v>4</v>
      </c>
      <c r="H234" s="8"/>
      <c r="I234" s="16"/>
      <c r="J234" t="b">
        <v>0</v>
      </c>
      <c r="K234" s="15" t="s">
        <v>712</v>
      </c>
      <c r="L234" s="15" t="str">
        <f>HYPERLINK("https://uk1.aconex.co.uk/hub/index.html?mainTarget=%2FSearchControlledDoc%3FSEARCH_ACTION%3D15%26tab%3D0%26searchMode%3D1%26searchQuery%3Ddocno:%22"&amp;RawData[[#This Row],[Document Number]]&amp;"%22%20%2Bcversion%253A1",RawData[[#This Row],[Document Number]])</f>
        <v>FS1018-AGL-ZZ-XX-L-M-9647</v>
      </c>
    </row>
    <row r="235" spans="1:12" x14ac:dyDescent="0.3">
      <c r="A235" s="15" t="s">
        <v>713</v>
      </c>
      <c r="B235" s="15" t="s">
        <v>714</v>
      </c>
      <c r="C235" s="15" t="s">
        <v>14</v>
      </c>
      <c r="D235" s="15" t="s">
        <v>21</v>
      </c>
      <c r="E235" s="8">
        <v>45730</v>
      </c>
      <c r="F235" s="16" t="s">
        <v>12</v>
      </c>
      <c r="G235" s="16" t="s">
        <v>4</v>
      </c>
      <c r="H235" s="8"/>
      <c r="I235" s="16"/>
      <c r="J235" t="b">
        <v>0</v>
      </c>
      <c r="K235" s="15" t="s">
        <v>715</v>
      </c>
      <c r="L235" s="15" t="str">
        <f>HYPERLINK("https://uk1.aconex.co.uk/hub/index.html?mainTarget=%2FSearchControlledDoc%3FSEARCH_ACTION%3D15%26tab%3D0%26searchMode%3D1%26searchQuery%3Ddocno:%22"&amp;RawData[[#This Row],[Document Number]]&amp;"%22%20%2Bcversion%253A1",RawData[[#This Row],[Document Number]])</f>
        <v>FS1018-AGL-ZZ-XX-L-M-9649</v>
      </c>
    </row>
    <row r="236" spans="1:12" x14ac:dyDescent="0.3">
      <c r="A236" s="15" t="s">
        <v>716</v>
      </c>
      <c r="B236" s="15" t="s">
        <v>717</v>
      </c>
      <c r="C236" s="15" t="s">
        <v>14</v>
      </c>
      <c r="D236" s="15" t="s">
        <v>21</v>
      </c>
      <c r="E236" s="8">
        <v>45730</v>
      </c>
      <c r="F236" s="16" t="s">
        <v>12</v>
      </c>
      <c r="G236" s="16" t="s">
        <v>4</v>
      </c>
      <c r="H236" s="8"/>
      <c r="I236" s="16"/>
      <c r="J236" t="b">
        <v>0</v>
      </c>
      <c r="K236" s="15" t="s">
        <v>718</v>
      </c>
      <c r="L236" s="15" t="str">
        <f>HYPERLINK("https://uk1.aconex.co.uk/hub/index.html?mainTarget=%2FSearchControlledDoc%3FSEARCH_ACTION%3D15%26tab%3D0%26searchMode%3D1%26searchQuery%3Ddocno:%22"&amp;RawData[[#This Row],[Document Number]]&amp;"%22%20%2Bcversion%253A1",RawData[[#This Row],[Document Number]])</f>
        <v>FS1018-AGL-ZZ-XX-L-M-9652</v>
      </c>
    </row>
    <row r="237" spans="1:12" x14ac:dyDescent="0.3">
      <c r="A237" s="15" t="s">
        <v>719</v>
      </c>
      <c r="B237" s="15" t="s">
        <v>720</v>
      </c>
      <c r="C237" s="15" t="s">
        <v>14</v>
      </c>
      <c r="D237" s="15" t="s">
        <v>21</v>
      </c>
      <c r="E237" s="8">
        <v>45730</v>
      </c>
      <c r="F237" s="16" t="s">
        <v>12</v>
      </c>
      <c r="G237" s="16" t="s">
        <v>4</v>
      </c>
      <c r="H237" s="8"/>
      <c r="I237" s="16"/>
      <c r="J237" t="b">
        <v>0</v>
      </c>
      <c r="K237" s="15" t="s">
        <v>721</v>
      </c>
      <c r="L237" s="15" t="str">
        <f>HYPERLINK("https://uk1.aconex.co.uk/hub/index.html?mainTarget=%2FSearchControlledDoc%3FSEARCH_ACTION%3D15%26tab%3D0%26searchMode%3D1%26searchQuery%3Ddocno:%22"&amp;RawData[[#This Row],[Document Number]]&amp;"%22%20%2Bcversion%253A1",RawData[[#This Row],[Document Number]])</f>
        <v>FS1018-AGL-ZZ-XX-L-M-9653</v>
      </c>
    </row>
    <row r="238" spans="1:12" x14ac:dyDescent="0.3">
      <c r="A238" s="15" t="s">
        <v>722</v>
      </c>
      <c r="B238" s="15" t="s">
        <v>723</v>
      </c>
      <c r="C238" s="15" t="s">
        <v>14</v>
      </c>
      <c r="D238" s="15" t="s">
        <v>21</v>
      </c>
      <c r="E238" s="8">
        <v>45730</v>
      </c>
      <c r="F238" s="16" t="s">
        <v>12</v>
      </c>
      <c r="G238" s="16" t="s">
        <v>4</v>
      </c>
      <c r="H238" s="8"/>
      <c r="I238" s="16"/>
      <c r="J238" t="b">
        <v>0</v>
      </c>
      <c r="K238" s="15" t="s">
        <v>724</v>
      </c>
      <c r="L238" s="15" t="str">
        <f>HYPERLINK("https://uk1.aconex.co.uk/hub/index.html?mainTarget=%2FSearchControlledDoc%3FSEARCH_ACTION%3D15%26tab%3D0%26searchMode%3D1%26searchQuery%3Ddocno:%22"&amp;RawData[[#This Row],[Document Number]]&amp;"%22%20%2Bcversion%253A1",RawData[[#This Row],[Document Number]])</f>
        <v>FS1018-AGL-ZZ-XX-L-M-9654</v>
      </c>
    </row>
    <row r="239" spans="1:12" x14ac:dyDescent="0.3">
      <c r="A239" s="15" t="s">
        <v>725</v>
      </c>
      <c r="B239" s="15" t="s">
        <v>726</v>
      </c>
      <c r="C239" s="15" t="s">
        <v>14</v>
      </c>
      <c r="D239" s="15" t="s">
        <v>21</v>
      </c>
      <c r="E239" s="8">
        <v>45730</v>
      </c>
      <c r="F239" s="16" t="s">
        <v>12</v>
      </c>
      <c r="G239" s="16" t="s">
        <v>4</v>
      </c>
      <c r="H239" s="8"/>
      <c r="I239" s="16"/>
      <c r="J239" t="b">
        <v>0</v>
      </c>
      <c r="K239" s="15" t="s">
        <v>727</v>
      </c>
      <c r="L239" s="15" t="str">
        <f>HYPERLINK("https://uk1.aconex.co.uk/hub/index.html?mainTarget=%2FSearchControlledDoc%3FSEARCH_ACTION%3D15%26tab%3D0%26searchMode%3D1%26searchQuery%3Ddocno:%22"&amp;RawData[[#This Row],[Document Number]]&amp;"%22%20%2Bcversion%253A1",RawData[[#This Row],[Document Number]])</f>
        <v>FS1018-AGL-ZZ-XX-L-M-9655</v>
      </c>
    </row>
    <row r="240" spans="1:12" x14ac:dyDescent="0.3">
      <c r="A240" s="15" t="s">
        <v>728</v>
      </c>
      <c r="B240" s="15" t="s">
        <v>729</v>
      </c>
      <c r="C240" s="15" t="s">
        <v>14</v>
      </c>
      <c r="D240" s="15" t="s">
        <v>21</v>
      </c>
      <c r="E240" s="8">
        <v>45730</v>
      </c>
      <c r="F240" s="16" t="s">
        <v>12</v>
      </c>
      <c r="G240" s="16" t="s">
        <v>4</v>
      </c>
      <c r="H240" s="8"/>
      <c r="I240" s="16"/>
      <c r="J240" t="b">
        <v>0</v>
      </c>
      <c r="K240" s="15" t="s">
        <v>730</v>
      </c>
      <c r="L240" s="15" t="str">
        <f>HYPERLINK("https://uk1.aconex.co.uk/hub/index.html?mainTarget=%2FSearchControlledDoc%3FSEARCH_ACTION%3D15%26tab%3D0%26searchMode%3D1%26searchQuery%3Ddocno:%22"&amp;RawData[[#This Row],[Document Number]]&amp;"%22%20%2Bcversion%253A1",RawData[[#This Row],[Document Number]])</f>
        <v>FS1018-AGL-ZZ-XX-L-M-9658</v>
      </c>
    </row>
    <row r="241" spans="1:12" x14ac:dyDescent="0.3">
      <c r="A241" s="15" t="s">
        <v>731</v>
      </c>
      <c r="B241" s="15" t="s">
        <v>732</v>
      </c>
      <c r="C241" s="15" t="s">
        <v>14</v>
      </c>
      <c r="D241" s="15" t="s">
        <v>21</v>
      </c>
      <c r="E241" s="8">
        <v>45730</v>
      </c>
      <c r="F241" s="16" t="s">
        <v>12</v>
      </c>
      <c r="G241" s="16" t="s">
        <v>4</v>
      </c>
      <c r="H241" s="8"/>
      <c r="I241" s="16"/>
      <c r="J241" t="b">
        <v>0</v>
      </c>
      <c r="K241" s="15" t="s">
        <v>733</v>
      </c>
      <c r="L241" s="15" t="str">
        <f>HYPERLINK("https://uk1.aconex.co.uk/hub/index.html?mainTarget=%2FSearchControlledDoc%3FSEARCH_ACTION%3D15%26tab%3D0%26searchMode%3D1%26searchQuery%3Ddocno:%22"&amp;RawData[[#This Row],[Document Number]]&amp;"%22%20%2Bcversion%253A1",RawData[[#This Row],[Document Number]])</f>
        <v>FS1018-AGL-ZZ-XX-L-M-9659</v>
      </c>
    </row>
    <row r="242" spans="1:12" x14ac:dyDescent="0.3">
      <c r="A242" s="15" t="s">
        <v>734</v>
      </c>
      <c r="B242" s="15" t="s">
        <v>735</v>
      </c>
      <c r="C242" s="15" t="s">
        <v>14</v>
      </c>
      <c r="D242" s="15" t="s">
        <v>21</v>
      </c>
      <c r="E242" s="8">
        <v>45730</v>
      </c>
      <c r="F242" s="16" t="s">
        <v>12</v>
      </c>
      <c r="G242" s="16" t="s">
        <v>4</v>
      </c>
      <c r="H242" s="8"/>
      <c r="I242" s="16"/>
      <c r="J242" t="b">
        <v>0</v>
      </c>
      <c r="K242" s="15" t="s">
        <v>736</v>
      </c>
      <c r="L242" s="15" t="str">
        <f>HYPERLINK("https://uk1.aconex.co.uk/hub/index.html?mainTarget=%2FSearchControlledDoc%3FSEARCH_ACTION%3D15%26tab%3D0%26searchMode%3D1%26searchQuery%3Ddocno:%22"&amp;RawData[[#This Row],[Document Number]]&amp;"%22%20%2Bcversion%253A1",RawData[[#This Row],[Document Number]])</f>
        <v>FS1018-AGL-ZZ-XX-L-M-9660</v>
      </c>
    </row>
    <row r="243" spans="1:12" x14ac:dyDescent="0.3">
      <c r="A243" s="15" t="s">
        <v>737</v>
      </c>
      <c r="B243" s="15" t="s">
        <v>738</v>
      </c>
      <c r="C243" s="15" t="s">
        <v>14</v>
      </c>
      <c r="D243" s="15" t="s">
        <v>21</v>
      </c>
      <c r="E243" s="8">
        <v>45730</v>
      </c>
      <c r="F243" s="16" t="s">
        <v>12</v>
      </c>
      <c r="G243" s="16" t="s">
        <v>4</v>
      </c>
      <c r="H243" s="8"/>
      <c r="I243" s="16"/>
      <c r="J243" t="b">
        <v>0</v>
      </c>
      <c r="K243" s="15" t="s">
        <v>739</v>
      </c>
      <c r="L243" s="15" t="str">
        <f>HYPERLINK("https://uk1.aconex.co.uk/hub/index.html?mainTarget=%2FSearchControlledDoc%3FSEARCH_ACTION%3D15%26tab%3D0%26searchMode%3D1%26searchQuery%3Ddocno:%22"&amp;RawData[[#This Row],[Document Number]]&amp;"%22%20%2Bcversion%253A1",RawData[[#This Row],[Document Number]])</f>
        <v>FS1018-AGL-ZZ-XX-L-M-9661</v>
      </c>
    </row>
    <row r="244" spans="1:12" x14ac:dyDescent="0.3">
      <c r="A244" s="15" t="s">
        <v>740</v>
      </c>
      <c r="B244" s="15" t="s">
        <v>741</v>
      </c>
      <c r="C244" s="15" t="s">
        <v>14</v>
      </c>
      <c r="D244" s="15" t="s">
        <v>21</v>
      </c>
      <c r="E244" s="8">
        <v>45730</v>
      </c>
      <c r="F244" s="16" t="s">
        <v>12</v>
      </c>
      <c r="G244" s="16" t="s">
        <v>4</v>
      </c>
      <c r="H244" s="8"/>
      <c r="I244" s="16"/>
      <c r="J244" t="b">
        <v>0</v>
      </c>
      <c r="K244" s="15" t="s">
        <v>742</v>
      </c>
      <c r="L244" s="15" t="str">
        <f>HYPERLINK("https://uk1.aconex.co.uk/hub/index.html?mainTarget=%2FSearchControlledDoc%3FSEARCH_ACTION%3D15%26tab%3D0%26searchMode%3D1%26searchQuery%3Ddocno:%22"&amp;RawData[[#This Row],[Document Number]]&amp;"%22%20%2Bcversion%253A1",RawData[[#This Row],[Document Number]])</f>
        <v>FS1018-AGL-ZZ-XX-L-M-9662</v>
      </c>
    </row>
    <row r="245" spans="1:12" x14ac:dyDescent="0.3">
      <c r="A245" s="15" t="s">
        <v>743</v>
      </c>
      <c r="B245" s="15" t="s">
        <v>744</v>
      </c>
      <c r="C245" s="15" t="s">
        <v>14</v>
      </c>
      <c r="D245" s="15" t="s">
        <v>21</v>
      </c>
      <c r="E245" s="8">
        <v>45730</v>
      </c>
      <c r="F245" s="16" t="s">
        <v>12</v>
      </c>
      <c r="G245" s="16" t="s">
        <v>4</v>
      </c>
      <c r="H245" s="8"/>
      <c r="I245" s="16"/>
      <c r="J245" t="b">
        <v>0</v>
      </c>
      <c r="K245" s="15" t="s">
        <v>745</v>
      </c>
      <c r="L245" s="15" t="str">
        <f>HYPERLINK("https://uk1.aconex.co.uk/hub/index.html?mainTarget=%2FSearchControlledDoc%3FSEARCH_ACTION%3D15%26tab%3D0%26searchMode%3D1%26searchQuery%3Ddocno:%22"&amp;RawData[[#This Row],[Document Number]]&amp;"%22%20%2Bcversion%253A1",RawData[[#This Row],[Document Number]])</f>
        <v>FS1018-AGL-ZZ-XX-L-M-9671</v>
      </c>
    </row>
    <row r="246" spans="1:12" x14ac:dyDescent="0.3">
      <c r="A246" s="15" t="s">
        <v>746</v>
      </c>
      <c r="B246" s="15" t="s">
        <v>747</v>
      </c>
      <c r="C246" s="15" t="s">
        <v>14</v>
      </c>
      <c r="D246" s="15" t="s">
        <v>21</v>
      </c>
      <c r="E246" s="8">
        <v>45730</v>
      </c>
      <c r="F246" s="16" t="s">
        <v>12</v>
      </c>
      <c r="G246" s="16" t="s">
        <v>4</v>
      </c>
      <c r="H246" s="8"/>
      <c r="I246" s="16"/>
      <c r="J246" t="b">
        <v>0</v>
      </c>
      <c r="K246" s="15" t="s">
        <v>748</v>
      </c>
      <c r="L246" s="15" t="str">
        <f>HYPERLINK("https://uk1.aconex.co.uk/hub/index.html?mainTarget=%2FSearchControlledDoc%3FSEARCH_ACTION%3D15%26tab%3D0%26searchMode%3D1%26searchQuery%3Ddocno:%22"&amp;RawData[[#This Row],[Document Number]]&amp;"%22%20%2Bcversion%253A1",RawData[[#This Row],[Document Number]])</f>
        <v>FS1018-AGL-ZZ-XX-L-M-9675</v>
      </c>
    </row>
    <row r="247" spans="1:12" x14ac:dyDescent="0.3">
      <c r="A247" s="15" t="s">
        <v>749</v>
      </c>
      <c r="B247" s="15" t="s">
        <v>750</v>
      </c>
      <c r="C247" s="15" t="s">
        <v>14</v>
      </c>
      <c r="D247" s="15" t="s">
        <v>21</v>
      </c>
      <c r="E247" s="8">
        <v>45730</v>
      </c>
      <c r="F247" s="16" t="s">
        <v>12</v>
      </c>
      <c r="G247" s="16" t="s">
        <v>4</v>
      </c>
      <c r="H247" s="8"/>
      <c r="I247" s="16"/>
      <c r="J247" t="b">
        <v>0</v>
      </c>
      <c r="K247" s="15" t="s">
        <v>751</v>
      </c>
      <c r="L247" s="15" t="str">
        <f>HYPERLINK("https://uk1.aconex.co.uk/hub/index.html?mainTarget=%2FSearchControlledDoc%3FSEARCH_ACTION%3D15%26tab%3D0%26searchMode%3D1%26searchQuery%3Ddocno:%22"&amp;RawData[[#This Row],[Document Number]]&amp;"%22%20%2Bcversion%253A1",RawData[[#This Row],[Document Number]])</f>
        <v>FS1018-AGL-ZZ-XX-L-M-9678</v>
      </c>
    </row>
    <row r="248" spans="1:12" x14ac:dyDescent="0.3">
      <c r="A248" s="15" t="s">
        <v>752</v>
      </c>
      <c r="B248" s="15" t="s">
        <v>753</v>
      </c>
      <c r="C248" s="15" t="s">
        <v>14</v>
      </c>
      <c r="D248" s="15" t="s">
        <v>21</v>
      </c>
      <c r="E248" s="8">
        <v>45730</v>
      </c>
      <c r="F248" s="16" t="s">
        <v>12</v>
      </c>
      <c r="G248" s="16" t="s">
        <v>4</v>
      </c>
      <c r="H248" s="8"/>
      <c r="I248" s="16"/>
      <c r="J248" t="b">
        <v>0</v>
      </c>
      <c r="K248" s="15" t="s">
        <v>754</v>
      </c>
      <c r="L248" s="15" t="str">
        <f>HYPERLINK("https://uk1.aconex.co.uk/hub/index.html?mainTarget=%2FSearchControlledDoc%3FSEARCH_ACTION%3D15%26tab%3D0%26searchMode%3D1%26searchQuery%3Ddocno:%22"&amp;RawData[[#This Row],[Document Number]]&amp;"%22%20%2Bcversion%253A1",RawData[[#This Row],[Document Number]])</f>
        <v>FS1018-AGL-ZZ-XX-L-M-9681</v>
      </c>
    </row>
    <row r="249" spans="1:12" x14ac:dyDescent="0.3">
      <c r="A249" s="15" t="s">
        <v>755</v>
      </c>
      <c r="B249" s="15" t="s">
        <v>756</v>
      </c>
      <c r="C249" s="15" t="s">
        <v>14</v>
      </c>
      <c r="D249" s="15" t="s">
        <v>21</v>
      </c>
      <c r="E249" s="8">
        <v>45730</v>
      </c>
      <c r="F249" s="16" t="s">
        <v>12</v>
      </c>
      <c r="G249" s="16" t="s">
        <v>4</v>
      </c>
      <c r="H249" s="8"/>
      <c r="I249" s="16"/>
      <c r="J249" t="b">
        <v>0</v>
      </c>
      <c r="K249" s="15" t="s">
        <v>757</v>
      </c>
      <c r="L249" s="15" t="str">
        <f>HYPERLINK("https://uk1.aconex.co.uk/hub/index.html?mainTarget=%2FSearchControlledDoc%3FSEARCH_ACTION%3D15%26tab%3D0%26searchMode%3D1%26searchQuery%3Ddocno:%22"&amp;RawData[[#This Row],[Document Number]]&amp;"%22%20%2Bcversion%253A1",RawData[[#This Row],[Document Number]])</f>
        <v>FS1018-AGL-ZZ-XX-L-M-9682</v>
      </c>
    </row>
    <row r="250" spans="1:12" ht="230.4" x14ac:dyDescent="0.3">
      <c r="A250" s="15" t="s">
        <v>758</v>
      </c>
      <c r="B250" s="15" t="s">
        <v>759</v>
      </c>
      <c r="C250" s="15" t="s">
        <v>14</v>
      </c>
      <c r="D250" s="15" t="s">
        <v>20</v>
      </c>
      <c r="E250" s="8">
        <v>45175</v>
      </c>
      <c r="F250" s="16" t="s">
        <v>760</v>
      </c>
      <c r="G250" s="16" t="s">
        <v>22</v>
      </c>
      <c r="H250" s="8">
        <v>45194</v>
      </c>
      <c r="I250" s="16" t="s">
        <v>761</v>
      </c>
      <c r="J250" t="b">
        <v>0</v>
      </c>
      <c r="K250" s="15" t="s">
        <v>762</v>
      </c>
      <c r="L250" s="15" t="str">
        <f>HYPERLINK("https://uk1.aconex.co.uk/hub/index.html?mainTarget=%2FSearchControlledDoc%3FSEARCH_ACTION%3D15%26tab%3D0%26searchMode%3D1%26searchQuery%3Ddocno:%22"&amp;RawData[[#This Row],[Document Number]]&amp;"%22%20%2Bcversion%253A1",RawData[[#This Row],[Document Number]])</f>
        <v>FS1018-AGL-ZZ-XX-L-Z-0001</v>
      </c>
    </row>
    <row r="251" spans="1:12" x14ac:dyDescent="0.3">
      <c r="A251" s="15" t="s">
        <v>758</v>
      </c>
      <c r="B251" s="15" t="s">
        <v>759</v>
      </c>
      <c r="C251" s="15" t="s">
        <v>10</v>
      </c>
      <c r="D251" s="15" t="s">
        <v>21</v>
      </c>
      <c r="E251" s="8">
        <v>45730</v>
      </c>
      <c r="F251" s="16" t="s">
        <v>12</v>
      </c>
      <c r="G251" s="16" t="s">
        <v>4</v>
      </c>
      <c r="H251" s="8"/>
      <c r="I251" s="16"/>
      <c r="J251" t="b">
        <v>1</v>
      </c>
      <c r="K251" s="15" t="s">
        <v>762</v>
      </c>
      <c r="L251" s="15" t="str">
        <f>HYPERLINK("https://uk1.aconex.co.uk/hub/index.html?mainTarget=%2FSearchControlledDoc%3FSEARCH_ACTION%3D15%26tab%3D0%26searchMode%3D1%26searchQuery%3Ddocno:%22"&amp;RawData[[#This Row],[Document Number]]&amp;"%22%20%2Bcversion%253A1",RawData[[#This Row],[Document Number]])</f>
        <v>FS1018-AGL-ZZ-XX-L-Z-0001</v>
      </c>
    </row>
    <row r="252" spans="1:12" ht="43.2" x14ac:dyDescent="0.3">
      <c r="A252" s="15" t="s">
        <v>763</v>
      </c>
      <c r="B252" s="15" t="s">
        <v>764</v>
      </c>
      <c r="C252" s="15" t="s">
        <v>14</v>
      </c>
      <c r="D252" s="15" t="s">
        <v>20</v>
      </c>
      <c r="E252" s="8">
        <v>45175</v>
      </c>
      <c r="F252" s="16" t="s">
        <v>249</v>
      </c>
      <c r="G252" s="16" t="s">
        <v>22</v>
      </c>
      <c r="H252" s="8">
        <v>45194</v>
      </c>
      <c r="I252" s="16" t="s">
        <v>765</v>
      </c>
      <c r="J252" t="b">
        <v>0</v>
      </c>
      <c r="K252" s="15" t="s">
        <v>766</v>
      </c>
      <c r="L252" s="15" t="str">
        <f>HYPERLINK("https://uk1.aconex.co.uk/hub/index.html?mainTarget=%2FSearchControlledDoc%3FSEARCH_ACTION%3D15%26tab%3D0%26searchMode%3D1%26searchQuery%3Ddocno:%22"&amp;RawData[[#This Row],[Document Number]]&amp;"%22%20%2Bcversion%253A1",RawData[[#This Row],[Document Number]])</f>
        <v>FS1018-AGL-ZZ-XX-L-Z-0002</v>
      </c>
    </row>
    <row r="253" spans="1:12" ht="43.2" x14ac:dyDescent="0.3">
      <c r="A253" s="15" t="s">
        <v>767</v>
      </c>
      <c r="B253" s="15" t="s">
        <v>768</v>
      </c>
      <c r="C253" s="15" t="s">
        <v>14</v>
      </c>
      <c r="D253" s="15" t="s">
        <v>20</v>
      </c>
      <c r="E253" s="8">
        <v>45177</v>
      </c>
      <c r="F253" s="16" t="s">
        <v>249</v>
      </c>
      <c r="G253" s="16" t="s">
        <v>40</v>
      </c>
      <c r="H253" s="8">
        <v>45205</v>
      </c>
      <c r="I253" s="16" t="s">
        <v>769</v>
      </c>
      <c r="J253" t="b">
        <v>0</v>
      </c>
      <c r="K253" s="15" t="s">
        <v>770</v>
      </c>
      <c r="L253" s="15" t="str">
        <f>HYPERLINK("https://uk1.aconex.co.uk/hub/index.html?mainTarget=%2FSearchControlledDoc%3FSEARCH_ACTION%3D15%26tab%3D0%26searchMode%3D1%26searchQuery%3Ddocno:%22"&amp;RawData[[#This Row],[Document Number]]&amp;"%22%20%2Bcversion%253A1",RawData[[#This Row],[Document Number]])</f>
        <v>FS1018-AGL-ZZ-XX-L-Z-0003</v>
      </c>
    </row>
    <row r="254" spans="1:12" x14ac:dyDescent="0.3">
      <c r="A254" s="15" t="s">
        <v>771</v>
      </c>
      <c r="B254" s="15" t="s">
        <v>772</v>
      </c>
      <c r="C254" s="15" t="s">
        <v>14</v>
      </c>
      <c r="D254" s="15" t="s">
        <v>21</v>
      </c>
      <c r="E254" s="8">
        <v>45730</v>
      </c>
      <c r="F254" s="16" t="s">
        <v>12</v>
      </c>
      <c r="G254" s="16" t="s">
        <v>4</v>
      </c>
      <c r="H254" s="8"/>
      <c r="I254" s="16"/>
      <c r="J254" t="b">
        <v>0</v>
      </c>
      <c r="K254" s="15" t="s">
        <v>773</v>
      </c>
      <c r="L254" s="15" t="str">
        <f>HYPERLINK("https://uk1.aconex.co.uk/hub/index.html?mainTarget=%2FSearchControlledDoc%3FSEARCH_ACTION%3D15%26tab%3D0%26searchMode%3D1%26searchQuery%3Ddocno:%22"&amp;RawData[[#This Row],[Document Number]]&amp;"%22%20%2Bcversion%253A1",RawData[[#This Row],[Document Number]])</f>
        <v>FS1018-AGL-ZZ-XX-L-Z-0004</v>
      </c>
    </row>
    <row r="255" spans="1:12" x14ac:dyDescent="0.3">
      <c r="A255" s="15" t="s">
        <v>774</v>
      </c>
      <c r="B255" s="15" t="s">
        <v>775</v>
      </c>
      <c r="C255" s="15" t="s">
        <v>14</v>
      </c>
      <c r="D255" s="15" t="s">
        <v>21</v>
      </c>
      <c r="E255" s="8">
        <v>45730</v>
      </c>
      <c r="F255" s="16" t="s">
        <v>12</v>
      </c>
      <c r="G255" s="16" t="s">
        <v>4</v>
      </c>
      <c r="H255" s="8"/>
      <c r="I255" s="16"/>
      <c r="J255" t="b">
        <v>0</v>
      </c>
      <c r="K255" s="15" t="s">
        <v>776</v>
      </c>
      <c r="L255" s="15" t="str">
        <f>HYPERLINK("https://uk1.aconex.co.uk/hub/index.html?mainTarget=%2FSearchControlledDoc%3FSEARCH_ACTION%3D15%26tab%3D0%26searchMode%3D1%26searchQuery%3Ddocno:%22"&amp;RawData[[#This Row],[Document Number]]&amp;"%22%20%2Bcversion%253A1",RawData[[#This Row],[Document Number]])</f>
        <v>FS1018-AGL-ZZ-XX-T-E-0001</v>
      </c>
    </row>
    <row r="256" spans="1:12" ht="43.2" x14ac:dyDescent="0.3">
      <c r="A256" s="15" t="s">
        <v>777</v>
      </c>
      <c r="B256" s="15" t="s">
        <v>778</v>
      </c>
      <c r="C256" s="15" t="s">
        <v>14</v>
      </c>
      <c r="D256" s="15" t="s">
        <v>20</v>
      </c>
      <c r="E256" s="8">
        <v>45175</v>
      </c>
      <c r="F256" s="16" t="s">
        <v>82</v>
      </c>
      <c r="G256" s="16" t="s">
        <v>40</v>
      </c>
      <c r="H256" s="8">
        <v>45201</v>
      </c>
      <c r="I256" s="16" t="s">
        <v>779</v>
      </c>
      <c r="J256" t="b">
        <v>0</v>
      </c>
      <c r="K256" s="15" t="s">
        <v>780</v>
      </c>
      <c r="L256" s="15" t="str">
        <f>HYPERLINK("https://uk1.aconex.co.uk/hub/index.html?mainTarget=%2FSearchControlledDoc%3FSEARCH_ACTION%3D15%26tab%3D0%26searchMode%3D1%26searchQuery%3Ddocno:%22"&amp;RawData[[#This Row],[Document Number]]&amp;"%22%20%2Bcversion%253A1",RawData[[#This Row],[Document Number]])</f>
        <v>FS1018-AGL-ZZ-XX-T-E-0003</v>
      </c>
    </row>
    <row r="257" spans="1:12" x14ac:dyDescent="0.3">
      <c r="A257" s="15" t="s">
        <v>777</v>
      </c>
      <c r="B257" s="15" t="s">
        <v>778</v>
      </c>
      <c r="C257" s="15" t="s">
        <v>10</v>
      </c>
      <c r="D257" s="15" t="s">
        <v>21</v>
      </c>
      <c r="E257" s="8">
        <v>45730</v>
      </c>
      <c r="F257" s="16" t="s">
        <v>12</v>
      </c>
      <c r="G257" s="16" t="s">
        <v>4</v>
      </c>
      <c r="H257" s="8"/>
      <c r="I257" s="16"/>
      <c r="J257" t="b">
        <v>1</v>
      </c>
      <c r="K257" s="15" t="s">
        <v>780</v>
      </c>
      <c r="L257" s="15" t="str">
        <f>HYPERLINK("https://uk1.aconex.co.uk/hub/index.html?mainTarget=%2FSearchControlledDoc%3FSEARCH_ACTION%3D15%26tab%3D0%26searchMode%3D1%26searchQuery%3Ddocno:%22"&amp;RawData[[#This Row],[Document Number]]&amp;"%22%20%2Bcversion%253A1",RawData[[#This Row],[Document Number]])</f>
        <v>FS1018-AGL-ZZ-XX-T-E-0003</v>
      </c>
    </row>
    <row r="258" spans="1:12" x14ac:dyDescent="0.3">
      <c r="A258" s="15" t="s">
        <v>781</v>
      </c>
      <c r="B258" s="15" t="s">
        <v>782</v>
      </c>
      <c r="C258" s="15" t="s">
        <v>14</v>
      </c>
      <c r="D258" s="15" t="s">
        <v>21</v>
      </c>
      <c r="E258" s="8">
        <v>45730</v>
      </c>
      <c r="F258" s="16" t="s">
        <v>12</v>
      </c>
      <c r="G258" s="16" t="s">
        <v>4</v>
      </c>
      <c r="H258" s="8"/>
      <c r="I258" s="16"/>
      <c r="J258" t="b">
        <v>0</v>
      </c>
      <c r="K258" s="15" t="s">
        <v>783</v>
      </c>
      <c r="L258" s="15" t="str">
        <f>HYPERLINK("https://uk1.aconex.co.uk/hub/index.html?mainTarget=%2FSearchControlledDoc%3FSEARCH_ACTION%3D15%26tab%3D0%26searchMode%3D1%26searchQuery%3Ddocno:%22"&amp;RawData[[#This Row],[Document Number]]&amp;"%22%20%2Bcversion%253A1",RawData[[#This Row],[Document Number]])</f>
        <v>FS1018-AGL-ZZ-XX-T-M-0001</v>
      </c>
    </row>
    <row r="259" spans="1:12" ht="86.4" x14ac:dyDescent="0.3">
      <c r="A259" s="15" t="s">
        <v>784</v>
      </c>
      <c r="B259" s="15" t="s">
        <v>785</v>
      </c>
      <c r="C259" s="15" t="s">
        <v>14</v>
      </c>
      <c r="D259" s="15" t="s">
        <v>20</v>
      </c>
      <c r="E259" s="8">
        <v>45175</v>
      </c>
      <c r="F259" s="16" t="s">
        <v>249</v>
      </c>
      <c r="G259" s="16" t="s">
        <v>40</v>
      </c>
      <c r="H259" s="8">
        <v>45205</v>
      </c>
      <c r="I259" s="16" t="s">
        <v>786</v>
      </c>
      <c r="J259" t="b">
        <v>0</v>
      </c>
      <c r="K259" s="15" t="s">
        <v>787</v>
      </c>
      <c r="L259" s="15" t="str">
        <f>HYPERLINK("https://uk1.aconex.co.uk/hub/index.html?mainTarget=%2FSearchControlledDoc%3FSEARCH_ACTION%3D15%26tab%3D0%26searchMode%3D1%26searchQuery%3Ddocno:%22"&amp;RawData[[#This Row],[Document Number]]&amp;"%22%20%2Bcversion%253A1",RawData[[#This Row],[Document Number]])</f>
        <v>FS1018-AGL-ZZ-XX-T-Z-0001</v>
      </c>
    </row>
    <row r="260" spans="1:12" ht="72" x14ac:dyDescent="0.3">
      <c r="A260" s="15" t="s">
        <v>788</v>
      </c>
      <c r="B260" s="15" t="s">
        <v>789</v>
      </c>
      <c r="C260" s="15" t="s">
        <v>14</v>
      </c>
      <c r="D260" s="15" t="s">
        <v>20</v>
      </c>
      <c r="E260" s="8">
        <v>45175</v>
      </c>
      <c r="F260" s="16" t="s">
        <v>249</v>
      </c>
      <c r="G260" s="16" t="s">
        <v>40</v>
      </c>
      <c r="H260" s="8">
        <v>45205</v>
      </c>
      <c r="I260" s="16" t="s">
        <v>790</v>
      </c>
      <c r="J260" t="b">
        <v>0</v>
      </c>
      <c r="K260" s="15" t="s">
        <v>791</v>
      </c>
      <c r="L260" s="15" t="str">
        <f>HYPERLINK("https://uk1.aconex.co.uk/hub/index.html?mainTarget=%2FSearchControlledDoc%3FSEARCH_ACTION%3D15%26tab%3D0%26searchMode%3D1%26searchQuery%3Ddocno:%22"&amp;RawData[[#This Row],[Document Number]]&amp;"%22%20%2Bcversion%253A1",RawData[[#This Row],[Document Number]])</f>
        <v>FS1018-AGL-ZZ-XX-T-Z-0002</v>
      </c>
    </row>
    <row r="261" spans="1:12" x14ac:dyDescent="0.3">
      <c r="A261" s="15" t="s">
        <v>788</v>
      </c>
      <c r="B261" s="15" t="s">
        <v>792</v>
      </c>
      <c r="C261" s="15" t="s">
        <v>10</v>
      </c>
      <c r="D261" s="15" t="s">
        <v>21</v>
      </c>
      <c r="E261" s="8">
        <v>45730</v>
      </c>
      <c r="F261" s="16" t="s">
        <v>12</v>
      </c>
      <c r="G261" s="16" t="s">
        <v>4</v>
      </c>
      <c r="H261" s="8"/>
      <c r="I261" s="16"/>
      <c r="J261" t="b">
        <v>1</v>
      </c>
      <c r="K261" s="15" t="s">
        <v>793</v>
      </c>
      <c r="L261" s="15" t="str">
        <f>HYPERLINK("https://uk1.aconex.co.uk/hub/index.html?mainTarget=%2FSearchControlledDoc%3FSEARCH_ACTION%3D15%26tab%3D0%26searchMode%3D1%26searchQuery%3Ddocno:%22"&amp;RawData[[#This Row],[Document Number]]&amp;"%22%20%2Bcversion%253A1",RawData[[#This Row],[Document Number]])</f>
        <v>FS1018-AGL-ZZ-XX-T-Z-0002</v>
      </c>
    </row>
    <row r="262" spans="1:12" ht="43.2" x14ac:dyDescent="0.3">
      <c r="A262" s="15" t="s">
        <v>794</v>
      </c>
      <c r="B262" s="15" t="s">
        <v>795</v>
      </c>
      <c r="C262" s="15" t="s">
        <v>14</v>
      </c>
      <c r="D262" s="15" t="s">
        <v>20</v>
      </c>
      <c r="E262" s="8">
        <v>45175</v>
      </c>
      <c r="F262" s="16" t="s">
        <v>249</v>
      </c>
      <c r="G262" s="16" t="s">
        <v>40</v>
      </c>
      <c r="H262" s="8">
        <v>45205</v>
      </c>
      <c r="I262" s="16" t="s">
        <v>796</v>
      </c>
      <c r="J262" t="b">
        <v>0</v>
      </c>
      <c r="K262" s="15" t="s">
        <v>797</v>
      </c>
      <c r="L262" s="15" t="str">
        <f>HYPERLINK("https://uk1.aconex.co.uk/hub/index.html?mainTarget=%2FSearchControlledDoc%3FSEARCH_ACTION%3D15%26tab%3D0%26searchMode%3D1%26searchQuery%3Ddocno:%22"&amp;RawData[[#This Row],[Document Number]]&amp;"%22%20%2Bcversion%253A1",RawData[[#This Row],[Document Number]])</f>
        <v>FS1018-AGL-ZZ-XX-T-Z-0003</v>
      </c>
    </row>
    <row r="263" spans="1:12" ht="43.2" x14ac:dyDescent="0.3">
      <c r="A263" s="15" t="s">
        <v>794</v>
      </c>
      <c r="B263" s="15" t="s">
        <v>795</v>
      </c>
      <c r="C263" s="15" t="s">
        <v>10</v>
      </c>
      <c r="D263" s="15" t="s">
        <v>20</v>
      </c>
      <c r="E263" s="8">
        <v>45638</v>
      </c>
      <c r="F263" s="16" t="s">
        <v>78</v>
      </c>
      <c r="G263" s="16" t="s">
        <v>40</v>
      </c>
      <c r="H263" s="8">
        <v>45669</v>
      </c>
      <c r="I263" s="16" t="s">
        <v>71</v>
      </c>
      <c r="J263" t="b">
        <v>1</v>
      </c>
      <c r="K263" s="15" t="s">
        <v>797</v>
      </c>
      <c r="L263" s="15" t="str">
        <f>HYPERLINK("https://uk1.aconex.co.uk/hub/index.html?mainTarget=%2FSearchControlledDoc%3FSEARCH_ACTION%3D15%26tab%3D0%26searchMode%3D1%26searchQuery%3Ddocno:%22"&amp;RawData[[#This Row],[Document Number]]&amp;"%22%20%2Bcversion%253A1",RawData[[#This Row],[Document Number]])</f>
        <v>FS1018-AGL-ZZ-XX-T-Z-0003</v>
      </c>
    </row>
    <row r="264" spans="1:12" x14ac:dyDescent="0.3">
      <c r="A264" s="15" t="s">
        <v>798</v>
      </c>
      <c r="B264" s="15" t="s">
        <v>799</v>
      </c>
      <c r="C264" s="15" t="s">
        <v>14</v>
      </c>
      <c r="D264" s="15" t="s">
        <v>21</v>
      </c>
      <c r="E264" s="8">
        <v>45730</v>
      </c>
      <c r="F264" s="16" t="s">
        <v>12</v>
      </c>
      <c r="G264" s="16" t="s">
        <v>4</v>
      </c>
      <c r="H264" s="8"/>
      <c r="I264" s="16"/>
      <c r="J264" t="b">
        <v>0</v>
      </c>
      <c r="K264" s="15" t="s">
        <v>800</v>
      </c>
      <c r="L264" s="15" t="str">
        <f>HYPERLINK("https://uk1.aconex.co.uk/hub/index.html?mainTarget=%2FSearchControlledDoc%3FSEARCH_ACTION%3D15%26tab%3D0%26searchMode%3D1%26searchQuery%3Ddocno:%22"&amp;RawData[[#This Row],[Document Number]]&amp;"%22%20%2Bcversion%253A1",RawData[[#This Row],[Document Number]])</f>
        <v>FS1018-AGL-ZZ-XX-T-Z-0006</v>
      </c>
    </row>
    <row r="265" spans="1:12" x14ac:dyDescent="0.3">
      <c r="A265" s="15" t="s">
        <v>801</v>
      </c>
      <c r="B265" s="15" t="s">
        <v>802</v>
      </c>
      <c r="C265" s="15" t="s">
        <v>14</v>
      </c>
      <c r="D265" s="15" t="s">
        <v>21</v>
      </c>
      <c r="E265" s="8">
        <v>45730</v>
      </c>
      <c r="F265" s="16" t="s">
        <v>12</v>
      </c>
      <c r="G265" s="16" t="s">
        <v>4</v>
      </c>
      <c r="H265" s="8"/>
      <c r="I265" s="16"/>
      <c r="J265" t="b">
        <v>0</v>
      </c>
      <c r="K265" s="15" t="s">
        <v>803</v>
      </c>
      <c r="L265" s="15" t="str">
        <f>HYPERLINK("https://uk1.aconex.co.uk/hub/index.html?mainTarget=%2FSearchControlledDoc%3FSEARCH_ACTION%3D15%26tab%3D0%26searchMode%3D1%26searchQuery%3Ddocno:%22"&amp;RawData[[#This Row],[Document Number]]&amp;"%22%20%2Bcversion%253A1",RawData[[#This Row],[Document Number]])</f>
        <v>FS1018-AGL-ZZ-XX-T-Z-0007</v>
      </c>
    </row>
    <row r="266" spans="1:12" ht="43.2" x14ac:dyDescent="0.3">
      <c r="A266" s="15" t="s">
        <v>804</v>
      </c>
      <c r="B266" s="15" t="s">
        <v>805</v>
      </c>
      <c r="C266" s="15" t="s">
        <v>14</v>
      </c>
      <c r="D266" s="15" t="s">
        <v>20</v>
      </c>
      <c r="E266" s="8">
        <v>45175</v>
      </c>
      <c r="F266" s="16" t="s">
        <v>82</v>
      </c>
      <c r="G266" s="16" t="s">
        <v>40</v>
      </c>
      <c r="H266" s="8">
        <v>45201</v>
      </c>
      <c r="I266" s="16" t="s">
        <v>806</v>
      </c>
      <c r="J266" t="b">
        <v>0</v>
      </c>
      <c r="K266" s="15" t="s">
        <v>807</v>
      </c>
      <c r="L266" s="15" t="str">
        <f>HYPERLINK("https://uk1.aconex.co.uk/hub/index.html?mainTarget=%2FSearchControlledDoc%3FSEARCH_ACTION%3D15%26tab%3D0%26searchMode%3D1%26searchQuery%3Ddocno:%22"&amp;RawData[[#This Row],[Document Number]]&amp;"%22%20%2Bcversion%253A1",RawData[[#This Row],[Document Number]])</f>
        <v>FS1018-AGL-ZZ-ZZ-D-E-7205</v>
      </c>
    </row>
    <row r="267" spans="1:12" x14ac:dyDescent="0.3">
      <c r="A267" s="15" t="s">
        <v>808</v>
      </c>
      <c r="B267" s="15" t="s">
        <v>809</v>
      </c>
      <c r="C267" s="15" t="s">
        <v>14</v>
      </c>
      <c r="D267" s="15" t="s">
        <v>21</v>
      </c>
      <c r="E267" s="8">
        <v>45730</v>
      </c>
      <c r="F267" s="16" t="s">
        <v>12</v>
      </c>
      <c r="G267" s="16" t="s">
        <v>4</v>
      </c>
      <c r="H267" s="8"/>
      <c r="I267" s="16"/>
      <c r="J267" t="b">
        <v>0</v>
      </c>
      <c r="K267" s="15" t="s">
        <v>810</v>
      </c>
      <c r="L267" s="15" t="str">
        <f>HYPERLINK("https://uk1.aconex.co.uk/hub/index.html?mainTarget=%2FSearchControlledDoc%3FSEARCH_ACTION%3D15%26tab%3D0%26searchMode%3D1%26searchQuery%3Ddocno:%22"&amp;RawData[[#This Row],[Document Number]]&amp;"%22%20%2Bcversion%253A1",RawData[[#This Row],[Document Number]])</f>
        <v>FS1018-AGL-ZZ-ZZ-D-E-9001</v>
      </c>
    </row>
    <row r="268" spans="1:12" ht="43.2" x14ac:dyDescent="0.3">
      <c r="A268" s="15" t="s">
        <v>811</v>
      </c>
      <c r="B268" s="15" t="s">
        <v>812</v>
      </c>
      <c r="C268" s="15" t="s">
        <v>14</v>
      </c>
      <c r="D268" s="15" t="s">
        <v>20</v>
      </c>
      <c r="E268" s="8">
        <v>45177</v>
      </c>
      <c r="F268" s="16" t="s">
        <v>249</v>
      </c>
      <c r="G268" s="16" t="s">
        <v>40</v>
      </c>
      <c r="H268" s="8">
        <v>45205</v>
      </c>
      <c r="I268" s="16" t="s">
        <v>813</v>
      </c>
      <c r="J268" t="b">
        <v>0</v>
      </c>
      <c r="K268" s="15" t="s">
        <v>814</v>
      </c>
      <c r="L268" s="15" t="str">
        <f>HYPERLINK("https://uk1.aconex.co.uk/hub/index.html?mainTarget=%2FSearchControlledDoc%3FSEARCH_ACTION%3D15%26tab%3D0%26searchMode%3D1%26searchQuery%3Ddocno:%22"&amp;RawData[[#This Row],[Document Number]]&amp;"%22%20%2Bcversion%253A1",RawData[[#This Row],[Document Number]])</f>
        <v>FS1018-AGL-ZZ-ZZ-D-Z-5002</v>
      </c>
    </row>
    <row r="269" spans="1:12" ht="28.8" x14ac:dyDescent="0.3">
      <c r="A269" s="15" t="s">
        <v>815</v>
      </c>
      <c r="B269" s="15" t="s">
        <v>816</v>
      </c>
      <c r="C269" s="15" t="s">
        <v>14</v>
      </c>
      <c r="D269" s="15" t="s">
        <v>20</v>
      </c>
      <c r="E269" s="8">
        <v>45175</v>
      </c>
      <c r="F269" s="16" t="s">
        <v>249</v>
      </c>
      <c r="G269" s="16" t="s">
        <v>34</v>
      </c>
      <c r="H269" s="8">
        <v>45205</v>
      </c>
      <c r="I269" s="16"/>
      <c r="J269" t="b">
        <v>0</v>
      </c>
      <c r="K269" s="15" t="s">
        <v>817</v>
      </c>
      <c r="L269" s="15" t="str">
        <f>HYPERLINK("https://uk1.aconex.co.uk/hub/index.html?mainTarget=%2FSearchControlledDoc%3FSEARCH_ACTION%3D15%26tab%3D0%26searchMode%3D1%26searchQuery%3Ddocno:%22"&amp;RawData[[#This Row],[Document Number]]&amp;"%22%20%2Bcversion%253A1",RawData[[#This Row],[Document Number]])</f>
        <v>FS1018-AGL-ZZ-ZZ-D-Z-5801</v>
      </c>
    </row>
    <row r="270" spans="1:12" x14ac:dyDescent="0.3">
      <c r="A270" s="15" t="s">
        <v>818</v>
      </c>
      <c r="B270" s="15" t="s">
        <v>819</v>
      </c>
      <c r="C270" s="15" t="s">
        <v>14</v>
      </c>
      <c r="D270" s="15" t="s">
        <v>21</v>
      </c>
      <c r="E270" s="8">
        <v>45730</v>
      </c>
      <c r="F270" s="16" t="s">
        <v>12</v>
      </c>
      <c r="G270" s="16" t="s">
        <v>4</v>
      </c>
      <c r="H270" s="8"/>
      <c r="I270" s="16"/>
      <c r="J270" t="b">
        <v>0</v>
      </c>
      <c r="K270" s="15" t="s">
        <v>820</v>
      </c>
      <c r="L270" s="15" t="str">
        <f>HYPERLINK("https://uk1.aconex.co.uk/hub/index.html?mainTarget=%2FSearchControlledDoc%3FSEARCH_ACTION%3D15%26tab%3D0%26searchMode%3D1%26searchQuery%3Ddocno:%22"&amp;RawData[[#This Row],[Document Number]]&amp;"%22%20%2Bcversion%253A1",RawData[[#This Row],[Document Number]])</f>
        <v>FS1018-AGL-ZZ-ZZ-D-Z-6115</v>
      </c>
    </row>
    <row r="271" spans="1:12" ht="28.8" x14ac:dyDescent="0.3">
      <c r="A271" s="15" t="s">
        <v>821</v>
      </c>
      <c r="B271" s="15" t="s">
        <v>822</v>
      </c>
      <c r="C271" s="15" t="s">
        <v>14</v>
      </c>
      <c r="D271" s="15" t="s">
        <v>20</v>
      </c>
      <c r="E271" s="8">
        <v>45177</v>
      </c>
      <c r="F271" s="16" t="s">
        <v>249</v>
      </c>
      <c r="G271" s="16" t="s">
        <v>34</v>
      </c>
      <c r="H271" s="8">
        <v>45205</v>
      </c>
      <c r="I271" s="16"/>
      <c r="J271" t="b">
        <v>0</v>
      </c>
      <c r="K271" s="15" t="s">
        <v>823</v>
      </c>
      <c r="L271" s="15" t="str">
        <f>HYPERLINK("https://uk1.aconex.co.uk/hub/index.html?mainTarget=%2FSearchControlledDoc%3FSEARCH_ACTION%3D15%26tab%3D0%26searchMode%3D1%26searchQuery%3Ddocno:%22"&amp;RawData[[#This Row],[Document Number]]&amp;"%22%20%2Bcversion%253A1",RawData[[#This Row],[Document Number]])</f>
        <v>FS1018-AGL-ZZ-ZZ-D-Z-7201</v>
      </c>
    </row>
    <row r="272" spans="1:12" ht="28.8" x14ac:dyDescent="0.3">
      <c r="A272" s="15" t="s">
        <v>824</v>
      </c>
      <c r="B272" s="15" t="s">
        <v>825</v>
      </c>
      <c r="C272" s="15" t="s">
        <v>14</v>
      </c>
      <c r="D272" s="15" t="s">
        <v>20</v>
      </c>
      <c r="E272" s="8">
        <v>45177</v>
      </c>
      <c r="F272" s="16" t="s">
        <v>249</v>
      </c>
      <c r="G272" s="16" t="s">
        <v>34</v>
      </c>
      <c r="H272" s="8">
        <v>45205</v>
      </c>
      <c r="I272" s="16"/>
      <c r="J272" t="b">
        <v>0</v>
      </c>
      <c r="K272" s="15" t="s">
        <v>826</v>
      </c>
      <c r="L272" s="15" t="str">
        <f>HYPERLINK("https://uk1.aconex.co.uk/hub/index.html?mainTarget=%2FSearchControlledDoc%3FSEARCH_ACTION%3D15%26tab%3D0%26searchMode%3D1%26searchQuery%3Ddocno:%22"&amp;RawData[[#This Row],[Document Number]]&amp;"%22%20%2Bcversion%253A1",RawData[[#This Row],[Document Number]])</f>
        <v>FS1018-AGL-ZZ-ZZ-D-Z-7202</v>
      </c>
    </row>
    <row r="273" spans="1:12" ht="28.8" x14ac:dyDescent="0.3">
      <c r="A273" s="15" t="s">
        <v>827</v>
      </c>
      <c r="B273" s="15" t="s">
        <v>828</v>
      </c>
      <c r="C273" s="15" t="s">
        <v>14</v>
      </c>
      <c r="D273" s="15" t="s">
        <v>20</v>
      </c>
      <c r="E273" s="8">
        <v>45177</v>
      </c>
      <c r="F273" s="16" t="s">
        <v>249</v>
      </c>
      <c r="G273" s="16" t="s">
        <v>34</v>
      </c>
      <c r="H273" s="8">
        <v>45205</v>
      </c>
      <c r="I273" s="16"/>
      <c r="J273" t="b">
        <v>0</v>
      </c>
      <c r="K273" s="15" t="s">
        <v>829</v>
      </c>
      <c r="L273" s="15" t="str">
        <f>HYPERLINK("https://uk1.aconex.co.uk/hub/index.html?mainTarget=%2FSearchControlledDoc%3FSEARCH_ACTION%3D15%26tab%3D0%26searchMode%3D1%26searchQuery%3Ddocno:%22"&amp;RawData[[#This Row],[Document Number]]&amp;"%22%20%2Bcversion%253A1",RawData[[#This Row],[Document Number]])</f>
        <v>FS1018-AGL-ZZ-ZZ-D-Z-7203</v>
      </c>
    </row>
    <row r="274" spans="1:12" ht="28.8" x14ac:dyDescent="0.3">
      <c r="A274" s="15" t="s">
        <v>830</v>
      </c>
      <c r="B274" s="15" t="s">
        <v>831</v>
      </c>
      <c r="C274" s="15" t="s">
        <v>14</v>
      </c>
      <c r="D274" s="15" t="s">
        <v>20</v>
      </c>
      <c r="E274" s="8">
        <v>45177</v>
      </c>
      <c r="F274" s="16" t="s">
        <v>249</v>
      </c>
      <c r="G274" s="16" t="s">
        <v>34</v>
      </c>
      <c r="H274" s="8">
        <v>45205</v>
      </c>
      <c r="I274" s="16"/>
      <c r="J274" t="b">
        <v>0</v>
      </c>
      <c r="K274" s="15" t="s">
        <v>832</v>
      </c>
      <c r="L274" s="15" t="str">
        <f>HYPERLINK("https://uk1.aconex.co.uk/hub/index.html?mainTarget=%2FSearchControlledDoc%3FSEARCH_ACTION%3D15%26tab%3D0%26searchMode%3D1%26searchQuery%3Ddocno:%22"&amp;RawData[[#This Row],[Document Number]]&amp;"%22%20%2Bcversion%253A1",RawData[[#This Row],[Document Number]])</f>
        <v>FS1018-AGL-ZZ-ZZ-D-Z-7204</v>
      </c>
    </row>
    <row r="275" spans="1:12" x14ac:dyDescent="0.3">
      <c r="A275" s="15" t="s">
        <v>833</v>
      </c>
      <c r="B275" s="15" t="s">
        <v>834</v>
      </c>
      <c r="C275" s="15" t="s">
        <v>14</v>
      </c>
      <c r="D275" s="15" t="s">
        <v>21</v>
      </c>
      <c r="E275" s="8">
        <v>45730</v>
      </c>
      <c r="F275" s="16" t="s">
        <v>12</v>
      </c>
      <c r="G275" s="16" t="s">
        <v>4</v>
      </c>
      <c r="H275" s="8"/>
      <c r="I275" s="16"/>
      <c r="J275" t="b">
        <v>0</v>
      </c>
      <c r="K275" s="15" t="s">
        <v>835</v>
      </c>
      <c r="L275" s="15" t="str">
        <f>HYPERLINK("https://uk1.aconex.co.uk/hub/index.html?mainTarget=%2FSearchControlledDoc%3FSEARCH_ACTION%3D15%26tab%3D0%26searchMode%3D1%26searchQuery%3Ddocno:%22"&amp;RawData[[#This Row],[Document Number]]&amp;"%22%20%2Bcversion%253A1",RawData[[#This Row],[Document Number]])</f>
        <v>FS1018-AGL-ZZ-ZZ-D-Z-9610</v>
      </c>
    </row>
    <row r="276" spans="1:12" x14ac:dyDescent="0.3">
      <c r="A276" s="15" t="s">
        <v>836</v>
      </c>
      <c r="B276" s="15" t="s">
        <v>837</v>
      </c>
      <c r="C276" s="15" t="s">
        <v>14</v>
      </c>
      <c r="D276" s="15" t="s">
        <v>21</v>
      </c>
      <c r="E276" s="8">
        <v>45730</v>
      </c>
      <c r="F276" s="16" t="s">
        <v>12</v>
      </c>
      <c r="G276" s="16" t="s">
        <v>4</v>
      </c>
      <c r="H276" s="8"/>
      <c r="I276" s="16"/>
      <c r="J276" t="b">
        <v>0</v>
      </c>
      <c r="K276" s="15" t="s">
        <v>838</v>
      </c>
      <c r="L276" s="15" t="str">
        <f>HYPERLINK("https://uk1.aconex.co.uk/hub/index.html?mainTarget=%2FSearchControlledDoc%3FSEARCH_ACTION%3D15%26tab%3D0%26searchMode%3D1%26searchQuery%3Ddocno:%22"&amp;RawData[[#This Row],[Document Number]]&amp;"%22%20%2Bcversion%253A1",RawData[[#This Row],[Document Number]])</f>
        <v>FS1018-AGL-ZZ-ZZ-D-Z-9611</v>
      </c>
    </row>
    <row r="277" spans="1:12" x14ac:dyDescent="0.3">
      <c r="A277" s="15" t="s">
        <v>839</v>
      </c>
      <c r="B277" s="15" t="s">
        <v>840</v>
      </c>
      <c r="C277" s="15" t="s">
        <v>14</v>
      </c>
      <c r="D277" s="15" t="s">
        <v>21</v>
      </c>
      <c r="E277" s="8">
        <v>45730</v>
      </c>
      <c r="F277" s="16" t="s">
        <v>12</v>
      </c>
      <c r="G277" s="16" t="s">
        <v>4</v>
      </c>
      <c r="H277" s="8"/>
      <c r="I277" s="16"/>
      <c r="J277" t="b">
        <v>0</v>
      </c>
      <c r="K277" s="15" t="s">
        <v>841</v>
      </c>
      <c r="L277" s="15" t="str">
        <f>HYPERLINK("https://uk1.aconex.co.uk/hub/index.html?mainTarget=%2FSearchControlledDoc%3FSEARCH_ACTION%3D15%26tab%3D0%26searchMode%3D1%26searchQuery%3Ddocno:%22"&amp;RawData[[#This Row],[Document Number]]&amp;"%22%20%2Bcversion%253A1",RawData[[#This Row],[Document Number]])</f>
        <v>FS1018-AGL-ZZ-ZZ-D-Z-9612</v>
      </c>
    </row>
    <row r="278" spans="1:12" x14ac:dyDescent="0.3">
      <c r="A278" s="15" t="s">
        <v>842</v>
      </c>
      <c r="B278" s="15" t="s">
        <v>843</v>
      </c>
      <c r="C278" s="15" t="s">
        <v>14</v>
      </c>
      <c r="D278" s="15" t="s">
        <v>21</v>
      </c>
      <c r="E278" s="8">
        <v>45730</v>
      </c>
      <c r="F278" s="16" t="s">
        <v>12</v>
      </c>
      <c r="G278" s="16" t="s">
        <v>4</v>
      </c>
      <c r="H278" s="8"/>
      <c r="I278" s="16"/>
      <c r="J278" t="b">
        <v>0</v>
      </c>
      <c r="K278" s="15" t="s">
        <v>844</v>
      </c>
      <c r="L278" s="15" t="str">
        <f>HYPERLINK("https://uk1.aconex.co.uk/hub/index.html?mainTarget=%2FSearchControlledDoc%3FSEARCH_ACTION%3D15%26tab%3D0%26searchMode%3D1%26searchQuery%3Ddocno:%22"&amp;RawData[[#This Row],[Document Number]]&amp;"%22%20%2Bcversion%253A1",RawData[[#This Row],[Document Number]])</f>
        <v>FS1018-AGL-ZZ-ZZ-D-Z-9613</v>
      </c>
    </row>
    <row r="279" spans="1:12" x14ac:dyDescent="0.3">
      <c r="A279" s="15" t="s">
        <v>845</v>
      </c>
      <c r="B279" s="15" t="s">
        <v>846</v>
      </c>
      <c r="C279" s="15" t="s">
        <v>14</v>
      </c>
      <c r="D279" s="15" t="s">
        <v>21</v>
      </c>
      <c r="E279" s="8">
        <v>45730</v>
      </c>
      <c r="F279" s="16" t="s">
        <v>12</v>
      </c>
      <c r="G279" s="16" t="s">
        <v>4</v>
      </c>
      <c r="H279" s="8"/>
      <c r="I279" s="16"/>
      <c r="J279" t="b">
        <v>0</v>
      </c>
      <c r="K279" s="15" t="s">
        <v>847</v>
      </c>
      <c r="L279" s="15" t="str">
        <f>HYPERLINK("https://uk1.aconex.co.uk/hub/index.html?mainTarget=%2FSearchControlledDoc%3FSEARCH_ACTION%3D15%26tab%3D0%26searchMode%3D1%26searchQuery%3Ddocno:%22"&amp;RawData[[#This Row],[Document Number]]&amp;"%22%20%2Bcversion%253A1",RawData[[#This Row],[Document Number]])</f>
        <v>FS1018-AGL-ZZ-ZZ-D-Z-9614</v>
      </c>
    </row>
    <row r="280" spans="1:12" ht="57.6" x14ac:dyDescent="0.3">
      <c r="A280" s="15" t="s">
        <v>848</v>
      </c>
      <c r="B280" s="15" t="s">
        <v>849</v>
      </c>
      <c r="C280" s="15" t="s">
        <v>14</v>
      </c>
      <c r="D280" s="15" t="s">
        <v>20</v>
      </c>
      <c r="E280" s="8">
        <v>45175</v>
      </c>
      <c r="F280" s="16" t="s">
        <v>82</v>
      </c>
      <c r="G280" s="16" t="s">
        <v>40</v>
      </c>
      <c r="H280" s="8">
        <v>45201</v>
      </c>
      <c r="I280" s="16" t="s">
        <v>850</v>
      </c>
      <c r="J280" t="b">
        <v>0</v>
      </c>
      <c r="K280" s="15" t="s">
        <v>851</v>
      </c>
      <c r="L280" s="15" t="str">
        <f>HYPERLINK("https://uk1.aconex.co.uk/hub/index.html?mainTarget=%2FSearchControlledDoc%3FSEARCH_ACTION%3D15%26tab%3D0%26searchMode%3D1%26searchQuery%3Ddocno:%22"&amp;RawData[[#This Row],[Document Number]]&amp;"%22%20%2Bcversion%253A1",RawData[[#This Row],[Document Number]])</f>
        <v>FS1018-AGL-ZZ-ZZ-G-E-6001</v>
      </c>
    </row>
    <row r="281" spans="1:12" x14ac:dyDescent="0.3">
      <c r="A281" s="15" t="s">
        <v>852</v>
      </c>
      <c r="B281" s="15" t="s">
        <v>853</v>
      </c>
      <c r="C281" s="15" t="s">
        <v>14</v>
      </c>
      <c r="D281" s="15" t="s">
        <v>21</v>
      </c>
      <c r="E281" s="8">
        <v>45730</v>
      </c>
      <c r="F281" s="16" t="s">
        <v>12</v>
      </c>
      <c r="G281" s="16" t="s">
        <v>4</v>
      </c>
      <c r="H281" s="8"/>
      <c r="I281" s="16"/>
      <c r="J281" t="b">
        <v>0</v>
      </c>
      <c r="K281" s="15" t="s">
        <v>854</v>
      </c>
      <c r="L281" s="15" t="str">
        <f>HYPERLINK("https://uk1.aconex.co.uk/hub/index.html?mainTarget=%2FSearchControlledDoc%3FSEARCH_ACTION%3D15%26tab%3D0%26searchMode%3D1%26searchQuery%3Ddocno:%22"&amp;RawData[[#This Row],[Document Number]]&amp;"%22%20%2Bcversion%253A1",RawData[[#This Row],[Document Number]])</f>
        <v>FS1018-AGL-ZZ-ZZ-G-E-6010</v>
      </c>
    </row>
    <row r="282" spans="1:12" x14ac:dyDescent="0.3">
      <c r="A282" s="15" t="s">
        <v>855</v>
      </c>
      <c r="B282" s="15" t="s">
        <v>856</v>
      </c>
      <c r="C282" s="15" t="s">
        <v>14</v>
      </c>
      <c r="D282" s="15" t="s">
        <v>21</v>
      </c>
      <c r="E282" s="8">
        <v>45730</v>
      </c>
      <c r="F282" s="16" t="s">
        <v>12</v>
      </c>
      <c r="G282" s="16" t="s">
        <v>4</v>
      </c>
      <c r="H282" s="8"/>
      <c r="I282" s="16"/>
      <c r="J282" t="b">
        <v>0</v>
      </c>
      <c r="K282" s="15" t="s">
        <v>857</v>
      </c>
      <c r="L282" s="15" t="str">
        <f>HYPERLINK("https://uk1.aconex.co.uk/hub/index.html?mainTarget=%2FSearchControlledDoc%3FSEARCH_ACTION%3D15%26tab%3D0%26searchMode%3D1%26searchQuery%3Ddocno:%22"&amp;RawData[[#This Row],[Document Number]]&amp;"%22%20%2Bcversion%253A1",RawData[[#This Row],[Document Number]])</f>
        <v>FS1018-AGL-ZZ-ZZ-G-E-6011</v>
      </c>
    </row>
    <row r="283" spans="1:12" ht="100.8" x14ac:dyDescent="0.3">
      <c r="A283" s="15" t="s">
        <v>858</v>
      </c>
      <c r="B283" s="15" t="s">
        <v>859</v>
      </c>
      <c r="C283" s="15" t="s">
        <v>14</v>
      </c>
      <c r="D283" s="15" t="s">
        <v>20</v>
      </c>
      <c r="E283" s="8">
        <v>45175</v>
      </c>
      <c r="F283" s="16" t="s">
        <v>82</v>
      </c>
      <c r="G283" s="16" t="s">
        <v>40</v>
      </c>
      <c r="H283" s="8">
        <v>45201</v>
      </c>
      <c r="I283" s="16" t="s">
        <v>860</v>
      </c>
      <c r="J283" t="b">
        <v>0</v>
      </c>
      <c r="K283" s="15" t="s">
        <v>861</v>
      </c>
      <c r="L283" s="15" t="str">
        <f>HYPERLINK("https://uk1.aconex.co.uk/hub/index.html?mainTarget=%2FSearchControlledDoc%3FSEARCH_ACTION%3D15%26tab%3D0%26searchMode%3D1%26searchQuery%3Ddocno:%22"&amp;RawData[[#This Row],[Document Number]]&amp;"%22%20%2Bcversion%253A1",RawData[[#This Row],[Document Number]])</f>
        <v>FS1018-AGL-ZZ-ZZ-G-E-6801</v>
      </c>
    </row>
    <row r="284" spans="1:12" x14ac:dyDescent="0.3">
      <c r="A284" s="15" t="s">
        <v>862</v>
      </c>
      <c r="B284" s="15" t="s">
        <v>863</v>
      </c>
      <c r="C284" s="15" t="s">
        <v>14</v>
      </c>
      <c r="D284" s="15" t="s">
        <v>21</v>
      </c>
      <c r="E284" s="8">
        <v>45730</v>
      </c>
      <c r="F284" s="16" t="s">
        <v>12</v>
      </c>
      <c r="G284" s="16" t="s">
        <v>4</v>
      </c>
      <c r="H284" s="8"/>
      <c r="I284" s="16"/>
      <c r="J284" t="b">
        <v>0</v>
      </c>
      <c r="K284" s="15" t="s">
        <v>864</v>
      </c>
      <c r="L284" s="15" t="str">
        <f>HYPERLINK("https://uk1.aconex.co.uk/hub/index.html?mainTarget=%2FSearchControlledDoc%3FSEARCH_ACTION%3D15%26tab%3D0%26searchMode%3D1%26searchQuery%3Ddocno:%22"&amp;RawData[[#This Row],[Document Number]]&amp;"%22%20%2Bcversion%253A1",RawData[[#This Row],[Document Number]])</f>
        <v>FS1018-AGL-ZZ-ZZ-G-E-6811</v>
      </c>
    </row>
    <row r="285" spans="1:12" ht="28.8" x14ac:dyDescent="0.3">
      <c r="A285" s="15" t="s">
        <v>865</v>
      </c>
      <c r="B285" s="15" t="s">
        <v>866</v>
      </c>
      <c r="C285" s="15" t="s">
        <v>14</v>
      </c>
      <c r="D285" s="15" t="s">
        <v>20</v>
      </c>
      <c r="E285" s="8">
        <v>45175</v>
      </c>
      <c r="F285" s="16" t="s">
        <v>175</v>
      </c>
      <c r="G285" s="16" t="s">
        <v>34</v>
      </c>
      <c r="H285" s="8">
        <v>45205</v>
      </c>
      <c r="I285" s="16"/>
      <c r="J285" t="b">
        <v>0</v>
      </c>
      <c r="K285" s="15" t="s">
        <v>867</v>
      </c>
      <c r="L285" s="15" t="str">
        <f>HYPERLINK("https://uk1.aconex.co.uk/hub/index.html?mainTarget=%2FSearchControlledDoc%3FSEARCH_ACTION%3D15%26tab%3D0%26searchMode%3D1%26searchQuery%3Ddocno:%22"&amp;RawData[[#This Row],[Document Number]]&amp;"%22%20%2Bcversion%253A1",RawData[[#This Row],[Document Number]])</f>
        <v>FS1018-AGL-ZZ-ZZ-G-M-5001</v>
      </c>
    </row>
    <row r="286" spans="1:12" x14ac:dyDescent="0.3">
      <c r="A286" s="15" t="s">
        <v>868</v>
      </c>
      <c r="B286" s="15" t="s">
        <v>869</v>
      </c>
      <c r="C286" s="15" t="s">
        <v>14</v>
      </c>
      <c r="D286" s="15" t="s">
        <v>21</v>
      </c>
      <c r="E286" s="8">
        <v>45730</v>
      </c>
      <c r="F286" s="16" t="s">
        <v>12</v>
      </c>
      <c r="G286" s="16" t="s">
        <v>4</v>
      </c>
      <c r="H286" s="8"/>
      <c r="I286" s="16"/>
      <c r="J286" t="b">
        <v>0</v>
      </c>
      <c r="K286" s="15" t="s">
        <v>870</v>
      </c>
      <c r="L286" s="15" t="str">
        <f>HYPERLINK("https://uk1.aconex.co.uk/hub/index.html?mainTarget=%2FSearchControlledDoc%3FSEARCH_ACTION%3D15%26tab%3D0%26searchMode%3D1%26searchQuery%3Ddocno:%22"&amp;RawData[[#This Row],[Document Number]]&amp;"%22%20%2Bcversion%253A1",RawData[[#This Row],[Document Number]])</f>
        <v>FS1018-AGL-ZZ-ZZ-G-M-5010</v>
      </c>
    </row>
    <row r="287" spans="1:12" x14ac:dyDescent="0.3">
      <c r="A287" s="15" t="s">
        <v>871</v>
      </c>
      <c r="B287" s="15" t="s">
        <v>872</v>
      </c>
      <c r="C287" s="15" t="s">
        <v>14</v>
      </c>
      <c r="D287" s="15" t="s">
        <v>21</v>
      </c>
      <c r="E287" s="8">
        <v>45730</v>
      </c>
      <c r="F287" s="16" t="s">
        <v>12</v>
      </c>
      <c r="G287" s="16" t="s">
        <v>4</v>
      </c>
      <c r="H287" s="8"/>
      <c r="I287" s="16"/>
      <c r="J287" t="b">
        <v>0</v>
      </c>
      <c r="K287" s="15" t="s">
        <v>873</v>
      </c>
      <c r="L287" s="15" t="str">
        <f>HYPERLINK("https://uk1.aconex.co.uk/hub/index.html?mainTarget=%2FSearchControlledDoc%3FSEARCH_ACTION%3D15%26tab%3D0%26searchMode%3D1%26searchQuery%3Ddocno:%22"&amp;RawData[[#This Row],[Document Number]]&amp;"%22%20%2Bcversion%253A1",RawData[[#This Row],[Document Number]])</f>
        <v>FS1018-AGL-ZZ-ZZ-G-M-5210</v>
      </c>
    </row>
    <row r="288" spans="1:12" x14ac:dyDescent="0.3">
      <c r="A288" s="15" t="s">
        <v>874</v>
      </c>
      <c r="B288" s="15" t="s">
        <v>875</v>
      </c>
      <c r="C288" s="15" t="s">
        <v>14</v>
      </c>
      <c r="D288" s="15" t="s">
        <v>21</v>
      </c>
      <c r="E288" s="8">
        <v>45730</v>
      </c>
      <c r="F288" s="16" t="s">
        <v>12</v>
      </c>
      <c r="G288" s="16" t="s">
        <v>4</v>
      </c>
      <c r="H288" s="8"/>
      <c r="I288" s="16"/>
      <c r="J288" t="b">
        <v>0</v>
      </c>
      <c r="K288" s="15" t="s">
        <v>876</v>
      </c>
      <c r="L288" s="15" t="str">
        <f>HYPERLINK("https://uk1.aconex.co.uk/hub/index.html?mainTarget=%2FSearchControlledDoc%3FSEARCH_ACTION%3D15%26tab%3D0%26searchMode%3D1%26searchQuery%3Ddocno:%22"&amp;RawData[[#This Row],[Document Number]]&amp;"%22%20%2Bcversion%253A1",RawData[[#This Row],[Document Number]])</f>
        <v>FS1018-AGL-ZZ-ZZ-G-M-5211</v>
      </c>
    </row>
    <row r="289" spans="1:12" x14ac:dyDescent="0.3">
      <c r="A289" s="15" t="s">
        <v>877</v>
      </c>
      <c r="B289" s="15" t="s">
        <v>878</v>
      </c>
      <c r="C289" s="15" t="s">
        <v>14</v>
      </c>
      <c r="D289" s="15" t="s">
        <v>21</v>
      </c>
      <c r="E289" s="8">
        <v>45730</v>
      </c>
      <c r="F289" s="16" t="s">
        <v>12</v>
      </c>
      <c r="G289" s="16" t="s">
        <v>4</v>
      </c>
      <c r="H289" s="8"/>
      <c r="I289" s="16"/>
      <c r="J289" t="b">
        <v>0</v>
      </c>
      <c r="K289" s="15" t="s">
        <v>879</v>
      </c>
      <c r="L289" s="15" t="str">
        <f>HYPERLINK("https://uk1.aconex.co.uk/hub/index.html?mainTarget=%2FSearchControlledDoc%3FSEARCH_ACTION%3D15%26tab%3D0%26searchMode%3D1%26searchQuery%3Ddocno:%22"&amp;RawData[[#This Row],[Document Number]]&amp;"%22%20%2Bcversion%253A1",RawData[[#This Row],[Document Number]])</f>
        <v>FS1018-AGL-ZZ-ZZ-G-M-5310</v>
      </c>
    </row>
    <row r="290" spans="1:12" ht="43.2" x14ac:dyDescent="0.3">
      <c r="A290" s="15" t="s">
        <v>880</v>
      </c>
      <c r="B290" s="15" t="s">
        <v>881</v>
      </c>
      <c r="C290" s="15" t="s">
        <v>14</v>
      </c>
      <c r="D290" s="15" t="s">
        <v>20</v>
      </c>
      <c r="E290" s="8">
        <v>45175</v>
      </c>
      <c r="F290" s="16" t="s">
        <v>175</v>
      </c>
      <c r="G290" s="16" t="s">
        <v>40</v>
      </c>
      <c r="H290" s="8">
        <v>45205</v>
      </c>
      <c r="I290" s="16" t="s">
        <v>882</v>
      </c>
      <c r="J290" t="b">
        <v>0</v>
      </c>
      <c r="K290" s="15" t="s">
        <v>883</v>
      </c>
      <c r="L290" s="15" t="str">
        <f>HYPERLINK("https://uk1.aconex.co.uk/hub/index.html?mainTarget=%2FSearchControlledDoc%3FSEARCH_ACTION%3D15%26tab%3D0%26searchMode%3D1%26searchQuery%3Ddocno:%22"&amp;RawData[[#This Row],[Document Number]]&amp;"%22%20%2Bcversion%253A1",RawData[[#This Row],[Document Number]])</f>
        <v>FS1018-AGL-ZZ-ZZ-G-M-5401</v>
      </c>
    </row>
    <row r="291" spans="1:12" x14ac:dyDescent="0.3">
      <c r="A291" s="15" t="s">
        <v>884</v>
      </c>
      <c r="B291" s="15" t="s">
        <v>885</v>
      </c>
      <c r="C291" s="15" t="s">
        <v>14</v>
      </c>
      <c r="D291" s="15" t="s">
        <v>21</v>
      </c>
      <c r="E291" s="8">
        <v>45730</v>
      </c>
      <c r="F291" s="16" t="s">
        <v>12</v>
      </c>
      <c r="G291" s="16" t="s">
        <v>4</v>
      </c>
      <c r="H291" s="8"/>
      <c r="I291" s="16"/>
      <c r="J291" t="b">
        <v>0</v>
      </c>
      <c r="K291" s="15" t="s">
        <v>886</v>
      </c>
      <c r="L291" s="15" t="str">
        <f>HYPERLINK("https://uk1.aconex.co.uk/hub/index.html?mainTarget=%2FSearchControlledDoc%3FSEARCH_ACTION%3D15%26tab%3D0%26searchMode%3D1%26searchQuery%3Ddocno:%22"&amp;RawData[[#This Row],[Document Number]]&amp;"%22%20%2Bcversion%253A1",RawData[[#This Row],[Document Number]])</f>
        <v>FS1018-AGL-ZZ-ZZ-G-M-5410</v>
      </c>
    </row>
    <row r="292" spans="1:12" x14ac:dyDescent="0.3">
      <c r="A292" s="15" t="s">
        <v>887</v>
      </c>
      <c r="B292" s="15" t="s">
        <v>888</v>
      </c>
      <c r="C292" s="15" t="s">
        <v>14</v>
      </c>
      <c r="D292" s="15" t="s">
        <v>21</v>
      </c>
      <c r="E292" s="8">
        <v>45730</v>
      </c>
      <c r="F292" s="16" t="s">
        <v>12</v>
      </c>
      <c r="G292" s="16" t="s">
        <v>4</v>
      </c>
      <c r="H292" s="8"/>
      <c r="I292" s="16"/>
      <c r="J292" t="b">
        <v>0</v>
      </c>
      <c r="K292" s="15" t="s">
        <v>889</v>
      </c>
      <c r="L292" s="15" t="str">
        <f>HYPERLINK("https://uk1.aconex.co.uk/hub/index.html?mainTarget=%2FSearchControlledDoc%3FSEARCH_ACTION%3D15%26tab%3D0%26searchMode%3D1%26searchQuery%3Ddocno:%22"&amp;RawData[[#This Row],[Document Number]]&amp;"%22%20%2Bcversion%253A1",RawData[[#This Row],[Document Number]])</f>
        <v>FS1018-AGL-ZZ-ZZ-G-M-5610</v>
      </c>
    </row>
    <row r="293" spans="1:12" x14ac:dyDescent="0.3">
      <c r="A293" s="15" t="s">
        <v>890</v>
      </c>
      <c r="B293" s="15" t="s">
        <v>891</v>
      </c>
      <c r="C293" s="15" t="s">
        <v>14</v>
      </c>
      <c r="D293" s="15" t="s">
        <v>21</v>
      </c>
      <c r="E293" s="8">
        <v>45730</v>
      </c>
      <c r="F293" s="16" t="s">
        <v>12</v>
      </c>
      <c r="G293" s="16" t="s">
        <v>4</v>
      </c>
      <c r="H293" s="8"/>
      <c r="I293" s="16"/>
      <c r="J293" t="b">
        <v>0</v>
      </c>
      <c r="K293" s="15" t="s">
        <v>892</v>
      </c>
      <c r="L293" s="15" t="str">
        <f>HYPERLINK("https://uk1.aconex.co.uk/hub/index.html?mainTarget=%2FSearchControlledDoc%3FSEARCH_ACTION%3D15%26tab%3D0%26searchMode%3D1%26searchQuery%3Ddocno:%22"&amp;RawData[[#This Row],[Document Number]]&amp;"%22%20%2Bcversion%253A1",RawData[[#This Row],[Document Number]])</f>
        <v>FS1018-AGL-ZZ-ZZ-G-M-5611</v>
      </c>
    </row>
    <row r="294" spans="1:12" x14ac:dyDescent="0.3">
      <c r="A294" s="15" t="s">
        <v>893</v>
      </c>
      <c r="B294" s="15" t="s">
        <v>894</v>
      </c>
      <c r="C294" s="15" t="s">
        <v>14</v>
      </c>
      <c r="D294" s="15" t="s">
        <v>21</v>
      </c>
      <c r="E294" s="8">
        <v>45730</v>
      </c>
      <c r="F294" s="16" t="s">
        <v>12</v>
      </c>
      <c r="G294" s="16" t="s">
        <v>4</v>
      </c>
      <c r="H294" s="8"/>
      <c r="I294" s="16"/>
      <c r="J294" t="b">
        <v>0</v>
      </c>
      <c r="K294" s="15" t="s">
        <v>895</v>
      </c>
      <c r="L294" s="15" t="str">
        <f>HYPERLINK("https://uk1.aconex.co.uk/hub/index.html?mainTarget=%2FSearchControlledDoc%3FSEARCH_ACTION%3D15%26tab%3D0%26searchMode%3D1%26searchQuery%3Ddocno:%22"&amp;RawData[[#This Row],[Document Number]]&amp;"%22%20%2Bcversion%253A1",RawData[[#This Row],[Document Number]])</f>
        <v>FS1018-AGL-ZZ-ZZ-G-M-5612</v>
      </c>
    </row>
    <row r="295" spans="1:12" x14ac:dyDescent="0.3">
      <c r="A295" s="15" t="s">
        <v>896</v>
      </c>
      <c r="B295" s="15" t="s">
        <v>897</v>
      </c>
      <c r="C295" s="15" t="s">
        <v>14</v>
      </c>
      <c r="D295" s="15" t="s">
        <v>21</v>
      </c>
      <c r="E295" s="8">
        <v>45730</v>
      </c>
      <c r="F295" s="16" t="s">
        <v>12</v>
      </c>
      <c r="G295" s="16" t="s">
        <v>4</v>
      </c>
      <c r="H295" s="8"/>
      <c r="I295" s="16"/>
      <c r="J295" t="b">
        <v>0</v>
      </c>
      <c r="K295" s="15" t="s">
        <v>898</v>
      </c>
      <c r="L295" s="15" t="str">
        <f>HYPERLINK("https://uk1.aconex.co.uk/hub/index.html?mainTarget=%2FSearchControlledDoc%3FSEARCH_ACTION%3D15%26tab%3D0%26searchMode%3D1%26searchQuery%3Ddocno:%22"&amp;RawData[[#This Row],[Document Number]]&amp;"%22%20%2Bcversion%253A1",RawData[[#This Row],[Document Number]])</f>
        <v>FS1018-AGL-ZZ-ZZ-G-M-5613</v>
      </c>
    </row>
    <row r="296" spans="1:12" ht="28.8" x14ac:dyDescent="0.3">
      <c r="A296" s="15" t="s">
        <v>899</v>
      </c>
      <c r="B296" s="15" t="s">
        <v>900</v>
      </c>
      <c r="C296" s="15" t="s">
        <v>14</v>
      </c>
      <c r="D296" s="15" t="s">
        <v>20</v>
      </c>
      <c r="E296" s="8">
        <v>45175</v>
      </c>
      <c r="F296" s="16" t="s">
        <v>175</v>
      </c>
      <c r="G296" s="16" t="s">
        <v>34</v>
      </c>
      <c r="H296" s="8">
        <v>45205</v>
      </c>
      <c r="I296" s="16"/>
      <c r="J296" t="b">
        <v>0</v>
      </c>
      <c r="K296" s="15" t="s">
        <v>901</v>
      </c>
      <c r="L296" s="15" t="str">
        <f>HYPERLINK("https://uk1.aconex.co.uk/hub/index.html?mainTarget=%2FSearchControlledDoc%3FSEARCH_ACTION%3D15%26tab%3D0%26searchMode%3D1%26searchQuery%3Ddocno:%22"&amp;RawData[[#This Row],[Document Number]]&amp;"%22%20%2Bcversion%253A1",RawData[[#This Row],[Document Number]])</f>
        <v>FS1018-AGL-ZZ-ZZ-G-M-5701</v>
      </c>
    </row>
    <row r="297" spans="1:12" x14ac:dyDescent="0.3">
      <c r="A297" s="15" t="s">
        <v>902</v>
      </c>
      <c r="B297" s="15" t="s">
        <v>903</v>
      </c>
      <c r="C297" s="15" t="s">
        <v>14</v>
      </c>
      <c r="D297" s="15" t="s">
        <v>21</v>
      </c>
      <c r="E297" s="8">
        <v>45730</v>
      </c>
      <c r="F297" s="16" t="s">
        <v>12</v>
      </c>
      <c r="G297" s="16" t="s">
        <v>4</v>
      </c>
      <c r="H297" s="8"/>
      <c r="I297" s="16"/>
      <c r="J297" t="b">
        <v>0</v>
      </c>
      <c r="K297" s="15" t="s">
        <v>904</v>
      </c>
      <c r="L297" s="15" t="str">
        <f>HYPERLINK("https://uk1.aconex.co.uk/hub/index.html?mainTarget=%2FSearchControlledDoc%3FSEARCH_ACTION%3D15%26tab%3D0%26searchMode%3D1%26searchQuery%3Ddocno:%22"&amp;RawData[[#This Row],[Document Number]]&amp;"%22%20%2Bcversion%253A1",RawData[[#This Row],[Document Number]])</f>
        <v>FS1018-AGL-ZZ-ZZ-G-M-5710</v>
      </c>
    </row>
    <row r="298" spans="1:12" x14ac:dyDescent="0.3">
      <c r="A298" s="15" t="s">
        <v>905</v>
      </c>
      <c r="B298" s="15" t="s">
        <v>906</v>
      </c>
      <c r="C298" s="15" t="s">
        <v>14</v>
      </c>
      <c r="D298" s="15" t="s">
        <v>21</v>
      </c>
      <c r="E298" s="8">
        <v>45730</v>
      </c>
      <c r="F298" s="16" t="s">
        <v>12</v>
      </c>
      <c r="G298" s="16" t="s">
        <v>4</v>
      </c>
      <c r="H298" s="8"/>
      <c r="I298" s="16"/>
      <c r="J298" t="b">
        <v>0</v>
      </c>
      <c r="K298" s="15" t="s">
        <v>907</v>
      </c>
      <c r="L298" s="15" t="str">
        <f>HYPERLINK("https://uk1.aconex.co.uk/hub/index.html?mainTarget=%2FSearchControlledDoc%3FSEARCH_ACTION%3D15%26tab%3D0%26searchMode%3D1%26searchQuery%3Ddocno:%22"&amp;RawData[[#This Row],[Document Number]]&amp;"%22%20%2Bcversion%253A1",RawData[[#This Row],[Document Number]])</f>
        <v>FS1018-AGL-ZZ-ZZ-G-M-5711</v>
      </c>
    </row>
    <row r="299" spans="1:12" ht="43.2" x14ac:dyDescent="0.3">
      <c r="A299" s="15" t="s">
        <v>908</v>
      </c>
      <c r="B299" s="15" t="s">
        <v>909</v>
      </c>
      <c r="C299" s="15" t="s">
        <v>14</v>
      </c>
      <c r="D299" s="15" t="s">
        <v>20</v>
      </c>
      <c r="E299" s="8">
        <v>45175</v>
      </c>
      <c r="F299" s="16" t="s">
        <v>175</v>
      </c>
      <c r="G299" s="16" t="s">
        <v>40</v>
      </c>
      <c r="H299" s="8">
        <v>45205</v>
      </c>
      <c r="I299" s="16" t="s">
        <v>910</v>
      </c>
      <c r="J299" t="b">
        <v>0</v>
      </c>
      <c r="K299" s="15" t="s">
        <v>911</v>
      </c>
      <c r="L299" s="15" t="str">
        <f>HYPERLINK("https://uk1.aconex.co.uk/hub/index.html?mainTarget=%2FSearchControlledDoc%3FSEARCH_ACTION%3D15%26tab%3D0%26searchMode%3D1%26searchQuery%3Ddocno:%22"&amp;RawData[[#This Row],[Document Number]]&amp;"%22%20%2Bcversion%253A1",RawData[[#This Row],[Document Number]])</f>
        <v>FS1018-AGL-ZZ-ZZ-G-M-5801</v>
      </c>
    </row>
    <row r="300" spans="1:12" x14ac:dyDescent="0.3">
      <c r="A300" s="15" t="s">
        <v>912</v>
      </c>
      <c r="B300" s="15" t="s">
        <v>913</v>
      </c>
      <c r="C300" s="15" t="s">
        <v>14</v>
      </c>
      <c r="D300" s="15" t="s">
        <v>21</v>
      </c>
      <c r="E300" s="8">
        <v>45730</v>
      </c>
      <c r="F300" s="16" t="s">
        <v>12</v>
      </c>
      <c r="G300" s="16" t="s">
        <v>4</v>
      </c>
      <c r="H300" s="8"/>
      <c r="I300" s="16"/>
      <c r="J300" t="b">
        <v>0</v>
      </c>
      <c r="K300" s="15" t="s">
        <v>914</v>
      </c>
      <c r="L300" s="15" t="str">
        <f>HYPERLINK("https://uk1.aconex.co.uk/hub/index.html?mainTarget=%2FSearchControlledDoc%3FSEARCH_ACTION%3D15%26tab%3D0%26searchMode%3D1%26searchQuery%3Ddocno:%22"&amp;RawData[[#This Row],[Document Number]]&amp;"%22%20%2Bcversion%253A1",RawData[[#This Row],[Document Number]])</f>
        <v>FS1018-AGL-ZZ-ZZ-G-M-5812</v>
      </c>
    </row>
    <row r="301" spans="1:12" ht="57.6" x14ac:dyDescent="0.3">
      <c r="A301" s="15" t="s">
        <v>915</v>
      </c>
      <c r="B301" s="15" t="s">
        <v>916</v>
      </c>
      <c r="C301" s="15" t="s">
        <v>14</v>
      </c>
      <c r="D301" s="15" t="s">
        <v>20</v>
      </c>
      <c r="E301" s="8">
        <v>45217</v>
      </c>
      <c r="F301" s="16" t="s">
        <v>249</v>
      </c>
      <c r="G301" s="16" t="s">
        <v>22</v>
      </c>
      <c r="H301" s="8">
        <v>45217</v>
      </c>
      <c r="I301" s="16" t="s">
        <v>917</v>
      </c>
      <c r="J301" t="b">
        <v>0</v>
      </c>
      <c r="K301" s="15" t="s">
        <v>918</v>
      </c>
      <c r="L301" s="15" t="str">
        <f>HYPERLINK("https://uk1.aconex.co.uk/hub/index.html?mainTarget=%2FSearchControlledDoc%3FSEARCH_ACTION%3D15%26tab%3D0%26searchMode%3D1%26searchQuery%3Ddocno:%22"&amp;RawData[[#This Row],[Document Number]]&amp;"%22%20%2Bcversion%253A1",RawData[[#This Row],[Document Number]])</f>
        <v>FS1018-AGL-ZZ-ZZ-G-M-9600</v>
      </c>
    </row>
    <row r="302" spans="1:12" ht="72" x14ac:dyDescent="0.3">
      <c r="A302" s="15" t="s">
        <v>919</v>
      </c>
      <c r="B302" s="15" t="s">
        <v>920</v>
      </c>
      <c r="C302" s="15" t="s">
        <v>14</v>
      </c>
      <c r="D302" s="15" t="s">
        <v>20</v>
      </c>
      <c r="E302" s="8">
        <v>45175</v>
      </c>
      <c r="F302" s="16" t="s">
        <v>249</v>
      </c>
      <c r="G302" s="16" t="s">
        <v>22</v>
      </c>
      <c r="H302" s="8">
        <v>45194</v>
      </c>
      <c r="I302" s="16" t="s">
        <v>921</v>
      </c>
      <c r="J302" t="b">
        <v>0</v>
      </c>
      <c r="K302" s="15" t="s">
        <v>922</v>
      </c>
      <c r="L302" s="15" t="str">
        <f>HYPERLINK("https://uk1.aconex.co.uk/hub/index.html?mainTarget=%2FSearchControlledDoc%3FSEARCH_ACTION%3D15%26tab%3D0%26searchMode%3D1%26searchQuery%3Ddocno:%22"&amp;RawData[[#This Row],[Document Number]]&amp;"%22%20%2Bcversion%253A1",RawData[[#This Row],[Document Number]])</f>
        <v>FS1018-AGL-ZZ-ZZ-M-Z-0001</v>
      </c>
    </row>
    <row r="303" spans="1:12" ht="43.2" x14ac:dyDescent="0.3">
      <c r="A303" s="15" t="s">
        <v>919</v>
      </c>
      <c r="B303" s="15" t="s">
        <v>920</v>
      </c>
      <c r="C303" s="15" t="s">
        <v>10</v>
      </c>
      <c r="D303" s="15" t="s">
        <v>20</v>
      </c>
      <c r="E303" s="8">
        <v>45533</v>
      </c>
      <c r="F303" s="16" t="s">
        <v>175</v>
      </c>
      <c r="G303" s="16" t="s">
        <v>40</v>
      </c>
      <c r="H303" s="8">
        <v>45669</v>
      </c>
      <c r="I303" s="16" t="s">
        <v>71</v>
      </c>
      <c r="J303" t="b">
        <v>1</v>
      </c>
      <c r="K303" s="15" t="s">
        <v>922</v>
      </c>
      <c r="L303" s="15" t="str">
        <f>HYPERLINK("https://uk1.aconex.co.uk/hub/index.html?mainTarget=%2FSearchControlledDoc%3FSEARCH_ACTION%3D15%26tab%3D0%26searchMode%3D1%26searchQuery%3Ddocno:%22"&amp;RawData[[#This Row],[Document Number]]&amp;"%22%20%2Bcversion%253A1",RawData[[#This Row],[Document Number]])</f>
        <v>FS1018-AGL-ZZ-ZZ-M-Z-0001</v>
      </c>
    </row>
    <row r="304" spans="1:12" x14ac:dyDescent="0.3">
      <c r="A304" s="15" t="s">
        <v>919</v>
      </c>
      <c r="B304" s="15" t="s">
        <v>923</v>
      </c>
      <c r="C304" s="15" t="s">
        <v>924</v>
      </c>
      <c r="D304" s="15" t="s">
        <v>21</v>
      </c>
      <c r="E304" s="8">
        <v>45730</v>
      </c>
      <c r="F304" s="16" t="s">
        <v>12</v>
      </c>
      <c r="G304" s="16" t="s">
        <v>4</v>
      </c>
      <c r="H304" s="8"/>
      <c r="I304" s="16"/>
      <c r="J304" t="b">
        <v>0</v>
      </c>
      <c r="K304" s="15" t="s">
        <v>925</v>
      </c>
      <c r="L304" s="15" t="str">
        <f>HYPERLINK("https://uk1.aconex.co.uk/hub/index.html?mainTarget=%2FSearchControlledDoc%3FSEARCH_ACTION%3D15%26tab%3D0%26searchMode%3D1%26searchQuery%3Ddocno:%22"&amp;RawData[[#This Row],[Document Number]]&amp;"%22%20%2Bcversion%253A1",RawData[[#This Row],[Document Number]])</f>
        <v>FS1018-AGL-ZZ-ZZ-M-Z-0001</v>
      </c>
    </row>
    <row r="305" spans="1:12" ht="72" x14ac:dyDescent="0.3">
      <c r="A305" s="15" t="s">
        <v>926</v>
      </c>
      <c r="B305" s="15" t="s">
        <v>927</v>
      </c>
      <c r="C305" s="15" t="s">
        <v>14</v>
      </c>
      <c r="D305" s="15" t="s">
        <v>20</v>
      </c>
      <c r="E305" s="8">
        <v>45175</v>
      </c>
      <c r="F305" s="16" t="s">
        <v>249</v>
      </c>
      <c r="G305" s="16" t="s">
        <v>22</v>
      </c>
      <c r="H305" s="8">
        <v>45194</v>
      </c>
      <c r="I305" s="16" t="s">
        <v>928</v>
      </c>
      <c r="J305" t="b">
        <v>0</v>
      </c>
      <c r="K305" s="15" t="s">
        <v>929</v>
      </c>
      <c r="L305" s="15" t="str">
        <f>HYPERLINK("https://uk1.aconex.co.uk/hub/index.html?mainTarget=%2FSearchControlledDoc%3FSEARCH_ACTION%3D15%26tab%3D0%26searchMode%3D1%26searchQuery%3Ddocno:%22"&amp;RawData[[#This Row],[Document Number]]&amp;"%22%20%2Bcversion%253A1",RawData[[#This Row],[Document Number]])</f>
        <v>FS1018-AGL-ZZ-ZZ-M-Z-0002</v>
      </c>
    </row>
    <row r="306" spans="1:12" ht="43.2" x14ac:dyDescent="0.3">
      <c r="A306" s="15" t="s">
        <v>926</v>
      </c>
      <c r="B306" s="15" t="s">
        <v>930</v>
      </c>
      <c r="C306" s="15" t="s">
        <v>11</v>
      </c>
      <c r="D306" s="15" t="s">
        <v>20</v>
      </c>
      <c r="E306" s="8">
        <v>45532</v>
      </c>
      <c r="F306" s="16" t="s">
        <v>175</v>
      </c>
      <c r="G306" s="16" t="s">
        <v>40</v>
      </c>
      <c r="H306" s="8">
        <v>45669</v>
      </c>
      <c r="I306" s="16" t="s">
        <v>71</v>
      </c>
      <c r="J306" t="b">
        <v>0</v>
      </c>
      <c r="K306" s="15" t="s">
        <v>931</v>
      </c>
      <c r="L306" s="15" t="str">
        <f>HYPERLINK("https://uk1.aconex.co.uk/hub/index.html?mainTarget=%2FSearchControlledDoc%3FSEARCH_ACTION%3D15%26tab%3D0%26searchMode%3D1%26searchQuery%3Ddocno:%22"&amp;RawData[[#This Row],[Document Number]]&amp;"%22%20%2Bcversion%253A1",RawData[[#This Row],[Document Number]])</f>
        <v>FS1018-AGL-ZZ-ZZ-M-Z-0002</v>
      </c>
    </row>
    <row r="307" spans="1:12" x14ac:dyDescent="0.3">
      <c r="A307" s="15" t="s">
        <v>926</v>
      </c>
      <c r="B307" s="15" t="s">
        <v>930</v>
      </c>
      <c r="C307" s="15" t="s">
        <v>924</v>
      </c>
      <c r="D307" s="15" t="s">
        <v>21</v>
      </c>
      <c r="E307" s="8">
        <v>45730</v>
      </c>
      <c r="F307" s="16" t="s">
        <v>12</v>
      </c>
      <c r="G307" s="16" t="s">
        <v>4</v>
      </c>
      <c r="H307" s="8"/>
      <c r="I307" s="16"/>
      <c r="J307" t="b">
        <v>0</v>
      </c>
      <c r="K307" s="15" t="s">
        <v>931</v>
      </c>
      <c r="L307" s="15" t="str">
        <f>HYPERLINK("https://uk1.aconex.co.uk/hub/index.html?mainTarget=%2FSearchControlledDoc%3FSEARCH_ACTION%3D15%26tab%3D0%26searchMode%3D1%26searchQuery%3Ddocno:%22"&amp;RawData[[#This Row],[Document Number]]&amp;"%22%20%2Bcversion%253A1",RawData[[#This Row],[Document Number]])</f>
        <v>FS1018-AGL-ZZ-ZZ-M-Z-0002</v>
      </c>
    </row>
    <row r="308" spans="1:12" ht="72" x14ac:dyDescent="0.3">
      <c r="A308" s="15" t="s">
        <v>932</v>
      </c>
      <c r="B308" s="15" t="s">
        <v>933</v>
      </c>
      <c r="C308" s="15" t="s">
        <v>14</v>
      </c>
      <c r="D308" s="15" t="s">
        <v>20</v>
      </c>
      <c r="E308" s="8">
        <v>45175</v>
      </c>
      <c r="F308" s="16" t="s">
        <v>249</v>
      </c>
      <c r="G308" s="16" t="s">
        <v>22</v>
      </c>
      <c r="H308" s="8">
        <v>45194</v>
      </c>
      <c r="I308" s="16" t="s">
        <v>921</v>
      </c>
      <c r="J308" t="b">
        <v>0</v>
      </c>
      <c r="K308" s="15" t="s">
        <v>934</v>
      </c>
      <c r="L308" s="15" t="str">
        <f>HYPERLINK("https://uk1.aconex.co.uk/hub/index.html?mainTarget=%2FSearchControlledDoc%3FSEARCH_ACTION%3D15%26tab%3D0%26searchMode%3D1%26searchQuery%3Ddocno:%22"&amp;RawData[[#This Row],[Document Number]]&amp;"%22%20%2Bcversion%253A1",RawData[[#This Row],[Document Number]])</f>
        <v>FS1018-AGL-ZZ-ZZ-M-Z-0003</v>
      </c>
    </row>
    <row r="309" spans="1:12" ht="43.2" x14ac:dyDescent="0.3">
      <c r="A309" s="15" t="s">
        <v>932</v>
      </c>
      <c r="B309" s="15" t="s">
        <v>935</v>
      </c>
      <c r="C309" s="15" t="s">
        <v>11</v>
      </c>
      <c r="D309" s="15" t="s">
        <v>20</v>
      </c>
      <c r="E309" s="8">
        <v>45532</v>
      </c>
      <c r="F309" s="16" t="s">
        <v>175</v>
      </c>
      <c r="G309" s="16" t="s">
        <v>40</v>
      </c>
      <c r="H309" s="8">
        <v>45669</v>
      </c>
      <c r="I309" s="16" t="s">
        <v>71</v>
      </c>
      <c r="J309" t="b">
        <v>0</v>
      </c>
      <c r="K309" s="15" t="s">
        <v>936</v>
      </c>
      <c r="L309" s="15" t="str">
        <f>HYPERLINK("https://uk1.aconex.co.uk/hub/index.html?mainTarget=%2FSearchControlledDoc%3FSEARCH_ACTION%3D15%26tab%3D0%26searchMode%3D1%26searchQuery%3Ddocno:%22"&amp;RawData[[#This Row],[Document Number]]&amp;"%22%20%2Bcversion%253A1",RawData[[#This Row],[Document Number]])</f>
        <v>FS1018-AGL-ZZ-ZZ-M-Z-0003</v>
      </c>
    </row>
    <row r="310" spans="1:12" x14ac:dyDescent="0.3">
      <c r="A310" s="15" t="s">
        <v>932</v>
      </c>
      <c r="B310" s="15" t="s">
        <v>935</v>
      </c>
      <c r="C310" s="15" t="s">
        <v>924</v>
      </c>
      <c r="D310" s="15" t="s">
        <v>21</v>
      </c>
      <c r="E310" s="8">
        <v>45730</v>
      </c>
      <c r="F310" s="16" t="s">
        <v>12</v>
      </c>
      <c r="G310" s="16" t="s">
        <v>4</v>
      </c>
      <c r="H310" s="8"/>
      <c r="I310" s="16"/>
      <c r="J310" t="b">
        <v>0</v>
      </c>
      <c r="K310" s="15" t="s">
        <v>936</v>
      </c>
      <c r="L310" s="15" t="str">
        <f>HYPERLINK("https://uk1.aconex.co.uk/hub/index.html?mainTarget=%2FSearchControlledDoc%3FSEARCH_ACTION%3D15%26tab%3D0%26searchMode%3D1%26searchQuery%3Ddocno:%22"&amp;RawData[[#This Row],[Document Number]]&amp;"%22%20%2Bcversion%253A1",RawData[[#This Row],[Document Number]])</f>
        <v>FS1018-AGL-ZZ-ZZ-M-Z-0003</v>
      </c>
    </row>
    <row r="311" spans="1:12" ht="28.8" x14ac:dyDescent="0.3">
      <c r="A311" s="15" t="s">
        <v>937</v>
      </c>
      <c r="B311" s="15" t="s">
        <v>938</v>
      </c>
      <c r="C311" s="15" t="s">
        <v>14</v>
      </c>
      <c r="D311" s="15" t="s">
        <v>20</v>
      </c>
      <c r="E311" s="8">
        <v>45175</v>
      </c>
      <c r="F311" s="16" t="s">
        <v>939</v>
      </c>
      <c r="G311" s="16" t="s">
        <v>34</v>
      </c>
      <c r="H311" s="8">
        <v>45194</v>
      </c>
      <c r="I311" s="16"/>
      <c r="J311" t="b">
        <v>0</v>
      </c>
      <c r="K311" s="15" t="s">
        <v>940</v>
      </c>
      <c r="L311" s="15" t="str">
        <f>HYPERLINK("https://uk1.aconex.co.uk/hub/index.html?mainTarget=%2FSearchControlledDoc%3FSEARCH_ACTION%3D15%26tab%3D0%26searchMode%3D1%26searchQuery%3Ddocno:%22"&amp;RawData[[#This Row],[Document Number]]&amp;"%22%20%2Bcversion%253A1",RawData[[#This Row],[Document Number]])</f>
        <v>FS1018-AMT-XX-XX-L-O-0001</v>
      </c>
    </row>
    <row r="312" spans="1:12" ht="28.8" x14ac:dyDescent="0.3">
      <c r="A312" s="15" t="s">
        <v>941</v>
      </c>
      <c r="B312" s="15" t="s">
        <v>942</v>
      </c>
      <c r="C312" s="15" t="s">
        <v>14</v>
      </c>
      <c r="D312" s="15" t="s">
        <v>20</v>
      </c>
      <c r="E312" s="8">
        <v>45175</v>
      </c>
      <c r="F312" s="16" t="s">
        <v>939</v>
      </c>
      <c r="G312" s="16" t="s">
        <v>34</v>
      </c>
      <c r="H312" s="8">
        <v>45194</v>
      </c>
      <c r="I312" s="16"/>
      <c r="J312" t="b">
        <v>0</v>
      </c>
      <c r="K312" s="15" t="s">
        <v>943</v>
      </c>
      <c r="L312" s="15" t="str">
        <f>HYPERLINK("https://uk1.aconex.co.uk/hub/index.html?mainTarget=%2FSearchControlledDoc%3FSEARCH_ACTION%3D15%26tab%3D0%26searchMode%3D1%26searchQuery%3Ddocno:%22"&amp;RawData[[#This Row],[Document Number]]&amp;"%22%20%2Bcversion%253A1",RawData[[#This Row],[Document Number]])</f>
        <v>FS1018-AMT-XX-XX-L-O-0002</v>
      </c>
    </row>
    <row r="313" spans="1:12" ht="28.8" x14ac:dyDescent="0.3">
      <c r="A313" s="15" t="s">
        <v>944</v>
      </c>
      <c r="B313" s="15" t="s">
        <v>945</v>
      </c>
      <c r="C313" s="15" t="s">
        <v>14</v>
      </c>
      <c r="D313" s="15" t="s">
        <v>20</v>
      </c>
      <c r="E313" s="8">
        <v>45175</v>
      </c>
      <c r="F313" s="16" t="s">
        <v>33</v>
      </c>
      <c r="G313" s="16" t="s">
        <v>22</v>
      </c>
      <c r="H313" s="8">
        <v>45190</v>
      </c>
      <c r="I313" s="16" t="s">
        <v>946</v>
      </c>
      <c r="J313" t="b">
        <v>0</v>
      </c>
      <c r="K313" s="15" t="s">
        <v>947</v>
      </c>
      <c r="L313" s="15" t="str">
        <f>HYPERLINK("https://uk1.aconex.co.uk/hub/index.html?mainTarget=%2FSearchControlledDoc%3FSEARCH_ACTION%3D15%26tab%3D0%26searchMode%3D1%26searchQuery%3Ddocno:%22"&amp;RawData[[#This Row],[Document Number]]&amp;"%22%20%2Bcversion%253A1",RawData[[#This Row],[Document Number]])</f>
        <v>FS1018-CPM-01-XX-T-A-0005</v>
      </c>
    </row>
    <row r="314" spans="1:12" ht="28.8" x14ac:dyDescent="0.3">
      <c r="A314" s="15" t="s">
        <v>948</v>
      </c>
      <c r="B314" s="15" t="s">
        <v>949</v>
      </c>
      <c r="C314" s="15" t="s">
        <v>10</v>
      </c>
      <c r="D314" s="15" t="s">
        <v>20</v>
      </c>
      <c r="E314" s="8">
        <v>45175</v>
      </c>
      <c r="F314" s="16" t="s">
        <v>33</v>
      </c>
      <c r="G314" s="16" t="s">
        <v>22</v>
      </c>
      <c r="H314" s="8">
        <v>45190</v>
      </c>
      <c r="I314" s="16" t="s">
        <v>950</v>
      </c>
      <c r="J314" t="b">
        <v>1</v>
      </c>
      <c r="K314" s="15" t="s">
        <v>951</v>
      </c>
      <c r="L314" s="15" t="str">
        <f>HYPERLINK("https://uk1.aconex.co.uk/hub/index.html?mainTarget=%2FSearchControlledDoc%3FSEARCH_ACTION%3D15%26tab%3D0%26searchMode%3D1%26searchQuery%3Ddocno:%22"&amp;RawData[[#This Row],[Document Number]]&amp;"%22%20%2Bcversion%253A1",RawData[[#This Row],[Document Number]])</f>
        <v>FS1018-CPM-01-XX-T-A-0010</v>
      </c>
    </row>
    <row r="315" spans="1:12" ht="129.6" x14ac:dyDescent="0.3">
      <c r="A315" s="15" t="s">
        <v>952</v>
      </c>
      <c r="B315" s="15" t="s">
        <v>953</v>
      </c>
      <c r="C315" s="15" t="s">
        <v>14</v>
      </c>
      <c r="D315" s="15" t="s">
        <v>20</v>
      </c>
      <c r="E315" s="8">
        <v>45175</v>
      </c>
      <c r="F315" s="16" t="s">
        <v>33</v>
      </c>
      <c r="G315" s="16" t="s">
        <v>22</v>
      </c>
      <c r="H315" s="8">
        <v>45195</v>
      </c>
      <c r="I315" s="16" t="s">
        <v>954</v>
      </c>
      <c r="J315" t="b">
        <v>0</v>
      </c>
      <c r="K315" s="15" t="s">
        <v>955</v>
      </c>
      <c r="L315" s="15" t="str">
        <f>HYPERLINK("https://uk1.aconex.co.uk/hub/index.html?mainTarget=%2FSearchControlledDoc%3FSEARCH_ACTION%3D15%26tab%3D0%26searchMode%3D1%26searchQuery%3Ddocno:%22"&amp;RawData[[#This Row],[Document Number]]&amp;"%22%20%2Bcversion%253A1",RawData[[#This Row],[Document Number]])</f>
        <v>FS1018-CPM-01-ZZ-L-A-0000</v>
      </c>
    </row>
    <row r="316" spans="1:12" ht="57.6" x14ac:dyDescent="0.3">
      <c r="A316" s="15" t="s">
        <v>956</v>
      </c>
      <c r="B316" s="15" t="s">
        <v>957</v>
      </c>
      <c r="C316" s="15" t="s">
        <v>14</v>
      </c>
      <c r="D316" s="15" t="s">
        <v>20</v>
      </c>
      <c r="E316" s="8">
        <v>45175</v>
      </c>
      <c r="F316" s="16" t="s">
        <v>33</v>
      </c>
      <c r="G316" s="16" t="s">
        <v>22</v>
      </c>
      <c r="H316" s="8">
        <v>45190</v>
      </c>
      <c r="I316" s="16" t="s">
        <v>958</v>
      </c>
      <c r="J316" t="b">
        <v>0</v>
      </c>
      <c r="K316" s="15" t="s">
        <v>959</v>
      </c>
      <c r="L316" s="15" t="str">
        <f>HYPERLINK("https://uk1.aconex.co.uk/hub/index.html?mainTarget=%2FSearchControlledDoc%3FSEARCH_ACTION%3D15%26tab%3D0%26searchMode%3D1%26searchQuery%3Ddocno:%22"&amp;RawData[[#This Row],[Document Number]]&amp;"%22%20%2Bcversion%253A1",RawData[[#This Row],[Document Number]])</f>
        <v>FS1018-CPM-XX-XX-L-A-0001</v>
      </c>
    </row>
    <row r="317" spans="1:12" ht="43.2" x14ac:dyDescent="0.3">
      <c r="A317" s="15" t="s">
        <v>956</v>
      </c>
      <c r="B317" s="15" t="s">
        <v>957</v>
      </c>
      <c r="C317" s="15" t="s">
        <v>583</v>
      </c>
      <c r="D317" s="15" t="s">
        <v>20</v>
      </c>
      <c r="E317" s="8">
        <v>45638</v>
      </c>
      <c r="F317" s="16" t="s">
        <v>78</v>
      </c>
      <c r="G317" s="16" t="s">
        <v>40</v>
      </c>
      <c r="H317" s="8">
        <v>45669</v>
      </c>
      <c r="I317" s="16" t="s">
        <v>71</v>
      </c>
      <c r="J317" t="b">
        <v>0</v>
      </c>
      <c r="K317" s="15" t="s">
        <v>959</v>
      </c>
      <c r="L317" s="15" t="str">
        <f>HYPERLINK("https://uk1.aconex.co.uk/hub/index.html?mainTarget=%2FSearchControlledDoc%3FSEARCH_ACTION%3D15%26tab%3D0%26searchMode%3D1%26searchQuery%3Ddocno:%22"&amp;RawData[[#This Row],[Document Number]]&amp;"%22%20%2Bcversion%253A1",RawData[[#This Row],[Document Number]])</f>
        <v>FS1018-CPM-XX-XX-L-A-0001</v>
      </c>
    </row>
    <row r="318" spans="1:12" x14ac:dyDescent="0.3">
      <c r="A318" s="15" t="s">
        <v>956</v>
      </c>
      <c r="B318" s="15" t="s">
        <v>957</v>
      </c>
      <c r="C318" s="15" t="s">
        <v>960</v>
      </c>
      <c r="D318" s="15" t="s">
        <v>21</v>
      </c>
      <c r="E318" s="8">
        <v>45729</v>
      </c>
      <c r="F318" s="16" t="s">
        <v>12</v>
      </c>
      <c r="G318" s="16" t="s">
        <v>4</v>
      </c>
      <c r="H318" s="8"/>
      <c r="I318" s="16"/>
      <c r="J318" t="b">
        <v>0</v>
      </c>
      <c r="K318" s="15" t="s">
        <v>959</v>
      </c>
      <c r="L318" s="15" t="str">
        <f>HYPERLINK("https://uk1.aconex.co.uk/hub/index.html?mainTarget=%2FSearchControlledDoc%3FSEARCH_ACTION%3D15%26tab%3D0%26searchMode%3D1%26searchQuery%3Ddocno:%22"&amp;RawData[[#This Row],[Document Number]]&amp;"%22%20%2Bcversion%253A1",RawData[[#This Row],[Document Number]])</f>
        <v>FS1018-CPM-XX-XX-L-A-0001</v>
      </c>
    </row>
    <row r="319" spans="1:12" ht="43.2" x14ac:dyDescent="0.3">
      <c r="A319" s="15" t="s">
        <v>961</v>
      </c>
      <c r="B319" s="15" t="s">
        <v>945</v>
      </c>
      <c r="C319" s="15" t="s">
        <v>14</v>
      </c>
      <c r="D319" s="15" t="s">
        <v>20</v>
      </c>
      <c r="E319" s="8">
        <v>45505</v>
      </c>
      <c r="F319" s="16" t="s">
        <v>33</v>
      </c>
      <c r="G319" s="16" t="s">
        <v>40</v>
      </c>
      <c r="H319" s="8">
        <v>45669</v>
      </c>
      <c r="I319" s="16" t="s">
        <v>71</v>
      </c>
      <c r="J319" t="b">
        <v>0</v>
      </c>
      <c r="K319" s="15" t="s">
        <v>962</v>
      </c>
      <c r="L319" s="15" t="str">
        <f>HYPERLINK("https://uk1.aconex.co.uk/hub/index.html?mainTarget=%2FSearchControlledDoc%3FSEARCH_ACTION%3D15%26tab%3D0%26searchMode%3D1%26searchQuery%3Ddocno:%22"&amp;RawData[[#This Row],[Document Number]]&amp;"%22%20%2Bcversion%253A1",RawData[[#This Row],[Document Number]])</f>
        <v>FS1018-CPM-XX-XX-T-A-0005</v>
      </c>
    </row>
    <row r="320" spans="1:12" x14ac:dyDescent="0.3">
      <c r="A320" s="15" t="s">
        <v>961</v>
      </c>
      <c r="B320" s="15" t="s">
        <v>945</v>
      </c>
      <c r="C320" s="15" t="s">
        <v>583</v>
      </c>
      <c r="D320" s="15" t="s">
        <v>21</v>
      </c>
      <c r="E320" s="8">
        <v>45729</v>
      </c>
      <c r="F320" s="16" t="s">
        <v>12</v>
      </c>
      <c r="G320" s="16" t="s">
        <v>4</v>
      </c>
      <c r="H320" s="8"/>
      <c r="I320" s="16"/>
      <c r="J320" t="b">
        <v>0</v>
      </c>
      <c r="K320" s="15" t="s">
        <v>962</v>
      </c>
      <c r="L320" s="15" t="str">
        <f>HYPERLINK("https://uk1.aconex.co.uk/hub/index.html?mainTarget=%2FSearchControlledDoc%3FSEARCH_ACTION%3D15%26tab%3D0%26searchMode%3D1%26searchQuery%3Ddocno:%22"&amp;RawData[[#This Row],[Document Number]]&amp;"%22%20%2Bcversion%253A1",RawData[[#This Row],[Document Number]])</f>
        <v>FS1018-CPM-XX-XX-T-A-0005</v>
      </c>
    </row>
    <row r="321" spans="1:12" ht="409.6" x14ac:dyDescent="0.3">
      <c r="A321" s="15" t="s">
        <v>963</v>
      </c>
      <c r="B321" s="15" t="s">
        <v>964</v>
      </c>
      <c r="C321" s="15" t="s">
        <v>11</v>
      </c>
      <c r="D321" s="15" t="s">
        <v>20</v>
      </c>
      <c r="E321" s="8">
        <v>45175</v>
      </c>
      <c r="F321" s="16" t="s">
        <v>33</v>
      </c>
      <c r="G321" s="16" t="s">
        <v>22</v>
      </c>
      <c r="H321" s="8">
        <v>45190</v>
      </c>
      <c r="I321" s="16" t="s">
        <v>965</v>
      </c>
      <c r="J321" t="b">
        <v>0</v>
      </c>
      <c r="K321" s="15" t="s">
        <v>966</v>
      </c>
      <c r="L321" s="15" t="str">
        <f>HYPERLINK("https://uk1.aconex.co.uk/hub/index.html?mainTarget=%2FSearchControlledDoc%3FSEARCH_ACTION%3D15%26tab%3D0%26searchMode%3D1%26searchQuery%3Ddocno:%22"&amp;RawData[[#This Row],[Document Number]]&amp;"%22%20%2Bcversion%253A1",RawData[[#This Row],[Document Number]])</f>
        <v>FS1018-CPM-XX-XX-T-A-0010</v>
      </c>
    </row>
    <row r="322" spans="1:12" ht="115.2" x14ac:dyDescent="0.3">
      <c r="A322" s="15" t="s">
        <v>963</v>
      </c>
      <c r="B322" s="15" t="s">
        <v>964</v>
      </c>
      <c r="C322" s="15" t="s">
        <v>583</v>
      </c>
      <c r="D322" s="15" t="s">
        <v>20</v>
      </c>
      <c r="E322" s="8">
        <v>45191</v>
      </c>
      <c r="F322" s="16" t="s">
        <v>33</v>
      </c>
      <c r="G322" s="16" t="s">
        <v>40</v>
      </c>
      <c r="H322" s="8">
        <v>45208</v>
      </c>
      <c r="I322" s="16" t="s">
        <v>967</v>
      </c>
      <c r="J322" t="b">
        <v>0</v>
      </c>
      <c r="K322" s="15" t="s">
        <v>966</v>
      </c>
      <c r="L322" s="15" t="str">
        <f>HYPERLINK("https://uk1.aconex.co.uk/hub/index.html?mainTarget=%2FSearchControlledDoc%3FSEARCH_ACTION%3D15%26tab%3D0%26searchMode%3D1%26searchQuery%3Ddocno:%22"&amp;RawData[[#This Row],[Document Number]]&amp;"%22%20%2Bcversion%253A1",RawData[[#This Row],[Document Number]])</f>
        <v>FS1018-CPM-XX-XX-T-A-0010</v>
      </c>
    </row>
    <row r="323" spans="1:12" ht="43.2" x14ac:dyDescent="0.3">
      <c r="A323" s="15" t="s">
        <v>963</v>
      </c>
      <c r="B323" s="15" t="s">
        <v>949</v>
      </c>
      <c r="C323" s="15" t="s">
        <v>968</v>
      </c>
      <c r="D323" s="15" t="s">
        <v>20</v>
      </c>
      <c r="E323" s="8">
        <v>45638</v>
      </c>
      <c r="F323" s="16" t="s">
        <v>78</v>
      </c>
      <c r="G323" s="16" t="s">
        <v>40</v>
      </c>
      <c r="H323" s="8">
        <v>45669</v>
      </c>
      <c r="I323" s="16" t="s">
        <v>71</v>
      </c>
      <c r="J323" t="b">
        <v>0</v>
      </c>
      <c r="K323" s="15" t="s">
        <v>969</v>
      </c>
      <c r="L323" s="15" t="str">
        <f>HYPERLINK("https://uk1.aconex.co.uk/hub/index.html?mainTarget=%2FSearchControlledDoc%3FSEARCH_ACTION%3D15%26tab%3D0%26searchMode%3D1%26searchQuery%3Ddocno:%22"&amp;RawData[[#This Row],[Document Number]]&amp;"%22%20%2Bcversion%253A1",RawData[[#This Row],[Document Number]])</f>
        <v>FS1018-CPM-XX-XX-T-A-0010</v>
      </c>
    </row>
    <row r="324" spans="1:12" x14ac:dyDescent="0.3">
      <c r="A324" s="15" t="s">
        <v>963</v>
      </c>
      <c r="B324" s="15" t="s">
        <v>949</v>
      </c>
      <c r="C324" s="15" t="s">
        <v>970</v>
      </c>
      <c r="D324" s="15" t="s">
        <v>21</v>
      </c>
      <c r="E324" s="8">
        <v>45729</v>
      </c>
      <c r="F324" s="16" t="s">
        <v>12</v>
      </c>
      <c r="G324" s="16" t="s">
        <v>4</v>
      </c>
      <c r="H324" s="8"/>
      <c r="I324" s="16"/>
      <c r="J324" t="b">
        <v>0</v>
      </c>
      <c r="K324" s="15" t="s">
        <v>969</v>
      </c>
      <c r="L324" s="15" t="str">
        <f>HYPERLINK("https://uk1.aconex.co.uk/hub/index.html?mainTarget=%2FSearchControlledDoc%3FSEARCH_ACTION%3D15%26tab%3D0%26searchMode%3D1%26searchQuery%3Ddocno:%22"&amp;RawData[[#This Row],[Document Number]]&amp;"%22%20%2Bcversion%253A1",RawData[[#This Row],[Document Number]])</f>
        <v>FS1018-CPM-XX-XX-T-A-0010</v>
      </c>
    </row>
    <row r="325" spans="1:12" ht="43.2" x14ac:dyDescent="0.3">
      <c r="A325" s="15" t="s">
        <v>971</v>
      </c>
      <c r="B325" s="15" t="s">
        <v>972</v>
      </c>
      <c r="C325" s="15" t="s">
        <v>10</v>
      </c>
      <c r="D325" s="15" t="s">
        <v>20</v>
      </c>
      <c r="E325" s="8">
        <v>45532</v>
      </c>
      <c r="F325" s="16" t="s">
        <v>33</v>
      </c>
      <c r="G325" s="16" t="s">
        <v>40</v>
      </c>
      <c r="H325" s="8">
        <v>45669</v>
      </c>
      <c r="I325" s="16" t="s">
        <v>71</v>
      </c>
      <c r="J325" t="b">
        <v>1</v>
      </c>
      <c r="K325" s="15" t="s">
        <v>973</v>
      </c>
      <c r="L325" s="15" t="str">
        <f>HYPERLINK("https://uk1.aconex.co.uk/hub/index.html?mainTarget=%2FSearchControlledDoc%3FSEARCH_ACTION%3D15%26tab%3D0%26searchMode%3D1%26searchQuery%3Ddocno:%22"&amp;RawData[[#This Row],[Document Number]]&amp;"%22%20%2Bcversion%253A1",RawData[[#This Row],[Document Number]])</f>
        <v>FS1018-CPM-XX-XX-T-A-0020</v>
      </c>
    </row>
    <row r="326" spans="1:12" ht="72" x14ac:dyDescent="0.3">
      <c r="A326" s="15" t="s">
        <v>974</v>
      </c>
      <c r="B326" s="15" t="s">
        <v>975</v>
      </c>
      <c r="C326" s="15" t="s">
        <v>14</v>
      </c>
      <c r="D326" s="15" t="s">
        <v>20</v>
      </c>
      <c r="E326" s="8">
        <v>45175</v>
      </c>
      <c r="F326" s="16" t="s">
        <v>33</v>
      </c>
      <c r="G326" s="16" t="s">
        <v>40</v>
      </c>
      <c r="H326" s="8">
        <v>45190</v>
      </c>
      <c r="I326" s="16" t="s">
        <v>976</v>
      </c>
      <c r="J326" t="b">
        <v>0</v>
      </c>
      <c r="K326" s="15" t="s">
        <v>977</v>
      </c>
      <c r="L326" s="15" t="str">
        <f>HYPERLINK("https://uk1.aconex.co.uk/hub/index.html?mainTarget=%2FSearchControlledDoc%3FSEARCH_ACTION%3D15%26tab%3D0%26searchMode%3D1%26searchQuery%3Ddocno:%22"&amp;RawData[[#This Row],[Document Number]]&amp;"%22%20%2Bcversion%253A1",RawData[[#This Row],[Document Number]])</f>
        <v>FS1018-CPM-XX-XX-T-A-5001</v>
      </c>
    </row>
    <row r="327" spans="1:12" x14ac:dyDescent="0.3">
      <c r="A327" s="15" t="s">
        <v>974</v>
      </c>
      <c r="B327" s="15" t="s">
        <v>978</v>
      </c>
      <c r="C327" s="15" t="s">
        <v>14</v>
      </c>
      <c r="D327" s="15" t="s">
        <v>21</v>
      </c>
      <c r="E327" s="8">
        <v>45729</v>
      </c>
      <c r="F327" s="16" t="s">
        <v>12</v>
      </c>
      <c r="G327" s="16" t="s">
        <v>4</v>
      </c>
      <c r="H327" s="8"/>
      <c r="I327" s="16"/>
      <c r="J327" t="b">
        <v>0</v>
      </c>
      <c r="K327" s="15" t="s">
        <v>979</v>
      </c>
      <c r="L327" s="15" t="str">
        <f>HYPERLINK("https://uk1.aconex.co.uk/hub/index.html?mainTarget=%2FSearchControlledDoc%3FSEARCH_ACTION%3D15%26tab%3D0%26searchMode%3D1%26searchQuery%3Ddocno:%22"&amp;RawData[[#This Row],[Document Number]]&amp;"%22%20%2Bcversion%253A1",RawData[[#This Row],[Document Number]])</f>
        <v>FS1018-CPM-XX-XX-T-A-5001</v>
      </c>
    </row>
    <row r="328" spans="1:12" ht="72" x14ac:dyDescent="0.3">
      <c r="A328" s="15" t="s">
        <v>980</v>
      </c>
      <c r="B328" s="15" t="s">
        <v>981</v>
      </c>
      <c r="C328" s="15" t="s">
        <v>14</v>
      </c>
      <c r="D328" s="15" t="s">
        <v>20</v>
      </c>
      <c r="E328" s="8">
        <v>45175</v>
      </c>
      <c r="F328" s="16" t="s">
        <v>33</v>
      </c>
      <c r="G328" s="16" t="s">
        <v>40</v>
      </c>
      <c r="H328" s="8">
        <v>45190</v>
      </c>
      <c r="I328" s="16" t="s">
        <v>982</v>
      </c>
      <c r="J328" t="b">
        <v>0</v>
      </c>
      <c r="K328" s="15" t="s">
        <v>983</v>
      </c>
      <c r="L328" s="15" t="str">
        <f>HYPERLINK("https://uk1.aconex.co.uk/hub/index.html?mainTarget=%2FSearchControlledDoc%3FSEARCH_ACTION%3D15%26tab%3D0%26searchMode%3D1%26searchQuery%3Ddocno:%22"&amp;RawData[[#This Row],[Document Number]]&amp;"%22%20%2Bcversion%253A1",RawData[[#This Row],[Document Number]])</f>
        <v>FS1018-CPM-XX-XX-T-A-5002</v>
      </c>
    </row>
    <row r="329" spans="1:12" x14ac:dyDescent="0.3">
      <c r="A329" s="15" t="s">
        <v>980</v>
      </c>
      <c r="B329" s="15" t="s">
        <v>981</v>
      </c>
      <c r="C329" s="15" t="s">
        <v>10</v>
      </c>
      <c r="D329" s="15" t="s">
        <v>21</v>
      </c>
      <c r="E329" s="8">
        <v>45729</v>
      </c>
      <c r="F329" s="16" t="s">
        <v>12</v>
      </c>
      <c r="G329" s="16" t="s">
        <v>4</v>
      </c>
      <c r="H329" s="8"/>
      <c r="I329" s="16"/>
      <c r="J329" t="b">
        <v>1</v>
      </c>
      <c r="K329" s="15" t="s">
        <v>983</v>
      </c>
      <c r="L329" s="15" t="str">
        <f>HYPERLINK("https://uk1.aconex.co.uk/hub/index.html?mainTarget=%2FSearchControlledDoc%3FSEARCH_ACTION%3D15%26tab%3D0%26searchMode%3D1%26searchQuery%3Ddocno:%22"&amp;RawData[[#This Row],[Document Number]]&amp;"%22%20%2Bcversion%253A1",RawData[[#This Row],[Document Number]])</f>
        <v>FS1018-CPM-XX-XX-T-A-5002</v>
      </c>
    </row>
    <row r="330" spans="1:12" x14ac:dyDescent="0.3">
      <c r="A330" s="15" t="s">
        <v>984</v>
      </c>
      <c r="B330" s="15" t="s">
        <v>985</v>
      </c>
      <c r="C330" s="15" t="s">
        <v>14</v>
      </c>
      <c r="D330" s="15" t="s">
        <v>21</v>
      </c>
      <c r="E330" s="8">
        <v>45729</v>
      </c>
      <c r="F330" s="16" t="s">
        <v>12</v>
      </c>
      <c r="G330" s="16" t="s">
        <v>4</v>
      </c>
      <c r="H330" s="8"/>
      <c r="I330" s="16"/>
      <c r="J330" t="b">
        <v>0</v>
      </c>
      <c r="K330" s="15" t="s">
        <v>986</v>
      </c>
      <c r="L330" s="15" t="str">
        <f>HYPERLINK("https://uk1.aconex.co.uk/hub/index.html?mainTarget=%2FSearchControlledDoc%3FSEARCH_ACTION%3D15%26tab%3D0%26searchMode%3D1%26searchQuery%3Ddocno:%22"&amp;RawData[[#This Row],[Document Number]]&amp;"%22%20%2Bcversion%253A1",RawData[[#This Row],[Document Number]])</f>
        <v>FS1018-CPM-XX-XX-T-A-5003</v>
      </c>
    </row>
    <row r="331" spans="1:12" ht="43.2" x14ac:dyDescent="0.3">
      <c r="A331" s="15" t="s">
        <v>987</v>
      </c>
      <c r="B331" s="15" t="s">
        <v>953</v>
      </c>
      <c r="C331" s="15" t="s">
        <v>988</v>
      </c>
      <c r="D331" s="15" t="s">
        <v>20</v>
      </c>
      <c r="E331" s="8">
        <v>45532</v>
      </c>
      <c r="F331" s="16" t="s">
        <v>33</v>
      </c>
      <c r="G331" s="16" t="s">
        <v>40</v>
      </c>
      <c r="H331" s="8">
        <v>45669</v>
      </c>
      <c r="I331" s="16" t="s">
        <v>71</v>
      </c>
      <c r="J331" t="b">
        <v>0</v>
      </c>
      <c r="K331" s="15" t="s">
        <v>989</v>
      </c>
      <c r="L331" s="15" t="str">
        <f>HYPERLINK("https://uk1.aconex.co.uk/hub/index.html?mainTarget=%2FSearchControlledDoc%3FSEARCH_ACTION%3D15%26tab%3D0%26searchMode%3D1%26searchQuery%3Ddocno:%22"&amp;RawData[[#This Row],[Document Number]]&amp;"%22%20%2Bcversion%253A1",RawData[[#This Row],[Document Number]])</f>
        <v>FS1018-CPM-XX-ZZ-L-A-0000</v>
      </c>
    </row>
    <row r="332" spans="1:12" x14ac:dyDescent="0.3">
      <c r="A332" s="15" t="s">
        <v>987</v>
      </c>
      <c r="B332" s="15" t="s">
        <v>990</v>
      </c>
      <c r="C332" s="15" t="s">
        <v>991</v>
      </c>
      <c r="D332" s="15" t="s">
        <v>21</v>
      </c>
      <c r="E332" s="8">
        <v>45729</v>
      </c>
      <c r="F332" s="16" t="s">
        <v>12</v>
      </c>
      <c r="G332" s="16" t="s">
        <v>4</v>
      </c>
      <c r="H332" s="8"/>
      <c r="I332" s="16"/>
      <c r="J332" t="b">
        <v>0</v>
      </c>
      <c r="K332" s="15" t="s">
        <v>992</v>
      </c>
      <c r="L332" s="15" t="str">
        <f>HYPERLINK("https://uk1.aconex.co.uk/hub/index.html?mainTarget=%2FSearchControlledDoc%3FSEARCH_ACTION%3D15%26tab%3D0%26searchMode%3D1%26searchQuery%3Ddocno:%22"&amp;RawData[[#This Row],[Document Number]]&amp;"%22%20%2Bcversion%253A1",RawData[[#This Row],[Document Number]])</f>
        <v>FS1018-CPM-XX-ZZ-L-A-0000</v>
      </c>
    </row>
    <row r="333" spans="1:12" ht="43.2" x14ac:dyDescent="0.3">
      <c r="A333" s="15" t="s">
        <v>993</v>
      </c>
      <c r="B333" s="15" t="s">
        <v>994</v>
      </c>
      <c r="C333" s="15" t="s">
        <v>14</v>
      </c>
      <c r="D333" s="15" t="s">
        <v>20</v>
      </c>
      <c r="E333" s="8">
        <v>45505</v>
      </c>
      <c r="F333" s="16" t="s">
        <v>33</v>
      </c>
      <c r="G333" s="16" t="s">
        <v>40</v>
      </c>
      <c r="H333" s="8">
        <v>45669</v>
      </c>
      <c r="I333" s="16" t="s">
        <v>71</v>
      </c>
      <c r="J333" t="b">
        <v>0</v>
      </c>
      <c r="K333" s="15" t="s">
        <v>995</v>
      </c>
      <c r="L333" s="15" t="str">
        <f>HYPERLINK("https://uk1.aconex.co.uk/hub/index.html?mainTarget=%2FSearchControlledDoc%3FSEARCH_ACTION%3D15%26tab%3D0%26searchMode%3D1%26searchQuery%3Ddocno:%22"&amp;RawData[[#This Row],[Document Number]]&amp;"%22%20%2Bcversion%253A1",RawData[[#This Row],[Document Number]])</f>
        <v>FS1018-CPM-ZZ-00-D-A-0001</v>
      </c>
    </row>
    <row r="334" spans="1:12" ht="409.6" x14ac:dyDescent="0.3">
      <c r="A334" s="15" t="s">
        <v>996</v>
      </c>
      <c r="B334" s="15" t="s">
        <v>997</v>
      </c>
      <c r="C334" s="15" t="s">
        <v>583</v>
      </c>
      <c r="D334" s="15" t="s">
        <v>20</v>
      </c>
      <c r="E334" s="8">
        <v>45175</v>
      </c>
      <c r="F334" s="16" t="s">
        <v>33</v>
      </c>
      <c r="G334" s="16" t="s">
        <v>22</v>
      </c>
      <c r="H334" s="8">
        <v>45190</v>
      </c>
      <c r="I334" s="16" t="s">
        <v>998</v>
      </c>
      <c r="J334" t="b">
        <v>0</v>
      </c>
      <c r="K334" s="15" t="s">
        <v>999</v>
      </c>
      <c r="L334" s="15" t="str">
        <f>HYPERLINK("https://uk1.aconex.co.uk/hub/index.html?mainTarget=%2FSearchControlledDoc%3FSEARCH_ACTION%3D15%26tab%3D0%26searchMode%3D1%26searchQuery%3Ddocno:%22"&amp;RawData[[#This Row],[Document Number]]&amp;"%22%20%2Bcversion%253A1",RawData[[#This Row],[Document Number]])</f>
        <v>FS1018-CPM-ZZ-00-D-A-2001</v>
      </c>
    </row>
    <row r="335" spans="1:12" ht="43.2" x14ac:dyDescent="0.3">
      <c r="A335" s="15" t="s">
        <v>996</v>
      </c>
      <c r="B335" s="15" t="s">
        <v>1000</v>
      </c>
      <c r="C335" s="15" t="s">
        <v>988</v>
      </c>
      <c r="D335" s="15" t="s">
        <v>20</v>
      </c>
      <c r="E335" s="8">
        <v>45638</v>
      </c>
      <c r="F335" s="16" t="s">
        <v>78</v>
      </c>
      <c r="G335" s="16" t="s">
        <v>40</v>
      </c>
      <c r="H335" s="8">
        <v>45669</v>
      </c>
      <c r="I335" s="16" t="s">
        <v>71</v>
      </c>
      <c r="J335" t="b">
        <v>0</v>
      </c>
      <c r="K335" s="15" t="s">
        <v>1001</v>
      </c>
      <c r="L335" s="15" t="str">
        <f>HYPERLINK("https://uk1.aconex.co.uk/hub/index.html?mainTarget=%2FSearchControlledDoc%3FSEARCH_ACTION%3D15%26tab%3D0%26searchMode%3D1%26searchQuery%3Ddocno:%22"&amp;RawData[[#This Row],[Document Number]]&amp;"%22%20%2Bcversion%253A1",RawData[[#This Row],[Document Number]])</f>
        <v>FS1018-CPM-ZZ-00-D-A-2001</v>
      </c>
    </row>
    <row r="336" spans="1:12" x14ac:dyDescent="0.3">
      <c r="A336" s="15" t="s">
        <v>996</v>
      </c>
      <c r="B336" s="15" t="s">
        <v>1000</v>
      </c>
      <c r="C336" s="15" t="s">
        <v>1002</v>
      </c>
      <c r="D336" s="15" t="s">
        <v>21</v>
      </c>
      <c r="E336" s="8">
        <v>45729</v>
      </c>
      <c r="F336" s="16" t="s">
        <v>12</v>
      </c>
      <c r="G336" s="16" t="s">
        <v>4</v>
      </c>
      <c r="H336" s="8"/>
      <c r="I336" s="16"/>
      <c r="J336" t="b">
        <v>0</v>
      </c>
      <c r="K336" s="15" t="s">
        <v>1001</v>
      </c>
      <c r="L336" s="15" t="str">
        <f>HYPERLINK("https://uk1.aconex.co.uk/hub/index.html?mainTarget=%2FSearchControlledDoc%3FSEARCH_ACTION%3D15%26tab%3D0%26searchMode%3D1%26searchQuery%3Ddocno:%22"&amp;RawData[[#This Row],[Document Number]]&amp;"%22%20%2Bcversion%253A1",RawData[[#This Row],[Document Number]])</f>
        <v>FS1018-CPM-ZZ-00-D-A-2001</v>
      </c>
    </row>
    <row r="337" spans="1:12" x14ac:dyDescent="0.3">
      <c r="A337" s="15" t="s">
        <v>1003</v>
      </c>
      <c r="B337" s="15" t="s">
        <v>1004</v>
      </c>
      <c r="C337" s="15" t="s">
        <v>10</v>
      </c>
      <c r="D337" s="15" t="s">
        <v>21</v>
      </c>
      <c r="E337" s="8">
        <v>45729</v>
      </c>
      <c r="F337" s="16" t="s">
        <v>12</v>
      </c>
      <c r="G337" s="16" t="s">
        <v>4</v>
      </c>
      <c r="H337" s="8"/>
      <c r="I337" s="16"/>
      <c r="J337" t="b">
        <v>1</v>
      </c>
      <c r="K337" s="15" t="s">
        <v>1005</v>
      </c>
      <c r="L337" s="15" t="str">
        <f>HYPERLINK("https://uk1.aconex.co.uk/hub/index.html?mainTarget=%2FSearchControlledDoc%3FSEARCH_ACTION%3D15%26tab%3D0%26searchMode%3D1%26searchQuery%3Ddocno:%22"&amp;RawData[[#This Row],[Document Number]]&amp;"%22%20%2Bcversion%253A1",RawData[[#This Row],[Document Number]])</f>
        <v>FS1018-CPM-ZZ-00-D-A-2142</v>
      </c>
    </row>
    <row r="338" spans="1:12" x14ac:dyDescent="0.3">
      <c r="A338" s="15" t="s">
        <v>1006</v>
      </c>
      <c r="B338" s="15" t="s">
        <v>1007</v>
      </c>
      <c r="C338" s="15" t="s">
        <v>14</v>
      </c>
      <c r="D338" s="15" t="s">
        <v>21</v>
      </c>
      <c r="E338" s="8">
        <v>45729</v>
      </c>
      <c r="F338" s="16" t="s">
        <v>12</v>
      </c>
      <c r="G338" s="16" t="s">
        <v>4</v>
      </c>
      <c r="H338" s="8"/>
      <c r="I338" s="16"/>
      <c r="J338" t="b">
        <v>0</v>
      </c>
      <c r="K338" s="15" t="s">
        <v>1008</v>
      </c>
      <c r="L338" s="15" t="str">
        <f>HYPERLINK("https://uk1.aconex.co.uk/hub/index.html?mainTarget=%2FSearchControlledDoc%3FSEARCH_ACTION%3D15%26tab%3D0%26searchMode%3D1%26searchQuery%3Ddocno:%22"&amp;RawData[[#This Row],[Document Number]]&amp;"%22%20%2Bcversion%253A1",RawData[[#This Row],[Document Number]])</f>
        <v>FS1018-CPM-ZZ-00-D-A-2200</v>
      </c>
    </row>
    <row r="339" spans="1:12" x14ac:dyDescent="0.3">
      <c r="A339" s="15" t="s">
        <v>1009</v>
      </c>
      <c r="B339" s="15" t="s">
        <v>1010</v>
      </c>
      <c r="C339" s="15" t="s">
        <v>583</v>
      </c>
      <c r="D339" s="15" t="s">
        <v>21</v>
      </c>
      <c r="E339" s="8">
        <v>45729</v>
      </c>
      <c r="F339" s="16" t="s">
        <v>12</v>
      </c>
      <c r="G339" s="16" t="s">
        <v>4</v>
      </c>
      <c r="H339" s="8"/>
      <c r="I339" s="16"/>
      <c r="J339" t="b">
        <v>0</v>
      </c>
      <c r="K339" s="15" t="s">
        <v>1011</v>
      </c>
      <c r="L339" s="15" t="str">
        <f>HYPERLINK("https://uk1.aconex.co.uk/hub/index.html?mainTarget=%2FSearchControlledDoc%3FSEARCH_ACTION%3D15%26tab%3D0%26searchMode%3D1%26searchQuery%3Ddocno:%22"&amp;RawData[[#This Row],[Document Number]]&amp;"%22%20%2Bcversion%253A1",RawData[[#This Row],[Document Number]])</f>
        <v>FS1018-CPM-ZZ-00-D-A-2900</v>
      </c>
    </row>
    <row r="340" spans="1:12" x14ac:dyDescent="0.3">
      <c r="A340" s="15" t="s">
        <v>1012</v>
      </c>
      <c r="B340" s="15" t="s">
        <v>1013</v>
      </c>
      <c r="C340" s="15" t="s">
        <v>14</v>
      </c>
      <c r="D340" s="15" t="s">
        <v>21</v>
      </c>
      <c r="E340" s="8">
        <v>45729</v>
      </c>
      <c r="F340" s="16" t="s">
        <v>12</v>
      </c>
      <c r="G340" s="16" t="s">
        <v>4</v>
      </c>
      <c r="H340" s="8"/>
      <c r="I340" s="16"/>
      <c r="J340" t="b">
        <v>0</v>
      </c>
      <c r="K340" s="15" t="s">
        <v>1014</v>
      </c>
      <c r="L340" s="15" t="str">
        <f>HYPERLINK("https://uk1.aconex.co.uk/hub/index.html?mainTarget=%2FSearchControlledDoc%3FSEARCH_ACTION%3D15%26tab%3D0%26searchMode%3D1%26searchQuery%3Ddocno:%22"&amp;RawData[[#This Row],[Document Number]]&amp;"%22%20%2Bcversion%253A1",RawData[[#This Row],[Document Number]])</f>
        <v>FS1018-CPM-ZZ-00-D-A-3001</v>
      </c>
    </row>
    <row r="341" spans="1:12" x14ac:dyDescent="0.3">
      <c r="A341" s="15" t="s">
        <v>1015</v>
      </c>
      <c r="B341" s="15" t="s">
        <v>1016</v>
      </c>
      <c r="C341" s="15" t="s">
        <v>10</v>
      </c>
      <c r="D341" s="15" t="s">
        <v>21</v>
      </c>
      <c r="E341" s="8">
        <v>45729</v>
      </c>
      <c r="F341" s="16" t="s">
        <v>12</v>
      </c>
      <c r="G341" s="16" t="s">
        <v>4</v>
      </c>
      <c r="H341" s="8"/>
      <c r="I341" s="16"/>
      <c r="J341" t="b">
        <v>1</v>
      </c>
      <c r="K341" s="15" t="s">
        <v>1017</v>
      </c>
      <c r="L341" s="15" t="str">
        <f>HYPERLINK("https://uk1.aconex.co.uk/hub/index.html?mainTarget=%2FSearchControlledDoc%3FSEARCH_ACTION%3D15%26tab%3D0%26searchMode%3D1%26searchQuery%3Ddocno:%22"&amp;RawData[[#This Row],[Document Number]]&amp;"%22%20%2Bcversion%253A1",RawData[[#This Row],[Document Number]])</f>
        <v>FS1018-CPM-ZZ-00-D-A-3050</v>
      </c>
    </row>
    <row r="342" spans="1:12" x14ac:dyDescent="0.3">
      <c r="A342" s="15" t="s">
        <v>1018</v>
      </c>
      <c r="B342" s="15" t="s">
        <v>1019</v>
      </c>
      <c r="C342" s="15" t="s">
        <v>10</v>
      </c>
      <c r="D342" s="15" t="s">
        <v>21</v>
      </c>
      <c r="E342" s="8">
        <v>45729</v>
      </c>
      <c r="F342" s="16" t="s">
        <v>12</v>
      </c>
      <c r="G342" s="16" t="s">
        <v>4</v>
      </c>
      <c r="H342" s="8"/>
      <c r="I342" s="16"/>
      <c r="J342" t="b">
        <v>1</v>
      </c>
      <c r="K342" s="15" t="s">
        <v>1020</v>
      </c>
      <c r="L342" s="15" t="str">
        <f>HYPERLINK("https://uk1.aconex.co.uk/hub/index.html?mainTarget=%2FSearchControlledDoc%3FSEARCH_ACTION%3D15%26tab%3D0%26searchMode%3D1%26searchQuery%3Ddocno:%22"&amp;RawData[[#This Row],[Document Number]]&amp;"%22%20%2Bcversion%253A1",RawData[[#This Row],[Document Number]])</f>
        <v>FS1018-CPM-ZZ-00-D-A-3051</v>
      </c>
    </row>
    <row r="343" spans="1:12" x14ac:dyDescent="0.3">
      <c r="A343" s="15" t="s">
        <v>1021</v>
      </c>
      <c r="B343" s="15" t="s">
        <v>1022</v>
      </c>
      <c r="C343" s="15" t="s">
        <v>14</v>
      </c>
      <c r="D343" s="15" t="s">
        <v>21</v>
      </c>
      <c r="E343" s="8">
        <v>45729</v>
      </c>
      <c r="F343" s="16" t="s">
        <v>12</v>
      </c>
      <c r="G343" s="16" t="s">
        <v>4</v>
      </c>
      <c r="H343" s="8"/>
      <c r="I343" s="16"/>
      <c r="J343" t="b">
        <v>0</v>
      </c>
      <c r="K343" s="15" t="s">
        <v>1023</v>
      </c>
      <c r="L343" s="15" t="str">
        <f>HYPERLINK("https://uk1.aconex.co.uk/hub/index.html?mainTarget=%2FSearchControlledDoc%3FSEARCH_ACTION%3D15%26tab%3D0%26searchMode%3D1%26searchQuery%3Ddocno:%22"&amp;RawData[[#This Row],[Document Number]]&amp;"%22%20%2Bcversion%253A1",RawData[[#This Row],[Document Number]])</f>
        <v>FS1018-CPM-ZZ-00-D-A-3052</v>
      </c>
    </row>
    <row r="344" spans="1:12" x14ac:dyDescent="0.3">
      <c r="A344" s="15" t="s">
        <v>1024</v>
      </c>
      <c r="B344" s="15" t="s">
        <v>1025</v>
      </c>
      <c r="C344" s="15" t="s">
        <v>14</v>
      </c>
      <c r="D344" s="15" t="s">
        <v>21</v>
      </c>
      <c r="E344" s="8">
        <v>45729</v>
      </c>
      <c r="F344" s="16" t="s">
        <v>12</v>
      </c>
      <c r="G344" s="16" t="s">
        <v>4</v>
      </c>
      <c r="H344" s="8"/>
      <c r="I344" s="16"/>
      <c r="J344" t="b">
        <v>0</v>
      </c>
      <c r="K344" s="15" t="s">
        <v>1026</v>
      </c>
      <c r="L344" s="15" t="str">
        <f>HYPERLINK("https://uk1.aconex.co.uk/hub/index.html?mainTarget=%2FSearchControlledDoc%3FSEARCH_ACTION%3D15%26tab%3D0%26searchMode%3D1%26searchQuery%3Ddocno:%22"&amp;RawData[[#This Row],[Document Number]]&amp;"%22%20%2Bcversion%253A1",RawData[[#This Row],[Document Number]])</f>
        <v>FS1018-CPM-ZZ-00-D-A-3053</v>
      </c>
    </row>
    <row r="345" spans="1:12" x14ac:dyDescent="0.3">
      <c r="A345" s="15" t="s">
        <v>1027</v>
      </c>
      <c r="B345" s="15" t="s">
        <v>1028</v>
      </c>
      <c r="C345" s="15" t="s">
        <v>14</v>
      </c>
      <c r="D345" s="15" t="s">
        <v>21</v>
      </c>
      <c r="E345" s="8">
        <v>45729</v>
      </c>
      <c r="F345" s="16" t="s">
        <v>12</v>
      </c>
      <c r="G345" s="16" t="s">
        <v>4</v>
      </c>
      <c r="H345" s="8"/>
      <c r="I345" s="16"/>
      <c r="J345" t="b">
        <v>0</v>
      </c>
      <c r="K345" s="15" t="s">
        <v>1029</v>
      </c>
      <c r="L345" s="15" t="str">
        <f>HYPERLINK("https://uk1.aconex.co.uk/hub/index.html?mainTarget=%2FSearchControlledDoc%3FSEARCH_ACTION%3D15%26tab%3D0%26searchMode%3D1%26searchQuery%3Ddocno:%22"&amp;RawData[[#This Row],[Document Number]]&amp;"%22%20%2Bcversion%253A1",RawData[[#This Row],[Document Number]])</f>
        <v>FS1018-CPM-ZZ-00-D-A-3054</v>
      </c>
    </row>
    <row r="346" spans="1:12" x14ac:dyDescent="0.3">
      <c r="A346" s="15" t="s">
        <v>1030</v>
      </c>
      <c r="B346" s="15" t="s">
        <v>1031</v>
      </c>
      <c r="C346" s="15" t="s">
        <v>10</v>
      </c>
      <c r="D346" s="15" t="s">
        <v>21</v>
      </c>
      <c r="E346" s="8">
        <v>45729</v>
      </c>
      <c r="F346" s="16" t="s">
        <v>12</v>
      </c>
      <c r="G346" s="16" t="s">
        <v>4</v>
      </c>
      <c r="H346" s="8"/>
      <c r="I346" s="16"/>
      <c r="J346" t="b">
        <v>1</v>
      </c>
      <c r="K346" s="15" t="s">
        <v>1032</v>
      </c>
      <c r="L346" s="15" t="str">
        <f>HYPERLINK("https://uk1.aconex.co.uk/hub/index.html?mainTarget=%2FSearchControlledDoc%3FSEARCH_ACTION%3D15%26tab%3D0%26searchMode%3D1%26searchQuery%3Ddocno:%22"&amp;RawData[[#This Row],[Document Number]]&amp;"%22%20%2Bcversion%253A1",RawData[[#This Row],[Document Number]])</f>
        <v>FS1018-CPM-ZZ-00-D-A-3500</v>
      </c>
    </row>
    <row r="347" spans="1:12" x14ac:dyDescent="0.3">
      <c r="A347" s="15" t="s">
        <v>1033</v>
      </c>
      <c r="B347" s="15" t="s">
        <v>1034</v>
      </c>
      <c r="C347" s="15" t="s">
        <v>14</v>
      </c>
      <c r="D347" s="15" t="s">
        <v>21</v>
      </c>
      <c r="E347" s="8">
        <v>45729</v>
      </c>
      <c r="F347" s="16" t="s">
        <v>12</v>
      </c>
      <c r="G347" s="16" t="s">
        <v>4</v>
      </c>
      <c r="H347" s="8"/>
      <c r="I347" s="16"/>
      <c r="J347" t="b">
        <v>0</v>
      </c>
      <c r="K347" s="15" t="s">
        <v>1035</v>
      </c>
      <c r="L347" s="15" t="str">
        <f>HYPERLINK("https://uk1.aconex.co.uk/hub/index.html?mainTarget=%2FSearchControlledDoc%3FSEARCH_ACTION%3D15%26tab%3D0%26searchMode%3D1%26searchQuery%3Ddocno:%22"&amp;RawData[[#This Row],[Document Number]]&amp;"%22%20%2Bcversion%253A1",RawData[[#This Row],[Document Number]])</f>
        <v>FS1018-CPM-ZZ-00-D-A-6807</v>
      </c>
    </row>
    <row r="348" spans="1:12" x14ac:dyDescent="0.3">
      <c r="A348" s="15" t="s">
        <v>1036</v>
      </c>
      <c r="B348" s="15" t="s">
        <v>1037</v>
      </c>
      <c r="C348" s="15" t="s">
        <v>14</v>
      </c>
      <c r="D348" s="15" t="s">
        <v>21</v>
      </c>
      <c r="E348" s="8">
        <v>45729</v>
      </c>
      <c r="F348" s="16" t="s">
        <v>12</v>
      </c>
      <c r="G348" s="16" t="s">
        <v>4</v>
      </c>
      <c r="H348" s="8"/>
      <c r="I348" s="16"/>
      <c r="J348" t="b">
        <v>0</v>
      </c>
      <c r="K348" s="15" t="s">
        <v>1038</v>
      </c>
      <c r="L348" s="15" t="str">
        <f>HYPERLINK("https://uk1.aconex.co.uk/hub/index.html?mainTarget=%2FSearchControlledDoc%3FSEARCH_ACTION%3D15%26tab%3D0%26searchMode%3D1%26searchQuery%3Ddocno:%22"&amp;RawData[[#This Row],[Document Number]]&amp;"%22%20%2Bcversion%253A1",RawData[[#This Row],[Document Number]])</f>
        <v>FS1018-CPM-ZZ-00-D-A-6808</v>
      </c>
    </row>
    <row r="349" spans="1:12" x14ac:dyDescent="0.3">
      <c r="A349" s="15" t="s">
        <v>1039</v>
      </c>
      <c r="B349" s="15" t="s">
        <v>1040</v>
      </c>
      <c r="C349" s="15" t="s">
        <v>14</v>
      </c>
      <c r="D349" s="15" t="s">
        <v>21</v>
      </c>
      <c r="E349" s="8">
        <v>45729</v>
      </c>
      <c r="F349" s="16" t="s">
        <v>12</v>
      </c>
      <c r="G349" s="16" t="s">
        <v>4</v>
      </c>
      <c r="H349" s="8"/>
      <c r="I349" s="16"/>
      <c r="J349" t="b">
        <v>0</v>
      </c>
      <c r="K349" s="15" t="s">
        <v>1041</v>
      </c>
      <c r="L349" s="15" t="str">
        <f>HYPERLINK("https://uk1.aconex.co.uk/hub/index.html?mainTarget=%2FSearchControlledDoc%3FSEARCH_ACTION%3D15%26tab%3D0%26searchMode%3D1%26searchQuery%3Ddocno:%22"&amp;RawData[[#This Row],[Document Number]]&amp;"%22%20%2Bcversion%253A1",RawData[[#This Row],[Document Number]])</f>
        <v>FS1018-CPM-ZZ-00-D-A-6809</v>
      </c>
    </row>
    <row r="350" spans="1:12" x14ac:dyDescent="0.3">
      <c r="A350" s="15" t="s">
        <v>1042</v>
      </c>
      <c r="B350" s="15" t="s">
        <v>1043</v>
      </c>
      <c r="C350" s="15" t="s">
        <v>14</v>
      </c>
      <c r="D350" s="15" t="s">
        <v>21</v>
      </c>
      <c r="E350" s="8">
        <v>45729</v>
      </c>
      <c r="F350" s="16" t="s">
        <v>12</v>
      </c>
      <c r="G350" s="16" t="s">
        <v>4</v>
      </c>
      <c r="H350" s="8"/>
      <c r="I350" s="16"/>
      <c r="J350" t="b">
        <v>0</v>
      </c>
      <c r="K350" s="15" t="s">
        <v>1044</v>
      </c>
      <c r="L350" s="15" t="str">
        <f>HYPERLINK("https://uk1.aconex.co.uk/hub/index.html?mainTarget=%2FSearchControlledDoc%3FSEARCH_ACTION%3D15%26tab%3D0%26searchMode%3D1%26searchQuery%3Ddocno:%22"&amp;RawData[[#This Row],[Document Number]]&amp;"%22%20%2Bcversion%253A1",RawData[[#This Row],[Document Number]])</f>
        <v>FS1018-CPM-ZZ-00-D-A-6810</v>
      </c>
    </row>
    <row r="351" spans="1:12" x14ac:dyDescent="0.3">
      <c r="A351" s="15" t="s">
        <v>1045</v>
      </c>
      <c r="B351" s="15" t="s">
        <v>1046</v>
      </c>
      <c r="C351" s="15" t="s">
        <v>10</v>
      </c>
      <c r="D351" s="15" t="s">
        <v>21</v>
      </c>
      <c r="E351" s="8">
        <v>45729</v>
      </c>
      <c r="F351" s="16" t="s">
        <v>12</v>
      </c>
      <c r="G351" s="16" t="s">
        <v>4</v>
      </c>
      <c r="H351" s="8"/>
      <c r="I351" s="16"/>
      <c r="J351" t="b">
        <v>1</v>
      </c>
      <c r="K351" s="15" t="s">
        <v>1047</v>
      </c>
      <c r="L351" s="15" t="str">
        <f>HYPERLINK("https://uk1.aconex.co.uk/hub/index.html?mainTarget=%2FSearchControlledDoc%3FSEARCH_ACTION%3D15%26tab%3D0%26searchMode%3D1%26searchQuery%3Ddocno:%22"&amp;RawData[[#This Row],[Document Number]]&amp;"%22%20%2Bcversion%253A1",RawData[[#This Row],[Document Number]])</f>
        <v>FS1018-CPM-ZZ-00-D-A-6811</v>
      </c>
    </row>
    <row r="352" spans="1:12" x14ac:dyDescent="0.3">
      <c r="A352" s="15" t="s">
        <v>1048</v>
      </c>
      <c r="B352" s="15" t="s">
        <v>1049</v>
      </c>
      <c r="C352" s="15" t="s">
        <v>14</v>
      </c>
      <c r="D352" s="15" t="s">
        <v>21</v>
      </c>
      <c r="E352" s="8">
        <v>45729</v>
      </c>
      <c r="F352" s="16" t="s">
        <v>12</v>
      </c>
      <c r="G352" s="16" t="s">
        <v>4</v>
      </c>
      <c r="H352" s="8"/>
      <c r="I352" s="16"/>
      <c r="J352" t="b">
        <v>0</v>
      </c>
      <c r="K352" s="15" t="s">
        <v>1050</v>
      </c>
      <c r="L352" s="15" t="str">
        <f>HYPERLINK("https://uk1.aconex.co.uk/hub/index.html?mainTarget=%2FSearchControlledDoc%3FSEARCH_ACTION%3D15%26tab%3D0%26searchMode%3D1%26searchQuery%3Ddocno:%22"&amp;RawData[[#This Row],[Document Number]]&amp;"%22%20%2Bcversion%253A1",RawData[[#This Row],[Document Number]])</f>
        <v>FS1018-CPM-ZZ-00-D-A-6812</v>
      </c>
    </row>
    <row r="353" spans="1:12" ht="43.2" x14ac:dyDescent="0.3">
      <c r="A353" s="15" t="s">
        <v>1051</v>
      </c>
      <c r="B353" s="15" t="s">
        <v>1052</v>
      </c>
      <c r="C353" s="15" t="s">
        <v>14</v>
      </c>
      <c r="D353" s="15" t="s">
        <v>20</v>
      </c>
      <c r="E353" s="8">
        <v>45505</v>
      </c>
      <c r="F353" s="16" t="s">
        <v>33</v>
      </c>
      <c r="G353" s="16" t="s">
        <v>40</v>
      </c>
      <c r="H353" s="8">
        <v>45669</v>
      </c>
      <c r="I353" s="16" t="s">
        <v>71</v>
      </c>
      <c r="J353" t="b">
        <v>0</v>
      </c>
      <c r="K353" s="15" t="s">
        <v>1053</v>
      </c>
      <c r="L353" s="15" t="str">
        <f>HYPERLINK("https://uk1.aconex.co.uk/hub/index.html?mainTarget=%2FSearchControlledDoc%3FSEARCH_ACTION%3D15%26tab%3D0%26searchMode%3D1%26searchQuery%3Ddocno:%22"&amp;RawData[[#This Row],[Document Number]]&amp;"%22%20%2Bcversion%253A1",RawData[[#This Row],[Document Number]])</f>
        <v>FS1018-CPM-ZZ-01-D-A-0001</v>
      </c>
    </row>
    <row r="354" spans="1:12" ht="345.6" x14ac:dyDescent="0.3">
      <c r="A354" s="15" t="s">
        <v>1054</v>
      </c>
      <c r="B354" s="15" t="s">
        <v>1055</v>
      </c>
      <c r="C354" s="15" t="s">
        <v>583</v>
      </c>
      <c r="D354" s="15" t="s">
        <v>20</v>
      </c>
      <c r="E354" s="8">
        <v>45175</v>
      </c>
      <c r="F354" s="16" t="s">
        <v>33</v>
      </c>
      <c r="G354" s="16" t="s">
        <v>22</v>
      </c>
      <c r="H354" s="8">
        <v>45190</v>
      </c>
      <c r="I354" s="16" t="s">
        <v>1056</v>
      </c>
      <c r="J354" t="b">
        <v>0</v>
      </c>
      <c r="K354" s="15" t="s">
        <v>1057</v>
      </c>
      <c r="L354" s="15" t="str">
        <f>HYPERLINK("https://uk1.aconex.co.uk/hub/index.html?mainTarget=%2FSearchControlledDoc%3FSEARCH_ACTION%3D15%26tab%3D0%26searchMode%3D1%26searchQuery%3Ddocno:%22"&amp;RawData[[#This Row],[Document Number]]&amp;"%22%20%2Bcversion%253A1",RawData[[#This Row],[Document Number]])</f>
        <v>FS1018-CPM-ZZ-01-D-A-2002</v>
      </c>
    </row>
    <row r="355" spans="1:12" ht="43.2" x14ac:dyDescent="0.3">
      <c r="A355" s="15" t="s">
        <v>1054</v>
      </c>
      <c r="B355" s="15" t="s">
        <v>1058</v>
      </c>
      <c r="C355" s="15" t="s">
        <v>1059</v>
      </c>
      <c r="D355" s="15" t="s">
        <v>20</v>
      </c>
      <c r="E355" s="8">
        <v>45638</v>
      </c>
      <c r="F355" s="16" t="s">
        <v>78</v>
      </c>
      <c r="G355" s="16" t="s">
        <v>40</v>
      </c>
      <c r="H355" s="8">
        <v>45669</v>
      </c>
      <c r="I355" s="16" t="s">
        <v>71</v>
      </c>
      <c r="J355" t="b">
        <v>0</v>
      </c>
      <c r="K355" s="15" t="s">
        <v>1060</v>
      </c>
      <c r="L355" s="15" t="str">
        <f>HYPERLINK("https://uk1.aconex.co.uk/hub/index.html?mainTarget=%2FSearchControlledDoc%3FSEARCH_ACTION%3D15%26tab%3D0%26searchMode%3D1%26searchQuery%3Ddocno:%22"&amp;RawData[[#This Row],[Document Number]]&amp;"%22%20%2Bcversion%253A1",RawData[[#This Row],[Document Number]])</f>
        <v>FS1018-CPM-ZZ-01-D-A-2002</v>
      </c>
    </row>
    <row r="356" spans="1:12" x14ac:dyDescent="0.3">
      <c r="A356" s="15" t="s">
        <v>1054</v>
      </c>
      <c r="B356" s="15" t="s">
        <v>1058</v>
      </c>
      <c r="C356" s="15" t="s">
        <v>1061</v>
      </c>
      <c r="D356" s="15" t="s">
        <v>21</v>
      </c>
      <c r="E356" s="8">
        <v>45729</v>
      </c>
      <c r="F356" s="16" t="s">
        <v>12</v>
      </c>
      <c r="G356" s="16" t="s">
        <v>4</v>
      </c>
      <c r="H356" s="8"/>
      <c r="I356" s="16"/>
      <c r="J356" t="b">
        <v>0</v>
      </c>
      <c r="K356" s="15" t="s">
        <v>1060</v>
      </c>
      <c r="L356" s="15" t="str">
        <f>HYPERLINK("https://uk1.aconex.co.uk/hub/index.html?mainTarget=%2FSearchControlledDoc%3FSEARCH_ACTION%3D15%26tab%3D0%26searchMode%3D1%26searchQuery%3Ddocno:%22"&amp;RawData[[#This Row],[Document Number]]&amp;"%22%20%2Bcversion%253A1",RawData[[#This Row],[Document Number]])</f>
        <v>FS1018-CPM-ZZ-01-D-A-2002</v>
      </c>
    </row>
    <row r="357" spans="1:12" x14ac:dyDescent="0.3">
      <c r="A357" s="15" t="s">
        <v>1062</v>
      </c>
      <c r="B357" s="15" t="s">
        <v>1063</v>
      </c>
      <c r="C357" s="15" t="s">
        <v>14</v>
      </c>
      <c r="D357" s="15" t="s">
        <v>21</v>
      </c>
      <c r="E357" s="8">
        <v>45729</v>
      </c>
      <c r="F357" s="16" t="s">
        <v>12</v>
      </c>
      <c r="G357" s="16" t="s">
        <v>4</v>
      </c>
      <c r="H357" s="8"/>
      <c r="I357" s="16"/>
      <c r="J357" t="b">
        <v>0</v>
      </c>
      <c r="K357" s="15" t="s">
        <v>1064</v>
      </c>
      <c r="L357" s="15" t="str">
        <f>HYPERLINK("https://uk1.aconex.co.uk/hub/index.html?mainTarget=%2FSearchControlledDoc%3FSEARCH_ACTION%3D15%26tab%3D0%26searchMode%3D1%26searchQuery%3Ddocno:%22"&amp;RawData[[#This Row],[Document Number]]&amp;"%22%20%2Bcversion%253A1",RawData[[#This Row],[Document Number]])</f>
        <v>FS1018-CPM-ZZ-01-D-A-2201</v>
      </c>
    </row>
    <row r="358" spans="1:12" x14ac:dyDescent="0.3">
      <c r="A358" s="15" t="s">
        <v>1065</v>
      </c>
      <c r="B358" s="15" t="s">
        <v>1066</v>
      </c>
      <c r="C358" s="15" t="s">
        <v>14</v>
      </c>
      <c r="D358" s="15" t="s">
        <v>21</v>
      </c>
      <c r="E358" s="8">
        <v>45729</v>
      </c>
      <c r="F358" s="16" t="s">
        <v>12</v>
      </c>
      <c r="G358" s="16" t="s">
        <v>4</v>
      </c>
      <c r="H358" s="8"/>
      <c r="I358" s="16"/>
      <c r="J358" t="b">
        <v>0</v>
      </c>
      <c r="K358" s="15" t="s">
        <v>1067</v>
      </c>
      <c r="L358" s="15" t="str">
        <f>HYPERLINK("https://uk1.aconex.co.uk/hub/index.html?mainTarget=%2FSearchControlledDoc%3FSEARCH_ACTION%3D15%26tab%3D0%26searchMode%3D1%26searchQuery%3Ddocno:%22"&amp;RawData[[#This Row],[Document Number]]&amp;"%22%20%2Bcversion%253A1",RawData[[#This Row],[Document Number]])</f>
        <v>FS1018-CPM-ZZ-01-D-A-2250</v>
      </c>
    </row>
    <row r="359" spans="1:12" x14ac:dyDescent="0.3">
      <c r="A359" s="15" t="s">
        <v>1068</v>
      </c>
      <c r="B359" s="15" t="s">
        <v>1069</v>
      </c>
      <c r="C359" s="15" t="s">
        <v>14</v>
      </c>
      <c r="D359" s="15" t="s">
        <v>21</v>
      </c>
      <c r="E359" s="8">
        <v>45729</v>
      </c>
      <c r="F359" s="16" t="s">
        <v>12</v>
      </c>
      <c r="G359" s="16" t="s">
        <v>4</v>
      </c>
      <c r="H359" s="8"/>
      <c r="I359" s="16"/>
      <c r="J359" t="b">
        <v>0</v>
      </c>
      <c r="K359" s="15" t="s">
        <v>1070</v>
      </c>
      <c r="L359" s="15" t="str">
        <f>HYPERLINK("https://uk1.aconex.co.uk/hub/index.html?mainTarget=%2FSearchControlledDoc%3FSEARCH_ACTION%3D15%26tab%3D0%26searchMode%3D1%26searchQuery%3Ddocno:%22"&amp;RawData[[#This Row],[Document Number]]&amp;"%22%20%2Bcversion%253A1",RawData[[#This Row],[Document Number]])</f>
        <v>FS1018-CPM-ZZ-01-D-A-2251</v>
      </c>
    </row>
    <row r="360" spans="1:12" x14ac:dyDescent="0.3">
      <c r="A360" s="15" t="s">
        <v>1071</v>
      </c>
      <c r="B360" s="15" t="s">
        <v>1072</v>
      </c>
      <c r="C360" s="15" t="s">
        <v>583</v>
      </c>
      <c r="D360" s="15" t="s">
        <v>21</v>
      </c>
      <c r="E360" s="8">
        <v>45729</v>
      </c>
      <c r="F360" s="16" t="s">
        <v>12</v>
      </c>
      <c r="G360" s="16" t="s">
        <v>4</v>
      </c>
      <c r="H360" s="8"/>
      <c r="I360" s="16"/>
      <c r="J360" t="b">
        <v>0</v>
      </c>
      <c r="K360" s="15" t="s">
        <v>1073</v>
      </c>
      <c r="L360" s="15" t="str">
        <f>HYPERLINK("https://uk1.aconex.co.uk/hub/index.html?mainTarget=%2FSearchControlledDoc%3FSEARCH_ACTION%3D15%26tab%3D0%26searchMode%3D1%26searchQuery%3Ddocno:%22"&amp;RawData[[#This Row],[Document Number]]&amp;"%22%20%2Bcversion%253A1",RawData[[#This Row],[Document Number]])</f>
        <v>FS1018-CPM-ZZ-01-D-A-2901</v>
      </c>
    </row>
    <row r="361" spans="1:12" x14ac:dyDescent="0.3">
      <c r="A361" s="15" t="s">
        <v>1074</v>
      </c>
      <c r="B361" s="15" t="s">
        <v>1075</v>
      </c>
      <c r="C361" s="15" t="s">
        <v>10</v>
      </c>
      <c r="D361" s="15" t="s">
        <v>21</v>
      </c>
      <c r="E361" s="8">
        <v>45729</v>
      </c>
      <c r="F361" s="16" t="s">
        <v>12</v>
      </c>
      <c r="G361" s="16" t="s">
        <v>4</v>
      </c>
      <c r="H361" s="8"/>
      <c r="I361" s="16"/>
      <c r="J361" t="b">
        <v>1</v>
      </c>
      <c r="K361" s="15" t="s">
        <v>1076</v>
      </c>
      <c r="L361" s="15" t="str">
        <f>HYPERLINK("https://uk1.aconex.co.uk/hub/index.html?mainTarget=%2FSearchControlledDoc%3FSEARCH_ACTION%3D15%26tab%3D0%26searchMode%3D1%26searchQuery%3Ddocno:%22"&amp;RawData[[#This Row],[Document Number]]&amp;"%22%20%2Bcversion%253A1",RawData[[#This Row],[Document Number]])</f>
        <v>FS1018-CPM-ZZ-01-D-A-3501</v>
      </c>
    </row>
    <row r="362" spans="1:12" x14ac:dyDescent="0.3">
      <c r="A362" s="15" t="s">
        <v>1077</v>
      </c>
      <c r="B362" s="15" t="s">
        <v>1078</v>
      </c>
      <c r="C362" s="15" t="s">
        <v>14</v>
      </c>
      <c r="D362" s="15" t="s">
        <v>21</v>
      </c>
      <c r="E362" s="8">
        <v>45729</v>
      </c>
      <c r="F362" s="16" t="s">
        <v>12</v>
      </c>
      <c r="G362" s="16" t="s">
        <v>4</v>
      </c>
      <c r="H362" s="8"/>
      <c r="I362" s="16"/>
      <c r="J362" t="b">
        <v>0</v>
      </c>
      <c r="K362" s="15" t="s">
        <v>1079</v>
      </c>
      <c r="L362" s="15" t="str">
        <f>HYPERLINK("https://uk1.aconex.co.uk/hub/index.html?mainTarget=%2FSearchControlledDoc%3FSEARCH_ACTION%3D15%26tab%3D0%26searchMode%3D1%26searchQuery%3Ddocno:%22"&amp;RawData[[#This Row],[Document Number]]&amp;"%22%20%2Bcversion%253A1",RawData[[#This Row],[Document Number]])</f>
        <v>FS1018-CPM-ZZ-01-D-A-6800</v>
      </c>
    </row>
    <row r="363" spans="1:12" ht="43.2" x14ac:dyDescent="0.3">
      <c r="A363" s="15" t="s">
        <v>1080</v>
      </c>
      <c r="B363" s="15" t="s">
        <v>1081</v>
      </c>
      <c r="C363" s="15" t="s">
        <v>14</v>
      </c>
      <c r="D363" s="15" t="s">
        <v>20</v>
      </c>
      <c r="E363" s="8">
        <v>45505</v>
      </c>
      <c r="F363" s="16" t="s">
        <v>33</v>
      </c>
      <c r="G363" s="16" t="s">
        <v>40</v>
      </c>
      <c r="H363" s="8">
        <v>45669</v>
      </c>
      <c r="I363" s="16" t="s">
        <v>71</v>
      </c>
      <c r="J363" t="b">
        <v>0</v>
      </c>
      <c r="K363" s="15" t="s">
        <v>1082</v>
      </c>
      <c r="L363" s="15" t="str">
        <f>HYPERLINK("https://uk1.aconex.co.uk/hub/index.html?mainTarget=%2FSearchControlledDoc%3FSEARCH_ACTION%3D15%26tab%3D0%26searchMode%3D1%26searchQuery%3Ddocno:%22"&amp;RawData[[#This Row],[Document Number]]&amp;"%22%20%2Bcversion%253A1",RawData[[#This Row],[Document Number]])</f>
        <v>FS1018-CPM-ZZ-02-D-A-0001</v>
      </c>
    </row>
    <row r="364" spans="1:12" ht="187.2" x14ac:dyDescent="0.3">
      <c r="A364" s="15" t="s">
        <v>1083</v>
      </c>
      <c r="B364" s="15" t="s">
        <v>1084</v>
      </c>
      <c r="C364" s="15" t="s">
        <v>583</v>
      </c>
      <c r="D364" s="15" t="s">
        <v>20</v>
      </c>
      <c r="E364" s="8">
        <v>45175</v>
      </c>
      <c r="F364" s="16" t="s">
        <v>33</v>
      </c>
      <c r="G364" s="16" t="s">
        <v>22</v>
      </c>
      <c r="H364" s="8">
        <v>45190</v>
      </c>
      <c r="I364" s="16" t="s">
        <v>1085</v>
      </c>
      <c r="J364" t="b">
        <v>0</v>
      </c>
      <c r="K364" s="15" t="s">
        <v>1086</v>
      </c>
      <c r="L364" s="15" t="str">
        <f>HYPERLINK("https://uk1.aconex.co.uk/hub/index.html?mainTarget=%2FSearchControlledDoc%3FSEARCH_ACTION%3D15%26tab%3D0%26searchMode%3D1%26searchQuery%3Ddocno:%22"&amp;RawData[[#This Row],[Document Number]]&amp;"%22%20%2Bcversion%253A1",RawData[[#This Row],[Document Number]])</f>
        <v>FS1018-CPM-ZZ-02-D-A-2003</v>
      </c>
    </row>
    <row r="365" spans="1:12" ht="43.2" x14ac:dyDescent="0.3">
      <c r="A365" s="15" t="s">
        <v>1083</v>
      </c>
      <c r="B365" s="15" t="s">
        <v>1087</v>
      </c>
      <c r="C365" s="15" t="s">
        <v>988</v>
      </c>
      <c r="D365" s="15" t="s">
        <v>20</v>
      </c>
      <c r="E365" s="8">
        <v>45638</v>
      </c>
      <c r="F365" s="16" t="s">
        <v>78</v>
      </c>
      <c r="G365" s="16" t="s">
        <v>40</v>
      </c>
      <c r="H365" s="8">
        <v>45669</v>
      </c>
      <c r="I365" s="16" t="s">
        <v>71</v>
      </c>
      <c r="J365" t="b">
        <v>0</v>
      </c>
      <c r="K365" s="15" t="s">
        <v>1088</v>
      </c>
      <c r="L365" s="15" t="str">
        <f>HYPERLINK("https://uk1.aconex.co.uk/hub/index.html?mainTarget=%2FSearchControlledDoc%3FSEARCH_ACTION%3D15%26tab%3D0%26searchMode%3D1%26searchQuery%3Ddocno:%22"&amp;RawData[[#This Row],[Document Number]]&amp;"%22%20%2Bcversion%253A1",RawData[[#This Row],[Document Number]])</f>
        <v>FS1018-CPM-ZZ-02-D-A-2003</v>
      </c>
    </row>
    <row r="366" spans="1:12" x14ac:dyDescent="0.3">
      <c r="A366" s="15" t="s">
        <v>1083</v>
      </c>
      <c r="B366" s="15" t="s">
        <v>1087</v>
      </c>
      <c r="C366" s="15" t="s">
        <v>1002</v>
      </c>
      <c r="D366" s="15" t="s">
        <v>21</v>
      </c>
      <c r="E366" s="8">
        <v>45729</v>
      </c>
      <c r="F366" s="16" t="s">
        <v>12</v>
      </c>
      <c r="G366" s="16" t="s">
        <v>4</v>
      </c>
      <c r="H366" s="8"/>
      <c r="I366" s="16"/>
      <c r="J366" t="b">
        <v>0</v>
      </c>
      <c r="K366" s="15" t="s">
        <v>1088</v>
      </c>
      <c r="L366" s="15" t="str">
        <f>HYPERLINK("https://uk1.aconex.co.uk/hub/index.html?mainTarget=%2FSearchControlledDoc%3FSEARCH_ACTION%3D15%26tab%3D0%26searchMode%3D1%26searchQuery%3Ddocno:%22"&amp;RawData[[#This Row],[Document Number]]&amp;"%22%20%2Bcversion%253A1",RawData[[#This Row],[Document Number]])</f>
        <v>FS1018-CPM-ZZ-02-D-A-2003</v>
      </c>
    </row>
    <row r="367" spans="1:12" x14ac:dyDescent="0.3">
      <c r="A367" s="15" t="s">
        <v>1089</v>
      </c>
      <c r="B367" s="15" t="s">
        <v>1090</v>
      </c>
      <c r="C367" s="15" t="s">
        <v>14</v>
      </c>
      <c r="D367" s="15" t="s">
        <v>21</v>
      </c>
      <c r="E367" s="8">
        <v>45729</v>
      </c>
      <c r="F367" s="16" t="s">
        <v>12</v>
      </c>
      <c r="G367" s="16" t="s">
        <v>4</v>
      </c>
      <c r="H367" s="8"/>
      <c r="I367" s="16"/>
      <c r="J367" t="b">
        <v>0</v>
      </c>
      <c r="K367" s="15" t="s">
        <v>1091</v>
      </c>
      <c r="L367" s="15" t="str">
        <f>HYPERLINK("https://uk1.aconex.co.uk/hub/index.html?mainTarget=%2FSearchControlledDoc%3FSEARCH_ACTION%3D15%26tab%3D0%26searchMode%3D1%26searchQuery%3Ddocno:%22"&amp;RawData[[#This Row],[Document Number]]&amp;"%22%20%2Bcversion%253A1",RawData[[#This Row],[Document Number]])</f>
        <v>FS1018-CPM-ZZ-02-D-A-2202</v>
      </c>
    </row>
    <row r="368" spans="1:12" x14ac:dyDescent="0.3">
      <c r="A368" s="15" t="s">
        <v>1092</v>
      </c>
      <c r="B368" s="15" t="s">
        <v>1093</v>
      </c>
      <c r="C368" s="15" t="s">
        <v>583</v>
      </c>
      <c r="D368" s="15" t="s">
        <v>21</v>
      </c>
      <c r="E368" s="8">
        <v>45729</v>
      </c>
      <c r="F368" s="16" t="s">
        <v>12</v>
      </c>
      <c r="G368" s="16" t="s">
        <v>4</v>
      </c>
      <c r="H368" s="8"/>
      <c r="I368" s="16"/>
      <c r="J368" t="b">
        <v>0</v>
      </c>
      <c r="K368" s="15" t="s">
        <v>1094</v>
      </c>
      <c r="L368" s="15" t="str">
        <f>HYPERLINK("https://uk1.aconex.co.uk/hub/index.html?mainTarget=%2FSearchControlledDoc%3FSEARCH_ACTION%3D15%26tab%3D0%26searchMode%3D1%26searchQuery%3Ddocno:%22"&amp;RawData[[#This Row],[Document Number]]&amp;"%22%20%2Bcversion%253A1",RawData[[#This Row],[Document Number]])</f>
        <v>FS1018-CPM-ZZ-02-D-A-2902</v>
      </c>
    </row>
    <row r="369" spans="1:12" x14ac:dyDescent="0.3">
      <c r="A369" s="15" t="s">
        <v>1095</v>
      </c>
      <c r="B369" s="15" t="s">
        <v>1096</v>
      </c>
      <c r="C369" s="15" t="s">
        <v>10</v>
      </c>
      <c r="D369" s="15" t="s">
        <v>21</v>
      </c>
      <c r="E369" s="8">
        <v>45729</v>
      </c>
      <c r="F369" s="16" t="s">
        <v>12</v>
      </c>
      <c r="G369" s="16" t="s">
        <v>4</v>
      </c>
      <c r="H369" s="8"/>
      <c r="I369" s="16"/>
      <c r="J369" t="b">
        <v>1</v>
      </c>
      <c r="K369" s="15" t="s">
        <v>1097</v>
      </c>
      <c r="L369" s="15" t="str">
        <f>HYPERLINK("https://uk1.aconex.co.uk/hub/index.html?mainTarget=%2FSearchControlledDoc%3FSEARCH_ACTION%3D15%26tab%3D0%26searchMode%3D1%26searchQuery%3Ddocno:%22"&amp;RawData[[#This Row],[Document Number]]&amp;"%22%20%2Bcversion%253A1",RawData[[#This Row],[Document Number]])</f>
        <v>FS1018-CPM-ZZ-02-D-A-3502</v>
      </c>
    </row>
    <row r="370" spans="1:12" ht="316.8" x14ac:dyDescent="0.3">
      <c r="A370" s="15" t="s">
        <v>1098</v>
      </c>
      <c r="B370" s="15" t="s">
        <v>1099</v>
      </c>
      <c r="C370" s="15" t="s">
        <v>14</v>
      </c>
      <c r="D370" s="15" t="s">
        <v>20</v>
      </c>
      <c r="E370" s="8">
        <v>45175</v>
      </c>
      <c r="F370" s="16" t="s">
        <v>33</v>
      </c>
      <c r="G370" s="16" t="s">
        <v>22</v>
      </c>
      <c r="H370" s="8">
        <v>45190</v>
      </c>
      <c r="I370" s="16" t="s">
        <v>1100</v>
      </c>
      <c r="J370" t="b">
        <v>0</v>
      </c>
      <c r="K370" s="15" t="s">
        <v>1101</v>
      </c>
      <c r="L370" s="15" t="str">
        <f>HYPERLINK("https://uk1.aconex.co.uk/hub/index.html?mainTarget=%2FSearchControlledDoc%3FSEARCH_ACTION%3D15%26tab%3D0%26searchMode%3D1%26searchQuery%3Ddocno:%22"&amp;RawData[[#This Row],[Document Number]]&amp;"%22%20%2Bcversion%253A1",RawData[[#This Row],[Document Number]])</f>
        <v>FS1018-CPM-ZZ-RF-D-A-2023</v>
      </c>
    </row>
    <row r="371" spans="1:12" ht="43.2" x14ac:dyDescent="0.3">
      <c r="A371" s="15" t="s">
        <v>1098</v>
      </c>
      <c r="B371" s="15" t="s">
        <v>1099</v>
      </c>
      <c r="C371" s="15" t="s">
        <v>1102</v>
      </c>
      <c r="D371" s="15" t="s">
        <v>20</v>
      </c>
      <c r="E371" s="8">
        <v>45638</v>
      </c>
      <c r="F371" s="16" t="s">
        <v>78</v>
      </c>
      <c r="G371" s="16" t="s">
        <v>40</v>
      </c>
      <c r="H371" s="8">
        <v>45669</v>
      </c>
      <c r="I371" s="16" t="s">
        <v>71</v>
      </c>
      <c r="J371" t="b">
        <v>0</v>
      </c>
      <c r="K371" s="15" t="s">
        <v>1101</v>
      </c>
      <c r="L371" s="15" t="str">
        <f>HYPERLINK("https://uk1.aconex.co.uk/hub/index.html?mainTarget=%2FSearchControlledDoc%3FSEARCH_ACTION%3D15%26tab%3D0%26searchMode%3D1%26searchQuery%3Ddocno:%22"&amp;RawData[[#This Row],[Document Number]]&amp;"%22%20%2Bcversion%253A1",RawData[[#This Row],[Document Number]])</f>
        <v>FS1018-CPM-ZZ-RF-D-A-2023</v>
      </c>
    </row>
    <row r="372" spans="1:12" x14ac:dyDescent="0.3">
      <c r="A372" s="15" t="s">
        <v>1098</v>
      </c>
      <c r="B372" s="15" t="s">
        <v>1099</v>
      </c>
      <c r="C372" s="15" t="s">
        <v>924</v>
      </c>
      <c r="D372" s="15" t="s">
        <v>21</v>
      </c>
      <c r="E372" s="8">
        <v>45729</v>
      </c>
      <c r="F372" s="16" t="s">
        <v>12</v>
      </c>
      <c r="G372" s="16" t="s">
        <v>4</v>
      </c>
      <c r="H372" s="8"/>
      <c r="I372" s="16"/>
      <c r="J372" t="b">
        <v>0</v>
      </c>
      <c r="K372" s="15" t="s">
        <v>1101</v>
      </c>
      <c r="L372" s="15" t="str">
        <f>HYPERLINK("https://uk1.aconex.co.uk/hub/index.html?mainTarget=%2FSearchControlledDoc%3FSEARCH_ACTION%3D15%26tab%3D0%26searchMode%3D1%26searchQuery%3Ddocno:%22"&amp;RawData[[#This Row],[Document Number]]&amp;"%22%20%2Bcversion%253A1",RawData[[#This Row],[Document Number]])</f>
        <v>FS1018-CPM-ZZ-RF-D-A-2023</v>
      </c>
    </row>
    <row r="373" spans="1:12" x14ac:dyDescent="0.3">
      <c r="A373" s="15" t="s">
        <v>1103</v>
      </c>
      <c r="B373" s="15" t="s">
        <v>1104</v>
      </c>
      <c r="C373" s="15" t="s">
        <v>10</v>
      </c>
      <c r="D373" s="15" t="s">
        <v>21</v>
      </c>
      <c r="E373" s="8">
        <v>45729</v>
      </c>
      <c r="F373" s="16" t="s">
        <v>12</v>
      </c>
      <c r="G373" s="16" t="s">
        <v>4</v>
      </c>
      <c r="H373" s="8"/>
      <c r="I373" s="16"/>
      <c r="J373" t="b">
        <v>1</v>
      </c>
      <c r="K373" s="15" t="s">
        <v>1105</v>
      </c>
      <c r="L373" s="15" t="str">
        <f>HYPERLINK("https://uk1.aconex.co.uk/hub/index.html?mainTarget=%2FSearchControlledDoc%3FSEARCH_ACTION%3D15%26tab%3D0%26searchMode%3D1%26searchQuery%3Ddocno:%22"&amp;RawData[[#This Row],[Document Number]]&amp;"%22%20%2Bcversion%253A1",RawData[[#This Row],[Document Number]])</f>
        <v>FS1018-CPM-ZZ-RF-D-A-2144</v>
      </c>
    </row>
    <row r="374" spans="1:12" x14ac:dyDescent="0.3">
      <c r="A374" s="15" t="s">
        <v>1106</v>
      </c>
      <c r="B374" s="15" t="s">
        <v>1107</v>
      </c>
      <c r="C374" s="15" t="s">
        <v>10</v>
      </c>
      <c r="D374" s="15" t="s">
        <v>21</v>
      </c>
      <c r="E374" s="8">
        <v>45729</v>
      </c>
      <c r="F374" s="16" t="s">
        <v>12</v>
      </c>
      <c r="G374" s="16" t="s">
        <v>4</v>
      </c>
      <c r="H374" s="8"/>
      <c r="I374" s="16"/>
      <c r="J374" t="b">
        <v>1</v>
      </c>
      <c r="K374" s="15" t="s">
        <v>1108</v>
      </c>
      <c r="L374" s="15" t="str">
        <f>HYPERLINK("https://uk1.aconex.co.uk/hub/index.html?mainTarget=%2FSearchControlledDoc%3FSEARCH_ACTION%3D15%26tab%3D0%26searchMode%3D1%26searchQuery%3Ddocno:%22"&amp;RawData[[#This Row],[Document Number]]&amp;"%22%20%2Bcversion%253A1",RawData[[#This Row],[Document Number]])</f>
        <v>FS1018-CPM-ZZ-RF-D-A-2145</v>
      </c>
    </row>
    <row r="375" spans="1:12" x14ac:dyDescent="0.3">
      <c r="A375" s="15" t="s">
        <v>1109</v>
      </c>
      <c r="B375" s="15" t="s">
        <v>1110</v>
      </c>
      <c r="C375" s="15" t="s">
        <v>583</v>
      </c>
      <c r="D375" s="15" t="s">
        <v>21</v>
      </c>
      <c r="E375" s="8">
        <v>45729</v>
      </c>
      <c r="F375" s="16" t="s">
        <v>12</v>
      </c>
      <c r="G375" s="16" t="s">
        <v>4</v>
      </c>
      <c r="H375" s="8"/>
      <c r="I375" s="16"/>
      <c r="J375" t="b">
        <v>0</v>
      </c>
      <c r="K375" s="15" t="s">
        <v>1111</v>
      </c>
      <c r="L375" s="15" t="str">
        <f>HYPERLINK("https://uk1.aconex.co.uk/hub/index.html?mainTarget=%2FSearchControlledDoc%3FSEARCH_ACTION%3D15%26tab%3D0%26searchMode%3D1%26searchQuery%3Ddocno:%22"&amp;RawData[[#This Row],[Document Number]]&amp;"%22%20%2Bcversion%253A1",RawData[[#This Row],[Document Number]])</f>
        <v>FS1018-CPM-ZZ-RF-D-A-2903</v>
      </c>
    </row>
    <row r="376" spans="1:12" x14ac:dyDescent="0.3">
      <c r="A376" s="15" t="s">
        <v>1112</v>
      </c>
      <c r="B376" s="15" t="s">
        <v>1113</v>
      </c>
      <c r="C376" s="15" t="s">
        <v>14</v>
      </c>
      <c r="D376" s="15" t="s">
        <v>21</v>
      </c>
      <c r="E376" s="8">
        <v>45729</v>
      </c>
      <c r="F376" s="16" t="s">
        <v>12</v>
      </c>
      <c r="G376" s="16" t="s">
        <v>4</v>
      </c>
      <c r="H376" s="8"/>
      <c r="I376" s="16"/>
      <c r="J376" t="b">
        <v>0</v>
      </c>
      <c r="K376" s="15" t="s">
        <v>1114</v>
      </c>
      <c r="L376" s="15" t="str">
        <f>HYPERLINK("https://uk1.aconex.co.uk/hub/index.html?mainTarget=%2FSearchControlledDoc%3FSEARCH_ACTION%3D15%26tab%3D0%26searchMode%3D1%26searchQuery%3Ddocno:%22"&amp;RawData[[#This Row],[Document Number]]&amp;"%22%20%2Bcversion%253A1",RawData[[#This Row],[Document Number]])</f>
        <v>FS1018-CPM-ZZ-RF-D-A-3100</v>
      </c>
    </row>
    <row r="377" spans="1:12" x14ac:dyDescent="0.3">
      <c r="A377" s="15" t="s">
        <v>1115</v>
      </c>
      <c r="B377" s="15" t="s">
        <v>1116</v>
      </c>
      <c r="C377" s="15" t="s">
        <v>14</v>
      </c>
      <c r="D377" s="15" t="s">
        <v>21</v>
      </c>
      <c r="E377" s="8">
        <v>45729</v>
      </c>
      <c r="F377" s="16" t="s">
        <v>12</v>
      </c>
      <c r="G377" s="16" t="s">
        <v>4</v>
      </c>
      <c r="H377" s="8"/>
      <c r="I377" s="16"/>
      <c r="J377" t="b">
        <v>0</v>
      </c>
      <c r="K377" s="15" t="s">
        <v>1117</v>
      </c>
      <c r="L377" s="15" t="str">
        <f>HYPERLINK("https://uk1.aconex.co.uk/hub/index.html?mainTarget=%2FSearchControlledDoc%3FSEARCH_ACTION%3D15%26tab%3D0%26searchMode%3D1%26searchQuery%3Ddocno:%22"&amp;RawData[[#This Row],[Document Number]]&amp;"%22%20%2Bcversion%253A1",RawData[[#This Row],[Document Number]])</f>
        <v>FS1018-CPM-ZZ-RF-D-A-3101</v>
      </c>
    </row>
    <row r="378" spans="1:12" x14ac:dyDescent="0.3">
      <c r="A378" s="15" t="s">
        <v>1118</v>
      </c>
      <c r="B378" s="15" t="s">
        <v>1119</v>
      </c>
      <c r="C378" s="15" t="s">
        <v>14</v>
      </c>
      <c r="D378" s="15" t="s">
        <v>21</v>
      </c>
      <c r="E378" s="8">
        <v>45729</v>
      </c>
      <c r="F378" s="16" t="s">
        <v>12</v>
      </c>
      <c r="G378" s="16" t="s">
        <v>4</v>
      </c>
      <c r="H378" s="8"/>
      <c r="I378" s="16"/>
      <c r="J378" t="b">
        <v>0</v>
      </c>
      <c r="K378" s="15" t="s">
        <v>1120</v>
      </c>
      <c r="L378" s="15" t="str">
        <f>HYPERLINK("https://uk1.aconex.co.uk/hub/index.html?mainTarget=%2FSearchControlledDoc%3FSEARCH_ACTION%3D15%26tab%3D0%26searchMode%3D1%26searchQuery%3Ddocno:%22"&amp;RawData[[#This Row],[Document Number]]&amp;"%22%20%2Bcversion%253A1",RawData[[#This Row],[Document Number]])</f>
        <v>FS1018-CPM-ZZ-XX-D-A-2146</v>
      </c>
    </row>
    <row r="379" spans="1:12" x14ac:dyDescent="0.3">
      <c r="A379" s="15" t="s">
        <v>1121</v>
      </c>
      <c r="B379" s="15" t="s">
        <v>1122</v>
      </c>
      <c r="C379" s="15" t="s">
        <v>14</v>
      </c>
      <c r="D379" s="15" t="s">
        <v>21</v>
      </c>
      <c r="E379" s="8">
        <v>45729</v>
      </c>
      <c r="F379" s="16" t="s">
        <v>12</v>
      </c>
      <c r="G379" s="16" t="s">
        <v>4</v>
      </c>
      <c r="H379" s="8"/>
      <c r="I379" s="16"/>
      <c r="J379" t="b">
        <v>0</v>
      </c>
      <c r="K379" s="15" t="s">
        <v>1123</v>
      </c>
      <c r="L379" s="15" t="str">
        <f>HYPERLINK("https://uk1.aconex.co.uk/hub/index.html?mainTarget=%2FSearchControlledDoc%3FSEARCH_ACTION%3D15%26tab%3D0%26searchMode%3D1%26searchQuery%3Ddocno:%22"&amp;RawData[[#This Row],[Document Number]]&amp;"%22%20%2Bcversion%253A1",RawData[[#This Row],[Document Number]])</f>
        <v>FS1018-CPM-ZZ-XX-D-A-2210</v>
      </c>
    </row>
    <row r="380" spans="1:12" ht="172.8" x14ac:dyDescent="0.3">
      <c r="A380" s="15" t="s">
        <v>1124</v>
      </c>
      <c r="B380" s="15" t="s">
        <v>1125</v>
      </c>
      <c r="C380" s="15" t="s">
        <v>14</v>
      </c>
      <c r="D380" s="15" t="s">
        <v>20</v>
      </c>
      <c r="E380" s="8">
        <v>45175</v>
      </c>
      <c r="F380" s="16" t="s">
        <v>760</v>
      </c>
      <c r="G380" s="16" t="s">
        <v>40</v>
      </c>
      <c r="H380" s="8">
        <v>45194</v>
      </c>
      <c r="I380" s="16" t="s">
        <v>1126</v>
      </c>
      <c r="J380" t="b">
        <v>0</v>
      </c>
      <c r="K380" s="15" t="s">
        <v>1127</v>
      </c>
      <c r="L380" s="15" t="str">
        <f>HYPERLINK("https://uk1.aconex.co.uk/hub/index.html?mainTarget=%2FSearchControlledDoc%3FSEARCH_ACTION%3D15%26tab%3D0%26searchMode%3D1%26searchQuery%3Ddocno:%22"&amp;RawData[[#This Row],[Document Number]]&amp;"%22%20%2Bcversion%253A1",RawData[[#This Row],[Document Number]])</f>
        <v>FS1018-CPM-ZZ-XX-L-A-0020</v>
      </c>
    </row>
    <row r="381" spans="1:12" ht="43.2" x14ac:dyDescent="0.3">
      <c r="A381" s="15" t="s">
        <v>1124</v>
      </c>
      <c r="B381" s="15" t="s">
        <v>1125</v>
      </c>
      <c r="C381" s="15" t="s">
        <v>10</v>
      </c>
      <c r="D381" s="15" t="s">
        <v>20</v>
      </c>
      <c r="E381" s="8">
        <v>45638</v>
      </c>
      <c r="F381" s="16" t="s">
        <v>78</v>
      </c>
      <c r="G381" s="16" t="s">
        <v>40</v>
      </c>
      <c r="H381" s="8">
        <v>45669</v>
      </c>
      <c r="I381" s="16" t="s">
        <v>71</v>
      </c>
      <c r="J381" t="b">
        <v>1</v>
      </c>
      <c r="K381" s="15" t="s">
        <v>1127</v>
      </c>
      <c r="L381" s="15" t="str">
        <f>HYPERLINK("https://uk1.aconex.co.uk/hub/index.html?mainTarget=%2FSearchControlledDoc%3FSEARCH_ACTION%3D15%26tab%3D0%26searchMode%3D1%26searchQuery%3Ddocno:%22"&amp;RawData[[#This Row],[Document Number]]&amp;"%22%20%2Bcversion%253A1",RawData[[#This Row],[Document Number]])</f>
        <v>FS1018-CPM-ZZ-XX-L-A-0020</v>
      </c>
    </row>
    <row r="382" spans="1:12" x14ac:dyDescent="0.3">
      <c r="A382" s="15" t="s">
        <v>1124</v>
      </c>
      <c r="B382" s="15" t="s">
        <v>1125</v>
      </c>
      <c r="C382" s="15" t="s">
        <v>11</v>
      </c>
      <c r="D382" s="15" t="s">
        <v>21</v>
      </c>
      <c r="E382" s="8">
        <v>45729</v>
      </c>
      <c r="F382" s="16" t="s">
        <v>12</v>
      </c>
      <c r="G382" s="16" t="s">
        <v>4</v>
      </c>
      <c r="H382" s="8"/>
      <c r="I382" s="16"/>
      <c r="J382" t="b">
        <v>0</v>
      </c>
      <c r="K382" s="15" t="s">
        <v>1127</v>
      </c>
      <c r="L382" s="15" t="str">
        <f>HYPERLINK("https://uk1.aconex.co.uk/hub/index.html?mainTarget=%2FSearchControlledDoc%3FSEARCH_ACTION%3D15%26tab%3D0%26searchMode%3D1%26searchQuery%3Ddocno:%22"&amp;RawData[[#This Row],[Document Number]]&amp;"%22%20%2Bcversion%253A1",RawData[[#This Row],[Document Number]])</f>
        <v>FS1018-CPM-ZZ-XX-L-A-0020</v>
      </c>
    </row>
    <row r="383" spans="1:12" ht="115.2" x14ac:dyDescent="0.3">
      <c r="A383" s="15" t="s">
        <v>1128</v>
      </c>
      <c r="B383" s="15" t="s">
        <v>1129</v>
      </c>
      <c r="C383" s="15" t="s">
        <v>14</v>
      </c>
      <c r="D383" s="15" t="s">
        <v>20</v>
      </c>
      <c r="E383" s="8">
        <v>45175</v>
      </c>
      <c r="F383" s="16" t="s">
        <v>33</v>
      </c>
      <c r="G383" s="16" t="s">
        <v>22</v>
      </c>
      <c r="H383" s="8">
        <v>45190</v>
      </c>
      <c r="I383" s="16" t="s">
        <v>1130</v>
      </c>
      <c r="J383" t="b">
        <v>0</v>
      </c>
      <c r="K383" s="15" t="s">
        <v>1131</v>
      </c>
      <c r="L383" s="15" t="str">
        <f>HYPERLINK("https://uk1.aconex.co.uk/hub/index.html?mainTarget=%2FSearchControlledDoc%3FSEARCH_ACTION%3D15%26tab%3D0%26searchMode%3D1%26searchQuery%3Ddocno:%22"&amp;RawData[[#This Row],[Document Number]]&amp;"%22%20%2Bcversion%253A1",RawData[[#This Row],[Document Number]])</f>
        <v>FS1018-CPM-ZZ-ZZ-D-A-0050</v>
      </c>
    </row>
    <row r="384" spans="1:12" ht="43.2" x14ac:dyDescent="0.3">
      <c r="A384" s="15" t="s">
        <v>1128</v>
      </c>
      <c r="B384" s="15" t="s">
        <v>1129</v>
      </c>
      <c r="C384" s="15" t="s">
        <v>10</v>
      </c>
      <c r="D384" s="15" t="s">
        <v>20</v>
      </c>
      <c r="E384" s="8">
        <v>45505</v>
      </c>
      <c r="F384" s="16" t="s">
        <v>33</v>
      </c>
      <c r="G384" s="16" t="s">
        <v>40</v>
      </c>
      <c r="H384" s="8">
        <v>45669</v>
      </c>
      <c r="I384" s="16" t="s">
        <v>71</v>
      </c>
      <c r="J384" t="b">
        <v>1</v>
      </c>
      <c r="K384" s="15" t="s">
        <v>1131</v>
      </c>
      <c r="L384" s="15" t="str">
        <f>HYPERLINK("https://uk1.aconex.co.uk/hub/index.html?mainTarget=%2FSearchControlledDoc%3FSEARCH_ACTION%3D15%26tab%3D0%26searchMode%3D1%26searchQuery%3Ddocno:%22"&amp;RawData[[#This Row],[Document Number]]&amp;"%22%20%2Bcversion%253A1",RawData[[#This Row],[Document Number]])</f>
        <v>FS1018-CPM-ZZ-ZZ-D-A-0050</v>
      </c>
    </row>
    <row r="385" spans="1:12" x14ac:dyDescent="0.3">
      <c r="A385" s="15" t="s">
        <v>1128</v>
      </c>
      <c r="B385" s="15" t="s">
        <v>1129</v>
      </c>
      <c r="C385" s="15" t="s">
        <v>11</v>
      </c>
      <c r="D385" s="15" t="s">
        <v>21</v>
      </c>
      <c r="E385" s="8">
        <v>45729</v>
      </c>
      <c r="F385" s="16" t="s">
        <v>12</v>
      </c>
      <c r="G385" s="16" t="s">
        <v>4</v>
      </c>
      <c r="H385" s="8"/>
      <c r="I385" s="16"/>
      <c r="J385" t="b">
        <v>0</v>
      </c>
      <c r="K385" s="15" t="s">
        <v>1131</v>
      </c>
      <c r="L385" s="15" t="str">
        <f>HYPERLINK("https://uk1.aconex.co.uk/hub/index.html?mainTarget=%2FSearchControlledDoc%3FSEARCH_ACTION%3D15%26tab%3D0%26searchMode%3D1%26searchQuery%3Ddocno:%22"&amp;RawData[[#This Row],[Document Number]]&amp;"%22%20%2Bcversion%253A1",RawData[[#This Row],[Document Number]])</f>
        <v>FS1018-CPM-ZZ-ZZ-D-A-0050</v>
      </c>
    </row>
    <row r="386" spans="1:12" ht="100.8" x14ac:dyDescent="0.3">
      <c r="A386" s="15" t="s">
        <v>1132</v>
      </c>
      <c r="B386" s="15" t="s">
        <v>1133</v>
      </c>
      <c r="C386" s="15" t="s">
        <v>14</v>
      </c>
      <c r="D386" s="15" t="s">
        <v>20</v>
      </c>
      <c r="E386" s="8">
        <v>45175</v>
      </c>
      <c r="F386" s="16" t="s">
        <v>33</v>
      </c>
      <c r="G386" s="16" t="s">
        <v>22</v>
      </c>
      <c r="H386" s="8">
        <v>45190</v>
      </c>
      <c r="I386" s="16" t="s">
        <v>1134</v>
      </c>
      <c r="J386" t="b">
        <v>0</v>
      </c>
      <c r="K386" s="15" t="s">
        <v>1135</v>
      </c>
      <c r="L386" s="15" t="str">
        <f>HYPERLINK("https://uk1.aconex.co.uk/hub/index.html?mainTarget=%2FSearchControlledDoc%3FSEARCH_ACTION%3D15%26tab%3D0%26searchMode%3D1%26searchQuery%3Ddocno:%22"&amp;RawData[[#This Row],[Document Number]]&amp;"%22%20%2Bcversion%253A1",RawData[[#This Row],[Document Number]])</f>
        <v>FS1018-CPM-ZZ-ZZ-D-A-0051</v>
      </c>
    </row>
    <row r="387" spans="1:12" ht="43.2" x14ac:dyDescent="0.3">
      <c r="A387" s="15" t="s">
        <v>1132</v>
      </c>
      <c r="B387" s="15" t="s">
        <v>1136</v>
      </c>
      <c r="C387" s="15" t="s">
        <v>10</v>
      </c>
      <c r="D387" s="15" t="s">
        <v>20</v>
      </c>
      <c r="E387" s="8">
        <v>45505</v>
      </c>
      <c r="F387" s="16" t="s">
        <v>33</v>
      </c>
      <c r="G387" s="16" t="s">
        <v>40</v>
      </c>
      <c r="H387" s="8">
        <v>45669</v>
      </c>
      <c r="I387" s="16" t="s">
        <v>71</v>
      </c>
      <c r="J387" t="b">
        <v>1</v>
      </c>
      <c r="K387" s="15" t="s">
        <v>1137</v>
      </c>
      <c r="L387" s="15" t="str">
        <f>HYPERLINK("https://uk1.aconex.co.uk/hub/index.html?mainTarget=%2FSearchControlledDoc%3FSEARCH_ACTION%3D15%26tab%3D0%26searchMode%3D1%26searchQuery%3Ddocno:%22"&amp;RawData[[#This Row],[Document Number]]&amp;"%22%20%2Bcversion%253A1",RawData[[#This Row],[Document Number]])</f>
        <v>FS1018-CPM-ZZ-ZZ-D-A-0051</v>
      </c>
    </row>
    <row r="388" spans="1:12" x14ac:dyDescent="0.3">
      <c r="A388" s="15" t="s">
        <v>1132</v>
      </c>
      <c r="B388" s="15" t="s">
        <v>1138</v>
      </c>
      <c r="C388" s="15" t="s">
        <v>11</v>
      </c>
      <c r="D388" s="15" t="s">
        <v>21</v>
      </c>
      <c r="E388" s="8">
        <v>45729</v>
      </c>
      <c r="F388" s="16" t="s">
        <v>12</v>
      </c>
      <c r="G388" s="16" t="s">
        <v>4</v>
      </c>
      <c r="H388" s="8"/>
      <c r="I388" s="16"/>
      <c r="J388" t="b">
        <v>0</v>
      </c>
      <c r="K388" s="15" t="s">
        <v>1139</v>
      </c>
      <c r="L388" s="15" t="str">
        <f>HYPERLINK("https://uk1.aconex.co.uk/hub/index.html?mainTarget=%2FSearchControlledDoc%3FSEARCH_ACTION%3D15%26tab%3D0%26searchMode%3D1%26searchQuery%3Ddocno:%22"&amp;RawData[[#This Row],[Document Number]]&amp;"%22%20%2Bcversion%253A1",RawData[[#This Row],[Document Number]])</f>
        <v>FS1018-CPM-ZZ-ZZ-D-A-0051</v>
      </c>
    </row>
    <row r="389" spans="1:12" ht="158.4" x14ac:dyDescent="0.3">
      <c r="A389" s="15" t="s">
        <v>1140</v>
      </c>
      <c r="B389" s="15" t="s">
        <v>1141</v>
      </c>
      <c r="C389" s="15" t="s">
        <v>14</v>
      </c>
      <c r="D389" s="15" t="s">
        <v>20</v>
      </c>
      <c r="E389" s="8">
        <v>45175</v>
      </c>
      <c r="F389" s="16" t="s">
        <v>33</v>
      </c>
      <c r="G389" s="16" t="s">
        <v>22</v>
      </c>
      <c r="H389" s="8">
        <v>45190</v>
      </c>
      <c r="I389" s="16" t="s">
        <v>1142</v>
      </c>
      <c r="J389" t="b">
        <v>0</v>
      </c>
      <c r="K389" s="15" t="s">
        <v>1143</v>
      </c>
      <c r="L389" s="15" t="str">
        <f>HYPERLINK("https://uk1.aconex.co.uk/hub/index.html?mainTarget=%2FSearchControlledDoc%3FSEARCH_ACTION%3D15%26tab%3D0%26searchMode%3D1%26searchQuery%3Ddocno:%22"&amp;RawData[[#This Row],[Document Number]]&amp;"%22%20%2Bcversion%253A1",RawData[[#This Row],[Document Number]])</f>
        <v>FS1018-CPM-ZZ-ZZ-D-A-0052</v>
      </c>
    </row>
    <row r="390" spans="1:12" ht="43.2" x14ac:dyDescent="0.3">
      <c r="A390" s="15" t="s">
        <v>1140</v>
      </c>
      <c r="B390" s="15" t="s">
        <v>1144</v>
      </c>
      <c r="C390" s="15" t="s">
        <v>10</v>
      </c>
      <c r="D390" s="15" t="s">
        <v>20</v>
      </c>
      <c r="E390" s="8">
        <v>45505</v>
      </c>
      <c r="F390" s="16" t="s">
        <v>33</v>
      </c>
      <c r="G390" s="16" t="s">
        <v>40</v>
      </c>
      <c r="H390" s="8">
        <v>45669</v>
      </c>
      <c r="I390" s="16" t="s">
        <v>71</v>
      </c>
      <c r="J390" t="b">
        <v>1</v>
      </c>
      <c r="K390" s="15" t="s">
        <v>1145</v>
      </c>
      <c r="L390" s="15" t="str">
        <f>HYPERLINK("https://uk1.aconex.co.uk/hub/index.html?mainTarget=%2FSearchControlledDoc%3FSEARCH_ACTION%3D15%26tab%3D0%26searchMode%3D1%26searchQuery%3Ddocno:%22"&amp;RawData[[#This Row],[Document Number]]&amp;"%22%20%2Bcversion%253A1",RawData[[#This Row],[Document Number]])</f>
        <v>FS1018-CPM-ZZ-ZZ-D-A-0052</v>
      </c>
    </row>
    <row r="391" spans="1:12" x14ac:dyDescent="0.3">
      <c r="A391" s="15" t="s">
        <v>1140</v>
      </c>
      <c r="B391" s="15" t="s">
        <v>1146</v>
      </c>
      <c r="C391" s="15" t="s">
        <v>11</v>
      </c>
      <c r="D391" s="15" t="s">
        <v>21</v>
      </c>
      <c r="E391" s="8">
        <v>45729</v>
      </c>
      <c r="F391" s="16" t="s">
        <v>12</v>
      </c>
      <c r="G391" s="16" t="s">
        <v>4</v>
      </c>
      <c r="H391" s="8"/>
      <c r="I391" s="16"/>
      <c r="J391" t="b">
        <v>0</v>
      </c>
      <c r="K391" s="15" t="s">
        <v>1147</v>
      </c>
      <c r="L391" s="15" t="str">
        <f>HYPERLINK("https://uk1.aconex.co.uk/hub/index.html?mainTarget=%2FSearchControlledDoc%3FSEARCH_ACTION%3D15%26tab%3D0%26searchMode%3D1%26searchQuery%3Ddocno:%22"&amp;RawData[[#This Row],[Document Number]]&amp;"%22%20%2Bcversion%253A1",RawData[[#This Row],[Document Number]])</f>
        <v>FS1018-CPM-ZZ-ZZ-D-A-0052</v>
      </c>
    </row>
    <row r="392" spans="1:12" ht="129.6" x14ac:dyDescent="0.3">
      <c r="A392" s="15" t="s">
        <v>1148</v>
      </c>
      <c r="B392" s="15" t="s">
        <v>1149</v>
      </c>
      <c r="C392" s="15" t="s">
        <v>14</v>
      </c>
      <c r="D392" s="15" t="s">
        <v>20</v>
      </c>
      <c r="E392" s="8">
        <v>45175</v>
      </c>
      <c r="F392" s="16" t="s">
        <v>33</v>
      </c>
      <c r="G392" s="16" t="s">
        <v>22</v>
      </c>
      <c r="H392" s="8">
        <v>45190</v>
      </c>
      <c r="I392" s="16" t="s">
        <v>1150</v>
      </c>
      <c r="J392" t="b">
        <v>0</v>
      </c>
      <c r="K392" s="15" t="s">
        <v>1151</v>
      </c>
      <c r="L392" s="15" t="str">
        <f>HYPERLINK("https://uk1.aconex.co.uk/hub/index.html?mainTarget=%2FSearchControlledDoc%3FSEARCH_ACTION%3D15%26tab%3D0%26searchMode%3D1%26searchQuery%3Ddocno:%22"&amp;RawData[[#This Row],[Document Number]]&amp;"%22%20%2Bcversion%253A1",RawData[[#This Row],[Document Number]])</f>
        <v>FS1018-CPM-ZZ-ZZ-D-A-0053</v>
      </c>
    </row>
    <row r="393" spans="1:12" ht="43.2" x14ac:dyDescent="0.3">
      <c r="A393" s="15" t="s">
        <v>1148</v>
      </c>
      <c r="B393" s="15" t="s">
        <v>1152</v>
      </c>
      <c r="C393" s="15" t="s">
        <v>583</v>
      </c>
      <c r="D393" s="15" t="s">
        <v>20</v>
      </c>
      <c r="E393" s="8">
        <v>45638</v>
      </c>
      <c r="F393" s="16" t="s">
        <v>78</v>
      </c>
      <c r="G393" s="16" t="s">
        <v>40</v>
      </c>
      <c r="H393" s="8">
        <v>45669</v>
      </c>
      <c r="I393" s="16" t="s">
        <v>71</v>
      </c>
      <c r="J393" t="b">
        <v>0</v>
      </c>
      <c r="K393" s="15" t="s">
        <v>1153</v>
      </c>
      <c r="L393" s="15" t="str">
        <f>HYPERLINK("https://uk1.aconex.co.uk/hub/index.html?mainTarget=%2FSearchControlledDoc%3FSEARCH_ACTION%3D15%26tab%3D0%26searchMode%3D1%26searchQuery%3Ddocno:%22"&amp;RawData[[#This Row],[Document Number]]&amp;"%22%20%2Bcversion%253A1",RawData[[#This Row],[Document Number]])</f>
        <v>FS1018-CPM-ZZ-ZZ-D-A-0053</v>
      </c>
    </row>
    <row r="394" spans="1:12" x14ac:dyDescent="0.3">
      <c r="A394" s="15" t="s">
        <v>1148</v>
      </c>
      <c r="B394" s="15" t="s">
        <v>1154</v>
      </c>
      <c r="C394" s="15" t="s">
        <v>1155</v>
      </c>
      <c r="D394" s="15" t="s">
        <v>21</v>
      </c>
      <c r="E394" s="8">
        <v>45729</v>
      </c>
      <c r="F394" s="16" t="s">
        <v>12</v>
      </c>
      <c r="G394" s="16" t="s">
        <v>4</v>
      </c>
      <c r="H394" s="8"/>
      <c r="I394" s="16"/>
      <c r="J394" t="b">
        <v>0</v>
      </c>
      <c r="K394" s="15" t="s">
        <v>1156</v>
      </c>
      <c r="L394" s="15" t="str">
        <f>HYPERLINK("https://uk1.aconex.co.uk/hub/index.html?mainTarget=%2FSearchControlledDoc%3FSEARCH_ACTION%3D15%26tab%3D0%26searchMode%3D1%26searchQuery%3Ddocno:%22"&amp;RawData[[#This Row],[Document Number]]&amp;"%22%20%2Bcversion%253A1",RawData[[#This Row],[Document Number]])</f>
        <v>FS1018-CPM-ZZ-ZZ-D-A-0053</v>
      </c>
    </row>
    <row r="395" spans="1:12" ht="115.2" x14ac:dyDescent="0.3">
      <c r="A395" s="15" t="s">
        <v>1157</v>
      </c>
      <c r="B395" s="15" t="s">
        <v>1158</v>
      </c>
      <c r="C395" s="15" t="s">
        <v>14</v>
      </c>
      <c r="D395" s="15" t="s">
        <v>20</v>
      </c>
      <c r="E395" s="8">
        <v>45175</v>
      </c>
      <c r="F395" s="16" t="s">
        <v>33</v>
      </c>
      <c r="G395" s="16" t="s">
        <v>22</v>
      </c>
      <c r="H395" s="8">
        <v>45190</v>
      </c>
      <c r="I395" s="16" t="s">
        <v>1159</v>
      </c>
      <c r="J395" t="b">
        <v>0</v>
      </c>
      <c r="K395" s="15" t="s">
        <v>1160</v>
      </c>
      <c r="L395" s="15" t="str">
        <f>HYPERLINK("https://uk1.aconex.co.uk/hub/index.html?mainTarget=%2FSearchControlledDoc%3FSEARCH_ACTION%3D15%26tab%3D0%26searchMode%3D1%26searchQuery%3Ddocno:%22"&amp;RawData[[#This Row],[Document Number]]&amp;"%22%20%2Bcversion%253A1",RawData[[#This Row],[Document Number]])</f>
        <v>FS1018-CPM-ZZ-ZZ-D-A-0054</v>
      </c>
    </row>
    <row r="396" spans="1:12" ht="43.2" x14ac:dyDescent="0.3">
      <c r="A396" s="15" t="s">
        <v>1157</v>
      </c>
      <c r="B396" s="15" t="s">
        <v>1161</v>
      </c>
      <c r="C396" s="15" t="s">
        <v>10</v>
      </c>
      <c r="D396" s="15" t="s">
        <v>20</v>
      </c>
      <c r="E396" s="8">
        <v>45505</v>
      </c>
      <c r="F396" s="16" t="s">
        <v>33</v>
      </c>
      <c r="G396" s="16" t="s">
        <v>40</v>
      </c>
      <c r="H396" s="8">
        <v>45669</v>
      </c>
      <c r="I396" s="16" t="s">
        <v>71</v>
      </c>
      <c r="J396" t="b">
        <v>1</v>
      </c>
      <c r="K396" s="15" t="s">
        <v>1162</v>
      </c>
      <c r="L396" s="15" t="str">
        <f>HYPERLINK("https://uk1.aconex.co.uk/hub/index.html?mainTarget=%2FSearchControlledDoc%3FSEARCH_ACTION%3D15%26tab%3D0%26searchMode%3D1%26searchQuery%3Ddocno:%22"&amp;RawData[[#This Row],[Document Number]]&amp;"%22%20%2Bcversion%253A1",RawData[[#This Row],[Document Number]])</f>
        <v>FS1018-CPM-ZZ-ZZ-D-A-0054</v>
      </c>
    </row>
    <row r="397" spans="1:12" x14ac:dyDescent="0.3">
      <c r="A397" s="15" t="s">
        <v>1157</v>
      </c>
      <c r="B397" s="15" t="s">
        <v>1163</v>
      </c>
      <c r="C397" s="15" t="s">
        <v>583</v>
      </c>
      <c r="D397" s="15" t="s">
        <v>21</v>
      </c>
      <c r="E397" s="8">
        <v>45729</v>
      </c>
      <c r="F397" s="16" t="s">
        <v>12</v>
      </c>
      <c r="G397" s="16" t="s">
        <v>4</v>
      </c>
      <c r="H397" s="8"/>
      <c r="I397" s="16"/>
      <c r="J397" t="b">
        <v>0</v>
      </c>
      <c r="K397" s="15" t="s">
        <v>1164</v>
      </c>
      <c r="L397" s="15" t="str">
        <f>HYPERLINK("https://uk1.aconex.co.uk/hub/index.html?mainTarget=%2FSearchControlledDoc%3FSEARCH_ACTION%3D15%26tab%3D0%26searchMode%3D1%26searchQuery%3Ddocno:%22"&amp;RawData[[#This Row],[Document Number]]&amp;"%22%20%2Bcversion%253A1",RawData[[#This Row],[Document Number]])</f>
        <v>FS1018-CPM-ZZ-ZZ-D-A-0054</v>
      </c>
    </row>
    <row r="398" spans="1:12" x14ac:dyDescent="0.3">
      <c r="A398" s="15" t="s">
        <v>1165</v>
      </c>
      <c r="B398" s="15" t="s">
        <v>1166</v>
      </c>
      <c r="C398" s="15" t="s">
        <v>14</v>
      </c>
      <c r="D398" s="15" t="s">
        <v>21</v>
      </c>
      <c r="E398" s="8">
        <v>45730</v>
      </c>
      <c r="F398" s="16" t="s">
        <v>12</v>
      </c>
      <c r="G398" s="16" t="s">
        <v>4</v>
      </c>
      <c r="H398" s="8"/>
      <c r="I398" s="16"/>
      <c r="J398" t="b">
        <v>0</v>
      </c>
      <c r="K398" s="15" t="s">
        <v>1167</v>
      </c>
      <c r="L398" s="15" t="str">
        <f>HYPERLINK("https://uk1.aconex.co.uk/hub/index.html?mainTarget=%2FSearchControlledDoc%3FSEARCH_ACTION%3D15%26tab%3D0%26searchMode%3D1%26searchQuery%3Ddocno:%22"&amp;RawData[[#This Row],[Document Number]]&amp;"%22%20%2Bcversion%253A1",RawData[[#This Row],[Document Number]])</f>
        <v>FS1018-CPM-ZZ-ZZ-D-A-0060</v>
      </c>
    </row>
    <row r="399" spans="1:12" ht="230.4" x14ac:dyDescent="0.3">
      <c r="A399" s="15" t="s">
        <v>1168</v>
      </c>
      <c r="B399" s="15" t="s">
        <v>1169</v>
      </c>
      <c r="C399" s="15" t="s">
        <v>14</v>
      </c>
      <c r="D399" s="15" t="s">
        <v>20</v>
      </c>
      <c r="E399" s="8">
        <v>45175</v>
      </c>
      <c r="F399" s="16" t="s">
        <v>33</v>
      </c>
      <c r="G399" s="16" t="s">
        <v>22</v>
      </c>
      <c r="H399" s="8">
        <v>45190</v>
      </c>
      <c r="I399" s="16" t="s">
        <v>1170</v>
      </c>
      <c r="J399" t="b">
        <v>0</v>
      </c>
      <c r="K399" s="15" t="s">
        <v>1171</v>
      </c>
      <c r="L399" s="15" t="str">
        <f>HYPERLINK("https://uk1.aconex.co.uk/hub/index.html?mainTarget=%2FSearchControlledDoc%3FSEARCH_ACTION%3D15%26tab%3D0%26searchMode%3D1%26searchQuery%3Ddocno:%22"&amp;RawData[[#This Row],[Document Number]]&amp;"%22%20%2Bcversion%253A1",RawData[[#This Row],[Document Number]])</f>
        <v>FS1018-CPM-ZZ-ZZ-D-A-2001</v>
      </c>
    </row>
    <row r="400" spans="1:12" ht="43.2" x14ac:dyDescent="0.3">
      <c r="A400" s="15" t="s">
        <v>1168</v>
      </c>
      <c r="B400" s="15" t="s">
        <v>1172</v>
      </c>
      <c r="C400" s="15" t="s">
        <v>1155</v>
      </c>
      <c r="D400" s="15" t="s">
        <v>20</v>
      </c>
      <c r="E400" s="8">
        <v>45545</v>
      </c>
      <c r="F400" s="16" t="s">
        <v>78</v>
      </c>
      <c r="G400" s="16" t="s">
        <v>40</v>
      </c>
      <c r="H400" s="8">
        <v>45669</v>
      </c>
      <c r="I400" s="16" t="s">
        <v>71</v>
      </c>
      <c r="J400" t="b">
        <v>0</v>
      </c>
      <c r="K400" s="15" t="s">
        <v>1173</v>
      </c>
      <c r="L400" s="15" t="str">
        <f>HYPERLINK("https://uk1.aconex.co.uk/hub/index.html?mainTarget=%2FSearchControlledDoc%3FSEARCH_ACTION%3D15%26tab%3D0%26searchMode%3D1%26searchQuery%3Ddocno:%22"&amp;RawData[[#This Row],[Document Number]]&amp;"%22%20%2Bcversion%253A1",RawData[[#This Row],[Document Number]])</f>
        <v>FS1018-CPM-ZZ-ZZ-D-A-2001</v>
      </c>
    </row>
    <row r="401" spans="1:12" x14ac:dyDescent="0.3">
      <c r="A401" s="15" t="s">
        <v>1168</v>
      </c>
      <c r="B401" s="15" t="s">
        <v>1174</v>
      </c>
      <c r="C401" s="15" t="s">
        <v>968</v>
      </c>
      <c r="D401" s="15" t="s">
        <v>21</v>
      </c>
      <c r="E401" s="8">
        <v>45729</v>
      </c>
      <c r="F401" s="16" t="s">
        <v>12</v>
      </c>
      <c r="G401" s="16" t="s">
        <v>4</v>
      </c>
      <c r="H401" s="8"/>
      <c r="I401" s="16"/>
      <c r="J401" t="b">
        <v>0</v>
      </c>
      <c r="K401" s="15" t="s">
        <v>1175</v>
      </c>
      <c r="L401" s="15" t="str">
        <f>HYPERLINK("https://uk1.aconex.co.uk/hub/index.html?mainTarget=%2FSearchControlledDoc%3FSEARCH_ACTION%3D15%26tab%3D0%26searchMode%3D1%26searchQuery%3Ddocno:%22"&amp;RawData[[#This Row],[Document Number]]&amp;"%22%20%2Bcversion%253A1",RawData[[#This Row],[Document Number]])</f>
        <v>FS1018-CPM-ZZ-ZZ-D-A-2001</v>
      </c>
    </row>
    <row r="402" spans="1:12" ht="43.2" x14ac:dyDescent="0.3">
      <c r="A402" s="15" t="s">
        <v>1176</v>
      </c>
      <c r="B402" s="15" t="s">
        <v>1177</v>
      </c>
      <c r="C402" s="15" t="s">
        <v>1155</v>
      </c>
      <c r="D402" s="15" t="s">
        <v>20</v>
      </c>
      <c r="E402" s="8">
        <v>45545</v>
      </c>
      <c r="F402" s="16" t="s">
        <v>78</v>
      </c>
      <c r="G402" s="16" t="s">
        <v>40</v>
      </c>
      <c r="H402" s="8">
        <v>45669</v>
      </c>
      <c r="I402" s="16" t="s">
        <v>71</v>
      </c>
      <c r="J402" t="b">
        <v>0</v>
      </c>
      <c r="K402" s="15" t="s">
        <v>1178</v>
      </c>
      <c r="L402" s="15" t="str">
        <f>HYPERLINK("https://uk1.aconex.co.uk/hub/index.html?mainTarget=%2FSearchControlledDoc%3FSEARCH_ACTION%3D15%26tab%3D0%26searchMode%3D1%26searchQuery%3Ddocno:%22"&amp;RawData[[#This Row],[Document Number]]&amp;"%22%20%2Bcversion%253A1",RawData[[#This Row],[Document Number]])</f>
        <v>FS1018-CPM-ZZ-ZZ-D-A-2002</v>
      </c>
    </row>
    <row r="403" spans="1:12" x14ac:dyDescent="0.3">
      <c r="A403" s="15" t="s">
        <v>1176</v>
      </c>
      <c r="B403" s="15" t="s">
        <v>1179</v>
      </c>
      <c r="C403" s="15" t="s">
        <v>960</v>
      </c>
      <c r="D403" s="15" t="s">
        <v>21</v>
      </c>
      <c r="E403" s="8">
        <v>45729</v>
      </c>
      <c r="F403" s="16" t="s">
        <v>12</v>
      </c>
      <c r="G403" s="16" t="s">
        <v>4</v>
      </c>
      <c r="H403" s="8"/>
      <c r="I403" s="16"/>
      <c r="J403" t="b">
        <v>0</v>
      </c>
      <c r="K403" s="15" t="s">
        <v>1180</v>
      </c>
      <c r="L403" s="15" t="str">
        <f>HYPERLINK("https://uk1.aconex.co.uk/hub/index.html?mainTarget=%2FSearchControlledDoc%3FSEARCH_ACTION%3D15%26tab%3D0%26searchMode%3D1%26searchQuery%3Ddocno:%22"&amp;RawData[[#This Row],[Document Number]]&amp;"%22%20%2Bcversion%253A1",RawData[[#This Row],[Document Number]])</f>
        <v>FS1018-CPM-ZZ-ZZ-D-A-2002</v>
      </c>
    </row>
    <row r="404" spans="1:12" ht="43.2" x14ac:dyDescent="0.3">
      <c r="A404" s="15" t="s">
        <v>1181</v>
      </c>
      <c r="B404" s="15" t="s">
        <v>1179</v>
      </c>
      <c r="C404" s="15" t="s">
        <v>10</v>
      </c>
      <c r="D404" s="15" t="s">
        <v>20</v>
      </c>
      <c r="E404" s="8">
        <v>45545</v>
      </c>
      <c r="F404" s="16" t="s">
        <v>78</v>
      </c>
      <c r="G404" s="16" t="s">
        <v>40</v>
      </c>
      <c r="H404" s="8">
        <v>45669</v>
      </c>
      <c r="I404" s="16" t="s">
        <v>71</v>
      </c>
      <c r="J404" t="b">
        <v>1</v>
      </c>
      <c r="K404" s="15" t="s">
        <v>1182</v>
      </c>
      <c r="L404" s="15" t="str">
        <f>HYPERLINK("https://uk1.aconex.co.uk/hub/index.html?mainTarget=%2FSearchControlledDoc%3FSEARCH_ACTION%3D15%26tab%3D0%26searchMode%3D1%26searchQuery%3Ddocno:%22"&amp;RawData[[#This Row],[Document Number]]&amp;"%22%20%2Bcversion%253A1",RawData[[#This Row],[Document Number]])</f>
        <v>FS1018-CPM-ZZ-ZZ-D-A-2005</v>
      </c>
    </row>
    <row r="405" spans="1:12" ht="273.60000000000002" x14ac:dyDescent="0.3">
      <c r="A405" s="15" t="s">
        <v>1183</v>
      </c>
      <c r="B405" s="15" t="s">
        <v>1184</v>
      </c>
      <c r="C405" s="15" t="s">
        <v>14</v>
      </c>
      <c r="D405" s="15" t="s">
        <v>20</v>
      </c>
      <c r="E405" s="8">
        <v>45175</v>
      </c>
      <c r="F405" s="16" t="s">
        <v>33</v>
      </c>
      <c r="G405" s="16" t="s">
        <v>22</v>
      </c>
      <c r="H405" s="8">
        <v>45190</v>
      </c>
      <c r="I405" s="16" t="s">
        <v>1185</v>
      </c>
      <c r="J405" t="b">
        <v>0</v>
      </c>
      <c r="K405" s="15" t="s">
        <v>1186</v>
      </c>
      <c r="L405" s="15" t="str">
        <f>HYPERLINK("https://uk1.aconex.co.uk/hub/index.html?mainTarget=%2FSearchControlledDoc%3FSEARCH_ACTION%3D15%26tab%3D0%26searchMode%3D1%26searchQuery%3Ddocno:%22"&amp;RawData[[#This Row],[Document Number]]&amp;"%22%20%2Bcversion%253A1",RawData[[#This Row],[Document Number]])</f>
        <v>FS1018-CPM-ZZ-ZZ-D-A-2010</v>
      </c>
    </row>
    <row r="406" spans="1:12" ht="43.2" x14ac:dyDescent="0.3">
      <c r="A406" s="15" t="s">
        <v>1183</v>
      </c>
      <c r="B406" s="15" t="s">
        <v>1187</v>
      </c>
      <c r="C406" s="15" t="s">
        <v>960</v>
      </c>
      <c r="D406" s="15" t="s">
        <v>20</v>
      </c>
      <c r="E406" s="8">
        <v>45545</v>
      </c>
      <c r="F406" s="16" t="s">
        <v>78</v>
      </c>
      <c r="G406" s="16" t="s">
        <v>40</v>
      </c>
      <c r="H406" s="8">
        <v>45669</v>
      </c>
      <c r="I406" s="16" t="s">
        <v>71</v>
      </c>
      <c r="J406" t="b">
        <v>0</v>
      </c>
      <c r="K406" s="15" t="s">
        <v>1188</v>
      </c>
      <c r="L406" s="15" t="str">
        <f>HYPERLINK("https://uk1.aconex.co.uk/hub/index.html?mainTarget=%2FSearchControlledDoc%3FSEARCH_ACTION%3D15%26tab%3D0%26searchMode%3D1%26searchQuery%3Ddocno:%22"&amp;RawData[[#This Row],[Document Number]]&amp;"%22%20%2Bcversion%253A1",RawData[[#This Row],[Document Number]])</f>
        <v>FS1018-CPM-ZZ-ZZ-D-A-2010</v>
      </c>
    </row>
    <row r="407" spans="1:12" x14ac:dyDescent="0.3">
      <c r="A407" s="15" t="s">
        <v>1183</v>
      </c>
      <c r="B407" s="15" t="s">
        <v>1187</v>
      </c>
      <c r="C407" s="15" t="s">
        <v>968</v>
      </c>
      <c r="D407" s="15" t="s">
        <v>21</v>
      </c>
      <c r="E407" s="8">
        <v>45729</v>
      </c>
      <c r="F407" s="16" t="s">
        <v>12</v>
      </c>
      <c r="G407" s="16" t="s">
        <v>4</v>
      </c>
      <c r="H407" s="8"/>
      <c r="I407" s="16"/>
      <c r="J407" t="b">
        <v>0</v>
      </c>
      <c r="K407" s="15" t="s">
        <v>1188</v>
      </c>
      <c r="L407" s="15" t="str">
        <f>HYPERLINK("https://uk1.aconex.co.uk/hub/index.html?mainTarget=%2FSearchControlledDoc%3FSEARCH_ACTION%3D15%26tab%3D0%26searchMode%3D1%26searchQuery%3Ddocno:%22"&amp;RawData[[#This Row],[Document Number]]&amp;"%22%20%2Bcversion%253A1",RawData[[#This Row],[Document Number]])</f>
        <v>FS1018-CPM-ZZ-ZZ-D-A-2010</v>
      </c>
    </row>
    <row r="408" spans="1:12" ht="216" x14ac:dyDescent="0.3">
      <c r="A408" s="15" t="s">
        <v>1189</v>
      </c>
      <c r="B408" s="15" t="s">
        <v>1190</v>
      </c>
      <c r="C408" s="15" t="s">
        <v>14</v>
      </c>
      <c r="D408" s="15" t="s">
        <v>20</v>
      </c>
      <c r="E408" s="8">
        <v>45175</v>
      </c>
      <c r="F408" s="16" t="s">
        <v>33</v>
      </c>
      <c r="G408" s="16" t="s">
        <v>22</v>
      </c>
      <c r="H408" s="8">
        <v>45190</v>
      </c>
      <c r="I408" s="16" t="s">
        <v>1191</v>
      </c>
      <c r="J408" t="b">
        <v>0</v>
      </c>
      <c r="K408" s="15" t="s">
        <v>1192</v>
      </c>
      <c r="L408" s="15" t="str">
        <f>HYPERLINK("https://uk1.aconex.co.uk/hub/index.html?mainTarget=%2FSearchControlledDoc%3FSEARCH_ACTION%3D15%26tab%3D0%26searchMode%3D1%26searchQuery%3Ddocno:%22"&amp;RawData[[#This Row],[Document Number]]&amp;"%22%20%2Bcversion%253A1",RawData[[#This Row],[Document Number]])</f>
        <v>FS1018-CPM-ZZ-ZZ-D-A-2011</v>
      </c>
    </row>
    <row r="409" spans="1:12" ht="43.2" x14ac:dyDescent="0.3">
      <c r="A409" s="15" t="s">
        <v>1189</v>
      </c>
      <c r="B409" s="15" t="s">
        <v>1193</v>
      </c>
      <c r="C409" s="15" t="s">
        <v>583</v>
      </c>
      <c r="D409" s="15" t="s">
        <v>20</v>
      </c>
      <c r="E409" s="8">
        <v>45545</v>
      </c>
      <c r="F409" s="16" t="s">
        <v>78</v>
      </c>
      <c r="G409" s="16" t="s">
        <v>40</v>
      </c>
      <c r="H409" s="8">
        <v>45669</v>
      </c>
      <c r="I409" s="16" t="s">
        <v>71</v>
      </c>
      <c r="J409" t="b">
        <v>0</v>
      </c>
      <c r="K409" s="15" t="s">
        <v>1194</v>
      </c>
      <c r="L409" s="15" t="str">
        <f>HYPERLINK("https://uk1.aconex.co.uk/hub/index.html?mainTarget=%2FSearchControlledDoc%3FSEARCH_ACTION%3D15%26tab%3D0%26searchMode%3D1%26searchQuery%3Ddocno:%22"&amp;RawData[[#This Row],[Document Number]]&amp;"%22%20%2Bcversion%253A1",RawData[[#This Row],[Document Number]])</f>
        <v>FS1018-CPM-ZZ-ZZ-D-A-2011</v>
      </c>
    </row>
    <row r="410" spans="1:12" x14ac:dyDescent="0.3">
      <c r="A410" s="15" t="s">
        <v>1189</v>
      </c>
      <c r="B410" s="15" t="s">
        <v>1190</v>
      </c>
      <c r="C410" s="15" t="s">
        <v>960</v>
      </c>
      <c r="D410" s="15" t="s">
        <v>21</v>
      </c>
      <c r="E410" s="8">
        <v>45729</v>
      </c>
      <c r="F410" s="16" t="s">
        <v>12</v>
      </c>
      <c r="G410" s="16" t="s">
        <v>4</v>
      </c>
      <c r="H410" s="8"/>
      <c r="I410" s="16"/>
      <c r="J410" t="b">
        <v>0</v>
      </c>
      <c r="K410" s="15" t="s">
        <v>1192</v>
      </c>
      <c r="L410" s="15" t="str">
        <f>HYPERLINK("https://uk1.aconex.co.uk/hub/index.html?mainTarget=%2FSearchControlledDoc%3FSEARCH_ACTION%3D15%26tab%3D0%26searchMode%3D1%26searchQuery%3Ddocno:%22"&amp;RawData[[#This Row],[Document Number]]&amp;"%22%20%2Bcversion%253A1",RawData[[#This Row],[Document Number]])</f>
        <v>FS1018-CPM-ZZ-ZZ-D-A-2011</v>
      </c>
    </row>
    <row r="411" spans="1:12" ht="72" x14ac:dyDescent="0.3">
      <c r="A411" s="15" t="s">
        <v>1195</v>
      </c>
      <c r="B411" s="15" t="s">
        <v>1196</v>
      </c>
      <c r="C411" s="15" t="s">
        <v>14</v>
      </c>
      <c r="D411" s="15" t="s">
        <v>20</v>
      </c>
      <c r="E411" s="8">
        <v>45175</v>
      </c>
      <c r="F411" s="16" t="s">
        <v>33</v>
      </c>
      <c r="G411" s="16" t="s">
        <v>22</v>
      </c>
      <c r="H411" s="8">
        <v>45190</v>
      </c>
      <c r="I411" s="16" t="s">
        <v>1197</v>
      </c>
      <c r="J411" t="b">
        <v>0</v>
      </c>
      <c r="K411" s="15" t="s">
        <v>1198</v>
      </c>
      <c r="L411" s="15" t="str">
        <f>HYPERLINK("https://uk1.aconex.co.uk/hub/index.html?mainTarget=%2FSearchControlledDoc%3FSEARCH_ACTION%3D15%26tab%3D0%26searchMode%3D1%26searchQuery%3Ddocno:%22"&amp;RawData[[#This Row],[Document Number]]&amp;"%22%20%2Bcversion%253A1",RawData[[#This Row],[Document Number]])</f>
        <v>FS1018-CPM-ZZ-ZZ-D-A-2012</v>
      </c>
    </row>
    <row r="412" spans="1:12" ht="43.2" x14ac:dyDescent="0.3">
      <c r="A412" s="15" t="s">
        <v>1195</v>
      </c>
      <c r="B412" s="15" t="s">
        <v>1196</v>
      </c>
      <c r="C412" s="15" t="s">
        <v>583</v>
      </c>
      <c r="D412" s="15" t="s">
        <v>20</v>
      </c>
      <c r="E412" s="8">
        <v>45545</v>
      </c>
      <c r="F412" s="16" t="s">
        <v>78</v>
      </c>
      <c r="G412" s="16" t="s">
        <v>40</v>
      </c>
      <c r="H412" s="8">
        <v>45669</v>
      </c>
      <c r="I412" s="16" t="s">
        <v>71</v>
      </c>
      <c r="J412" t="b">
        <v>0</v>
      </c>
      <c r="K412" s="15" t="s">
        <v>1198</v>
      </c>
      <c r="L412" s="15" t="str">
        <f>HYPERLINK("https://uk1.aconex.co.uk/hub/index.html?mainTarget=%2FSearchControlledDoc%3FSEARCH_ACTION%3D15%26tab%3D0%26searchMode%3D1%26searchQuery%3Ddocno:%22"&amp;RawData[[#This Row],[Document Number]]&amp;"%22%20%2Bcversion%253A1",RawData[[#This Row],[Document Number]])</f>
        <v>FS1018-CPM-ZZ-ZZ-D-A-2012</v>
      </c>
    </row>
    <row r="413" spans="1:12" x14ac:dyDescent="0.3">
      <c r="A413" s="15" t="s">
        <v>1195</v>
      </c>
      <c r="B413" s="15" t="s">
        <v>1196</v>
      </c>
      <c r="C413" s="15" t="s">
        <v>1155</v>
      </c>
      <c r="D413" s="15" t="s">
        <v>21</v>
      </c>
      <c r="E413" s="8">
        <v>45729</v>
      </c>
      <c r="F413" s="16" t="s">
        <v>12</v>
      </c>
      <c r="G413" s="16" t="s">
        <v>4</v>
      </c>
      <c r="H413" s="8"/>
      <c r="I413" s="16"/>
      <c r="J413" t="b">
        <v>0</v>
      </c>
      <c r="K413" s="15" t="s">
        <v>1198</v>
      </c>
      <c r="L413" s="15" t="str">
        <f>HYPERLINK("https://uk1.aconex.co.uk/hub/index.html?mainTarget=%2FSearchControlledDoc%3FSEARCH_ACTION%3D15%26tab%3D0%26searchMode%3D1%26searchQuery%3Ddocno:%22"&amp;RawData[[#This Row],[Document Number]]&amp;"%22%20%2Bcversion%253A1",RawData[[#This Row],[Document Number]])</f>
        <v>FS1018-CPM-ZZ-ZZ-D-A-2012</v>
      </c>
    </row>
    <row r="414" spans="1:12" ht="43.2" x14ac:dyDescent="0.3">
      <c r="A414" s="15" t="s">
        <v>1199</v>
      </c>
      <c r="B414" s="15" t="s">
        <v>1200</v>
      </c>
      <c r="C414" s="15" t="s">
        <v>960</v>
      </c>
      <c r="D414" s="15" t="s">
        <v>20</v>
      </c>
      <c r="E414" s="8">
        <v>45545</v>
      </c>
      <c r="F414" s="16" t="s">
        <v>78</v>
      </c>
      <c r="G414" s="16" t="s">
        <v>40</v>
      </c>
      <c r="H414" s="8">
        <v>45669</v>
      </c>
      <c r="I414" s="16" t="s">
        <v>71</v>
      </c>
      <c r="J414" t="b">
        <v>0</v>
      </c>
      <c r="K414" s="15" t="s">
        <v>1201</v>
      </c>
      <c r="L414" s="15" t="str">
        <f>HYPERLINK("https://uk1.aconex.co.uk/hub/index.html?mainTarget=%2FSearchControlledDoc%3FSEARCH_ACTION%3D15%26tab%3D0%26searchMode%3D1%26searchQuery%3Ddocno:%22"&amp;RawData[[#This Row],[Document Number]]&amp;"%22%20%2Bcversion%253A1",RawData[[#This Row],[Document Number]])</f>
        <v>FS1018-CPM-ZZ-ZZ-D-A-2013</v>
      </c>
    </row>
    <row r="415" spans="1:12" ht="43.2" x14ac:dyDescent="0.3">
      <c r="A415" s="15" t="s">
        <v>1202</v>
      </c>
      <c r="B415" s="15" t="s">
        <v>1203</v>
      </c>
      <c r="C415" s="15" t="s">
        <v>960</v>
      </c>
      <c r="D415" s="15" t="s">
        <v>20</v>
      </c>
      <c r="E415" s="8">
        <v>45545</v>
      </c>
      <c r="F415" s="16" t="s">
        <v>78</v>
      </c>
      <c r="G415" s="16" t="s">
        <v>40</v>
      </c>
      <c r="H415" s="8">
        <v>45669</v>
      </c>
      <c r="I415" s="16" t="s">
        <v>71</v>
      </c>
      <c r="J415" t="b">
        <v>0</v>
      </c>
      <c r="K415" s="15" t="s">
        <v>1204</v>
      </c>
      <c r="L415" s="15" t="str">
        <f>HYPERLINK("https://uk1.aconex.co.uk/hub/index.html?mainTarget=%2FSearchControlledDoc%3FSEARCH_ACTION%3D15%26tab%3D0%26searchMode%3D1%26searchQuery%3Ddocno:%22"&amp;RawData[[#This Row],[Document Number]]&amp;"%22%20%2Bcversion%253A1",RawData[[#This Row],[Document Number]])</f>
        <v>FS1018-CPM-ZZ-ZZ-D-A-2014</v>
      </c>
    </row>
    <row r="416" spans="1:12" ht="43.2" x14ac:dyDescent="0.3">
      <c r="A416" s="15" t="s">
        <v>1205</v>
      </c>
      <c r="B416" s="15" t="s">
        <v>1206</v>
      </c>
      <c r="C416" s="15" t="s">
        <v>14</v>
      </c>
      <c r="D416" s="15" t="s">
        <v>20</v>
      </c>
      <c r="E416" s="8">
        <v>45175</v>
      </c>
      <c r="F416" s="16" t="s">
        <v>33</v>
      </c>
      <c r="G416" s="16" t="s">
        <v>40</v>
      </c>
      <c r="H416" s="8">
        <v>45190</v>
      </c>
      <c r="I416" s="16" t="s">
        <v>1207</v>
      </c>
      <c r="J416" t="b">
        <v>0</v>
      </c>
      <c r="K416" s="15" t="s">
        <v>1208</v>
      </c>
      <c r="L416" s="15" t="str">
        <f>HYPERLINK("https://uk1.aconex.co.uk/hub/index.html?mainTarget=%2FSearchControlledDoc%3FSEARCH_ACTION%3D15%26tab%3D0%26searchMode%3D1%26searchQuery%3Ddocno:%22"&amp;RawData[[#This Row],[Document Number]]&amp;"%22%20%2Bcversion%253A1",RawData[[#This Row],[Document Number]])</f>
        <v>FS1018-CPM-ZZ-ZZ-D-A-2025</v>
      </c>
    </row>
    <row r="417" spans="1:12" x14ac:dyDescent="0.3">
      <c r="A417" s="15" t="s">
        <v>1205</v>
      </c>
      <c r="B417" s="15" t="s">
        <v>1206</v>
      </c>
      <c r="C417" s="15" t="s">
        <v>10</v>
      </c>
      <c r="D417" s="15" t="s">
        <v>21</v>
      </c>
      <c r="E417" s="8">
        <v>45729</v>
      </c>
      <c r="F417" s="16" t="s">
        <v>12</v>
      </c>
      <c r="G417" s="16" t="s">
        <v>4</v>
      </c>
      <c r="H417" s="8"/>
      <c r="I417" s="16"/>
      <c r="J417" t="b">
        <v>1</v>
      </c>
      <c r="K417" s="15" t="s">
        <v>1208</v>
      </c>
      <c r="L417" s="15" t="str">
        <f>HYPERLINK("https://uk1.aconex.co.uk/hub/index.html?mainTarget=%2FSearchControlledDoc%3FSEARCH_ACTION%3D15%26tab%3D0%26searchMode%3D1%26searchQuery%3Ddocno:%22"&amp;RawData[[#This Row],[Document Number]]&amp;"%22%20%2Bcversion%253A1",RawData[[#This Row],[Document Number]])</f>
        <v>FS1018-CPM-ZZ-ZZ-D-A-2025</v>
      </c>
    </row>
    <row r="418" spans="1:12" ht="28.8" x14ac:dyDescent="0.3">
      <c r="A418" s="15" t="s">
        <v>1209</v>
      </c>
      <c r="B418" s="15" t="s">
        <v>1210</v>
      </c>
      <c r="C418" s="15" t="s">
        <v>14</v>
      </c>
      <c r="D418" s="15" t="s">
        <v>20</v>
      </c>
      <c r="E418" s="8">
        <v>45175</v>
      </c>
      <c r="F418" s="16" t="s">
        <v>33</v>
      </c>
      <c r="G418" s="16" t="s">
        <v>34</v>
      </c>
      <c r="H418" s="8">
        <v>45190</v>
      </c>
      <c r="I418" s="16"/>
      <c r="J418" t="b">
        <v>0</v>
      </c>
      <c r="K418" s="15" t="s">
        <v>1211</v>
      </c>
      <c r="L418" s="15" t="str">
        <f>HYPERLINK("https://uk1.aconex.co.uk/hub/index.html?mainTarget=%2FSearchControlledDoc%3FSEARCH_ACTION%3D15%26tab%3D0%26searchMode%3D1%26searchQuery%3Ddocno:%22"&amp;RawData[[#This Row],[Document Number]]&amp;"%22%20%2Bcversion%253A1",RawData[[#This Row],[Document Number]])</f>
        <v>FS1018-CPM-ZZ-ZZ-D-A-2031</v>
      </c>
    </row>
    <row r="419" spans="1:12" x14ac:dyDescent="0.3">
      <c r="A419" s="15" t="s">
        <v>1209</v>
      </c>
      <c r="B419" s="15" t="s">
        <v>1212</v>
      </c>
      <c r="C419" s="15" t="s">
        <v>11</v>
      </c>
      <c r="D419" s="15" t="s">
        <v>21</v>
      </c>
      <c r="E419" s="8">
        <v>45729</v>
      </c>
      <c r="F419" s="16" t="s">
        <v>12</v>
      </c>
      <c r="G419" s="16" t="s">
        <v>4</v>
      </c>
      <c r="H419" s="8"/>
      <c r="I419" s="16"/>
      <c r="J419" t="b">
        <v>0</v>
      </c>
      <c r="K419" s="15" t="s">
        <v>1213</v>
      </c>
      <c r="L419" s="15" t="str">
        <f>HYPERLINK("https://uk1.aconex.co.uk/hub/index.html?mainTarget=%2FSearchControlledDoc%3FSEARCH_ACTION%3D15%26tab%3D0%26searchMode%3D1%26searchQuery%3Ddocno:%22"&amp;RawData[[#This Row],[Document Number]]&amp;"%22%20%2Bcversion%253A1",RawData[[#This Row],[Document Number]])</f>
        <v>FS1018-CPM-ZZ-ZZ-D-A-2031</v>
      </c>
    </row>
    <row r="420" spans="1:12" ht="28.8" x14ac:dyDescent="0.3">
      <c r="A420" s="15" t="s">
        <v>1214</v>
      </c>
      <c r="B420" s="15" t="s">
        <v>1215</v>
      </c>
      <c r="C420" s="15" t="s">
        <v>14</v>
      </c>
      <c r="D420" s="15" t="s">
        <v>20</v>
      </c>
      <c r="E420" s="8">
        <v>45175</v>
      </c>
      <c r="F420" s="16" t="s">
        <v>33</v>
      </c>
      <c r="G420" s="16" t="s">
        <v>22</v>
      </c>
      <c r="H420" s="8">
        <v>45190</v>
      </c>
      <c r="I420" s="16" t="s">
        <v>1216</v>
      </c>
      <c r="J420" t="b">
        <v>0</v>
      </c>
      <c r="K420" s="15" t="s">
        <v>1217</v>
      </c>
      <c r="L420" s="15" t="str">
        <f>HYPERLINK("https://uk1.aconex.co.uk/hub/index.html?mainTarget=%2FSearchControlledDoc%3FSEARCH_ACTION%3D15%26tab%3D0%26searchMode%3D1%26searchQuery%3Ddocno:%22"&amp;RawData[[#This Row],[Document Number]]&amp;"%22%20%2Bcversion%253A1",RawData[[#This Row],[Document Number]])</f>
        <v>FS1018-CPM-ZZ-ZZ-D-A-2032</v>
      </c>
    </row>
    <row r="421" spans="1:12" ht="43.2" x14ac:dyDescent="0.3">
      <c r="A421" s="15" t="s">
        <v>1214</v>
      </c>
      <c r="B421" s="15" t="s">
        <v>1218</v>
      </c>
      <c r="C421" s="15" t="s">
        <v>10</v>
      </c>
      <c r="D421" s="15" t="s">
        <v>20</v>
      </c>
      <c r="E421" s="8">
        <v>45505</v>
      </c>
      <c r="F421" s="16" t="s">
        <v>33</v>
      </c>
      <c r="G421" s="16" t="s">
        <v>40</v>
      </c>
      <c r="H421" s="8">
        <v>45669</v>
      </c>
      <c r="I421" s="16" t="s">
        <v>71</v>
      </c>
      <c r="J421" t="b">
        <v>1</v>
      </c>
      <c r="K421" s="15" t="s">
        <v>1219</v>
      </c>
      <c r="L421" s="15" t="str">
        <f>HYPERLINK("https://uk1.aconex.co.uk/hub/index.html?mainTarget=%2FSearchControlledDoc%3FSEARCH_ACTION%3D15%26tab%3D0%26searchMode%3D1%26searchQuery%3Ddocno:%22"&amp;RawData[[#This Row],[Document Number]]&amp;"%22%20%2Bcversion%253A1",RawData[[#This Row],[Document Number]])</f>
        <v>FS1018-CPM-ZZ-ZZ-D-A-2032</v>
      </c>
    </row>
    <row r="422" spans="1:12" x14ac:dyDescent="0.3">
      <c r="A422" s="15" t="s">
        <v>1214</v>
      </c>
      <c r="B422" s="15" t="s">
        <v>1218</v>
      </c>
      <c r="C422" s="15" t="s">
        <v>11</v>
      </c>
      <c r="D422" s="15" t="s">
        <v>21</v>
      </c>
      <c r="E422" s="8">
        <v>45729</v>
      </c>
      <c r="F422" s="16" t="s">
        <v>12</v>
      </c>
      <c r="G422" s="16" t="s">
        <v>4</v>
      </c>
      <c r="H422" s="8"/>
      <c r="I422" s="16"/>
      <c r="J422" t="b">
        <v>0</v>
      </c>
      <c r="K422" s="15" t="s">
        <v>1219</v>
      </c>
      <c r="L422" s="15" t="str">
        <f>HYPERLINK("https://uk1.aconex.co.uk/hub/index.html?mainTarget=%2FSearchControlledDoc%3FSEARCH_ACTION%3D15%26tab%3D0%26searchMode%3D1%26searchQuery%3Ddocno:%22"&amp;RawData[[#This Row],[Document Number]]&amp;"%22%20%2Bcversion%253A1",RawData[[#This Row],[Document Number]])</f>
        <v>FS1018-CPM-ZZ-ZZ-D-A-2032</v>
      </c>
    </row>
    <row r="423" spans="1:12" x14ac:dyDescent="0.3">
      <c r="A423" s="15" t="s">
        <v>1220</v>
      </c>
      <c r="B423" s="15" t="s">
        <v>1221</v>
      </c>
      <c r="C423" s="15" t="s">
        <v>14</v>
      </c>
      <c r="D423" s="15" t="s">
        <v>21</v>
      </c>
      <c r="E423" s="8">
        <v>45729</v>
      </c>
      <c r="F423" s="16" t="s">
        <v>12</v>
      </c>
      <c r="G423" s="16" t="s">
        <v>4</v>
      </c>
      <c r="H423" s="8"/>
      <c r="I423" s="16"/>
      <c r="J423" t="b">
        <v>0</v>
      </c>
      <c r="K423" s="15" t="s">
        <v>1222</v>
      </c>
      <c r="L423" s="15" t="str">
        <f>HYPERLINK("https://uk1.aconex.co.uk/hub/index.html?mainTarget=%2FSearchControlledDoc%3FSEARCH_ACTION%3D15%26tab%3D0%26searchMode%3D1%26searchQuery%3Ddocno:%22"&amp;RawData[[#This Row],[Document Number]]&amp;"%22%20%2Bcversion%253A1",RawData[[#This Row],[Document Number]])</f>
        <v>FS1018-CPM-ZZ-ZZ-D-A-2040</v>
      </c>
    </row>
    <row r="424" spans="1:12" x14ac:dyDescent="0.3">
      <c r="A424" s="15" t="s">
        <v>1223</v>
      </c>
      <c r="B424" s="15" t="s">
        <v>1224</v>
      </c>
      <c r="C424" s="15" t="s">
        <v>583</v>
      </c>
      <c r="D424" s="15" t="s">
        <v>21</v>
      </c>
      <c r="E424" s="8">
        <v>45729</v>
      </c>
      <c r="F424" s="16" t="s">
        <v>12</v>
      </c>
      <c r="G424" s="16" t="s">
        <v>4</v>
      </c>
      <c r="H424" s="8"/>
      <c r="I424" s="16"/>
      <c r="J424" t="b">
        <v>0</v>
      </c>
      <c r="K424" s="15" t="s">
        <v>1225</v>
      </c>
      <c r="L424" s="15" t="str">
        <f>HYPERLINK("https://uk1.aconex.co.uk/hub/index.html?mainTarget=%2FSearchControlledDoc%3FSEARCH_ACTION%3D15%26tab%3D0%26searchMode%3D1%26searchQuery%3Ddocno:%22"&amp;RawData[[#This Row],[Document Number]]&amp;"%22%20%2Bcversion%253A1",RawData[[#This Row],[Document Number]])</f>
        <v>FS1018-CPM-ZZ-ZZ-D-A-2140</v>
      </c>
    </row>
    <row r="425" spans="1:12" ht="172.8" x14ac:dyDescent="0.3">
      <c r="A425" s="15" t="s">
        <v>1226</v>
      </c>
      <c r="B425" s="15" t="s">
        <v>1227</v>
      </c>
      <c r="C425" s="15" t="s">
        <v>14</v>
      </c>
      <c r="D425" s="15" t="s">
        <v>20</v>
      </c>
      <c r="E425" s="8">
        <v>45175</v>
      </c>
      <c r="F425" s="16" t="s">
        <v>33</v>
      </c>
      <c r="G425" s="16" t="s">
        <v>22</v>
      </c>
      <c r="H425" s="8">
        <v>45190</v>
      </c>
      <c r="I425" s="16" t="s">
        <v>1228</v>
      </c>
      <c r="J425" t="b">
        <v>0</v>
      </c>
      <c r="K425" s="15" t="s">
        <v>1229</v>
      </c>
      <c r="L425" s="15" t="str">
        <f>HYPERLINK("https://uk1.aconex.co.uk/hub/index.html?mainTarget=%2FSearchControlledDoc%3FSEARCH_ACTION%3D15%26tab%3D0%26searchMode%3D1%26searchQuery%3Ddocno:%22"&amp;RawData[[#This Row],[Document Number]]&amp;"%22%20%2Bcversion%253A1",RawData[[#This Row],[Document Number]])</f>
        <v>FS1018-CPM-ZZ-ZZ-D-A-2141</v>
      </c>
    </row>
    <row r="426" spans="1:12" ht="43.2" x14ac:dyDescent="0.3">
      <c r="A426" s="15" t="s">
        <v>1226</v>
      </c>
      <c r="B426" s="15" t="s">
        <v>1227</v>
      </c>
      <c r="C426" s="15" t="s">
        <v>10</v>
      </c>
      <c r="D426" s="15" t="s">
        <v>20</v>
      </c>
      <c r="E426" s="8">
        <v>45505</v>
      </c>
      <c r="F426" s="16" t="s">
        <v>33</v>
      </c>
      <c r="G426" s="16" t="s">
        <v>40</v>
      </c>
      <c r="H426" s="8">
        <v>45669</v>
      </c>
      <c r="I426" s="16" t="s">
        <v>71</v>
      </c>
      <c r="J426" t="b">
        <v>1</v>
      </c>
      <c r="K426" s="15" t="s">
        <v>1229</v>
      </c>
      <c r="L426" s="15" t="str">
        <f>HYPERLINK("https://uk1.aconex.co.uk/hub/index.html?mainTarget=%2FSearchControlledDoc%3FSEARCH_ACTION%3D15%26tab%3D0%26searchMode%3D1%26searchQuery%3Ddocno:%22"&amp;RawData[[#This Row],[Document Number]]&amp;"%22%20%2Bcversion%253A1",RawData[[#This Row],[Document Number]])</f>
        <v>FS1018-CPM-ZZ-ZZ-D-A-2141</v>
      </c>
    </row>
    <row r="427" spans="1:12" x14ac:dyDescent="0.3">
      <c r="A427" s="15" t="s">
        <v>1226</v>
      </c>
      <c r="B427" s="15" t="s">
        <v>1230</v>
      </c>
      <c r="C427" s="15" t="s">
        <v>10</v>
      </c>
      <c r="D427" s="15" t="s">
        <v>21</v>
      </c>
      <c r="E427" s="8">
        <v>45729</v>
      </c>
      <c r="F427" s="16" t="s">
        <v>12</v>
      </c>
      <c r="G427" s="16" t="s">
        <v>4</v>
      </c>
      <c r="H427" s="8"/>
      <c r="I427" s="16"/>
      <c r="J427" t="b">
        <v>1</v>
      </c>
      <c r="K427" s="15" t="s">
        <v>1231</v>
      </c>
      <c r="L427" s="15" t="str">
        <f>HYPERLINK("https://uk1.aconex.co.uk/hub/index.html?mainTarget=%2FSearchControlledDoc%3FSEARCH_ACTION%3D15%26tab%3D0%26searchMode%3D1%26searchQuery%3Ddocno:%22"&amp;RawData[[#This Row],[Document Number]]&amp;"%22%20%2Bcversion%253A1",RawData[[#This Row],[Document Number]])</f>
        <v>FS1018-CPM-ZZ-ZZ-D-A-2141</v>
      </c>
    </row>
    <row r="428" spans="1:12" x14ac:dyDescent="0.3">
      <c r="A428" s="15" t="s">
        <v>1232</v>
      </c>
      <c r="B428" s="15" t="s">
        <v>1233</v>
      </c>
      <c r="C428" s="15" t="s">
        <v>11</v>
      </c>
      <c r="D428" s="15" t="s">
        <v>21</v>
      </c>
      <c r="E428" s="8">
        <v>45729</v>
      </c>
      <c r="F428" s="16" t="s">
        <v>12</v>
      </c>
      <c r="G428" s="16" t="s">
        <v>4</v>
      </c>
      <c r="H428" s="8"/>
      <c r="I428" s="16"/>
      <c r="J428" t="b">
        <v>0</v>
      </c>
      <c r="K428" s="15" t="s">
        <v>1234</v>
      </c>
      <c r="L428" s="15" t="str">
        <f>HYPERLINK("https://uk1.aconex.co.uk/hub/index.html?mainTarget=%2FSearchControlledDoc%3FSEARCH_ACTION%3D15%26tab%3D0%26searchMode%3D1%26searchQuery%3Ddocno:%22"&amp;RawData[[#This Row],[Document Number]]&amp;"%22%20%2Bcversion%253A1",RawData[[#This Row],[Document Number]])</f>
        <v>FS1018-CPM-ZZ-ZZ-D-A-2143</v>
      </c>
    </row>
    <row r="429" spans="1:12" x14ac:dyDescent="0.3">
      <c r="A429" s="15" t="s">
        <v>1235</v>
      </c>
      <c r="B429" s="15" t="s">
        <v>1236</v>
      </c>
      <c r="C429" s="15" t="s">
        <v>10</v>
      </c>
      <c r="D429" s="15" t="s">
        <v>21</v>
      </c>
      <c r="E429" s="8">
        <v>45729</v>
      </c>
      <c r="F429" s="16" t="s">
        <v>12</v>
      </c>
      <c r="G429" s="16" t="s">
        <v>4</v>
      </c>
      <c r="H429" s="8"/>
      <c r="I429" s="16"/>
      <c r="J429" t="b">
        <v>1</v>
      </c>
      <c r="K429" s="15" t="s">
        <v>1237</v>
      </c>
      <c r="L429" s="15" t="str">
        <f>HYPERLINK("https://uk1.aconex.co.uk/hub/index.html?mainTarget=%2FSearchControlledDoc%3FSEARCH_ACTION%3D15%26tab%3D0%26searchMode%3D1%26searchQuery%3Ddocno:%22"&amp;RawData[[#This Row],[Document Number]]&amp;"%22%20%2Bcversion%253A1",RawData[[#This Row],[Document Number]])</f>
        <v>FS1018-CPM-ZZ-ZZ-D-A-2144</v>
      </c>
    </row>
    <row r="430" spans="1:12" x14ac:dyDescent="0.3">
      <c r="A430" s="15" t="s">
        <v>1238</v>
      </c>
      <c r="B430" s="15" t="s">
        <v>1239</v>
      </c>
      <c r="C430" s="15" t="s">
        <v>14</v>
      </c>
      <c r="D430" s="15" t="s">
        <v>21</v>
      </c>
      <c r="E430" s="8">
        <v>45729</v>
      </c>
      <c r="F430" s="16" t="s">
        <v>12</v>
      </c>
      <c r="G430" s="16" t="s">
        <v>4</v>
      </c>
      <c r="H430" s="8"/>
      <c r="I430" s="16"/>
      <c r="J430" t="b">
        <v>0</v>
      </c>
      <c r="K430" s="15" t="s">
        <v>1240</v>
      </c>
      <c r="L430" s="15" t="str">
        <f>HYPERLINK("https://uk1.aconex.co.uk/hub/index.html?mainTarget=%2FSearchControlledDoc%3FSEARCH_ACTION%3D15%26tab%3D0%26searchMode%3D1%26searchQuery%3Ddocno:%22"&amp;RawData[[#This Row],[Document Number]]&amp;"%22%20%2Bcversion%253A1",RawData[[#This Row],[Document Number]])</f>
        <v>FS1018-CPM-ZZ-ZZ-D-A-2401</v>
      </c>
    </row>
    <row r="431" spans="1:12" x14ac:dyDescent="0.3">
      <c r="A431" s="15" t="s">
        <v>1241</v>
      </c>
      <c r="B431" s="15" t="s">
        <v>1242</v>
      </c>
      <c r="C431" s="15" t="s">
        <v>14</v>
      </c>
      <c r="D431" s="15" t="s">
        <v>21</v>
      </c>
      <c r="E431" s="8">
        <v>45729</v>
      </c>
      <c r="F431" s="16" t="s">
        <v>12</v>
      </c>
      <c r="G431" s="16" t="s">
        <v>4</v>
      </c>
      <c r="H431" s="8"/>
      <c r="I431" s="16"/>
      <c r="J431" t="b">
        <v>0</v>
      </c>
      <c r="K431" s="15" t="s">
        <v>1243</v>
      </c>
      <c r="L431" s="15" t="str">
        <f>HYPERLINK("https://uk1.aconex.co.uk/hub/index.html?mainTarget=%2FSearchControlledDoc%3FSEARCH_ACTION%3D15%26tab%3D0%26searchMode%3D1%26searchQuery%3Ddocno:%22"&amp;RawData[[#This Row],[Document Number]]&amp;"%22%20%2Bcversion%253A1",RawData[[#This Row],[Document Number]])</f>
        <v>FS1018-CPM-ZZ-ZZ-D-A-2402</v>
      </c>
    </row>
    <row r="432" spans="1:12" x14ac:dyDescent="0.3">
      <c r="A432" s="15" t="s">
        <v>1244</v>
      </c>
      <c r="B432" s="15" t="s">
        <v>1245</v>
      </c>
      <c r="C432" s="15" t="s">
        <v>14</v>
      </c>
      <c r="D432" s="15" t="s">
        <v>21</v>
      </c>
      <c r="E432" s="8">
        <v>45729</v>
      </c>
      <c r="F432" s="16" t="s">
        <v>12</v>
      </c>
      <c r="G432" s="16" t="s">
        <v>4</v>
      </c>
      <c r="H432" s="8"/>
      <c r="I432" s="16"/>
      <c r="J432" t="b">
        <v>0</v>
      </c>
      <c r="K432" s="15" t="s">
        <v>1246</v>
      </c>
      <c r="L432" s="15" t="str">
        <f>HYPERLINK("https://uk1.aconex.co.uk/hub/index.html?mainTarget=%2FSearchControlledDoc%3FSEARCH_ACTION%3D15%26tab%3D0%26searchMode%3D1%26searchQuery%3Ddocno:%22"&amp;RawData[[#This Row],[Document Number]]&amp;"%22%20%2Bcversion%253A1",RawData[[#This Row],[Document Number]])</f>
        <v>FS1018-CPM-ZZ-ZZ-D-A-2403</v>
      </c>
    </row>
    <row r="433" spans="1:12" x14ac:dyDescent="0.3">
      <c r="A433" s="15" t="s">
        <v>1247</v>
      </c>
      <c r="B433" s="15" t="s">
        <v>1248</v>
      </c>
      <c r="C433" s="15" t="s">
        <v>14</v>
      </c>
      <c r="D433" s="15" t="s">
        <v>21</v>
      </c>
      <c r="E433" s="8">
        <v>45729</v>
      </c>
      <c r="F433" s="16" t="s">
        <v>12</v>
      </c>
      <c r="G433" s="16" t="s">
        <v>4</v>
      </c>
      <c r="H433" s="8"/>
      <c r="I433" s="16"/>
      <c r="J433" t="b">
        <v>0</v>
      </c>
      <c r="K433" s="15" t="s">
        <v>1249</v>
      </c>
      <c r="L433" s="15" t="str">
        <f>HYPERLINK("https://uk1.aconex.co.uk/hub/index.html?mainTarget=%2FSearchControlledDoc%3FSEARCH_ACTION%3D15%26tab%3D0%26searchMode%3D1%26searchQuery%3Ddocno:%22"&amp;RawData[[#This Row],[Document Number]]&amp;"%22%20%2Bcversion%253A1",RawData[[#This Row],[Document Number]])</f>
        <v>FS1018-CPM-ZZ-ZZ-D-A-2404</v>
      </c>
    </row>
    <row r="434" spans="1:12" x14ac:dyDescent="0.3">
      <c r="A434" s="15" t="s">
        <v>1250</v>
      </c>
      <c r="B434" s="15" t="s">
        <v>1251</v>
      </c>
      <c r="C434" s="15" t="s">
        <v>14</v>
      </c>
      <c r="D434" s="15" t="s">
        <v>21</v>
      </c>
      <c r="E434" s="8">
        <v>45729</v>
      </c>
      <c r="F434" s="16" t="s">
        <v>12</v>
      </c>
      <c r="G434" s="16" t="s">
        <v>4</v>
      </c>
      <c r="H434" s="8"/>
      <c r="I434" s="16"/>
      <c r="J434" t="b">
        <v>0</v>
      </c>
      <c r="K434" s="15" t="s">
        <v>1252</v>
      </c>
      <c r="L434" s="15" t="str">
        <f>HYPERLINK("https://uk1.aconex.co.uk/hub/index.html?mainTarget=%2FSearchControlledDoc%3FSEARCH_ACTION%3D15%26tab%3D0%26searchMode%3D1%26searchQuery%3Ddocno:%22"&amp;RawData[[#This Row],[Document Number]]&amp;"%22%20%2Bcversion%253A1",RawData[[#This Row],[Document Number]])</f>
        <v>FS1018-CPM-ZZ-ZZ-D-A-2405</v>
      </c>
    </row>
    <row r="435" spans="1:12" x14ac:dyDescent="0.3">
      <c r="A435" s="15" t="s">
        <v>1253</v>
      </c>
      <c r="B435" s="15" t="s">
        <v>1254</v>
      </c>
      <c r="C435" s="15" t="s">
        <v>14</v>
      </c>
      <c r="D435" s="15" t="s">
        <v>21</v>
      </c>
      <c r="E435" s="8">
        <v>45729</v>
      </c>
      <c r="F435" s="16" t="s">
        <v>12</v>
      </c>
      <c r="G435" s="16" t="s">
        <v>4</v>
      </c>
      <c r="H435" s="8"/>
      <c r="I435" s="16"/>
      <c r="J435" t="b">
        <v>0</v>
      </c>
      <c r="K435" s="15" t="s">
        <v>1255</v>
      </c>
      <c r="L435" s="15" t="str">
        <f>HYPERLINK("https://uk1.aconex.co.uk/hub/index.html?mainTarget=%2FSearchControlledDoc%3FSEARCH_ACTION%3D15%26tab%3D0%26searchMode%3D1%26searchQuery%3Ddocno:%22"&amp;RawData[[#This Row],[Document Number]]&amp;"%22%20%2Bcversion%253A1",RawData[[#This Row],[Document Number]])</f>
        <v>FS1018-CPM-ZZ-ZZ-D-A-3002</v>
      </c>
    </row>
    <row r="436" spans="1:12" x14ac:dyDescent="0.3">
      <c r="A436" s="15" t="s">
        <v>1256</v>
      </c>
      <c r="B436" s="15" t="s">
        <v>1257</v>
      </c>
      <c r="C436" s="15" t="s">
        <v>14</v>
      </c>
      <c r="D436" s="15" t="s">
        <v>21</v>
      </c>
      <c r="E436" s="8">
        <v>45729</v>
      </c>
      <c r="F436" s="16" t="s">
        <v>12</v>
      </c>
      <c r="G436" s="16" t="s">
        <v>4</v>
      </c>
      <c r="H436" s="8"/>
      <c r="I436" s="16"/>
      <c r="J436" t="b">
        <v>0</v>
      </c>
      <c r="K436" s="15" t="s">
        <v>1258</v>
      </c>
      <c r="L436" s="15" t="str">
        <f>HYPERLINK("https://uk1.aconex.co.uk/hub/index.html?mainTarget=%2FSearchControlledDoc%3FSEARCH_ACTION%3D15%26tab%3D0%26searchMode%3D1%26searchQuery%3Ddocno:%22"&amp;RawData[[#This Row],[Document Number]]&amp;"%22%20%2Bcversion%253A1",RawData[[#This Row],[Document Number]])</f>
        <v>FS1018-CPM-ZZ-ZZ-D-A-3010</v>
      </c>
    </row>
    <row r="437" spans="1:12" x14ac:dyDescent="0.3">
      <c r="A437" s="15" t="s">
        <v>1259</v>
      </c>
      <c r="B437" s="15" t="s">
        <v>1260</v>
      </c>
      <c r="C437" s="15" t="s">
        <v>14</v>
      </c>
      <c r="D437" s="15" t="s">
        <v>21</v>
      </c>
      <c r="E437" s="8">
        <v>45729</v>
      </c>
      <c r="F437" s="16" t="s">
        <v>12</v>
      </c>
      <c r="G437" s="16" t="s">
        <v>4</v>
      </c>
      <c r="H437" s="8"/>
      <c r="I437" s="16"/>
      <c r="J437" t="b">
        <v>0</v>
      </c>
      <c r="K437" s="15" t="s">
        <v>1261</v>
      </c>
      <c r="L437" s="15" t="str">
        <f>HYPERLINK("https://uk1.aconex.co.uk/hub/index.html?mainTarget=%2FSearchControlledDoc%3FSEARCH_ACTION%3D15%26tab%3D0%26searchMode%3D1%26searchQuery%3Ddocno:%22"&amp;RawData[[#This Row],[Document Number]]&amp;"%22%20%2Bcversion%253A1",RawData[[#This Row],[Document Number]])</f>
        <v>FS1018-CPM-ZZ-ZZ-D-A-3011</v>
      </c>
    </row>
    <row r="438" spans="1:12" x14ac:dyDescent="0.3">
      <c r="A438" s="15" t="s">
        <v>1262</v>
      </c>
      <c r="B438" s="15" t="s">
        <v>1263</v>
      </c>
      <c r="C438" s="15" t="s">
        <v>14</v>
      </c>
      <c r="D438" s="15" t="s">
        <v>21</v>
      </c>
      <c r="E438" s="8">
        <v>45729</v>
      </c>
      <c r="F438" s="16" t="s">
        <v>12</v>
      </c>
      <c r="G438" s="16" t="s">
        <v>4</v>
      </c>
      <c r="H438" s="8"/>
      <c r="I438" s="16"/>
      <c r="J438" t="b">
        <v>0</v>
      </c>
      <c r="K438" s="15" t="s">
        <v>1264</v>
      </c>
      <c r="L438" s="15" t="str">
        <f>HYPERLINK("https://uk1.aconex.co.uk/hub/index.html?mainTarget=%2FSearchControlledDoc%3FSEARCH_ACTION%3D15%26tab%3D0%26searchMode%3D1%26searchQuery%3Ddocno:%22"&amp;RawData[[#This Row],[Document Number]]&amp;"%22%20%2Bcversion%253A1",RawData[[#This Row],[Document Number]])</f>
        <v>FS1018-CPM-ZZ-ZZ-D-A-3020</v>
      </c>
    </row>
    <row r="439" spans="1:12" x14ac:dyDescent="0.3">
      <c r="A439" s="15" t="s">
        <v>1265</v>
      </c>
      <c r="B439" s="15" t="s">
        <v>1266</v>
      </c>
      <c r="C439" s="15" t="s">
        <v>14</v>
      </c>
      <c r="D439" s="15" t="s">
        <v>21</v>
      </c>
      <c r="E439" s="8">
        <v>45729</v>
      </c>
      <c r="F439" s="16" t="s">
        <v>12</v>
      </c>
      <c r="G439" s="16" t="s">
        <v>4</v>
      </c>
      <c r="H439" s="8"/>
      <c r="I439" s="16"/>
      <c r="J439" t="b">
        <v>0</v>
      </c>
      <c r="K439" s="15" t="s">
        <v>1267</v>
      </c>
      <c r="L439" s="15" t="str">
        <f>HYPERLINK("https://uk1.aconex.co.uk/hub/index.html?mainTarget=%2FSearchControlledDoc%3FSEARCH_ACTION%3D15%26tab%3D0%26searchMode%3D1%26searchQuery%3Ddocno:%22"&amp;RawData[[#This Row],[Document Number]]&amp;"%22%20%2Bcversion%253A1",RawData[[#This Row],[Document Number]])</f>
        <v>FS1018-CPM-ZZ-ZZ-D-A-3021</v>
      </c>
    </row>
    <row r="440" spans="1:12" x14ac:dyDescent="0.3">
      <c r="A440" s="15" t="s">
        <v>1268</v>
      </c>
      <c r="B440" s="15" t="s">
        <v>1269</v>
      </c>
      <c r="C440" s="15" t="s">
        <v>14</v>
      </c>
      <c r="D440" s="15" t="s">
        <v>21</v>
      </c>
      <c r="E440" s="8">
        <v>45729</v>
      </c>
      <c r="F440" s="16" t="s">
        <v>12</v>
      </c>
      <c r="G440" s="16" t="s">
        <v>4</v>
      </c>
      <c r="H440" s="8"/>
      <c r="I440" s="16"/>
      <c r="J440" t="b">
        <v>0</v>
      </c>
      <c r="K440" s="15" t="s">
        <v>1270</v>
      </c>
      <c r="L440" s="15" t="str">
        <f>HYPERLINK("https://uk1.aconex.co.uk/hub/index.html?mainTarget=%2FSearchControlledDoc%3FSEARCH_ACTION%3D15%26tab%3D0%26searchMode%3D1%26searchQuery%3Ddocno:%22"&amp;RawData[[#This Row],[Document Number]]&amp;"%22%20%2Bcversion%253A1",RawData[[#This Row],[Document Number]])</f>
        <v>FS1018-CPM-ZZ-ZZ-D-A-3055</v>
      </c>
    </row>
    <row r="441" spans="1:12" x14ac:dyDescent="0.3">
      <c r="A441" s="15" t="s">
        <v>1271</v>
      </c>
      <c r="B441" s="15" t="s">
        <v>1272</v>
      </c>
      <c r="C441" s="15" t="s">
        <v>14</v>
      </c>
      <c r="D441" s="15" t="s">
        <v>21</v>
      </c>
      <c r="E441" s="8">
        <v>45729</v>
      </c>
      <c r="F441" s="16" t="s">
        <v>12</v>
      </c>
      <c r="G441" s="16" t="s">
        <v>4</v>
      </c>
      <c r="H441" s="8"/>
      <c r="I441" s="16"/>
      <c r="J441" t="b">
        <v>0</v>
      </c>
      <c r="K441" s="15" t="s">
        <v>1273</v>
      </c>
      <c r="L441" s="15" t="str">
        <f>HYPERLINK("https://uk1.aconex.co.uk/hub/index.html?mainTarget=%2FSearchControlledDoc%3FSEARCH_ACTION%3D15%26tab%3D0%26searchMode%3D1%26searchQuery%3Ddocno:%22"&amp;RawData[[#This Row],[Document Number]]&amp;"%22%20%2Bcversion%253A1",RawData[[#This Row],[Document Number]])</f>
        <v>FS1018-CPM-ZZ-ZZ-D-A-3062</v>
      </c>
    </row>
    <row r="442" spans="1:12" ht="244.8" x14ac:dyDescent="0.3">
      <c r="A442" s="15" t="s">
        <v>1274</v>
      </c>
      <c r="B442" s="15" t="s">
        <v>1275</v>
      </c>
      <c r="C442" s="15" t="s">
        <v>14</v>
      </c>
      <c r="D442" s="15" t="s">
        <v>20</v>
      </c>
      <c r="E442" s="8">
        <v>45175</v>
      </c>
      <c r="F442" s="16" t="s">
        <v>33</v>
      </c>
      <c r="G442" s="16" t="s">
        <v>22</v>
      </c>
      <c r="H442" s="8">
        <v>45190</v>
      </c>
      <c r="I442" s="16" t="s">
        <v>1276</v>
      </c>
      <c r="J442" t="b">
        <v>0</v>
      </c>
      <c r="K442" s="15" t="s">
        <v>1277</v>
      </c>
      <c r="L442" s="15" t="str">
        <f>HYPERLINK("https://uk1.aconex.co.uk/hub/index.html?mainTarget=%2FSearchControlledDoc%3FSEARCH_ACTION%3D15%26tab%3D0%26searchMode%3D1%26searchQuery%3Ddocno:%22"&amp;RawData[[#This Row],[Document Number]]&amp;"%22%20%2Bcversion%253A1",RawData[[#This Row],[Document Number]])</f>
        <v>FS1018-CPM-ZZ-ZZ-D-A-4001</v>
      </c>
    </row>
    <row r="443" spans="1:12" ht="43.2" x14ac:dyDescent="0.3">
      <c r="A443" s="15" t="s">
        <v>1274</v>
      </c>
      <c r="B443" s="15" t="s">
        <v>1275</v>
      </c>
      <c r="C443" s="15" t="s">
        <v>11</v>
      </c>
      <c r="D443" s="15" t="s">
        <v>20</v>
      </c>
      <c r="E443" s="8">
        <v>45505</v>
      </c>
      <c r="F443" s="16" t="s">
        <v>33</v>
      </c>
      <c r="G443" s="16" t="s">
        <v>40</v>
      </c>
      <c r="H443" s="8">
        <v>45669</v>
      </c>
      <c r="I443" s="16" t="s">
        <v>71</v>
      </c>
      <c r="J443" t="b">
        <v>0</v>
      </c>
      <c r="K443" s="15" t="s">
        <v>1277</v>
      </c>
      <c r="L443" s="15" t="str">
        <f>HYPERLINK("https://uk1.aconex.co.uk/hub/index.html?mainTarget=%2FSearchControlledDoc%3FSEARCH_ACTION%3D15%26tab%3D0%26searchMode%3D1%26searchQuery%3Ddocno:%22"&amp;RawData[[#This Row],[Document Number]]&amp;"%22%20%2Bcversion%253A1",RawData[[#This Row],[Document Number]])</f>
        <v>FS1018-CPM-ZZ-ZZ-D-A-4001</v>
      </c>
    </row>
    <row r="444" spans="1:12" x14ac:dyDescent="0.3">
      <c r="A444" s="15" t="s">
        <v>1274</v>
      </c>
      <c r="B444" s="15" t="s">
        <v>1275</v>
      </c>
      <c r="C444" s="15" t="s">
        <v>583</v>
      </c>
      <c r="D444" s="15" t="s">
        <v>21</v>
      </c>
      <c r="E444" s="8">
        <v>45729</v>
      </c>
      <c r="F444" s="16" t="s">
        <v>12</v>
      </c>
      <c r="G444" s="16" t="s">
        <v>4</v>
      </c>
      <c r="H444" s="8"/>
      <c r="I444" s="16"/>
      <c r="J444" t="b">
        <v>0</v>
      </c>
      <c r="K444" s="15" t="s">
        <v>1277</v>
      </c>
      <c r="L444" s="15" t="str">
        <f>HYPERLINK("https://uk1.aconex.co.uk/hub/index.html?mainTarget=%2FSearchControlledDoc%3FSEARCH_ACTION%3D15%26tab%3D0%26searchMode%3D1%26searchQuery%3Ddocno:%22"&amp;RawData[[#This Row],[Document Number]]&amp;"%22%20%2Bcversion%253A1",RawData[[#This Row],[Document Number]])</f>
        <v>FS1018-CPM-ZZ-ZZ-D-A-4001</v>
      </c>
    </row>
    <row r="445" spans="1:12" ht="158.4" x14ac:dyDescent="0.3">
      <c r="A445" s="15" t="s">
        <v>1278</v>
      </c>
      <c r="B445" s="15" t="s">
        <v>1279</v>
      </c>
      <c r="C445" s="15" t="s">
        <v>14</v>
      </c>
      <c r="D445" s="15" t="s">
        <v>20</v>
      </c>
      <c r="E445" s="8">
        <v>45175</v>
      </c>
      <c r="F445" s="16" t="s">
        <v>33</v>
      </c>
      <c r="G445" s="16" t="s">
        <v>22</v>
      </c>
      <c r="H445" s="8">
        <v>45190</v>
      </c>
      <c r="I445" s="16" t="s">
        <v>1280</v>
      </c>
      <c r="J445" t="b">
        <v>0</v>
      </c>
      <c r="K445" s="15" t="s">
        <v>1281</v>
      </c>
      <c r="L445" s="15" t="str">
        <f>HYPERLINK("https://uk1.aconex.co.uk/hub/index.html?mainTarget=%2FSearchControlledDoc%3FSEARCH_ACTION%3D15%26tab%3D0%26searchMode%3D1%26searchQuery%3Ddocno:%22"&amp;RawData[[#This Row],[Document Number]]&amp;"%22%20%2Bcversion%253A1",RawData[[#This Row],[Document Number]])</f>
        <v>FS1018-CPM-ZZ-ZZ-D-A-4004</v>
      </c>
    </row>
    <row r="446" spans="1:12" ht="43.2" x14ac:dyDescent="0.3">
      <c r="A446" s="15" t="s">
        <v>1278</v>
      </c>
      <c r="B446" s="15" t="s">
        <v>1279</v>
      </c>
      <c r="C446" s="15" t="s">
        <v>11</v>
      </c>
      <c r="D446" s="15" t="s">
        <v>20</v>
      </c>
      <c r="E446" s="8">
        <v>45505</v>
      </c>
      <c r="F446" s="16" t="s">
        <v>33</v>
      </c>
      <c r="G446" s="16" t="s">
        <v>40</v>
      </c>
      <c r="H446" s="8">
        <v>45669</v>
      </c>
      <c r="I446" s="16" t="s">
        <v>71</v>
      </c>
      <c r="J446" t="b">
        <v>0</v>
      </c>
      <c r="K446" s="15" t="s">
        <v>1281</v>
      </c>
      <c r="L446" s="15" t="str">
        <f>HYPERLINK("https://uk1.aconex.co.uk/hub/index.html?mainTarget=%2FSearchControlledDoc%3FSEARCH_ACTION%3D15%26tab%3D0%26searchMode%3D1%26searchQuery%3Ddocno:%22"&amp;RawData[[#This Row],[Document Number]]&amp;"%22%20%2Bcversion%253A1",RawData[[#This Row],[Document Number]])</f>
        <v>FS1018-CPM-ZZ-ZZ-D-A-4004</v>
      </c>
    </row>
    <row r="447" spans="1:12" x14ac:dyDescent="0.3">
      <c r="A447" s="15" t="s">
        <v>1278</v>
      </c>
      <c r="B447" s="15" t="s">
        <v>1279</v>
      </c>
      <c r="C447" s="15" t="s">
        <v>583</v>
      </c>
      <c r="D447" s="15" t="s">
        <v>21</v>
      </c>
      <c r="E447" s="8">
        <v>45729</v>
      </c>
      <c r="F447" s="16" t="s">
        <v>12</v>
      </c>
      <c r="G447" s="16" t="s">
        <v>4</v>
      </c>
      <c r="H447" s="8"/>
      <c r="I447" s="16"/>
      <c r="J447" t="b">
        <v>0</v>
      </c>
      <c r="K447" s="15" t="s">
        <v>1281</v>
      </c>
      <c r="L447" s="15" t="str">
        <f>HYPERLINK("https://uk1.aconex.co.uk/hub/index.html?mainTarget=%2FSearchControlledDoc%3FSEARCH_ACTION%3D15%26tab%3D0%26searchMode%3D1%26searchQuery%3Ddocno:%22"&amp;RawData[[#This Row],[Document Number]]&amp;"%22%20%2Bcversion%253A1",RawData[[#This Row],[Document Number]])</f>
        <v>FS1018-CPM-ZZ-ZZ-D-A-4004</v>
      </c>
    </row>
    <row r="448" spans="1:12" ht="273.60000000000002" x14ac:dyDescent="0.3">
      <c r="A448" s="15" t="s">
        <v>1282</v>
      </c>
      <c r="B448" s="15" t="s">
        <v>1283</v>
      </c>
      <c r="C448" s="15" t="s">
        <v>14</v>
      </c>
      <c r="D448" s="15" t="s">
        <v>20</v>
      </c>
      <c r="E448" s="8">
        <v>45175</v>
      </c>
      <c r="F448" s="16" t="s">
        <v>33</v>
      </c>
      <c r="G448" s="16" t="s">
        <v>22</v>
      </c>
      <c r="H448" s="8">
        <v>45190</v>
      </c>
      <c r="I448" s="16" t="s">
        <v>1284</v>
      </c>
      <c r="J448" t="b">
        <v>0</v>
      </c>
      <c r="K448" s="15" t="s">
        <v>1285</v>
      </c>
      <c r="L448" s="15" t="str">
        <f>HYPERLINK("https://uk1.aconex.co.uk/hub/index.html?mainTarget=%2FSearchControlledDoc%3FSEARCH_ACTION%3D15%26tab%3D0%26searchMode%3D1%26searchQuery%3Ddocno:%22"&amp;RawData[[#This Row],[Document Number]]&amp;"%22%20%2Bcversion%253A1",RawData[[#This Row],[Document Number]])</f>
        <v>FS1018-CPM-ZZ-ZZ-D-A-4007</v>
      </c>
    </row>
    <row r="449" spans="1:12" ht="43.2" x14ac:dyDescent="0.3">
      <c r="A449" s="15" t="s">
        <v>1282</v>
      </c>
      <c r="B449" s="15" t="s">
        <v>1283</v>
      </c>
      <c r="C449" s="15" t="s">
        <v>11</v>
      </c>
      <c r="D449" s="15" t="s">
        <v>20</v>
      </c>
      <c r="E449" s="8">
        <v>45505</v>
      </c>
      <c r="F449" s="16" t="s">
        <v>33</v>
      </c>
      <c r="G449" s="16" t="s">
        <v>40</v>
      </c>
      <c r="H449" s="8">
        <v>45669</v>
      </c>
      <c r="I449" s="16" t="s">
        <v>71</v>
      </c>
      <c r="J449" t="b">
        <v>0</v>
      </c>
      <c r="K449" s="15" t="s">
        <v>1285</v>
      </c>
      <c r="L449" s="15" t="str">
        <f>HYPERLINK("https://uk1.aconex.co.uk/hub/index.html?mainTarget=%2FSearchControlledDoc%3FSEARCH_ACTION%3D15%26tab%3D0%26searchMode%3D1%26searchQuery%3Ddocno:%22"&amp;RawData[[#This Row],[Document Number]]&amp;"%22%20%2Bcversion%253A1",RawData[[#This Row],[Document Number]])</f>
        <v>FS1018-CPM-ZZ-ZZ-D-A-4007</v>
      </c>
    </row>
    <row r="450" spans="1:12" x14ac:dyDescent="0.3">
      <c r="A450" s="15" t="s">
        <v>1286</v>
      </c>
      <c r="B450" s="15" t="s">
        <v>1287</v>
      </c>
      <c r="C450" s="15" t="s">
        <v>14</v>
      </c>
      <c r="D450" s="15" t="s">
        <v>21</v>
      </c>
      <c r="E450" s="8">
        <v>45729</v>
      </c>
      <c r="F450" s="16" t="s">
        <v>12</v>
      </c>
      <c r="G450" s="16" t="s">
        <v>4</v>
      </c>
      <c r="H450" s="8"/>
      <c r="I450" s="16"/>
      <c r="J450" t="b">
        <v>0</v>
      </c>
      <c r="K450" s="15" t="s">
        <v>1288</v>
      </c>
      <c r="L450" s="15" t="str">
        <f>HYPERLINK("https://uk1.aconex.co.uk/hub/index.html?mainTarget=%2FSearchControlledDoc%3FSEARCH_ACTION%3D15%26tab%3D0%26searchMode%3D1%26searchQuery%3Ddocno:%22"&amp;RawData[[#This Row],[Document Number]]&amp;"%22%20%2Bcversion%253A1",RawData[[#This Row],[Document Number]])</f>
        <v>FS1018-CPM-ZZ-ZZ-D-A-6601</v>
      </c>
    </row>
    <row r="451" spans="1:12" x14ac:dyDescent="0.3">
      <c r="A451" s="15" t="s">
        <v>1289</v>
      </c>
      <c r="B451" s="15" t="s">
        <v>1290</v>
      </c>
      <c r="C451" s="15" t="s">
        <v>10</v>
      </c>
      <c r="D451" s="15" t="s">
        <v>21</v>
      </c>
      <c r="E451" s="8">
        <v>45729</v>
      </c>
      <c r="F451" s="16" t="s">
        <v>12</v>
      </c>
      <c r="G451" s="16" t="s">
        <v>4</v>
      </c>
      <c r="H451" s="8"/>
      <c r="I451" s="16"/>
      <c r="J451" t="b">
        <v>1</v>
      </c>
      <c r="K451" s="15" t="s">
        <v>1291</v>
      </c>
      <c r="L451" s="15" t="str">
        <f>HYPERLINK("https://uk1.aconex.co.uk/hub/index.html?mainTarget=%2FSearchControlledDoc%3FSEARCH_ACTION%3D15%26tab%3D0%26searchMode%3D1%26searchQuery%3Ddocno:%22"&amp;RawData[[#This Row],[Document Number]]&amp;"%22%20%2Bcversion%253A1",RawData[[#This Row],[Document Number]])</f>
        <v>FS1018-CPM-ZZ-ZZ-D-A-6801</v>
      </c>
    </row>
    <row r="452" spans="1:12" x14ac:dyDescent="0.3">
      <c r="A452" s="15" t="s">
        <v>1292</v>
      </c>
      <c r="B452" s="15" t="s">
        <v>1293</v>
      </c>
      <c r="C452" s="15" t="s">
        <v>14</v>
      </c>
      <c r="D452" s="15" t="s">
        <v>21</v>
      </c>
      <c r="E452" s="8">
        <v>45729</v>
      </c>
      <c r="F452" s="16" t="s">
        <v>12</v>
      </c>
      <c r="G452" s="16" t="s">
        <v>4</v>
      </c>
      <c r="H452" s="8"/>
      <c r="I452" s="16"/>
      <c r="J452" t="b">
        <v>0</v>
      </c>
      <c r="K452" s="15" t="s">
        <v>1294</v>
      </c>
      <c r="L452" s="15" t="str">
        <f>HYPERLINK("https://uk1.aconex.co.uk/hub/index.html?mainTarget=%2FSearchControlledDoc%3FSEARCH_ACTION%3D15%26tab%3D0%26searchMode%3D1%26searchQuery%3Ddocno:%22"&amp;RawData[[#This Row],[Document Number]]&amp;"%22%20%2Bcversion%253A1",RawData[[#This Row],[Document Number]])</f>
        <v>FS1018-CPM-ZZ-ZZ-D-A-6802</v>
      </c>
    </row>
    <row r="453" spans="1:12" x14ac:dyDescent="0.3">
      <c r="A453" s="15" t="s">
        <v>1295</v>
      </c>
      <c r="B453" s="15" t="s">
        <v>1296</v>
      </c>
      <c r="C453" s="15" t="s">
        <v>10</v>
      </c>
      <c r="D453" s="15" t="s">
        <v>21</v>
      </c>
      <c r="E453" s="8">
        <v>45729</v>
      </c>
      <c r="F453" s="16" t="s">
        <v>12</v>
      </c>
      <c r="G453" s="16" t="s">
        <v>4</v>
      </c>
      <c r="H453" s="8"/>
      <c r="I453" s="16"/>
      <c r="J453" t="b">
        <v>1</v>
      </c>
      <c r="K453" s="15" t="s">
        <v>1297</v>
      </c>
      <c r="L453" s="15" t="str">
        <f>HYPERLINK("https://uk1.aconex.co.uk/hub/index.html?mainTarget=%2FSearchControlledDoc%3FSEARCH_ACTION%3D15%26tab%3D0%26searchMode%3D1%26searchQuery%3Ddocno:%22"&amp;RawData[[#This Row],[Document Number]]&amp;"%22%20%2Bcversion%253A1",RawData[[#This Row],[Document Number]])</f>
        <v>FS1018-CPM-ZZ-ZZ-D-A-6803</v>
      </c>
    </row>
    <row r="454" spans="1:12" x14ac:dyDescent="0.3">
      <c r="A454" s="15" t="s">
        <v>1298</v>
      </c>
      <c r="B454" s="15" t="s">
        <v>1299</v>
      </c>
      <c r="C454" s="15" t="s">
        <v>14</v>
      </c>
      <c r="D454" s="15" t="s">
        <v>21</v>
      </c>
      <c r="E454" s="8">
        <v>45729</v>
      </c>
      <c r="F454" s="16" t="s">
        <v>12</v>
      </c>
      <c r="G454" s="16" t="s">
        <v>4</v>
      </c>
      <c r="H454" s="8"/>
      <c r="I454" s="16"/>
      <c r="J454" t="b">
        <v>0</v>
      </c>
      <c r="K454" s="15" t="s">
        <v>1300</v>
      </c>
      <c r="L454" s="15" t="str">
        <f>HYPERLINK("https://uk1.aconex.co.uk/hub/index.html?mainTarget=%2FSearchControlledDoc%3FSEARCH_ACTION%3D15%26tab%3D0%26searchMode%3D1%26searchQuery%3Ddocno:%22"&amp;RawData[[#This Row],[Document Number]]&amp;"%22%20%2Bcversion%253A1",RawData[[#This Row],[Document Number]])</f>
        <v>FS1018-CPM-ZZ-ZZ-D-A-6804</v>
      </c>
    </row>
    <row r="455" spans="1:12" x14ac:dyDescent="0.3">
      <c r="A455" s="15" t="s">
        <v>1301</v>
      </c>
      <c r="B455" s="15" t="s">
        <v>1302</v>
      </c>
      <c r="C455" s="15" t="s">
        <v>14</v>
      </c>
      <c r="D455" s="15" t="s">
        <v>21</v>
      </c>
      <c r="E455" s="8">
        <v>45729</v>
      </c>
      <c r="F455" s="16" t="s">
        <v>12</v>
      </c>
      <c r="G455" s="16" t="s">
        <v>4</v>
      </c>
      <c r="H455" s="8"/>
      <c r="I455" s="16"/>
      <c r="J455" t="b">
        <v>0</v>
      </c>
      <c r="K455" s="15" t="s">
        <v>1303</v>
      </c>
      <c r="L455" s="15" t="str">
        <f>HYPERLINK("https://uk1.aconex.co.uk/hub/index.html?mainTarget=%2FSearchControlledDoc%3FSEARCH_ACTION%3D15%26tab%3D0%26searchMode%3D1%26searchQuery%3Ddocno:%22"&amp;RawData[[#This Row],[Document Number]]&amp;"%22%20%2Bcversion%253A1",RawData[[#This Row],[Document Number]])</f>
        <v>FS1018-CPM-ZZ-ZZ-D-A-6805</v>
      </c>
    </row>
    <row r="456" spans="1:12" x14ac:dyDescent="0.3">
      <c r="A456" s="15" t="s">
        <v>1304</v>
      </c>
      <c r="B456" s="15" t="s">
        <v>1305</v>
      </c>
      <c r="C456" s="15" t="s">
        <v>14</v>
      </c>
      <c r="D456" s="15" t="s">
        <v>21</v>
      </c>
      <c r="E456" s="8">
        <v>45729</v>
      </c>
      <c r="F456" s="16" t="s">
        <v>12</v>
      </c>
      <c r="G456" s="16" t="s">
        <v>4</v>
      </c>
      <c r="H456" s="8"/>
      <c r="I456" s="16"/>
      <c r="J456" t="b">
        <v>0</v>
      </c>
      <c r="K456" s="15" t="s">
        <v>1306</v>
      </c>
      <c r="L456" s="15" t="str">
        <f>HYPERLINK("https://uk1.aconex.co.uk/hub/index.html?mainTarget=%2FSearchControlledDoc%3FSEARCH_ACTION%3D15%26tab%3D0%26searchMode%3D1%26searchQuery%3Ddocno:%22"&amp;RawData[[#This Row],[Document Number]]&amp;"%22%20%2Bcversion%253A1",RawData[[#This Row],[Document Number]])</f>
        <v>FS1018-CPM-ZZ-ZZ-D-A-6806</v>
      </c>
    </row>
    <row r="457" spans="1:12" x14ac:dyDescent="0.3">
      <c r="A457" s="15" t="s">
        <v>1307</v>
      </c>
      <c r="B457" s="15" t="s">
        <v>1308</v>
      </c>
      <c r="C457" s="15" t="s">
        <v>14</v>
      </c>
      <c r="D457" s="15" t="s">
        <v>21</v>
      </c>
      <c r="E457" s="8">
        <v>45729</v>
      </c>
      <c r="F457" s="16" t="s">
        <v>12</v>
      </c>
      <c r="G457" s="16" t="s">
        <v>4</v>
      </c>
      <c r="H457" s="8"/>
      <c r="I457" s="16"/>
      <c r="J457" t="b">
        <v>0</v>
      </c>
      <c r="K457" s="15" t="s">
        <v>1309</v>
      </c>
      <c r="L457" s="15" t="str">
        <f>HYPERLINK("https://uk1.aconex.co.uk/hub/index.html?mainTarget=%2FSearchControlledDoc%3FSEARCH_ACTION%3D15%26tab%3D0%26searchMode%3D1%26searchQuery%3Ddocno:%22"&amp;RawData[[#This Row],[Document Number]]&amp;"%22%20%2Bcversion%253A1",RawData[[#This Row],[Document Number]])</f>
        <v>FS1018-CPM-ZZ-ZZ-D-A-6813</v>
      </c>
    </row>
    <row r="458" spans="1:12" ht="57.6" x14ac:dyDescent="0.3">
      <c r="A458" s="15" t="s">
        <v>1310</v>
      </c>
      <c r="B458" s="15" t="s">
        <v>1311</v>
      </c>
      <c r="C458" s="15" t="s">
        <v>10</v>
      </c>
      <c r="D458" s="15" t="s">
        <v>20</v>
      </c>
      <c r="E458" s="8">
        <v>45175</v>
      </c>
      <c r="F458" s="16" t="s">
        <v>939</v>
      </c>
      <c r="G458" s="16" t="s">
        <v>22</v>
      </c>
      <c r="H458" s="8">
        <v>45194</v>
      </c>
      <c r="I458" s="16" t="s">
        <v>1312</v>
      </c>
      <c r="J458" t="b">
        <v>1</v>
      </c>
      <c r="K458" s="15" t="s">
        <v>1313</v>
      </c>
      <c r="L458" s="15" t="str">
        <f>HYPERLINK("https://uk1.aconex.co.uk/hub/index.html?mainTarget=%2FSearchControlledDoc%3FSEARCH_ACTION%3D15%26tab%3D0%26searchMode%3D1%26searchQuery%3Ddocno:%22"&amp;RawData[[#This Row],[Document Number]]&amp;"%22%20%2Bcversion%253A1",RawData[[#This Row],[Document Number]])</f>
        <v>FS1018-CPM-ZZ-ZZ-L-A-0001</v>
      </c>
    </row>
    <row r="459" spans="1:12" x14ac:dyDescent="0.3">
      <c r="A459" s="15" t="s">
        <v>1310</v>
      </c>
      <c r="B459" s="15" t="s">
        <v>1311</v>
      </c>
      <c r="C459" s="15" t="s">
        <v>11</v>
      </c>
      <c r="D459" s="15" t="s">
        <v>21</v>
      </c>
      <c r="E459" s="8">
        <v>45729</v>
      </c>
      <c r="F459" s="16" t="s">
        <v>12</v>
      </c>
      <c r="G459" s="16" t="s">
        <v>4</v>
      </c>
      <c r="H459" s="8"/>
      <c r="I459" s="16"/>
      <c r="J459" t="b">
        <v>0</v>
      </c>
      <c r="K459" s="15" t="s">
        <v>1313</v>
      </c>
      <c r="L459" s="15" t="str">
        <f>HYPERLINK("https://uk1.aconex.co.uk/hub/index.html?mainTarget=%2FSearchControlledDoc%3FSEARCH_ACTION%3D15%26tab%3D0%26searchMode%3D1%26searchQuery%3Ddocno:%22"&amp;RawData[[#This Row],[Document Number]]&amp;"%22%20%2Bcversion%253A1",RawData[[#This Row],[Document Number]])</f>
        <v>FS1018-CPM-ZZ-ZZ-L-A-0001</v>
      </c>
    </row>
    <row r="460" spans="1:12" x14ac:dyDescent="0.3">
      <c r="A460" s="15" t="s">
        <v>1314</v>
      </c>
      <c r="B460" s="15" t="s">
        <v>1315</v>
      </c>
      <c r="C460" s="15" t="s">
        <v>14</v>
      </c>
      <c r="D460" s="15" t="s">
        <v>21</v>
      </c>
      <c r="E460" s="8">
        <v>45729</v>
      </c>
      <c r="F460" s="16" t="s">
        <v>12</v>
      </c>
      <c r="G460" s="16" t="s">
        <v>4</v>
      </c>
      <c r="H460" s="8"/>
      <c r="I460" s="16"/>
      <c r="J460" t="b">
        <v>0</v>
      </c>
      <c r="K460" s="15" t="s">
        <v>1316</v>
      </c>
      <c r="L460" s="15" t="str">
        <f>HYPERLINK("https://uk1.aconex.co.uk/hub/index.html?mainTarget=%2FSearchControlledDoc%3FSEARCH_ACTION%3D15%26tab%3D0%26searchMode%3D1%26searchQuery%3Ddocno:%22"&amp;RawData[[#This Row],[Document Number]]&amp;"%22%20%2Bcversion%253A1",RawData[[#This Row],[Document Number]])</f>
        <v>FS1018-CPM-ZZ-ZZ-L-A-3060</v>
      </c>
    </row>
    <row r="461" spans="1:12" x14ac:dyDescent="0.3">
      <c r="A461" s="15" t="s">
        <v>1317</v>
      </c>
      <c r="B461" s="15" t="s">
        <v>1318</v>
      </c>
      <c r="C461" s="15" t="s">
        <v>14</v>
      </c>
      <c r="D461" s="15" t="s">
        <v>21</v>
      </c>
      <c r="E461" s="8">
        <v>45729</v>
      </c>
      <c r="F461" s="16" t="s">
        <v>12</v>
      </c>
      <c r="G461" s="16" t="s">
        <v>4</v>
      </c>
      <c r="H461" s="8"/>
      <c r="I461" s="16"/>
      <c r="J461" t="b">
        <v>0</v>
      </c>
      <c r="K461" s="15" t="s">
        <v>1319</v>
      </c>
      <c r="L461" s="15" t="str">
        <f>HYPERLINK("https://uk1.aconex.co.uk/hub/index.html?mainTarget=%2FSearchControlledDoc%3FSEARCH_ACTION%3D15%26tab%3D0%26searchMode%3D1%26searchQuery%3Ddocno:%22"&amp;RawData[[#This Row],[Document Number]]&amp;"%22%20%2Bcversion%253A1",RawData[[#This Row],[Document Number]])</f>
        <v>FS1018-CPM-ZZ-ZZ-L-A-3061</v>
      </c>
    </row>
    <row r="462" spans="1:12" ht="115.2" x14ac:dyDescent="0.3">
      <c r="A462" s="15" t="s">
        <v>1320</v>
      </c>
      <c r="B462" s="15" t="s">
        <v>1321</v>
      </c>
      <c r="C462" s="15" t="s">
        <v>10</v>
      </c>
      <c r="D462" s="15" t="s">
        <v>20</v>
      </c>
      <c r="E462" s="8">
        <v>45175</v>
      </c>
      <c r="F462" s="16" t="s">
        <v>939</v>
      </c>
      <c r="G462" s="16" t="s">
        <v>22</v>
      </c>
      <c r="H462" s="8">
        <v>45194</v>
      </c>
      <c r="I462" s="16" t="s">
        <v>1322</v>
      </c>
      <c r="J462" t="b">
        <v>1</v>
      </c>
      <c r="K462" s="15" t="s">
        <v>1323</v>
      </c>
      <c r="L462" s="15" t="str">
        <f>HYPERLINK("https://uk1.aconex.co.uk/hub/index.html?mainTarget=%2FSearchControlledDoc%3FSEARCH_ACTION%3D15%26tab%3D0%26searchMode%3D1%26searchQuery%3Ddocno:%22"&amp;RawData[[#This Row],[Document Number]]&amp;"%22%20%2Bcversion%253A1",RawData[[#This Row],[Document Number]])</f>
        <v>FS1018-CPM-ZZ-ZZ-M-A-0002</v>
      </c>
    </row>
    <row r="463" spans="1:12" x14ac:dyDescent="0.3">
      <c r="A463" s="15" t="s">
        <v>1320</v>
      </c>
      <c r="B463" s="15" t="s">
        <v>1321</v>
      </c>
      <c r="C463" s="15" t="s">
        <v>11</v>
      </c>
      <c r="D463" s="15" t="s">
        <v>21</v>
      </c>
      <c r="E463" s="8">
        <v>45729</v>
      </c>
      <c r="F463" s="16" t="s">
        <v>12</v>
      </c>
      <c r="G463" s="16" t="s">
        <v>4</v>
      </c>
      <c r="H463" s="8"/>
      <c r="I463" s="16"/>
      <c r="J463" t="b">
        <v>0</v>
      </c>
      <c r="K463" s="15" t="s">
        <v>1323</v>
      </c>
      <c r="L463" s="15" t="str">
        <f>HYPERLINK("https://uk1.aconex.co.uk/hub/index.html?mainTarget=%2FSearchControlledDoc%3FSEARCH_ACTION%3D15%26tab%3D0%26searchMode%3D1%26searchQuery%3Ddocno:%22"&amp;RawData[[#This Row],[Document Number]]&amp;"%22%20%2Bcversion%253A1",RawData[[#This Row],[Document Number]])</f>
        <v>FS1018-CPM-ZZ-ZZ-M-A-0002</v>
      </c>
    </row>
    <row r="464" spans="1:12" ht="43.2" x14ac:dyDescent="0.3">
      <c r="A464" s="15" t="s">
        <v>1324</v>
      </c>
      <c r="B464" s="15" t="s">
        <v>1325</v>
      </c>
      <c r="C464" s="15" t="s">
        <v>1155</v>
      </c>
      <c r="D464" s="15" t="s">
        <v>20</v>
      </c>
      <c r="E464" s="8">
        <v>45175</v>
      </c>
      <c r="F464" s="16" t="s">
        <v>33</v>
      </c>
      <c r="G464" s="16" t="s">
        <v>40</v>
      </c>
      <c r="H464" s="8">
        <v>45195</v>
      </c>
      <c r="I464" s="16" t="s">
        <v>1326</v>
      </c>
      <c r="J464" t="b">
        <v>0</v>
      </c>
      <c r="K464" s="15" t="s">
        <v>1327</v>
      </c>
      <c r="L464" s="15" t="str">
        <f>HYPERLINK("https://uk1.aconex.co.uk/hub/index.html?mainTarget=%2FSearchControlledDoc%3FSEARCH_ACTION%3D15%26tab%3D0%26searchMode%3D1%26searchQuery%3Ddocno:%22"&amp;RawData[[#This Row],[Document Number]]&amp;"%22%20%2Bcversion%253A1",RawData[[#This Row],[Document Number]])</f>
        <v>FS1018-CPM-ZZ-ZZ-M-A-0003</v>
      </c>
    </row>
    <row r="465" spans="1:12" ht="43.2" x14ac:dyDescent="0.3">
      <c r="A465" s="15" t="s">
        <v>1324</v>
      </c>
      <c r="B465" s="15" t="s">
        <v>1325</v>
      </c>
      <c r="C465" s="15" t="s">
        <v>988</v>
      </c>
      <c r="D465" s="15" t="s">
        <v>20</v>
      </c>
      <c r="E465" s="8">
        <v>45532</v>
      </c>
      <c r="F465" s="16" t="s">
        <v>33</v>
      </c>
      <c r="G465" s="16" t="s">
        <v>40</v>
      </c>
      <c r="H465" s="8">
        <v>45669</v>
      </c>
      <c r="I465" s="16" t="s">
        <v>71</v>
      </c>
      <c r="J465" t="b">
        <v>0</v>
      </c>
      <c r="K465" s="15" t="s">
        <v>1327</v>
      </c>
      <c r="L465" s="15" t="str">
        <f>HYPERLINK("https://uk1.aconex.co.uk/hub/index.html?mainTarget=%2FSearchControlledDoc%3FSEARCH_ACTION%3D15%26tab%3D0%26searchMode%3D1%26searchQuery%3Ddocno:%22"&amp;RawData[[#This Row],[Document Number]]&amp;"%22%20%2Bcversion%253A1",RawData[[#This Row],[Document Number]])</f>
        <v>FS1018-CPM-ZZ-ZZ-M-A-0003</v>
      </c>
    </row>
    <row r="466" spans="1:12" x14ac:dyDescent="0.3">
      <c r="A466" s="15" t="s">
        <v>1324</v>
      </c>
      <c r="B466" s="15" t="s">
        <v>1328</v>
      </c>
      <c r="C466" s="15" t="s">
        <v>991</v>
      </c>
      <c r="D466" s="15" t="s">
        <v>21</v>
      </c>
      <c r="E466" s="8">
        <v>45729</v>
      </c>
      <c r="F466" s="16" t="s">
        <v>12</v>
      </c>
      <c r="G466" s="16" t="s">
        <v>4</v>
      </c>
      <c r="H466" s="8"/>
      <c r="I466" s="16"/>
      <c r="J466" t="b">
        <v>0</v>
      </c>
      <c r="K466" s="15" t="s">
        <v>1329</v>
      </c>
      <c r="L466" s="15" t="str">
        <f>HYPERLINK("https://uk1.aconex.co.uk/hub/index.html?mainTarget=%2FSearchControlledDoc%3FSEARCH_ACTION%3D15%26tab%3D0%26searchMode%3D1%26searchQuery%3Ddocno:%22"&amp;RawData[[#This Row],[Document Number]]&amp;"%22%20%2Bcversion%253A1",RawData[[#This Row],[Document Number]])</f>
        <v>FS1018-CPM-ZZ-ZZ-M-A-0003</v>
      </c>
    </row>
    <row r="467" spans="1:12" ht="86.4" x14ac:dyDescent="0.3">
      <c r="A467" s="15" t="s">
        <v>1330</v>
      </c>
      <c r="B467" s="15" t="s">
        <v>1331</v>
      </c>
      <c r="C467" s="15" t="s">
        <v>1155</v>
      </c>
      <c r="D467" s="15" t="s">
        <v>20</v>
      </c>
      <c r="E467" s="8">
        <v>45175</v>
      </c>
      <c r="F467" s="16" t="s">
        <v>33</v>
      </c>
      <c r="G467" s="16" t="s">
        <v>40</v>
      </c>
      <c r="H467" s="8">
        <v>45195</v>
      </c>
      <c r="I467" s="16" t="s">
        <v>1332</v>
      </c>
      <c r="J467" t="b">
        <v>0</v>
      </c>
      <c r="K467" s="15" t="s">
        <v>1333</v>
      </c>
      <c r="L467" s="15" t="str">
        <f>HYPERLINK("https://uk1.aconex.co.uk/hub/index.html?mainTarget=%2FSearchControlledDoc%3FSEARCH_ACTION%3D15%26tab%3D0%26searchMode%3D1%26searchQuery%3Ddocno:%22"&amp;RawData[[#This Row],[Document Number]]&amp;"%22%20%2Bcversion%253A1",RawData[[#This Row],[Document Number]])</f>
        <v>FS1018-CPM-ZZ-ZZ-M-A-0004</v>
      </c>
    </row>
    <row r="468" spans="1:12" ht="43.2" x14ac:dyDescent="0.3">
      <c r="A468" s="15" t="s">
        <v>1330</v>
      </c>
      <c r="B468" s="15" t="s">
        <v>1331</v>
      </c>
      <c r="C468" s="15" t="s">
        <v>988</v>
      </c>
      <c r="D468" s="15" t="s">
        <v>20</v>
      </c>
      <c r="E468" s="8">
        <v>45532</v>
      </c>
      <c r="F468" s="16" t="s">
        <v>33</v>
      </c>
      <c r="G468" s="16" t="s">
        <v>40</v>
      </c>
      <c r="H468" s="8">
        <v>45669</v>
      </c>
      <c r="I468" s="16" t="s">
        <v>71</v>
      </c>
      <c r="J468" t="b">
        <v>0</v>
      </c>
      <c r="K468" s="15" t="s">
        <v>1333</v>
      </c>
      <c r="L468" s="15" t="str">
        <f>HYPERLINK("https://uk1.aconex.co.uk/hub/index.html?mainTarget=%2FSearchControlledDoc%3FSEARCH_ACTION%3D15%26tab%3D0%26searchMode%3D1%26searchQuery%3Ddocno:%22"&amp;RawData[[#This Row],[Document Number]]&amp;"%22%20%2Bcversion%253A1",RawData[[#This Row],[Document Number]])</f>
        <v>FS1018-CPM-ZZ-ZZ-M-A-0004</v>
      </c>
    </row>
    <row r="469" spans="1:12" x14ac:dyDescent="0.3">
      <c r="A469" s="15" t="s">
        <v>1330</v>
      </c>
      <c r="B469" s="15" t="s">
        <v>1334</v>
      </c>
      <c r="C469" s="15" t="s">
        <v>991</v>
      </c>
      <c r="D469" s="15" t="s">
        <v>21</v>
      </c>
      <c r="E469" s="8">
        <v>45729</v>
      </c>
      <c r="F469" s="16" t="s">
        <v>12</v>
      </c>
      <c r="G469" s="16" t="s">
        <v>4</v>
      </c>
      <c r="H469" s="8"/>
      <c r="I469" s="16"/>
      <c r="J469" t="b">
        <v>0</v>
      </c>
      <c r="K469" s="15" t="s">
        <v>1335</v>
      </c>
      <c r="L469" s="15" t="str">
        <f>HYPERLINK("https://uk1.aconex.co.uk/hub/index.html?mainTarget=%2FSearchControlledDoc%3FSEARCH_ACTION%3D15%26tab%3D0%26searchMode%3D1%26searchQuery%3Ddocno:%22"&amp;RawData[[#This Row],[Document Number]]&amp;"%22%20%2Bcversion%253A1",RawData[[#This Row],[Document Number]])</f>
        <v>FS1018-CPM-ZZ-ZZ-M-A-0004</v>
      </c>
    </row>
    <row r="470" spans="1:12" ht="28.8" x14ac:dyDescent="0.3">
      <c r="A470" s="15" t="s">
        <v>1336</v>
      </c>
      <c r="B470" s="15" t="s">
        <v>1337</v>
      </c>
      <c r="C470" s="15" t="s">
        <v>1155</v>
      </c>
      <c r="D470" s="15" t="s">
        <v>20</v>
      </c>
      <c r="E470" s="8">
        <v>45175</v>
      </c>
      <c r="F470" s="16" t="s">
        <v>33</v>
      </c>
      <c r="G470" s="16" t="s">
        <v>22</v>
      </c>
      <c r="H470" s="8">
        <v>45195</v>
      </c>
      <c r="I470" s="16" t="s">
        <v>1338</v>
      </c>
      <c r="J470" t="b">
        <v>0</v>
      </c>
      <c r="K470" s="15" t="s">
        <v>1339</v>
      </c>
      <c r="L470" s="15" t="str">
        <f>HYPERLINK("https://uk1.aconex.co.uk/hub/index.html?mainTarget=%2FSearchControlledDoc%3FSEARCH_ACTION%3D15%26tab%3D0%26searchMode%3D1%26searchQuery%3Ddocno:%22"&amp;RawData[[#This Row],[Document Number]]&amp;"%22%20%2Bcversion%253A1",RawData[[#This Row],[Document Number]])</f>
        <v>FS1018-CPM-ZZ-ZZ-M-A-0005</v>
      </c>
    </row>
    <row r="471" spans="1:12" ht="43.2" x14ac:dyDescent="0.3">
      <c r="A471" s="15" t="s">
        <v>1336</v>
      </c>
      <c r="B471" s="15" t="s">
        <v>1337</v>
      </c>
      <c r="C471" s="15" t="s">
        <v>988</v>
      </c>
      <c r="D471" s="15" t="s">
        <v>20</v>
      </c>
      <c r="E471" s="8">
        <v>45532</v>
      </c>
      <c r="F471" s="16" t="s">
        <v>33</v>
      </c>
      <c r="G471" s="16" t="s">
        <v>40</v>
      </c>
      <c r="H471" s="8">
        <v>45669</v>
      </c>
      <c r="I471" s="16" t="s">
        <v>71</v>
      </c>
      <c r="J471" t="b">
        <v>0</v>
      </c>
      <c r="K471" s="15" t="s">
        <v>1339</v>
      </c>
      <c r="L471" s="15" t="str">
        <f>HYPERLINK("https://uk1.aconex.co.uk/hub/index.html?mainTarget=%2FSearchControlledDoc%3FSEARCH_ACTION%3D15%26tab%3D0%26searchMode%3D1%26searchQuery%3Ddocno:%22"&amp;RawData[[#This Row],[Document Number]]&amp;"%22%20%2Bcversion%253A1",RawData[[#This Row],[Document Number]])</f>
        <v>FS1018-CPM-ZZ-ZZ-M-A-0005</v>
      </c>
    </row>
    <row r="472" spans="1:12" x14ac:dyDescent="0.3">
      <c r="A472" s="15" t="s">
        <v>1336</v>
      </c>
      <c r="B472" s="15" t="s">
        <v>1340</v>
      </c>
      <c r="C472" s="15" t="s">
        <v>991</v>
      </c>
      <c r="D472" s="15" t="s">
        <v>21</v>
      </c>
      <c r="E472" s="8">
        <v>45729</v>
      </c>
      <c r="F472" s="16" t="s">
        <v>12</v>
      </c>
      <c r="G472" s="16" t="s">
        <v>4</v>
      </c>
      <c r="H472" s="8"/>
      <c r="I472" s="16"/>
      <c r="J472" t="b">
        <v>0</v>
      </c>
      <c r="K472" s="15" t="s">
        <v>1341</v>
      </c>
      <c r="L472" s="15" t="str">
        <f>HYPERLINK("https://uk1.aconex.co.uk/hub/index.html?mainTarget=%2FSearchControlledDoc%3FSEARCH_ACTION%3D15%26tab%3D0%26searchMode%3D1%26searchQuery%3Ddocno:%22"&amp;RawData[[#This Row],[Document Number]]&amp;"%22%20%2Bcversion%253A1",RawData[[#This Row],[Document Number]])</f>
        <v>FS1018-CPM-ZZ-ZZ-M-A-0005</v>
      </c>
    </row>
    <row r="473" spans="1:12" ht="28.8" x14ac:dyDescent="0.3">
      <c r="A473" s="15" t="s">
        <v>1342</v>
      </c>
      <c r="B473" s="15" t="s">
        <v>1343</v>
      </c>
      <c r="C473" s="15" t="s">
        <v>14</v>
      </c>
      <c r="D473" s="15" t="s">
        <v>20</v>
      </c>
      <c r="E473" s="8">
        <v>45181</v>
      </c>
      <c r="F473" s="16" t="s">
        <v>33</v>
      </c>
      <c r="G473" s="16" t="s">
        <v>22</v>
      </c>
      <c r="H473" s="8">
        <v>45190</v>
      </c>
      <c r="I473" s="16" t="s">
        <v>1344</v>
      </c>
      <c r="J473" t="b">
        <v>0</v>
      </c>
      <c r="K473" s="15" t="s">
        <v>1345</v>
      </c>
      <c r="L473" s="15" t="str">
        <f>HYPERLINK("https://uk1.aconex.co.uk/hub/index.html?mainTarget=%2FSearchControlledDoc%3FSEARCH_ACTION%3D15%26tab%3D0%26searchMode%3D1%26searchQuery%3Ddocno:%22"&amp;RawData[[#This Row],[Document Number]]&amp;"%22%20%2Bcversion%253A1",RawData[[#This Row],[Document Number]])</f>
        <v>FS1018-CPM-ZZ-ZZ-V-A-0001</v>
      </c>
    </row>
    <row r="474" spans="1:12" ht="43.2" x14ac:dyDescent="0.3">
      <c r="A474" s="15" t="s">
        <v>1342</v>
      </c>
      <c r="B474" s="15" t="s">
        <v>1343</v>
      </c>
      <c r="C474" s="15" t="s">
        <v>10</v>
      </c>
      <c r="D474" s="15" t="s">
        <v>20</v>
      </c>
      <c r="E474" s="8">
        <v>45532</v>
      </c>
      <c r="F474" s="16" t="s">
        <v>33</v>
      </c>
      <c r="G474" s="16" t="s">
        <v>40</v>
      </c>
      <c r="H474" s="8">
        <v>45669</v>
      </c>
      <c r="I474" s="16" t="s">
        <v>71</v>
      </c>
      <c r="J474" t="b">
        <v>1</v>
      </c>
      <c r="K474" s="15" t="s">
        <v>1345</v>
      </c>
      <c r="L474" s="15" t="str">
        <f>HYPERLINK("https://uk1.aconex.co.uk/hub/index.html?mainTarget=%2FSearchControlledDoc%3FSEARCH_ACTION%3D15%26tab%3D0%26searchMode%3D1%26searchQuery%3Ddocno:%22"&amp;RawData[[#This Row],[Document Number]]&amp;"%22%20%2Bcversion%253A1",RawData[[#This Row],[Document Number]])</f>
        <v>FS1018-CPM-ZZ-ZZ-V-A-0001</v>
      </c>
    </row>
    <row r="475" spans="1:12" x14ac:dyDescent="0.3">
      <c r="A475" s="15" t="s">
        <v>1342</v>
      </c>
      <c r="B475" s="15" t="s">
        <v>1346</v>
      </c>
      <c r="C475" s="15" t="s">
        <v>14</v>
      </c>
      <c r="D475" s="15" t="s">
        <v>21</v>
      </c>
      <c r="E475" s="8">
        <v>45730</v>
      </c>
      <c r="F475" s="16" t="s">
        <v>12</v>
      </c>
      <c r="G475" s="16" t="s">
        <v>4</v>
      </c>
      <c r="H475" s="8"/>
      <c r="I475" s="16"/>
      <c r="J475" t="b">
        <v>0</v>
      </c>
      <c r="K475" s="15" t="s">
        <v>1347</v>
      </c>
      <c r="L475" s="15" t="str">
        <f>HYPERLINK("https://uk1.aconex.co.uk/hub/index.html?mainTarget=%2FSearchControlledDoc%3FSEARCH_ACTION%3D15%26tab%3D0%26searchMode%3D1%26searchQuery%3Ddocno:%22"&amp;RawData[[#This Row],[Document Number]]&amp;"%22%20%2Bcversion%253A1",RawData[[#This Row],[Document Number]])</f>
        <v>FS1018-CPM-ZZ-ZZ-V-A-0001</v>
      </c>
    </row>
    <row r="476" spans="1:12" x14ac:dyDescent="0.3">
      <c r="A476" s="15" t="s">
        <v>1348</v>
      </c>
      <c r="B476" s="15" t="s">
        <v>1349</v>
      </c>
      <c r="C476" s="15" t="s">
        <v>14</v>
      </c>
      <c r="D476" s="15" t="s">
        <v>21</v>
      </c>
      <c r="E476" s="8">
        <v>45730</v>
      </c>
      <c r="F476" s="16" t="s">
        <v>12</v>
      </c>
      <c r="G476" s="16" t="s">
        <v>4</v>
      </c>
      <c r="H476" s="8"/>
      <c r="I476" s="16"/>
      <c r="J476" t="b">
        <v>0</v>
      </c>
      <c r="K476" s="15" t="s">
        <v>1350</v>
      </c>
      <c r="L476" s="15" t="str">
        <f>HYPERLINK("https://uk1.aconex.co.uk/hub/index.html?mainTarget=%2FSearchControlledDoc%3FSEARCH_ACTION%3D15%26tab%3D0%26searchMode%3D1%26searchQuery%3Ddocno:%22"&amp;RawData[[#This Row],[Document Number]]&amp;"%22%20%2Bcversion%253A1",RawData[[#This Row],[Document Number]])</f>
        <v>FS1018-CPM-ZZ-ZZ-V-A-0002</v>
      </c>
    </row>
    <row r="477" spans="1:12" ht="43.2" x14ac:dyDescent="0.3">
      <c r="A477" s="15" t="s">
        <v>1351</v>
      </c>
      <c r="B477" s="15" t="s">
        <v>1352</v>
      </c>
      <c r="C477" s="15" t="s">
        <v>14</v>
      </c>
      <c r="D477" s="15" t="s">
        <v>20</v>
      </c>
      <c r="E477" s="8">
        <v>45532</v>
      </c>
      <c r="F477" s="16" t="s">
        <v>1353</v>
      </c>
      <c r="G477" s="16" t="s">
        <v>40</v>
      </c>
      <c r="H477" s="8">
        <v>45669</v>
      </c>
      <c r="I477" s="16" t="s">
        <v>71</v>
      </c>
      <c r="J477" t="b">
        <v>0</v>
      </c>
      <c r="K477" s="15" t="s">
        <v>1354</v>
      </c>
      <c r="L477" s="15" t="str">
        <f>HYPERLINK("https://uk1.aconex.co.uk/hub/index.html?mainTarget=%2FSearchControlledDoc%3FSEARCH_ACTION%3D15%26tab%3D0%26searchMode%3D1%26searchQuery%3Ddocno:%22"&amp;RawData[[#This Row],[Document Number]]&amp;"%22%20%2Bcversion%253A1",RawData[[#This Row],[Document Number]])</f>
        <v>FS1018-DSI-XX-XX-T-G-0001</v>
      </c>
    </row>
    <row r="478" spans="1:12" ht="57.6" x14ac:dyDescent="0.3">
      <c r="A478" s="15" t="s">
        <v>1355</v>
      </c>
      <c r="B478" s="15" t="s">
        <v>1356</v>
      </c>
      <c r="C478" s="15" t="s">
        <v>14</v>
      </c>
      <c r="D478" s="15" t="s">
        <v>20</v>
      </c>
      <c r="E478" s="8">
        <v>45175</v>
      </c>
      <c r="F478" s="16" t="s">
        <v>1357</v>
      </c>
      <c r="G478" s="16" t="s">
        <v>22</v>
      </c>
      <c r="H478" s="8">
        <v>45195</v>
      </c>
      <c r="I478" s="16" t="s">
        <v>1358</v>
      </c>
      <c r="J478" t="b">
        <v>0</v>
      </c>
      <c r="K478" s="15" t="s">
        <v>1359</v>
      </c>
      <c r="L478" s="15" t="str">
        <f>HYPERLINK("https://uk1.aconex.co.uk/hub/index.html?mainTarget=%2FSearchControlledDoc%3FSEARCH_ACTION%3D15%26tab%3D0%26searchMode%3D1%26searchQuery%3Ddocno:%22"&amp;RawData[[#This Row],[Document Number]]&amp;"%22%20%2Bcversion%253A1",RawData[[#This Row],[Document Number]])</f>
        <v>FS1018-EVR-XX-XX-D-O-0001</v>
      </c>
    </row>
    <row r="479" spans="1:12" ht="43.2" x14ac:dyDescent="0.3">
      <c r="A479" s="15" t="s">
        <v>1355</v>
      </c>
      <c r="B479" s="15" t="s">
        <v>1356</v>
      </c>
      <c r="C479" s="15" t="s">
        <v>10</v>
      </c>
      <c r="D479" s="15" t="s">
        <v>20</v>
      </c>
      <c r="E479" s="8">
        <v>45532</v>
      </c>
      <c r="F479" s="16" t="s">
        <v>1357</v>
      </c>
      <c r="G479" s="16" t="s">
        <v>40</v>
      </c>
      <c r="H479" s="8">
        <v>45669</v>
      </c>
      <c r="I479" s="16" t="s">
        <v>71</v>
      </c>
      <c r="J479" t="b">
        <v>1</v>
      </c>
      <c r="K479" s="15" t="s">
        <v>1359</v>
      </c>
      <c r="L479" s="15" t="str">
        <f>HYPERLINK("https://uk1.aconex.co.uk/hub/index.html?mainTarget=%2FSearchControlledDoc%3FSEARCH_ACTION%3D15%26tab%3D0%26searchMode%3D1%26searchQuery%3Ddocno:%22"&amp;RawData[[#This Row],[Document Number]]&amp;"%22%20%2Bcversion%253A1",RawData[[#This Row],[Document Number]])</f>
        <v>FS1018-EVR-XX-XX-D-O-0001</v>
      </c>
    </row>
    <row r="480" spans="1:12" x14ac:dyDescent="0.3">
      <c r="A480" s="15" t="s">
        <v>1355</v>
      </c>
      <c r="B480" s="15" t="s">
        <v>1356</v>
      </c>
      <c r="C480" s="15" t="s">
        <v>11</v>
      </c>
      <c r="D480" s="15" t="s">
        <v>21</v>
      </c>
      <c r="E480" s="8">
        <v>45729</v>
      </c>
      <c r="F480" s="16" t="s">
        <v>12</v>
      </c>
      <c r="G480" s="16" t="s">
        <v>4</v>
      </c>
      <c r="H480" s="8"/>
      <c r="I480" s="16"/>
      <c r="J480" t="b">
        <v>0</v>
      </c>
      <c r="K480" s="15" t="s">
        <v>1359</v>
      </c>
      <c r="L480" s="15" t="str">
        <f>HYPERLINK("https://uk1.aconex.co.uk/hub/index.html?mainTarget=%2FSearchControlledDoc%3FSEARCH_ACTION%3D15%26tab%3D0%26searchMode%3D1%26searchQuery%3Ddocno:%22"&amp;RawData[[#This Row],[Document Number]]&amp;"%22%20%2Bcversion%253A1",RawData[[#This Row],[Document Number]])</f>
        <v>FS1018-EVR-XX-XX-D-O-0001</v>
      </c>
    </row>
    <row r="481" spans="1:12" ht="28.8" x14ac:dyDescent="0.3">
      <c r="A481" s="15" t="s">
        <v>1360</v>
      </c>
      <c r="B481" s="15" t="s">
        <v>1361</v>
      </c>
      <c r="C481" s="15" t="s">
        <v>14</v>
      </c>
      <c r="D481" s="15" t="s">
        <v>20</v>
      </c>
      <c r="E481" s="8">
        <v>45175</v>
      </c>
      <c r="F481" s="16" t="s">
        <v>1357</v>
      </c>
      <c r="G481" s="16" t="s">
        <v>22</v>
      </c>
      <c r="H481" s="8">
        <v>45195</v>
      </c>
      <c r="I481" s="16" t="s">
        <v>1362</v>
      </c>
      <c r="J481" t="b">
        <v>0</v>
      </c>
      <c r="K481" s="15" t="s">
        <v>1363</v>
      </c>
      <c r="L481" s="15" t="str">
        <f>HYPERLINK("https://uk1.aconex.co.uk/hub/index.html?mainTarget=%2FSearchControlledDoc%3FSEARCH_ACTION%3D15%26tab%3D0%26searchMode%3D1%26searchQuery%3Ddocno:%22"&amp;RawData[[#This Row],[Document Number]]&amp;"%22%20%2Bcversion%253A1",RawData[[#This Row],[Document Number]])</f>
        <v>FS1018-EVR-XX-XX-D-O-0002</v>
      </c>
    </row>
    <row r="482" spans="1:12" ht="43.2" x14ac:dyDescent="0.3">
      <c r="A482" s="15" t="s">
        <v>1360</v>
      </c>
      <c r="B482" s="15" t="s">
        <v>1361</v>
      </c>
      <c r="C482" s="15" t="s">
        <v>10</v>
      </c>
      <c r="D482" s="15" t="s">
        <v>20</v>
      </c>
      <c r="E482" s="8">
        <v>45532</v>
      </c>
      <c r="F482" s="16" t="s">
        <v>1357</v>
      </c>
      <c r="G482" s="16" t="s">
        <v>40</v>
      </c>
      <c r="H482" s="8">
        <v>45669</v>
      </c>
      <c r="I482" s="16" t="s">
        <v>71</v>
      </c>
      <c r="J482" t="b">
        <v>1</v>
      </c>
      <c r="K482" s="15" t="s">
        <v>1363</v>
      </c>
      <c r="L482" s="15" t="str">
        <f>HYPERLINK("https://uk1.aconex.co.uk/hub/index.html?mainTarget=%2FSearchControlledDoc%3FSEARCH_ACTION%3D15%26tab%3D0%26searchMode%3D1%26searchQuery%3Ddocno:%22"&amp;RawData[[#This Row],[Document Number]]&amp;"%22%20%2Bcversion%253A1",RawData[[#This Row],[Document Number]])</f>
        <v>FS1018-EVR-XX-XX-D-O-0002</v>
      </c>
    </row>
    <row r="483" spans="1:12" x14ac:dyDescent="0.3">
      <c r="A483" s="15" t="s">
        <v>1360</v>
      </c>
      <c r="B483" s="15" t="s">
        <v>1361</v>
      </c>
      <c r="C483" s="15" t="s">
        <v>11</v>
      </c>
      <c r="D483" s="15" t="s">
        <v>21</v>
      </c>
      <c r="E483" s="8">
        <v>45729</v>
      </c>
      <c r="F483" s="16" t="s">
        <v>12</v>
      </c>
      <c r="G483" s="16" t="s">
        <v>4</v>
      </c>
      <c r="H483" s="8"/>
      <c r="I483" s="16"/>
      <c r="J483" t="b">
        <v>0</v>
      </c>
      <c r="K483" s="15" t="s">
        <v>1363</v>
      </c>
      <c r="L483" s="15" t="str">
        <f>HYPERLINK("https://uk1.aconex.co.uk/hub/index.html?mainTarget=%2FSearchControlledDoc%3FSEARCH_ACTION%3D15%26tab%3D0%26searchMode%3D1%26searchQuery%3Ddocno:%22"&amp;RawData[[#This Row],[Document Number]]&amp;"%22%20%2Bcversion%253A1",RawData[[#This Row],[Document Number]])</f>
        <v>FS1018-EVR-XX-XX-D-O-0002</v>
      </c>
    </row>
    <row r="484" spans="1:12" x14ac:dyDescent="0.3">
      <c r="A484" s="15" t="s">
        <v>1364</v>
      </c>
      <c r="B484" s="15" t="s">
        <v>1365</v>
      </c>
      <c r="C484" s="15" t="s">
        <v>14</v>
      </c>
      <c r="D484" s="15" t="s">
        <v>21</v>
      </c>
      <c r="E484" s="8">
        <v>45729</v>
      </c>
      <c r="F484" s="16" t="s">
        <v>12</v>
      </c>
      <c r="G484" s="16" t="s">
        <v>4</v>
      </c>
      <c r="H484" s="8"/>
      <c r="I484" s="16"/>
      <c r="J484" t="b">
        <v>0</v>
      </c>
      <c r="K484" s="15" t="s">
        <v>1366</v>
      </c>
      <c r="L484" s="15" t="str">
        <f>HYPERLINK("https://uk1.aconex.co.uk/hub/index.html?mainTarget=%2FSearchControlledDoc%3FSEARCH_ACTION%3D15%26tab%3D0%26searchMode%3D1%26searchQuery%3Ddocno:%22"&amp;RawData[[#This Row],[Document Number]]&amp;"%22%20%2Bcversion%253A1",RawData[[#This Row],[Document Number]])</f>
        <v>FS1018-EVR-XX-XX-D-O-0003</v>
      </c>
    </row>
    <row r="485" spans="1:12" x14ac:dyDescent="0.3">
      <c r="A485" s="15" t="s">
        <v>1367</v>
      </c>
      <c r="B485" s="15" t="s">
        <v>1368</v>
      </c>
      <c r="C485" s="15" t="s">
        <v>14</v>
      </c>
      <c r="D485" s="15" t="s">
        <v>21</v>
      </c>
      <c r="E485" s="8">
        <v>45729</v>
      </c>
      <c r="F485" s="16" t="s">
        <v>12</v>
      </c>
      <c r="G485" s="16" t="s">
        <v>4</v>
      </c>
      <c r="H485" s="8"/>
      <c r="I485" s="16"/>
      <c r="J485" t="b">
        <v>0</v>
      </c>
      <c r="K485" s="15" t="s">
        <v>1369</v>
      </c>
      <c r="L485" s="15" t="str">
        <f>HYPERLINK("https://uk1.aconex.co.uk/hub/index.html?mainTarget=%2FSearchControlledDoc%3FSEARCH_ACTION%3D15%26tab%3D0%26searchMode%3D1%26searchQuery%3Ddocno:%22"&amp;RawData[[#This Row],[Document Number]]&amp;"%22%20%2Bcversion%253A1",RawData[[#This Row],[Document Number]])</f>
        <v>FS1018-EVR-XX-XX-D-O-0004</v>
      </c>
    </row>
    <row r="486" spans="1:12" x14ac:dyDescent="0.3">
      <c r="A486" s="15" t="s">
        <v>1370</v>
      </c>
      <c r="B486" s="15" t="s">
        <v>1371</v>
      </c>
      <c r="C486" s="15" t="s">
        <v>14</v>
      </c>
      <c r="D486" s="15" t="s">
        <v>20</v>
      </c>
      <c r="E486" s="8">
        <v>45175</v>
      </c>
      <c r="F486" s="16" t="s">
        <v>1357</v>
      </c>
      <c r="G486" s="16" t="s">
        <v>34</v>
      </c>
      <c r="H486" s="8">
        <v>45195</v>
      </c>
      <c r="I486" s="16"/>
      <c r="J486" t="b">
        <v>0</v>
      </c>
      <c r="K486" s="15" t="s">
        <v>1372</v>
      </c>
      <c r="L486" s="15" t="str">
        <f>HYPERLINK("https://uk1.aconex.co.uk/hub/index.html?mainTarget=%2FSearchControlledDoc%3FSEARCH_ACTION%3D15%26tab%3D0%26searchMode%3D1%26searchQuery%3Ddocno:%22"&amp;RawData[[#This Row],[Document Number]]&amp;"%22%20%2Bcversion%253A1",RawData[[#This Row],[Document Number]])</f>
        <v>FS1018-EVR-XX-XX-G-O-0001</v>
      </c>
    </row>
    <row r="487" spans="1:12" x14ac:dyDescent="0.3">
      <c r="A487" s="15" t="s">
        <v>1370</v>
      </c>
      <c r="B487" s="15" t="s">
        <v>1371</v>
      </c>
      <c r="C487" s="15" t="s">
        <v>10</v>
      </c>
      <c r="D487" s="15" t="s">
        <v>21</v>
      </c>
      <c r="E487" s="8">
        <v>45729</v>
      </c>
      <c r="F487" s="16" t="s">
        <v>12</v>
      </c>
      <c r="G487" s="16" t="s">
        <v>4</v>
      </c>
      <c r="H487" s="8"/>
      <c r="I487" s="16"/>
      <c r="J487" t="b">
        <v>1</v>
      </c>
      <c r="K487" s="15" t="s">
        <v>1372</v>
      </c>
      <c r="L487" s="15" t="str">
        <f>HYPERLINK("https://uk1.aconex.co.uk/hub/index.html?mainTarget=%2FSearchControlledDoc%3FSEARCH_ACTION%3D15%26tab%3D0%26searchMode%3D1%26searchQuery%3Ddocno:%22"&amp;RawData[[#This Row],[Document Number]]&amp;"%22%20%2Bcversion%253A1",RawData[[#This Row],[Document Number]])</f>
        <v>FS1018-EVR-XX-XX-G-O-0001</v>
      </c>
    </row>
    <row r="488" spans="1:12" ht="43.2" x14ac:dyDescent="0.3">
      <c r="A488" s="15" t="s">
        <v>1373</v>
      </c>
      <c r="B488" s="15" t="s">
        <v>1374</v>
      </c>
      <c r="C488" s="15" t="s">
        <v>14</v>
      </c>
      <c r="D488" s="15" t="s">
        <v>20</v>
      </c>
      <c r="E488" s="8">
        <v>45175</v>
      </c>
      <c r="F488" s="16" t="s">
        <v>1357</v>
      </c>
      <c r="G488" s="16" t="s">
        <v>22</v>
      </c>
      <c r="H488" s="8">
        <v>45195</v>
      </c>
      <c r="I488" s="16" t="s">
        <v>1375</v>
      </c>
      <c r="J488" t="b">
        <v>0</v>
      </c>
      <c r="K488" s="15" t="s">
        <v>1376</v>
      </c>
      <c r="L488" s="15" t="str">
        <f>HYPERLINK("https://uk1.aconex.co.uk/hub/index.html?mainTarget=%2FSearchControlledDoc%3FSEARCH_ACTION%3D15%26tab%3D0%26searchMode%3D1%26searchQuery%3Ddocno:%22"&amp;RawData[[#This Row],[Document Number]]&amp;"%22%20%2Bcversion%253A1",RawData[[#This Row],[Document Number]])</f>
        <v>FS1018-EVR-XX-XX-L-O-0001</v>
      </c>
    </row>
    <row r="489" spans="1:12" x14ac:dyDescent="0.3">
      <c r="A489" s="15" t="s">
        <v>1373</v>
      </c>
      <c r="B489" s="15" t="s">
        <v>1374</v>
      </c>
      <c r="C489" s="15" t="s">
        <v>10</v>
      </c>
      <c r="D489" s="15" t="s">
        <v>21</v>
      </c>
      <c r="E489" s="8">
        <v>45729</v>
      </c>
      <c r="F489" s="16" t="s">
        <v>12</v>
      </c>
      <c r="G489" s="16" t="s">
        <v>4</v>
      </c>
      <c r="H489" s="8"/>
      <c r="I489" s="16"/>
      <c r="J489" t="b">
        <v>1</v>
      </c>
      <c r="K489" s="15" t="s">
        <v>1376</v>
      </c>
      <c r="L489" s="15" t="str">
        <f>HYPERLINK("https://uk1.aconex.co.uk/hub/index.html?mainTarget=%2FSearchControlledDoc%3FSEARCH_ACTION%3D15%26tab%3D0%26searchMode%3D1%26searchQuery%3Ddocno:%22"&amp;RawData[[#This Row],[Document Number]]&amp;"%22%20%2Bcversion%253A1",RawData[[#This Row],[Document Number]])</f>
        <v>FS1018-EVR-XX-XX-L-O-0001</v>
      </c>
    </row>
    <row r="490" spans="1:12" ht="43.2" x14ac:dyDescent="0.3">
      <c r="A490" s="15" t="s">
        <v>1377</v>
      </c>
      <c r="B490" s="15" t="s">
        <v>1378</v>
      </c>
      <c r="C490" s="15" t="s">
        <v>14</v>
      </c>
      <c r="D490" s="15" t="s">
        <v>20</v>
      </c>
      <c r="E490" s="8">
        <v>45175</v>
      </c>
      <c r="F490" s="16" t="s">
        <v>1357</v>
      </c>
      <c r="G490" s="16" t="s">
        <v>22</v>
      </c>
      <c r="H490" s="8">
        <v>45195</v>
      </c>
      <c r="I490" s="16" t="s">
        <v>1375</v>
      </c>
      <c r="J490" t="b">
        <v>0</v>
      </c>
      <c r="K490" s="15" t="s">
        <v>1379</v>
      </c>
      <c r="L490" s="15" t="str">
        <f>HYPERLINK("https://uk1.aconex.co.uk/hub/index.html?mainTarget=%2FSearchControlledDoc%3FSEARCH_ACTION%3D15%26tab%3D0%26searchMode%3D1%26searchQuery%3Ddocno:%22"&amp;RawData[[#This Row],[Document Number]]&amp;"%22%20%2Bcversion%253A1",RawData[[#This Row],[Document Number]])</f>
        <v>FS1018-EVR-XX-XX-L-O-0002</v>
      </c>
    </row>
    <row r="491" spans="1:12" x14ac:dyDescent="0.3">
      <c r="A491" s="15" t="s">
        <v>1377</v>
      </c>
      <c r="B491" s="15" t="s">
        <v>1378</v>
      </c>
      <c r="C491" s="15" t="s">
        <v>10</v>
      </c>
      <c r="D491" s="15" t="s">
        <v>21</v>
      </c>
      <c r="E491" s="8">
        <v>45729</v>
      </c>
      <c r="F491" s="16" t="s">
        <v>12</v>
      </c>
      <c r="G491" s="16" t="s">
        <v>4</v>
      </c>
      <c r="H491" s="8"/>
      <c r="I491" s="16"/>
      <c r="J491" t="b">
        <v>1</v>
      </c>
      <c r="K491" s="15" t="s">
        <v>1379</v>
      </c>
      <c r="L491" s="15" t="str">
        <f>HYPERLINK("https://uk1.aconex.co.uk/hub/index.html?mainTarget=%2FSearchControlledDoc%3FSEARCH_ACTION%3D15%26tab%3D0%26searchMode%3D1%26searchQuery%3Ddocno:%22"&amp;RawData[[#This Row],[Document Number]]&amp;"%22%20%2Bcversion%253A1",RawData[[#This Row],[Document Number]])</f>
        <v>FS1018-EVR-XX-XX-L-O-0002</v>
      </c>
    </row>
    <row r="492" spans="1:12" x14ac:dyDescent="0.3">
      <c r="A492" s="15" t="s">
        <v>1380</v>
      </c>
      <c r="B492" s="15" t="s">
        <v>1381</v>
      </c>
      <c r="C492" s="15" t="s">
        <v>14</v>
      </c>
      <c r="D492" s="15" t="s">
        <v>21</v>
      </c>
      <c r="E492" s="8">
        <v>45729</v>
      </c>
      <c r="F492" s="16" t="s">
        <v>12</v>
      </c>
      <c r="G492" s="16" t="s">
        <v>4</v>
      </c>
      <c r="H492" s="8"/>
      <c r="I492" s="16"/>
      <c r="J492" t="b">
        <v>0</v>
      </c>
      <c r="K492" s="15" t="s">
        <v>1382</v>
      </c>
      <c r="L492" s="15" t="str">
        <f>HYPERLINK("https://uk1.aconex.co.uk/hub/index.html?mainTarget=%2FSearchControlledDoc%3FSEARCH_ACTION%3D15%26tab%3D0%26searchMode%3D1%26searchQuery%3Ddocno:%22"&amp;RawData[[#This Row],[Document Number]]&amp;"%22%20%2Bcversion%253A1",RawData[[#This Row],[Document Number]])</f>
        <v>FS1018-EVR-XX-XX-L-O-0003</v>
      </c>
    </row>
    <row r="493" spans="1:12" x14ac:dyDescent="0.3">
      <c r="A493" s="15" t="s">
        <v>1383</v>
      </c>
      <c r="B493" s="15" t="s">
        <v>1384</v>
      </c>
      <c r="C493" s="15" t="s">
        <v>10</v>
      </c>
      <c r="D493" s="15" t="s">
        <v>21</v>
      </c>
      <c r="E493" s="8">
        <v>45729</v>
      </c>
      <c r="F493" s="16" t="s">
        <v>12</v>
      </c>
      <c r="G493" s="16" t="s">
        <v>4</v>
      </c>
      <c r="H493" s="8"/>
      <c r="I493" s="16"/>
      <c r="J493" t="b">
        <v>1</v>
      </c>
      <c r="K493" s="15" t="s">
        <v>1385</v>
      </c>
      <c r="L493" s="15" t="str">
        <f>HYPERLINK("https://uk1.aconex.co.uk/hub/index.html?mainTarget=%2FSearchControlledDoc%3FSEARCH_ACTION%3D15%26tab%3D0%26searchMode%3D1%26searchQuery%3Ddocno:%22"&amp;RawData[[#This Row],[Document Number]]&amp;"%22%20%2Bcversion%253A1",RawData[[#This Row],[Document Number]])</f>
        <v>FS1018-EVR-XX-XX-L-O-0004</v>
      </c>
    </row>
    <row r="494" spans="1:12" ht="43.2" x14ac:dyDescent="0.3">
      <c r="A494" s="15" t="s">
        <v>1386</v>
      </c>
      <c r="B494" s="15" t="s">
        <v>1387</v>
      </c>
      <c r="C494" s="15" t="s">
        <v>14</v>
      </c>
      <c r="D494" s="15" t="s">
        <v>20</v>
      </c>
      <c r="E494" s="8">
        <v>45532</v>
      </c>
      <c r="F494" s="16" t="s">
        <v>1357</v>
      </c>
      <c r="G494" s="16" t="s">
        <v>40</v>
      </c>
      <c r="H494" s="8">
        <v>45669</v>
      </c>
      <c r="I494" s="16" t="s">
        <v>71</v>
      </c>
      <c r="J494" t="b">
        <v>0</v>
      </c>
      <c r="K494" s="15" t="s">
        <v>1388</v>
      </c>
      <c r="L494" s="15" t="str">
        <f>HYPERLINK("https://uk1.aconex.co.uk/hub/index.html?mainTarget=%2FSearchControlledDoc%3FSEARCH_ACTION%3D15%26tab%3D0%26searchMode%3D1%26searchQuery%3Ddocno:%22"&amp;RawData[[#This Row],[Document Number]]&amp;"%22%20%2Bcversion%253A1",RawData[[#This Row],[Document Number]])</f>
        <v>FS1018-EVR-XX-XX-T-O-0001</v>
      </c>
    </row>
    <row r="495" spans="1:12" x14ac:dyDescent="0.3">
      <c r="A495" s="15" t="s">
        <v>1389</v>
      </c>
      <c r="B495" s="15" t="s">
        <v>1390</v>
      </c>
      <c r="C495" s="15" t="s">
        <v>14</v>
      </c>
      <c r="D495" s="15" t="s">
        <v>21</v>
      </c>
      <c r="E495" s="8">
        <v>45729</v>
      </c>
      <c r="F495" s="16" t="s">
        <v>12</v>
      </c>
      <c r="G495" s="16" t="s">
        <v>4</v>
      </c>
      <c r="H495" s="8"/>
      <c r="I495" s="16"/>
      <c r="J495" t="b">
        <v>0</v>
      </c>
      <c r="K495" s="15" t="s">
        <v>1391</v>
      </c>
      <c r="L495" s="15" t="str">
        <f>HYPERLINK("https://uk1.aconex.co.uk/hub/index.html?mainTarget=%2FSearchControlledDoc%3FSEARCH_ACTION%3D15%26tab%3D0%26searchMode%3D1%26searchQuery%3Ddocno:%22"&amp;RawData[[#This Row],[Document Number]]&amp;"%22%20%2Bcversion%253A1",RawData[[#This Row],[Document Number]])</f>
        <v>FS1018-EVR-XX-XX-T-O-0002</v>
      </c>
    </row>
    <row r="496" spans="1:12" ht="43.2" x14ac:dyDescent="0.3">
      <c r="A496" s="15" t="s">
        <v>1392</v>
      </c>
      <c r="B496" s="15" t="s">
        <v>1393</v>
      </c>
      <c r="C496" s="15" t="s">
        <v>14</v>
      </c>
      <c r="D496" s="15" t="s">
        <v>20</v>
      </c>
      <c r="E496" s="8">
        <v>45175</v>
      </c>
      <c r="F496" s="16" t="s">
        <v>1357</v>
      </c>
      <c r="G496" s="16" t="s">
        <v>22</v>
      </c>
      <c r="H496" s="8">
        <v>45195</v>
      </c>
      <c r="I496" s="16" t="s">
        <v>1394</v>
      </c>
      <c r="J496" t="b">
        <v>0</v>
      </c>
      <c r="K496" s="15" t="s">
        <v>1395</v>
      </c>
      <c r="L496" s="15" t="str">
        <f>HYPERLINK("https://uk1.aconex.co.uk/hub/index.html?mainTarget=%2FSearchControlledDoc%3FSEARCH_ACTION%3D15%26tab%3D0%26searchMode%3D1%26searchQuery%3Ddocno:%22"&amp;RawData[[#This Row],[Document Number]]&amp;"%22%20%2Bcversion%253A1",RawData[[#This Row],[Document Number]])</f>
        <v>FS1018-EVR-XX-XX-T-O-0003</v>
      </c>
    </row>
    <row r="497" spans="1:12" x14ac:dyDescent="0.3">
      <c r="A497" s="15" t="s">
        <v>1396</v>
      </c>
      <c r="B497" s="15" t="s">
        <v>1397</v>
      </c>
      <c r="C497" s="15" t="s">
        <v>14</v>
      </c>
      <c r="D497" s="15" t="s">
        <v>21</v>
      </c>
      <c r="E497" s="8">
        <v>45729</v>
      </c>
      <c r="F497" s="16" t="s">
        <v>12</v>
      </c>
      <c r="G497" s="16" t="s">
        <v>4</v>
      </c>
      <c r="H497" s="8"/>
      <c r="I497" s="16"/>
      <c r="J497" t="b">
        <v>0</v>
      </c>
      <c r="K497" s="15" t="s">
        <v>1398</v>
      </c>
      <c r="L497" s="15" t="str">
        <f>HYPERLINK("https://uk1.aconex.co.uk/hub/index.html?mainTarget=%2FSearchControlledDoc%3FSEARCH_ACTION%3D15%26tab%3D0%26searchMode%3D1%26searchQuery%3Ddocno:%22"&amp;RawData[[#This Row],[Document Number]]&amp;"%22%20%2Bcversion%253A1",RawData[[#This Row],[Document Number]])</f>
        <v>FS1018-EVR-XX-XX-T-O-0004</v>
      </c>
    </row>
    <row r="498" spans="1:12" x14ac:dyDescent="0.3">
      <c r="A498" s="15" t="s">
        <v>1399</v>
      </c>
      <c r="B498" s="15" t="s">
        <v>1400</v>
      </c>
      <c r="C498" s="15" t="s">
        <v>14</v>
      </c>
      <c r="D498" s="15" t="s">
        <v>21</v>
      </c>
      <c r="E498" s="8">
        <v>45729</v>
      </c>
      <c r="F498" s="16" t="s">
        <v>12</v>
      </c>
      <c r="G498" s="16" t="s">
        <v>4</v>
      </c>
      <c r="H498" s="8"/>
      <c r="I498" s="16"/>
      <c r="J498" t="b">
        <v>0</v>
      </c>
      <c r="K498" s="15" t="s">
        <v>1401</v>
      </c>
      <c r="L498" s="15" t="str">
        <f>HYPERLINK("https://uk1.aconex.co.uk/hub/index.html?mainTarget=%2FSearchControlledDoc%3FSEARCH_ACTION%3D15%26tab%3D0%26searchMode%3D1%26searchQuery%3Ddocno:%22"&amp;RawData[[#This Row],[Document Number]]&amp;"%22%20%2Bcversion%253A1",RawData[[#This Row],[Document Number]])</f>
        <v>FS1018-EVR-XX-XX-T-O-0005</v>
      </c>
    </row>
    <row r="499" spans="1:12" x14ac:dyDescent="0.3">
      <c r="A499" s="15" t="s">
        <v>1402</v>
      </c>
      <c r="B499" s="15" t="s">
        <v>1403</v>
      </c>
      <c r="C499" s="15" t="s">
        <v>14</v>
      </c>
      <c r="D499" s="15" t="s">
        <v>21</v>
      </c>
      <c r="E499" s="8">
        <v>45729</v>
      </c>
      <c r="F499" s="16" t="s">
        <v>12</v>
      </c>
      <c r="G499" s="16" t="s">
        <v>4</v>
      </c>
      <c r="H499" s="8"/>
      <c r="I499" s="16"/>
      <c r="J499" t="b">
        <v>0</v>
      </c>
      <c r="K499" s="15" t="s">
        <v>1404</v>
      </c>
      <c r="L499" s="15" t="str">
        <f>HYPERLINK("https://uk1.aconex.co.uk/hub/index.html?mainTarget=%2FSearchControlledDoc%3FSEARCH_ACTION%3D15%26tab%3D0%26searchMode%3D1%26searchQuery%3Ddocno:%22"&amp;RawData[[#This Row],[Document Number]]&amp;"%22%20%2Bcversion%253A1",RawData[[#This Row],[Document Number]])</f>
        <v>FS1018-EVR-XX-XX-T-O-0006</v>
      </c>
    </row>
    <row r="500" spans="1:12" x14ac:dyDescent="0.3">
      <c r="A500" s="15" t="s">
        <v>1405</v>
      </c>
      <c r="B500" s="15" t="s">
        <v>1406</v>
      </c>
      <c r="C500" s="15" t="s">
        <v>14</v>
      </c>
      <c r="D500" s="15" t="s">
        <v>21</v>
      </c>
      <c r="E500" s="8">
        <v>45729</v>
      </c>
      <c r="F500" s="16" t="s">
        <v>12</v>
      </c>
      <c r="G500" s="16" t="s">
        <v>4</v>
      </c>
      <c r="H500" s="8"/>
      <c r="I500" s="16"/>
      <c r="J500" t="b">
        <v>0</v>
      </c>
      <c r="K500" s="15" t="s">
        <v>1407</v>
      </c>
      <c r="L500" s="15" t="str">
        <f>HYPERLINK("https://uk1.aconex.co.uk/hub/index.html?mainTarget=%2FSearchControlledDoc%3FSEARCH_ACTION%3D15%26tab%3D0%26searchMode%3D1%26searchQuery%3Ddocno:%22"&amp;RawData[[#This Row],[Document Number]]&amp;"%22%20%2Bcversion%253A1",RawData[[#This Row],[Document Number]])</f>
        <v>FS1018-EVR-XX-XX-T-O-0007</v>
      </c>
    </row>
    <row r="501" spans="1:12" ht="43.2" x14ac:dyDescent="0.3">
      <c r="A501" s="15" t="s">
        <v>1408</v>
      </c>
      <c r="B501" s="15" t="s">
        <v>1409</v>
      </c>
      <c r="C501" s="15" t="s">
        <v>11</v>
      </c>
      <c r="D501" s="15" t="s">
        <v>20</v>
      </c>
      <c r="E501" s="8">
        <v>45638</v>
      </c>
      <c r="F501" s="16" t="s">
        <v>78</v>
      </c>
      <c r="G501" s="16" t="s">
        <v>40</v>
      </c>
      <c r="H501" s="8">
        <v>45669</v>
      </c>
      <c r="I501" s="16" t="s">
        <v>71</v>
      </c>
      <c r="J501" t="b">
        <v>0</v>
      </c>
      <c r="K501" s="15" t="s">
        <v>1410</v>
      </c>
      <c r="L501" s="15" t="str">
        <f>HYPERLINK("https://uk1.aconex.co.uk/hub/index.html?mainTarget=%2FSearchControlledDoc%3FSEARCH_ACTION%3D15%26tab%3D0%26searchMode%3D1%26searchQuery%3Ddocno:%22"&amp;RawData[[#This Row],[Document Number]]&amp;"%22%20%2Bcversion%253A1",RawData[[#This Row],[Document Number]])</f>
        <v>FS1018-GLE-XX-XX-T-Z-0001</v>
      </c>
    </row>
    <row r="502" spans="1:12" x14ac:dyDescent="0.3">
      <c r="A502" s="15" t="s">
        <v>1411</v>
      </c>
      <c r="B502" s="15" t="s">
        <v>1412</v>
      </c>
      <c r="C502" s="15" t="s">
        <v>14</v>
      </c>
      <c r="D502" s="15" t="s">
        <v>20</v>
      </c>
      <c r="E502" s="8">
        <v>45167</v>
      </c>
      <c r="F502" s="16" t="s">
        <v>1413</v>
      </c>
      <c r="G502" s="16" t="s">
        <v>1414</v>
      </c>
      <c r="H502" s="8">
        <v>45168</v>
      </c>
      <c r="I502" s="16" t="s">
        <v>1415</v>
      </c>
      <c r="J502" t="b">
        <v>0</v>
      </c>
      <c r="K502" s="15" t="s">
        <v>1416</v>
      </c>
      <c r="L502" s="15" t="str">
        <f>HYPERLINK("https://uk1.aconex.co.uk/hub/index.html?mainTarget=%2FSearchControlledDoc%3FSEARCH_ACTION%3D15%26tab%3D0%26searchMode%3D1%26searchQuery%3Ddocno:%22"&amp;RawData[[#This Row],[Document Number]]&amp;"%22%20%2Bcversion%253A1",RawData[[#This Row],[Document Number]])</f>
        <v>FS1018-HBC-XX-XX-D-R-9999</v>
      </c>
    </row>
    <row r="503" spans="1:12" ht="28.8" x14ac:dyDescent="0.3">
      <c r="A503" s="15" t="s">
        <v>1411</v>
      </c>
      <c r="B503" s="15" t="s">
        <v>1412</v>
      </c>
      <c r="C503" s="15" t="s">
        <v>10</v>
      </c>
      <c r="D503" s="15" t="s">
        <v>20</v>
      </c>
      <c r="E503" s="8">
        <v>45168</v>
      </c>
      <c r="F503" s="16" t="s">
        <v>1413</v>
      </c>
      <c r="G503" s="16" t="s">
        <v>1417</v>
      </c>
      <c r="H503" s="8">
        <v>45194</v>
      </c>
      <c r="I503" s="16" t="s">
        <v>1418</v>
      </c>
      <c r="J503" t="b">
        <v>1</v>
      </c>
      <c r="K503" s="15" t="s">
        <v>1416</v>
      </c>
      <c r="L503" s="15" t="str">
        <f>HYPERLINK("https://uk1.aconex.co.uk/hub/index.html?mainTarget=%2FSearchControlledDoc%3FSEARCH_ACTION%3D15%26tab%3D0%26searchMode%3D1%26searchQuery%3Ddocno:%22"&amp;RawData[[#This Row],[Document Number]]&amp;"%22%20%2Bcversion%253A1",RawData[[#This Row],[Document Number]])</f>
        <v>FS1018-HBC-XX-XX-D-R-9999</v>
      </c>
    </row>
    <row r="504" spans="1:12" ht="43.2" x14ac:dyDescent="0.3">
      <c r="A504" s="15" t="s">
        <v>1419</v>
      </c>
      <c r="B504" s="15" t="s">
        <v>1420</v>
      </c>
      <c r="C504" s="15" t="s">
        <v>14</v>
      </c>
      <c r="D504" s="15" t="s">
        <v>20</v>
      </c>
      <c r="E504" s="8">
        <v>45191</v>
      </c>
      <c r="F504" s="16" t="s">
        <v>939</v>
      </c>
      <c r="G504" s="16" t="s">
        <v>40</v>
      </c>
      <c r="H504" s="8">
        <v>45194</v>
      </c>
      <c r="I504" s="16" t="s">
        <v>1421</v>
      </c>
      <c r="J504" t="b">
        <v>0</v>
      </c>
      <c r="K504" s="15" t="s">
        <v>1422</v>
      </c>
      <c r="L504" s="15" t="str">
        <f>HYPERLINK("https://uk1.aconex.co.uk/hub/index.html?mainTarget=%2FSearchControlledDoc%3FSEARCH_ACTION%3D15%26tab%3D0%26searchMode%3D1%26searchQuery%3Ddocno:%22"&amp;RawData[[#This Row],[Document Number]]&amp;"%22%20%2Bcversion%253A1",RawData[[#This Row],[Document Number]])</f>
        <v>FS1018-HBC-XX-XX-D-X-0001</v>
      </c>
    </row>
    <row r="505" spans="1:12" ht="28.8" x14ac:dyDescent="0.3">
      <c r="A505" s="15" t="s">
        <v>1419</v>
      </c>
      <c r="B505" s="15" t="s">
        <v>1423</v>
      </c>
      <c r="C505" s="15" t="s">
        <v>14</v>
      </c>
      <c r="D505" s="15" t="s">
        <v>21</v>
      </c>
      <c r="E505" s="8">
        <v>45735</v>
      </c>
      <c r="F505" s="16" t="s">
        <v>23</v>
      </c>
      <c r="G505" s="16" t="s">
        <v>4</v>
      </c>
      <c r="H505" s="8"/>
      <c r="I505" s="16"/>
      <c r="J505" t="b">
        <v>0</v>
      </c>
      <c r="K505" s="15" t="s">
        <v>1424</v>
      </c>
      <c r="L505" s="15" t="str">
        <f>HYPERLINK("https://uk1.aconex.co.uk/hub/index.html?mainTarget=%2FSearchControlledDoc%3FSEARCH_ACTION%3D15%26tab%3D0%26searchMode%3D1%26searchQuery%3Ddocno:%22"&amp;RawData[[#This Row],[Document Number]]&amp;"%22%20%2Bcversion%253A1",RawData[[#This Row],[Document Number]])</f>
        <v>FS1018-HBC-XX-XX-D-X-0001</v>
      </c>
    </row>
    <row r="506" spans="1:12" ht="57.6" x14ac:dyDescent="0.3">
      <c r="A506" s="15" t="s">
        <v>1419</v>
      </c>
      <c r="B506" s="15" t="s">
        <v>1423</v>
      </c>
      <c r="C506" s="15" t="s">
        <v>14</v>
      </c>
      <c r="D506" s="15" t="s">
        <v>21</v>
      </c>
      <c r="E506" s="8">
        <v>45729</v>
      </c>
      <c r="F506" s="16" t="s">
        <v>12</v>
      </c>
      <c r="G506" s="16" t="s">
        <v>22</v>
      </c>
      <c r="H506" s="8">
        <v>45735</v>
      </c>
      <c r="I506" s="16" t="s">
        <v>1425</v>
      </c>
      <c r="J506" t="b">
        <v>0</v>
      </c>
      <c r="K506" s="15" t="s">
        <v>1424</v>
      </c>
      <c r="L506" s="15" t="str">
        <f>HYPERLINK("https://uk1.aconex.co.uk/hub/index.html?mainTarget=%2FSearchControlledDoc%3FSEARCH_ACTION%3D15%26tab%3D0%26searchMode%3D1%26searchQuery%3Ddocno:%22"&amp;RawData[[#This Row],[Document Number]]&amp;"%22%20%2Bcversion%253A1",RawData[[#This Row],[Document Number]])</f>
        <v>FS1018-HBC-XX-XX-D-X-0001</v>
      </c>
    </row>
    <row r="507" spans="1:12" ht="129.6" x14ac:dyDescent="0.3">
      <c r="A507" s="15" t="s">
        <v>1426</v>
      </c>
      <c r="B507" s="15" t="s">
        <v>1427</v>
      </c>
      <c r="C507" s="15" t="s">
        <v>14</v>
      </c>
      <c r="D507" s="15" t="s">
        <v>20</v>
      </c>
      <c r="E507" s="8">
        <v>45175</v>
      </c>
      <c r="F507" s="16" t="s">
        <v>939</v>
      </c>
      <c r="G507" s="16" t="s">
        <v>22</v>
      </c>
      <c r="H507" s="8">
        <v>45190</v>
      </c>
      <c r="I507" s="16" t="s">
        <v>1428</v>
      </c>
      <c r="J507" t="b">
        <v>0</v>
      </c>
      <c r="K507" s="15" t="s">
        <v>1429</v>
      </c>
      <c r="L507" s="15" t="str">
        <f>HYPERLINK("https://uk1.aconex.co.uk/hub/index.html?mainTarget=%2FSearchControlledDoc%3FSEARCH_ACTION%3D15%26tab%3D0%26searchMode%3D1%26searchQuery%3Ddocno:%22"&amp;RawData[[#This Row],[Document Number]]&amp;"%22%20%2Bcversion%253A1",RawData[[#This Row],[Document Number]])</f>
        <v>FS1018-HBC-XX-XX-D-X-0002</v>
      </c>
    </row>
    <row r="508" spans="1:12" ht="28.8" x14ac:dyDescent="0.3">
      <c r="A508" s="15" t="s">
        <v>1426</v>
      </c>
      <c r="B508" s="15" t="s">
        <v>1427</v>
      </c>
      <c r="C508" s="15" t="s">
        <v>14</v>
      </c>
      <c r="D508" s="15" t="s">
        <v>20</v>
      </c>
      <c r="E508" s="8">
        <v>45201</v>
      </c>
      <c r="F508" s="16" t="s">
        <v>939</v>
      </c>
      <c r="G508" s="16" t="s">
        <v>34</v>
      </c>
      <c r="H508" s="8">
        <v>45208</v>
      </c>
      <c r="I508" s="16"/>
      <c r="J508" t="b">
        <v>0</v>
      </c>
      <c r="K508" s="15" t="s">
        <v>1429</v>
      </c>
      <c r="L508" s="15" t="str">
        <f>HYPERLINK("https://uk1.aconex.co.uk/hub/index.html?mainTarget=%2FSearchControlledDoc%3FSEARCH_ACTION%3D15%26tab%3D0%26searchMode%3D1%26searchQuery%3Ddocno:%22"&amp;RawData[[#This Row],[Document Number]]&amp;"%22%20%2Bcversion%253A1",RawData[[#This Row],[Document Number]])</f>
        <v>FS1018-HBC-XX-XX-D-X-0002</v>
      </c>
    </row>
    <row r="509" spans="1:12" ht="43.2" x14ac:dyDescent="0.3">
      <c r="A509" s="15" t="s">
        <v>1426</v>
      </c>
      <c r="B509" s="15" t="s">
        <v>1427</v>
      </c>
      <c r="C509" s="15" t="s">
        <v>10</v>
      </c>
      <c r="D509" s="15" t="s">
        <v>20</v>
      </c>
      <c r="E509" s="8">
        <v>45505</v>
      </c>
      <c r="F509" s="16" t="s">
        <v>939</v>
      </c>
      <c r="G509" s="16" t="s">
        <v>40</v>
      </c>
      <c r="H509" s="8">
        <v>45669</v>
      </c>
      <c r="I509" s="16" t="s">
        <v>71</v>
      </c>
      <c r="J509" t="b">
        <v>1</v>
      </c>
      <c r="K509" s="15" t="s">
        <v>1429</v>
      </c>
      <c r="L509" s="15" t="str">
        <f>HYPERLINK("https://uk1.aconex.co.uk/hub/index.html?mainTarget=%2FSearchControlledDoc%3FSEARCH_ACTION%3D15%26tab%3D0%26searchMode%3D1%26searchQuery%3Ddocno:%22"&amp;RawData[[#This Row],[Document Number]]&amp;"%22%20%2Bcversion%253A1",RawData[[#This Row],[Document Number]])</f>
        <v>FS1018-HBC-XX-XX-D-X-0002</v>
      </c>
    </row>
    <row r="510" spans="1:12" ht="28.8" x14ac:dyDescent="0.3">
      <c r="A510" s="15" t="s">
        <v>1430</v>
      </c>
      <c r="B510" s="15" t="s">
        <v>1431</v>
      </c>
      <c r="C510" s="15" t="s">
        <v>14</v>
      </c>
      <c r="D510" s="15" t="s">
        <v>20</v>
      </c>
      <c r="E510" s="8">
        <v>45201</v>
      </c>
      <c r="F510" s="16" t="s">
        <v>939</v>
      </c>
      <c r="G510" s="16" t="s">
        <v>34</v>
      </c>
      <c r="H510" s="8">
        <v>45208</v>
      </c>
      <c r="I510" s="16"/>
      <c r="J510" t="b">
        <v>0</v>
      </c>
      <c r="K510" s="15" t="s">
        <v>1432</v>
      </c>
      <c r="L510" s="15" t="str">
        <f>HYPERLINK("https://uk1.aconex.co.uk/hub/index.html?mainTarget=%2FSearchControlledDoc%3FSEARCH_ACTION%3D15%26tab%3D0%26searchMode%3D1%26searchQuery%3Ddocno:%22"&amp;RawData[[#This Row],[Document Number]]&amp;"%22%20%2Bcversion%253A1",RawData[[#This Row],[Document Number]])</f>
        <v>FS1018-HBC-XX-XX-D-X-0003</v>
      </c>
    </row>
    <row r="511" spans="1:12" ht="43.2" x14ac:dyDescent="0.3">
      <c r="A511" s="15" t="s">
        <v>1430</v>
      </c>
      <c r="B511" s="15" t="s">
        <v>1433</v>
      </c>
      <c r="C511" s="15" t="s">
        <v>10</v>
      </c>
      <c r="D511" s="15" t="s">
        <v>20</v>
      </c>
      <c r="E511" s="8">
        <v>45505</v>
      </c>
      <c r="F511" s="16" t="s">
        <v>939</v>
      </c>
      <c r="G511" s="16" t="s">
        <v>40</v>
      </c>
      <c r="H511" s="8">
        <v>45669</v>
      </c>
      <c r="I511" s="16" t="s">
        <v>71</v>
      </c>
      <c r="J511" t="b">
        <v>1</v>
      </c>
      <c r="K511" s="15" t="s">
        <v>1434</v>
      </c>
      <c r="L511" s="15" t="str">
        <f>HYPERLINK("https://uk1.aconex.co.uk/hub/index.html?mainTarget=%2FSearchControlledDoc%3FSEARCH_ACTION%3D15%26tab%3D0%26searchMode%3D1%26searchQuery%3Ddocno:%22"&amp;RawData[[#This Row],[Document Number]]&amp;"%22%20%2Bcversion%253A1",RawData[[#This Row],[Document Number]])</f>
        <v>FS1018-HBC-XX-XX-D-X-0003</v>
      </c>
    </row>
    <row r="512" spans="1:12" ht="28.8" x14ac:dyDescent="0.3">
      <c r="A512" s="15" t="s">
        <v>1430</v>
      </c>
      <c r="B512" s="15" t="s">
        <v>1431</v>
      </c>
      <c r="C512" s="15" t="s">
        <v>10</v>
      </c>
      <c r="D512" s="15" t="s">
        <v>20</v>
      </c>
      <c r="E512" s="8">
        <v>45729</v>
      </c>
      <c r="F512" s="16" t="s">
        <v>12</v>
      </c>
      <c r="G512" s="16" t="s">
        <v>25</v>
      </c>
      <c r="H512" s="8">
        <v>45735</v>
      </c>
      <c r="I512" s="16" t="s">
        <v>1435</v>
      </c>
      <c r="J512" t="b">
        <v>1</v>
      </c>
      <c r="K512" s="15" t="s">
        <v>1432</v>
      </c>
      <c r="L512" s="15" t="str">
        <f>HYPERLINK("https://uk1.aconex.co.uk/hub/index.html?mainTarget=%2FSearchControlledDoc%3FSEARCH_ACTION%3D15%26tab%3D0%26searchMode%3D1%26searchQuery%3Ddocno:%22"&amp;RawData[[#This Row],[Document Number]]&amp;"%22%20%2Bcversion%253A1",RawData[[#This Row],[Document Number]])</f>
        <v>FS1018-HBC-XX-XX-D-X-0003</v>
      </c>
    </row>
    <row r="513" spans="1:12" ht="28.8" x14ac:dyDescent="0.3">
      <c r="A513" s="15" t="s">
        <v>1436</v>
      </c>
      <c r="B513" s="15" t="s">
        <v>1437</v>
      </c>
      <c r="C513" s="15" t="s">
        <v>14</v>
      </c>
      <c r="D513" s="15" t="s">
        <v>20</v>
      </c>
      <c r="E513" s="8">
        <v>45201</v>
      </c>
      <c r="F513" s="16" t="s">
        <v>939</v>
      </c>
      <c r="G513" s="16" t="s">
        <v>34</v>
      </c>
      <c r="H513" s="8">
        <v>45208</v>
      </c>
      <c r="I513" s="16"/>
      <c r="J513" t="b">
        <v>0</v>
      </c>
      <c r="K513" s="15" t="s">
        <v>1438</v>
      </c>
      <c r="L513" s="15" t="str">
        <f>HYPERLINK("https://uk1.aconex.co.uk/hub/index.html?mainTarget=%2FSearchControlledDoc%3FSEARCH_ACTION%3D15%26tab%3D0%26searchMode%3D1%26searchQuery%3Ddocno:%22"&amp;RawData[[#This Row],[Document Number]]&amp;"%22%20%2Bcversion%253A1",RawData[[#This Row],[Document Number]])</f>
        <v>FS1018-HBC-XX-XX-D-X-0004</v>
      </c>
    </row>
    <row r="514" spans="1:12" ht="43.2" x14ac:dyDescent="0.3">
      <c r="A514" s="15" t="s">
        <v>1436</v>
      </c>
      <c r="B514" s="15" t="s">
        <v>1439</v>
      </c>
      <c r="C514" s="15" t="s">
        <v>10</v>
      </c>
      <c r="D514" s="15" t="s">
        <v>20</v>
      </c>
      <c r="E514" s="8">
        <v>45505</v>
      </c>
      <c r="F514" s="16" t="s">
        <v>939</v>
      </c>
      <c r="G514" s="16" t="s">
        <v>40</v>
      </c>
      <c r="H514" s="8">
        <v>45669</v>
      </c>
      <c r="I514" s="16" t="s">
        <v>71</v>
      </c>
      <c r="J514" t="b">
        <v>1</v>
      </c>
      <c r="K514" s="15" t="s">
        <v>1440</v>
      </c>
      <c r="L514" s="15" t="str">
        <f>HYPERLINK("https://uk1.aconex.co.uk/hub/index.html?mainTarget=%2FSearchControlledDoc%3FSEARCH_ACTION%3D15%26tab%3D0%26searchMode%3D1%26searchQuery%3Ddocno:%22"&amp;RawData[[#This Row],[Document Number]]&amp;"%22%20%2Bcversion%253A1",RawData[[#This Row],[Document Number]])</f>
        <v>FS1018-HBC-XX-XX-D-X-0004</v>
      </c>
    </row>
    <row r="515" spans="1:12" ht="28.8" x14ac:dyDescent="0.3">
      <c r="A515" s="15" t="s">
        <v>1436</v>
      </c>
      <c r="B515" s="15" t="s">
        <v>1441</v>
      </c>
      <c r="C515" s="15" t="s">
        <v>10</v>
      </c>
      <c r="D515" s="15" t="s">
        <v>21</v>
      </c>
      <c r="E515" s="8">
        <v>45735</v>
      </c>
      <c r="F515" s="16" t="s">
        <v>23</v>
      </c>
      <c r="G515" s="16" t="s">
        <v>4</v>
      </c>
      <c r="H515" s="8"/>
      <c r="I515" s="16"/>
      <c r="J515" t="b">
        <v>1</v>
      </c>
      <c r="K515" s="15" t="s">
        <v>1442</v>
      </c>
      <c r="L515" s="15" t="str">
        <f>HYPERLINK("https://uk1.aconex.co.uk/hub/index.html?mainTarget=%2FSearchControlledDoc%3FSEARCH_ACTION%3D15%26tab%3D0%26searchMode%3D1%26searchQuery%3Ddocno:%22"&amp;RawData[[#This Row],[Document Number]]&amp;"%22%20%2Bcversion%253A1",RawData[[#This Row],[Document Number]])</f>
        <v>FS1018-HBC-XX-XX-D-X-0004</v>
      </c>
    </row>
    <row r="516" spans="1:12" ht="115.2" x14ac:dyDescent="0.3">
      <c r="A516" s="15" t="s">
        <v>1436</v>
      </c>
      <c r="B516" s="15" t="s">
        <v>1441</v>
      </c>
      <c r="C516" s="15" t="s">
        <v>10</v>
      </c>
      <c r="D516" s="15" t="s">
        <v>21</v>
      </c>
      <c r="E516" s="8">
        <v>45729</v>
      </c>
      <c r="F516" s="16" t="s">
        <v>12</v>
      </c>
      <c r="G516" s="16" t="s">
        <v>1443</v>
      </c>
      <c r="H516" s="8">
        <v>45735</v>
      </c>
      <c r="I516" s="16" t="s">
        <v>1444</v>
      </c>
      <c r="J516" t="b">
        <v>1</v>
      </c>
      <c r="K516" s="15" t="s">
        <v>1442</v>
      </c>
      <c r="L516" s="15" t="str">
        <f>HYPERLINK("https://uk1.aconex.co.uk/hub/index.html?mainTarget=%2FSearchControlledDoc%3FSEARCH_ACTION%3D15%26tab%3D0%26searchMode%3D1%26searchQuery%3Ddocno:%22"&amp;RawData[[#This Row],[Document Number]]&amp;"%22%20%2Bcversion%253A1",RawData[[#This Row],[Document Number]])</f>
        <v>FS1018-HBC-XX-XX-D-X-0004</v>
      </c>
    </row>
    <row r="517" spans="1:12" ht="43.2" x14ac:dyDescent="0.3">
      <c r="A517" s="15" t="s">
        <v>1445</v>
      </c>
      <c r="B517" s="15" t="s">
        <v>1446</v>
      </c>
      <c r="C517" s="15" t="s">
        <v>14</v>
      </c>
      <c r="D517" s="15" t="s">
        <v>20</v>
      </c>
      <c r="E517" s="8">
        <v>45638</v>
      </c>
      <c r="F517" s="16" t="s">
        <v>78</v>
      </c>
      <c r="G517" s="16" t="s">
        <v>40</v>
      </c>
      <c r="H517" s="8">
        <v>45669</v>
      </c>
      <c r="I517" s="16" t="s">
        <v>71</v>
      </c>
      <c r="J517" t="b">
        <v>0</v>
      </c>
      <c r="K517" s="15" t="s">
        <v>1447</v>
      </c>
      <c r="L517" s="15" t="str">
        <f>HYPERLINK("https://uk1.aconex.co.uk/hub/index.html?mainTarget=%2FSearchControlledDoc%3FSEARCH_ACTION%3D15%26tab%3D0%26searchMode%3D1%26searchQuery%3Ddocno:%22"&amp;RawData[[#This Row],[Document Number]]&amp;"%22%20%2Bcversion%253A1",RawData[[#This Row],[Document Number]])</f>
        <v>FS1018-HBC-XX-XX-D-X-0005</v>
      </c>
    </row>
    <row r="518" spans="1:12" ht="28.8" x14ac:dyDescent="0.3">
      <c r="A518" s="15" t="s">
        <v>1445</v>
      </c>
      <c r="B518" s="15" t="s">
        <v>1448</v>
      </c>
      <c r="C518" s="15" t="s">
        <v>14</v>
      </c>
      <c r="D518" s="15" t="s">
        <v>21</v>
      </c>
      <c r="E518" s="8">
        <v>45735</v>
      </c>
      <c r="F518" s="16" t="s">
        <v>23</v>
      </c>
      <c r="G518" s="16" t="s">
        <v>4</v>
      </c>
      <c r="H518" s="8"/>
      <c r="I518" s="16"/>
      <c r="J518" t="b">
        <v>0</v>
      </c>
      <c r="K518" s="15" t="s">
        <v>1449</v>
      </c>
      <c r="L518" s="15" t="str">
        <f>HYPERLINK("https://uk1.aconex.co.uk/hub/index.html?mainTarget=%2FSearchControlledDoc%3FSEARCH_ACTION%3D15%26tab%3D0%26searchMode%3D1%26searchQuery%3Ddocno:%22"&amp;RawData[[#This Row],[Document Number]]&amp;"%22%20%2Bcversion%253A1",RawData[[#This Row],[Document Number]])</f>
        <v>FS1018-HBC-XX-XX-D-X-0005</v>
      </c>
    </row>
    <row r="519" spans="1:12" ht="72" x14ac:dyDescent="0.3">
      <c r="A519" s="15" t="s">
        <v>1445</v>
      </c>
      <c r="B519" s="15" t="s">
        <v>1448</v>
      </c>
      <c r="C519" s="15" t="s">
        <v>14</v>
      </c>
      <c r="D519" s="15" t="s">
        <v>21</v>
      </c>
      <c r="E519" s="8">
        <v>45729</v>
      </c>
      <c r="F519" s="16" t="s">
        <v>12</v>
      </c>
      <c r="G519" s="16" t="s">
        <v>1443</v>
      </c>
      <c r="H519" s="8">
        <v>45735</v>
      </c>
      <c r="I519" s="16" t="s">
        <v>1450</v>
      </c>
      <c r="J519" t="b">
        <v>0</v>
      </c>
      <c r="K519" s="15" t="s">
        <v>1449</v>
      </c>
      <c r="L519" s="15" t="str">
        <f>HYPERLINK("https://uk1.aconex.co.uk/hub/index.html?mainTarget=%2FSearchControlledDoc%3FSEARCH_ACTION%3D15%26tab%3D0%26searchMode%3D1%26searchQuery%3Ddocno:%22"&amp;RawData[[#This Row],[Document Number]]&amp;"%22%20%2Bcversion%253A1",RawData[[#This Row],[Document Number]])</f>
        <v>FS1018-HBC-XX-XX-D-X-0005</v>
      </c>
    </row>
    <row r="520" spans="1:12" ht="28.8" x14ac:dyDescent="0.3">
      <c r="A520" s="15" t="s">
        <v>1451</v>
      </c>
      <c r="B520" s="15" t="s">
        <v>1452</v>
      </c>
      <c r="C520" s="15" t="s">
        <v>14</v>
      </c>
      <c r="D520" s="15" t="s">
        <v>21</v>
      </c>
      <c r="E520" s="8">
        <v>45735</v>
      </c>
      <c r="F520" s="16" t="s">
        <v>23</v>
      </c>
      <c r="G520" s="16" t="s">
        <v>4</v>
      </c>
      <c r="H520" s="8"/>
      <c r="I520" s="16"/>
      <c r="J520" t="b">
        <v>0</v>
      </c>
      <c r="K520" s="15" t="s">
        <v>1453</v>
      </c>
      <c r="L520" s="15" t="str">
        <f>HYPERLINK("https://uk1.aconex.co.uk/hub/index.html?mainTarget=%2FSearchControlledDoc%3FSEARCH_ACTION%3D15%26tab%3D0%26searchMode%3D1%26searchQuery%3Ddocno:%22"&amp;RawData[[#This Row],[Document Number]]&amp;"%22%20%2Bcversion%253A1",RawData[[#This Row],[Document Number]])</f>
        <v>FS1018-HBC-XX-XX-D-X-0006</v>
      </c>
    </row>
    <row r="521" spans="1:12" ht="28.8" x14ac:dyDescent="0.3">
      <c r="A521" s="15" t="s">
        <v>1451</v>
      </c>
      <c r="B521" s="15" t="s">
        <v>1452</v>
      </c>
      <c r="C521" s="15" t="s">
        <v>14</v>
      </c>
      <c r="D521" s="15" t="s">
        <v>21</v>
      </c>
      <c r="E521" s="8">
        <v>45729</v>
      </c>
      <c r="F521" s="16" t="s">
        <v>12</v>
      </c>
      <c r="G521" s="16" t="s">
        <v>1443</v>
      </c>
      <c r="H521" s="8">
        <v>45735</v>
      </c>
      <c r="I521" s="16" t="s">
        <v>1454</v>
      </c>
      <c r="J521" t="b">
        <v>0</v>
      </c>
      <c r="K521" s="15" t="s">
        <v>1453</v>
      </c>
      <c r="L521" s="15" t="str">
        <f>HYPERLINK("https://uk1.aconex.co.uk/hub/index.html?mainTarget=%2FSearchControlledDoc%3FSEARCH_ACTION%3D15%26tab%3D0%26searchMode%3D1%26searchQuery%3Ddocno:%22"&amp;RawData[[#This Row],[Document Number]]&amp;"%22%20%2Bcversion%253A1",RawData[[#This Row],[Document Number]])</f>
        <v>FS1018-HBC-XX-XX-D-X-0006</v>
      </c>
    </row>
    <row r="522" spans="1:12" ht="43.2" x14ac:dyDescent="0.3">
      <c r="A522" s="15" t="s">
        <v>1455</v>
      </c>
      <c r="B522" s="15" t="s">
        <v>1456</v>
      </c>
      <c r="C522" s="15" t="s">
        <v>1155</v>
      </c>
      <c r="D522" s="15" t="s">
        <v>20</v>
      </c>
      <c r="E522" s="8">
        <v>45202</v>
      </c>
      <c r="F522" s="16" t="s">
        <v>939</v>
      </c>
      <c r="G522" s="16" t="s">
        <v>40</v>
      </c>
      <c r="H522" s="8">
        <v>45219</v>
      </c>
      <c r="I522" s="16" t="s">
        <v>1457</v>
      </c>
      <c r="J522" t="b">
        <v>0</v>
      </c>
      <c r="K522" s="15" t="s">
        <v>1458</v>
      </c>
      <c r="L522" s="15" t="str">
        <f>HYPERLINK("https://uk1.aconex.co.uk/hub/index.html?mainTarget=%2FSearchControlledDoc%3FSEARCH_ACTION%3D15%26tab%3D0%26searchMode%3D1%26searchQuery%3Ddocno:%22"&amp;RawData[[#This Row],[Document Number]]&amp;"%22%20%2Bcversion%253A1",RawData[[#This Row],[Document Number]])</f>
        <v>FS1018-HBC-XX-XX-L-X-0001</v>
      </c>
    </row>
    <row r="523" spans="1:12" ht="273.60000000000002" x14ac:dyDescent="0.3">
      <c r="A523" s="15" t="s">
        <v>1455</v>
      </c>
      <c r="B523" s="15" t="s">
        <v>1456</v>
      </c>
      <c r="C523" s="15" t="s">
        <v>1459</v>
      </c>
      <c r="D523" s="15" t="s">
        <v>20</v>
      </c>
      <c r="E523" s="8">
        <v>45534</v>
      </c>
      <c r="F523" s="16" t="s">
        <v>78</v>
      </c>
      <c r="G523" s="16" t="s">
        <v>22</v>
      </c>
      <c r="H523" s="8">
        <v>45544</v>
      </c>
      <c r="I523" s="16" t="s">
        <v>1460</v>
      </c>
      <c r="J523" t="b">
        <v>0</v>
      </c>
      <c r="K523" s="15" t="s">
        <v>1458</v>
      </c>
      <c r="L523" s="15" t="str">
        <f>HYPERLINK("https://uk1.aconex.co.uk/hub/index.html?mainTarget=%2FSearchControlledDoc%3FSEARCH_ACTION%3D15%26tab%3D0%26searchMode%3D1%26searchQuery%3Ddocno:%22"&amp;RawData[[#This Row],[Document Number]]&amp;"%22%20%2Bcversion%253A1",RawData[[#This Row],[Document Number]])</f>
        <v>FS1018-HBC-XX-XX-L-X-0001</v>
      </c>
    </row>
    <row r="524" spans="1:12" ht="43.2" x14ac:dyDescent="0.3">
      <c r="A524" s="15" t="s">
        <v>1455</v>
      </c>
      <c r="B524" s="15" t="s">
        <v>1456</v>
      </c>
      <c r="C524" s="15" t="s">
        <v>988</v>
      </c>
      <c r="D524" s="15" t="s">
        <v>20</v>
      </c>
      <c r="E524" s="8">
        <v>45638</v>
      </c>
      <c r="F524" s="16" t="s">
        <v>78</v>
      </c>
      <c r="G524" s="16" t="s">
        <v>40</v>
      </c>
      <c r="H524" s="8">
        <v>45669</v>
      </c>
      <c r="I524" s="16" t="s">
        <v>71</v>
      </c>
      <c r="J524" t="b">
        <v>0</v>
      </c>
      <c r="K524" s="15" t="s">
        <v>1458</v>
      </c>
      <c r="L524" s="15" t="str">
        <f>HYPERLINK("https://uk1.aconex.co.uk/hub/index.html?mainTarget=%2FSearchControlledDoc%3FSEARCH_ACTION%3D15%26tab%3D0%26searchMode%3D1%26searchQuery%3Ddocno:%22"&amp;RawData[[#This Row],[Document Number]]&amp;"%22%20%2Bcversion%253A1",RawData[[#This Row],[Document Number]])</f>
        <v>FS1018-HBC-XX-XX-L-X-0001</v>
      </c>
    </row>
    <row r="525" spans="1:12" x14ac:dyDescent="0.3">
      <c r="A525" s="15" t="s">
        <v>1455</v>
      </c>
      <c r="B525" s="15" t="s">
        <v>1456</v>
      </c>
      <c r="C525" s="15" t="s">
        <v>924</v>
      </c>
      <c r="D525" s="15" t="s">
        <v>21</v>
      </c>
      <c r="E525" s="8">
        <v>45729</v>
      </c>
      <c r="F525" s="16" t="s">
        <v>12</v>
      </c>
      <c r="G525" s="16" t="s">
        <v>4</v>
      </c>
      <c r="H525" s="8"/>
      <c r="I525" s="16"/>
      <c r="J525" t="b">
        <v>0</v>
      </c>
      <c r="K525" s="15" t="s">
        <v>1458</v>
      </c>
      <c r="L525" s="15" t="str">
        <f>HYPERLINK("https://uk1.aconex.co.uk/hub/index.html?mainTarget=%2FSearchControlledDoc%3FSEARCH_ACTION%3D15%26tab%3D0%26searchMode%3D1%26searchQuery%3Ddocno:%22"&amp;RawData[[#This Row],[Document Number]]&amp;"%22%20%2Bcversion%253A1",RawData[[#This Row],[Document Number]])</f>
        <v>FS1018-HBC-XX-XX-L-X-0001</v>
      </c>
    </row>
    <row r="526" spans="1:12" ht="43.2" x14ac:dyDescent="0.3">
      <c r="A526" s="15" t="s">
        <v>1461</v>
      </c>
      <c r="B526" s="15" t="s">
        <v>1462</v>
      </c>
      <c r="C526" s="15" t="s">
        <v>14</v>
      </c>
      <c r="D526" s="15" t="s">
        <v>20</v>
      </c>
      <c r="E526" s="8">
        <v>45175</v>
      </c>
      <c r="F526" s="16" t="s">
        <v>939</v>
      </c>
      <c r="G526" s="16" t="s">
        <v>40</v>
      </c>
      <c r="H526" s="8">
        <v>45190</v>
      </c>
      <c r="I526" s="16" t="s">
        <v>1463</v>
      </c>
      <c r="J526" t="b">
        <v>0</v>
      </c>
      <c r="K526" s="15" t="s">
        <v>1464</v>
      </c>
      <c r="L526" s="15" t="str">
        <f>HYPERLINK("https://uk1.aconex.co.uk/hub/index.html?mainTarget=%2FSearchControlledDoc%3FSEARCH_ACTION%3D15%26tab%3D0%26searchMode%3D1%26searchQuery%3Ddocno:%22"&amp;RawData[[#This Row],[Document Number]]&amp;"%22%20%2Bcversion%253A1",RawData[[#This Row],[Document Number]])</f>
        <v>FS1018-HBC-XX-XX-L-X-0003</v>
      </c>
    </row>
    <row r="527" spans="1:12" ht="43.2" x14ac:dyDescent="0.3">
      <c r="A527" s="15" t="s">
        <v>1461</v>
      </c>
      <c r="B527" s="15" t="s">
        <v>1462</v>
      </c>
      <c r="C527" s="15" t="s">
        <v>10</v>
      </c>
      <c r="D527" s="15" t="s">
        <v>20</v>
      </c>
      <c r="E527" s="8">
        <v>45505</v>
      </c>
      <c r="F527" s="16" t="s">
        <v>939</v>
      </c>
      <c r="G527" s="16" t="s">
        <v>40</v>
      </c>
      <c r="H527" s="8">
        <v>45669</v>
      </c>
      <c r="I527" s="16" t="s">
        <v>71</v>
      </c>
      <c r="J527" t="b">
        <v>1</v>
      </c>
      <c r="K527" s="15" t="s">
        <v>1464</v>
      </c>
      <c r="L527" s="15" t="str">
        <f>HYPERLINK("https://uk1.aconex.co.uk/hub/index.html?mainTarget=%2FSearchControlledDoc%3FSEARCH_ACTION%3D15%26tab%3D0%26searchMode%3D1%26searchQuery%3Ddocno:%22"&amp;RawData[[#This Row],[Document Number]]&amp;"%22%20%2Bcversion%253A1",RawData[[#This Row],[Document Number]])</f>
        <v>FS1018-HBC-XX-XX-L-X-0003</v>
      </c>
    </row>
    <row r="528" spans="1:12" ht="28.8" x14ac:dyDescent="0.3">
      <c r="A528" s="15" t="s">
        <v>1461</v>
      </c>
      <c r="B528" s="15" t="s">
        <v>1462</v>
      </c>
      <c r="C528" s="15" t="s">
        <v>10</v>
      </c>
      <c r="D528" s="15" t="s">
        <v>21</v>
      </c>
      <c r="E528" s="8">
        <v>45735</v>
      </c>
      <c r="F528" s="16" t="s">
        <v>23</v>
      </c>
      <c r="G528" s="16" t="s">
        <v>4</v>
      </c>
      <c r="H528" s="8"/>
      <c r="I528" s="16"/>
      <c r="J528" t="b">
        <v>1</v>
      </c>
      <c r="K528" s="15" t="s">
        <v>1464</v>
      </c>
      <c r="L528" s="15" t="str">
        <f>HYPERLINK("https://uk1.aconex.co.uk/hub/index.html?mainTarget=%2FSearchControlledDoc%3FSEARCH_ACTION%3D15%26tab%3D0%26searchMode%3D1%26searchQuery%3Ddocno:%22"&amp;RawData[[#This Row],[Document Number]]&amp;"%22%20%2Bcversion%253A1",RawData[[#This Row],[Document Number]])</f>
        <v>FS1018-HBC-XX-XX-L-X-0003</v>
      </c>
    </row>
    <row r="529" spans="1:12" ht="129.6" x14ac:dyDescent="0.3">
      <c r="A529" s="15" t="s">
        <v>1461</v>
      </c>
      <c r="B529" s="15" t="s">
        <v>1462</v>
      </c>
      <c r="C529" s="15" t="s">
        <v>10</v>
      </c>
      <c r="D529" s="15" t="s">
        <v>21</v>
      </c>
      <c r="E529" s="8">
        <v>45729</v>
      </c>
      <c r="F529" s="16" t="s">
        <v>12</v>
      </c>
      <c r="G529" s="16" t="s">
        <v>1443</v>
      </c>
      <c r="H529" s="8">
        <v>45735</v>
      </c>
      <c r="I529" s="16" t="s">
        <v>1465</v>
      </c>
      <c r="J529" t="b">
        <v>1</v>
      </c>
      <c r="K529" s="15" t="s">
        <v>1464</v>
      </c>
      <c r="L529" s="15" t="str">
        <f>HYPERLINK("https://uk1.aconex.co.uk/hub/index.html?mainTarget=%2FSearchControlledDoc%3FSEARCH_ACTION%3D15%26tab%3D0%26searchMode%3D1%26searchQuery%3Ddocno:%22"&amp;RawData[[#This Row],[Document Number]]&amp;"%22%20%2Bcversion%253A1",RawData[[#This Row],[Document Number]])</f>
        <v>FS1018-HBC-XX-XX-L-X-0003</v>
      </c>
    </row>
    <row r="530" spans="1:12" ht="43.2" x14ac:dyDescent="0.3">
      <c r="A530" s="15" t="s">
        <v>1466</v>
      </c>
      <c r="B530" s="15" t="s">
        <v>1467</v>
      </c>
      <c r="C530" s="15" t="s">
        <v>14</v>
      </c>
      <c r="D530" s="15" t="s">
        <v>20</v>
      </c>
      <c r="E530" s="8">
        <v>45175</v>
      </c>
      <c r="F530" s="16" t="s">
        <v>939</v>
      </c>
      <c r="G530" s="16" t="s">
        <v>40</v>
      </c>
      <c r="H530" s="8">
        <v>45190</v>
      </c>
      <c r="I530" s="16" t="s">
        <v>1468</v>
      </c>
      <c r="J530" t="b">
        <v>0</v>
      </c>
      <c r="K530" s="15" t="s">
        <v>1469</v>
      </c>
      <c r="L530" s="15" t="str">
        <f>HYPERLINK("https://uk1.aconex.co.uk/hub/index.html?mainTarget=%2FSearchControlledDoc%3FSEARCH_ACTION%3D15%26tab%3D0%26searchMode%3D1%26searchQuery%3Ddocno:%22"&amp;RawData[[#This Row],[Document Number]]&amp;"%22%20%2Bcversion%253A1",RawData[[#This Row],[Document Number]])</f>
        <v>FS1018-HBC-XX-XX-L-X-0004</v>
      </c>
    </row>
    <row r="531" spans="1:12" ht="43.2" x14ac:dyDescent="0.3">
      <c r="A531" s="15" t="s">
        <v>1466</v>
      </c>
      <c r="B531" s="15" t="s">
        <v>1467</v>
      </c>
      <c r="C531" s="15" t="s">
        <v>10</v>
      </c>
      <c r="D531" s="15" t="s">
        <v>20</v>
      </c>
      <c r="E531" s="8">
        <v>45505</v>
      </c>
      <c r="F531" s="16" t="s">
        <v>939</v>
      </c>
      <c r="G531" s="16" t="s">
        <v>40</v>
      </c>
      <c r="H531" s="8">
        <v>45669</v>
      </c>
      <c r="I531" s="16" t="s">
        <v>71</v>
      </c>
      <c r="J531" t="b">
        <v>1</v>
      </c>
      <c r="K531" s="15" t="s">
        <v>1469</v>
      </c>
      <c r="L531" s="15" t="str">
        <f>HYPERLINK("https://uk1.aconex.co.uk/hub/index.html?mainTarget=%2FSearchControlledDoc%3FSEARCH_ACTION%3D15%26tab%3D0%26searchMode%3D1%26searchQuery%3Ddocno:%22"&amp;RawData[[#This Row],[Document Number]]&amp;"%22%20%2Bcversion%253A1",RawData[[#This Row],[Document Number]])</f>
        <v>FS1018-HBC-XX-XX-L-X-0004</v>
      </c>
    </row>
    <row r="532" spans="1:12" ht="28.8" x14ac:dyDescent="0.3">
      <c r="A532" s="15" t="s">
        <v>1466</v>
      </c>
      <c r="B532" s="15" t="s">
        <v>1467</v>
      </c>
      <c r="C532" s="15" t="s">
        <v>10</v>
      </c>
      <c r="D532" s="15" t="s">
        <v>21</v>
      </c>
      <c r="E532" s="8">
        <v>45735</v>
      </c>
      <c r="F532" s="16" t="s">
        <v>23</v>
      </c>
      <c r="G532" s="16" t="s">
        <v>4</v>
      </c>
      <c r="H532" s="8"/>
      <c r="I532" s="16"/>
      <c r="J532" t="b">
        <v>1</v>
      </c>
      <c r="K532" s="15" t="s">
        <v>1469</v>
      </c>
      <c r="L532" s="15" t="str">
        <f>HYPERLINK("https://uk1.aconex.co.uk/hub/index.html?mainTarget=%2FSearchControlledDoc%3FSEARCH_ACTION%3D15%26tab%3D0%26searchMode%3D1%26searchQuery%3Ddocno:%22"&amp;RawData[[#This Row],[Document Number]]&amp;"%22%20%2Bcversion%253A1",RawData[[#This Row],[Document Number]])</f>
        <v>FS1018-HBC-XX-XX-L-X-0004</v>
      </c>
    </row>
    <row r="533" spans="1:12" ht="187.2" x14ac:dyDescent="0.3">
      <c r="A533" s="15" t="s">
        <v>1466</v>
      </c>
      <c r="B533" s="15" t="s">
        <v>1467</v>
      </c>
      <c r="C533" s="15" t="s">
        <v>10</v>
      </c>
      <c r="D533" s="15" t="s">
        <v>21</v>
      </c>
      <c r="E533" s="8">
        <v>45729</v>
      </c>
      <c r="F533" s="16" t="s">
        <v>12</v>
      </c>
      <c r="G533" s="16" t="s">
        <v>1443</v>
      </c>
      <c r="H533" s="8">
        <v>45735</v>
      </c>
      <c r="I533" s="16" t="s">
        <v>1470</v>
      </c>
      <c r="J533" t="b">
        <v>1</v>
      </c>
      <c r="K533" s="15" t="s">
        <v>1469</v>
      </c>
      <c r="L533" s="15" t="str">
        <f>HYPERLINK("https://uk1.aconex.co.uk/hub/index.html?mainTarget=%2FSearchControlledDoc%3FSEARCH_ACTION%3D15%26tab%3D0%26searchMode%3D1%26searchQuery%3Ddocno:%22"&amp;RawData[[#This Row],[Document Number]]&amp;"%22%20%2Bcversion%253A1",RawData[[#This Row],[Document Number]])</f>
        <v>FS1018-HBC-XX-XX-L-X-0004</v>
      </c>
    </row>
    <row r="534" spans="1:12" ht="43.2" x14ac:dyDescent="0.3">
      <c r="A534" s="15" t="s">
        <v>1471</v>
      </c>
      <c r="B534" s="15" t="s">
        <v>1472</v>
      </c>
      <c r="C534" s="15" t="s">
        <v>14</v>
      </c>
      <c r="D534" s="15" t="s">
        <v>20</v>
      </c>
      <c r="E534" s="8">
        <v>45175</v>
      </c>
      <c r="F534" s="16" t="s">
        <v>939</v>
      </c>
      <c r="G534" s="16" t="s">
        <v>40</v>
      </c>
      <c r="H534" s="8">
        <v>45190</v>
      </c>
      <c r="I534" s="16" t="s">
        <v>1473</v>
      </c>
      <c r="J534" t="b">
        <v>0</v>
      </c>
      <c r="K534" s="15" t="s">
        <v>1474</v>
      </c>
      <c r="L534" s="15" t="str">
        <f>HYPERLINK("https://uk1.aconex.co.uk/hub/index.html?mainTarget=%2FSearchControlledDoc%3FSEARCH_ACTION%3D15%26tab%3D0%26searchMode%3D1%26searchQuery%3Ddocno:%22"&amp;RawData[[#This Row],[Document Number]]&amp;"%22%20%2Bcversion%253A1",RawData[[#This Row],[Document Number]])</f>
        <v>FS1018-HBC-XX-XX-L-X-0005</v>
      </c>
    </row>
    <row r="535" spans="1:12" ht="43.2" x14ac:dyDescent="0.3">
      <c r="A535" s="15" t="s">
        <v>1471</v>
      </c>
      <c r="B535" s="15" t="s">
        <v>1472</v>
      </c>
      <c r="C535" s="15" t="s">
        <v>10</v>
      </c>
      <c r="D535" s="15" t="s">
        <v>20</v>
      </c>
      <c r="E535" s="8">
        <v>45505</v>
      </c>
      <c r="F535" s="16" t="s">
        <v>939</v>
      </c>
      <c r="G535" s="16" t="s">
        <v>40</v>
      </c>
      <c r="H535" s="8">
        <v>45669</v>
      </c>
      <c r="I535" s="16" t="s">
        <v>71</v>
      </c>
      <c r="J535" t="b">
        <v>1</v>
      </c>
      <c r="K535" s="15" t="s">
        <v>1474</v>
      </c>
      <c r="L535" s="15" t="str">
        <f>HYPERLINK("https://uk1.aconex.co.uk/hub/index.html?mainTarget=%2FSearchControlledDoc%3FSEARCH_ACTION%3D15%26tab%3D0%26searchMode%3D1%26searchQuery%3Ddocno:%22"&amp;RawData[[#This Row],[Document Number]]&amp;"%22%20%2Bcversion%253A1",RawData[[#This Row],[Document Number]])</f>
        <v>FS1018-HBC-XX-XX-L-X-0005</v>
      </c>
    </row>
    <row r="536" spans="1:12" ht="28.8" x14ac:dyDescent="0.3">
      <c r="A536" s="15" t="s">
        <v>1471</v>
      </c>
      <c r="B536" s="15" t="s">
        <v>1472</v>
      </c>
      <c r="C536" s="15" t="s">
        <v>10</v>
      </c>
      <c r="D536" s="15" t="s">
        <v>21</v>
      </c>
      <c r="E536" s="8">
        <v>45735</v>
      </c>
      <c r="F536" s="16" t="s">
        <v>23</v>
      </c>
      <c r="G536" s="16" t="s">
        <v>4</v>
      </c>
      <c r="H536" s="8"/>
      <c r="I536" s="16"/>
      <c r="J536" t="b">
        <v>1</v>
      </c>
      <c r="K536" s="15" t="s">
        <v>1474</v>
      </c>
      <c r="L536" s="15" t="str">
        <f>HYPERLINK("https://uk1.aconex.co.uk/hub/index.html?mainTarget=%2FSearchControlledDoc%3FSEARCH_ACTION%3D15%26tab%3D0%26searchMode%3D1%26searchQuery%3Ddocno:%22"&amp;RawData[[#This Row],[Document Number]]&amp;"%22%20%2Bcversion%253A1",RawData[[#This Row],[Document Number]])</f>
        <v>FS1018-HBC-XX-XX-L-X-0005</v>
      </c>
    </row>
    <row r="537" spans="1:12" ht="43.2" x14ac:dyDescent="0.3">
      <c r="A537" s="15" t="s">
        <v>1471</v>
      </c>
      <c r="B537" s="15" t="s">
        <v>1472</v>
      </c>
      <c r="C537" s="15" t="s">
        <v>10</v>
      </c>
      <c r="D537" s="15" t="s">
        <v>21</v>
      </c>
      <c r="E537" s="8">
        <v>45729</v>
      </c>
      <c r="F537" s="16" t="s">
        <v>12</v>
      </c>
      <c r="G537" s="16" t="s">
        <v>1443</v>
      </c>
      <c r="H537" s="8">
        <v>45735</v>
      </c>
      <c r="I537" s="16" t="s">
        <v>1475</v>
      </c>
      <c r="J537" t="b">
        <v>1</v>
      </c>
      <c r="K537" s="15" t="s">
        <v>1474</v>
      </c>
      <c r="L537" s="15" t="str">
        <f>HYPERLINK("https://uk1.aconex.co.uk/hub/index.html?mainTarget=%2FSearchControlledDoc%3FSEARCH_ACTION%3D15%26tab%3D0%26searchMode%3D1%26searchQuery%3Ddocno:%22"&amp;RawData[[#This Row],[Document Number]]&amp;"%22%20%2Bcversion%253A1",RawData[[#This Row],[Document Number]])</f>
        <v>FS1018-HBC-XX-XX-L-X-0005</v>
      </c>
    </row>
    <row r="538" spans="1:12" ht="28.8" x14ac:dyDescent="0.3">
      <c r="A538" s="15" t="s">
        <v>1476</v>
      </c>
      <c r="B538" s="15" t="s">
        <v>1477</v>
      </c>
      <c r="C538" s="15" t="s">
        <v>14</v>
      </c>
      <c r="D538" s="15" t="s">
        <v>20</v>
      </c>
      <c r="E538" s="8">
        <v>45175</v>
      </c>
      <c r="F538" s="16" t="s">
        <v>939</v>
      </c>
      <c r="G538" s="16" t="s">
        <v>34</v>
      </c>
      <c r="H538" s="8">
        <v>45190</v>
      </c>
      <c r="I538" s="16"/>
      <c r="J538" t="b">
        <v>0</v>
      </c>
      <c r="K538" s="15" t="s">
        <v>1478</v>
      </c>
      <c r="L538" s="15" t="str">
        <f>HYPERLINK("https://uk1.aconex.co.uk/hub/index.html?mainTarget=%2FSearchControlledDoc%3FSEARCH_ACTION%3D15%26tab%3D0%26searchMode%3D1%26searchQuery%3Ddocno:%22"&amp;RawData[[#This Row],[Document Number]]&amp;"%22%20%2Bcversion%253A1",RawData[[#This Row],[Document Number]])</f>
        <v>FS1018-HBC-XX-XX-L-X-0006</v>
      </c>
    </row>
    <row r="539" spans="1:12" ht="28.8" x14ac:dyDescent="0.3">
      <c r="A539" s="15" t="s">
        <v>1476</v>
      </c>
      <c r="B539" s="15" t="s">
        <v>1477</v>
      </c>
      <c r="C539" s="15" t="s">
        <v>10</v>
      </c>
      <c r="D539" s="15" t="s">
        <v>20</v>
      </c>
      <c r="E539" s="8">
        <v>45210</v>
      </c>
      <c r="F539" s="16" t="s">
        <v>939</v>
      </c>
      <c r="G539" s="16" t="s">
        <v>34</v>
      </c>
      <c r="H539" s="8">
        <v>45216</v>
      </c>
      <c r="I539" s="16"/>
      <c r="J539" t="b">
        <v>1</v>
      </c>
      <c r="K539" s="15" t="s">
        <v>1478</v>
      </c>
      <c r="L539" s="15" t="str">
        <f>HYPERLINK("https://uk1.aconex.co.uk/hub/index.html?mainTarget=%2FSearchControlledDoc%3FSEARCH_ACTION%3D15%26tab%3D0%26searchMode%3D1%26searchQuery%3Ddocno:%22"&amp;RawData[[#This Row],[Document Number]]&amp;"%22%20%2Bcversion%253A1",RawData[[#This Row],[Document Number]])</f>
        <v>FS1018-HBC-XX-XX-L-X-0006</v>
      </c>
    </row>
    <row r="540" spans="1:12" x14ac:dyDescent="0.3">
      <c r="A540" s="15" t="s">
        <v>1476</v>
      </c>
      <c r="B540" s="15" t="s">
        <v>1479</v>
      </c>
      <c r="C540" s="15" t="s">
        <v>10</v>
      </c>
      <c r="D540" s="15" t="s">
        <v>21</v>
      </c>
      <c r="E540" s="8">
        <v>45729</v>
      </c>
      <c r="F540" s="16" t="s">
        <v>12</v>
      </c>
      <c r="G540" s="16" t="s">
        <v>4</v>
      </c>
      <c r="H540" s="8"/>
      <c r="I540" s="16"/>
      <c r="J540" t="b">
        <v>1</v>
      </c>
      <c r="K540" s="15" t="s">
        <v>1480</v>
      </c>
      <c r="L540" s="15" t="str">
        <f>HYPERLINK("https://uk1.aconex.co.uk/hub/index.html?mainTarget=%2FSearchControlledDoc%3FSEARCH_ACTION%3D15%26tab%3D0%26searchMode%3D1%26searchQuery%3Ddocno:%22"&amp;RawData[[#This Row],[Document Number]]&amp;"%22%20%2Bcversion%253A1",RawData[[#This Row],[Document Number]])</f>
        <v>FS1018-HBC-XX-XX-L-X-0006</v>
      </c>
    </row>
    <row r="541" spans="1:12" ht="72" x14ac:dyDescent="0.3">
      <c r="A541" s="15" t="s">
        <v>1481</v>
      </c>
      <c r="B541" s="15" t="s">
        <v>77</v>
      </c>
      <c r="C541" s="15" t="s">
        <v>14</v>
      </c>
      <c r="D541" s="15" t="s">
        <v>20</v>
      </c>
      <c r="E541" s="8">
        <v>45175</v>
      </c>
      <c r="F541" s="16" t="s">
        <v>939</v>
      </c>
      <c r="G541" s="16" t="s">
        <v>40</v>
      </c>
      <c r="H541" s="8">
        <v>45190</v>
      </c>
      <c r="I541" s="16" t="s">
        <v>1482</v>
      </c>
      <c r="J541" t="b">
        <v>0</v>
      </c>
      <c r="K541" s="15" t="s">
        <v>1483</v>
      </c>
      <c r="L541" s="15" t="str">
        <f>HYPERLINK("https://uk1.aconex.co.uk/hub/index.html?mainTarget=%2FSearchControlledDoc%3FSEARCH_ACTION%3D15%26tab%3D0%26searchMode%3D1%26searchQuery%3Ddocno:%22"&amp;RawData[[#This Row],[Document Number]]&amp;"%22%20%2Bcversion%253A1",RawData[[#This Row],[Document Number]])</f>
        <v>FS1018-HBC-XX-XX-L-X-0007</v>
      </c>
    </row>
    <row r="542" spans="1:12" ht="43.2" x14ac:dyDescent="0.3">
      <c r="A542" s="15" t="s">
        <v>1481</v>
      </c>
      <c r="B542" s="15" t="s">
        <v>77</v>
      </c>
      <c r="C542" s="15" t="s">
        <v>10</v>
      </c>
      <c r="D542" s="15" t="s">
        <v>20</v>
      </c>
      <c r="E542" s="8">
        <v>45638</v>
      </c>
      <c r="F542" s="16" t="s">
        <v>78</v>
      </c>
      <c r="G542" s="16" t="s">
        <v>40</v>
      </c>
      <c r="H542" s="8">
        <v>45669</v>
      </c>
      <c r="I542" s="16" t="s">
        <v>71</v>
      </c>
      <c r="J542" t="b">
        <v>1</v>
      </c>
      <c r="K542" s="15" t="s">
        <v>1483</v>
      </c>
      <c r="L542" s="15" t="str">
        <f>HYPERLINK("https://uk1.aconex.co.uk/hub/index.html?mainTarget=%2FSearchControlledDoc%3FSEARCH_ACTION%3D15%26tab%3D0%26searchMode%3D1%26searchQuery%3Ddocno:%22"&amp;RawData[[#This Row],[Document Number]]&amp;"%22%20%2Bcversion%253A1",RawData[[#This Row],[Document Number]])</f>
        <v>FS1018-HBC-XX-XX-L-X-0007</v>
      </c>
    </row>
    <row r="543" spans="1:12" ht="28.8" x14ac:dyDescent="0.3">
      <c r="A543" s="15" t="s">
        <v>1481</v>
      </c>
      <c r="B543" s="15" t="s">
        <v>77</v>
      </c>
      <c r="C543" s="15" t="s">
        <v>10</v>
      </c>
      <c r="D543" s="15" t="s">
        <v>21</v>
      </c>
      <c r="E543" s="8">
        <v>45735</v>
      </c>
      <c r="F543" s="16" t="s">
        <v>23</v>
      </c>
      <c r="G543" s="16" t="s">
        <v>4</v>
      </c>
      <c r="H543" s="8"/>
      <c r="I543" s="16"/>
      <c r="J543" t="b">
        <v>1</v>
      </c>
      <c r="K543" s="15" t="s">
        <v>1483</v>
      </c>
      <c r="L543" s="15" t="str">
        <f>HYPERLINK("https://uk1.aconex.co.uk/hub/index.html?mainTarget=%2FSearchControlledDoc%3FSEARCH_ACTION%3D15%26tab%3D0%26searchMode%3D1%26searchQuery%3Ddocno:%22"&amp;RawData[[#This Row],[Document Number]]&amp;"%22%20%2Bcversion%253A1",RawData[[#This Row],[Document Number]])</f>
        <v>FS1018-HBC-XX-XX-L-X-0007</v>
      </c>
    </row>
    <row r="544" spans="1:12" ht="86.4" x14ac:dyDescent="0.3">
      <c r="A544" s="15" t="s">
        <v>1481</v>
      </c>
      <c r="B544" s="15" t="s">
        <v>77</v>
      </c>
      <c r="C544" s="15" t="s">
        <v>10</v>
      </c>
      <c r="D544" s="15" t="s">
        <v>21</v>
      </c>
      <c r="E544" s="8">
        <v>45729</v>
      </c>
      <c r="F544" s="16" t="s">
        <v>12</v>
      </c>
      <c r="G544" s="16" t="s">
        <v>1443</v>
      </c>
      <c r="H544" s="8">
        <v>45735</v>
      </c>
      <c r="I544" s="16" t="s">
        <v>1484</v>
      </c>
      <c r="J544" t="b">
        <v>1</v>
      </c>
      <c r="K544" s="15" t="s">
        <v>1483</v>
      </c>
      <c r="L544" s="15" t="str">
        <f>HYPERLINK("https://uk1.aconex.co.uk/hub/index.html?mainTarget=%2FSearchControlledDoc%3FSEARCH_ACTION%3D15%26tab%3D0%26searchMode%3D1%26searchQuery%3Ddocno:%22"&amp;RawData[[#This Row],[Document Number]]&amp;"%22%20%2Bcversion%253A1",RawData[[#This Row],[Document Number]])</f>
        <v>FS1018-HBC-XX-XX-L-X-0007</v>
      </c>
    </row>
    <row r="545" spans="1:12" ht="28.8" x14ac:dyDescent="0.3">
      <c r="A545" s="15" t="s">
        <v>1485</v>
      </c>
      <c r="B545" s="15" t="s">
        <v>1486</v>
      </c>
      <c r="C545" s="15" t="s">
        <v>14</v>
      </c>
      <c r="D545" s="15" t="s">
        <v>20</v>
      </c>
      <c r="E545" s="8">
        <v>45175</v>
      </c>
      <c r="F545" s="16" t="s">
        <v>939</v>
      </c>
      <c r="G545" s="16" t="s">
        <v>34</v>
      </c>
      <c r="H545" s="8">
        <v>45190</v>
      </c>
      <c r="I545" s="16"/>
      <c r="J545" t="b">
        <v>0</v>
      </c>
      <c r="K545" s="15" t="s">
        <v>1487</v>
      </c>
      <c r="L545" s="15" t="str">
        <f>HYPERLINK("https://uk1.aconex.co.uk/hub/index.html?mainTarget=%2FSearchControlledDoc%3FSEARCH_ACTION%3D15%26tab%3D0%26searchMode%3D1%26searchQuery%3Ddocno:%22"&amp;RawData[[#This Row],[Document Number]]&amp;"%22%20%2Bcversion%253A1",RawData[[#This Row],[Document Number]])</f>
        <v>FS1018-HBC-XX-XX-L-X-0008</v>
      </c>
    </row>
    <row r="546" spans="1:12" ht="28.8" x14ac:dyDescent="0.3">
      <c r="A546" s="15" t="s">
        <v>1488</v>
      </c>
      <c r="B546" s="15" t="s">
        <v>1489</v>
      </c>
      <c r="C546" s="15" t="s">
        <v>14</v>
      </c>
      <c r="D546" s="15" t="s">
        <v>20</v>
      </c>
      <c r="E546" s="8">
        <v>45175</v>
      </c>
      <c r="F546" s="16" t="s">
        <v>939</v>
      </c>
      <c r="G546" s="16" t="s">
        <v>34</v>
      </c>
      <c r="H546" s="8">
        <v>45190</v>
      </c>
      <c r="I546" s="16"/>
      <c r="J546" t="b">
        <v>0</v>
      </c>
      <c r="K546" s="15" t="s">
        <v>1490</v>
      </c>
      <c r="L546" s="15" t="str">
        <f>HYPERLINK("https://uk1.aconex.co.uk/hub/index.html?mainTarget=%2FSearchControlledDoc%3FSEARCH_ACTION%3D15%26tab%3D0%26searchMode%3D1%26searchQuery%3Ddocno:%22"&amp;RawData[[#This Row],[Document Number]]&amp;"%22%20%2Bcversion%253A1",RawData[[#This Row],[Document Number]])</f>
        <v>FS1018-HBC-XX-XX-L-X-0009</v>
      </c>
    </row>
    <row r="547" spans="1:12" ht="28.8" x14ac:dyDescent="0.3">
      <c r="A547" s="15" t="s">
        <v>1491</v>
      </c>
      <c r="B547" s="15" t="s">
        <v>1492</v>
      </c>
      <c r="C547" s="15" t="s">
        <v>14</v>
      </c>
      <c r="D547" s="15" t="s">
        <v>20</v>
      </c>
      <c r="E547" s="8">
        <v>45175</v>
      </c>
      <c r="F547" s="16" t="s">
        <v>939</v>
      </c>
      <c r="G547" s="16" t="s">
        <v>34</v>
      </c>
      <c r="H547" s="8">
        <v>45190</v>
      </c>
      <c r="I547" s="16"/>
      <c r="J547" t="b">
        <v>0</v>
      </c>
      <c r="K547" s="15" t="s">
        <v>1493</v>
      </c>
      <c r="L547" s="15" t="str">
        <f>HYPERLINK("https://uk1.aconex.co.uk/hub/index.html?mainTarget=%2FSearchControlledDoc%3FSEARCH_ACTION%3D15%26tab%3D0%26searchMode%3D1%26searchQuery%3Ddocno:%22"&amp;RawData[[#This Row],[Document Number]]&amp;"%22%20%2Bcversion%253A1",RawData[[#This Row],[Document Number]])</f>
        <v>FS1018-HBC-XX-XX-L-X-0010</v>
      </c>
    </row>
    <row r="548" spans="1:12" ht="28.8" x14ac:dyDescent="0.3">
      <c r="A548" s="15" t="s">
        <v>1494</v>
      </c>
      <c r="B548" s="15" t="s">
        <v>1495</v>
      </c>
      <c r="C548" s="15" t="s">
        <v>14</v>
      </c>
      <c r="D548" s="15" t="s">
        <v>20</v>
      </c>
      <c r="E548" s="8">
        <v>45175</v>
      </c>
      <c r="F548" s="16" t="s">
        <v>939</v>
      </c>
      <c r="G548" s="16" t="s">
        <v>34</v>
      </c>
      <c r="H548" s="8">
        <v>45190</v>
      </c>
      <c r="I548" s="16"/>
      <c r="J548" t="b">
        <v>0</v>
      </c>
      <c r="K548" s="15" t="s">
        <v>1496</v>
      </c>
      <c r="L548" s="15" t="str">
        <f>HYPERLINK("https://uk1.aconex.co.uk/hub/index.html?mainTarget=%2FSearchControlledDoc%3FSEARCH_ACTION%3D15%26tab%3D0%26searchMode%3D1%26searchQuery%3Ddocno:%22"&amp;RawData[[#This Row],[Document Number]]&amp;"%22%20%2Bcversion%253A1",RawData[[#This Row],[Document Number]])</f>
        <v>FS1018-HBC-XX-XX-L-X-0011</v>
      </c>
    </row>
    <row r="549" spans="1:12" ht="28.8" x14ac:dyDescent="0.3">
      <c r="A549" s="15" t="s">
        <v>1497</v>
      </c>
      <c r="B549" s="15" t="s">
        <v>1498</v>
      </c>
      <c r="C549" s="15" t="s">
        <v>14</v>
      </c>
      <c r="D549" s="15" t="s">
        <v>20</v>
      </c>
      <c r="E549" s="8">
        <v>45175</v>
      </c>
      <c r="F549" s="16" t="s">
        <v>939</v>
      </c>
      <c r="G549" s="16" t="s">
        <v>22</v>
      </c>
      <c r="H549" s="8">
        <v>45190</v>
      </c>
      <c r="I549" s="16" t="s">
        <v>1499</v>
      </c>
      <c r="J549" t="b">
        <v>0</v>
      </c>
      <c r="K549" s="15" t="s">
        <v>1500</v>
      </c>
      <c r="L549" s="15" t="str">
        <f>HYPERLINK("https://uk1.aconex.co.uk/hub/index.html?mainTarget=%2FSearchControlledDoc%3FSEARCH_ACTION%3D15%26tab%3D0%26searchMode%3D1%26searchQuery%3Ddocno:%22"&amp;RawData[[#This Row],[Document Number]]&amp;"%22%20%2Bcversion%253A1",RawData[[#This Row],[Document Number]])</f>
        <v>FS1018-HBC-XX-XX-L-X-0012</v>
      </c>
    </row>
    <row r="550" spans="1:12" ht="28.8" x14ac:dyDescent="0.3">
      <c r="A550" s="15" t="s">
        <v>1501</v>
      </c>
      <c r="B550" s="15" t="s">
        <v>1502</v>
      </c>
      <c r="C550" s="15" t="s">
        <v>14</v>
      </c>
      <c r="D550" s="15" t="s">
        <v>20</v>
      </c>
      <c r="E550" s="8">
        <v>45175</v>
      </c>
      <c r="F550" s="16" t="s">
        <v>939</v>
      </c>
      <c r="G550" s="16" t="s">
        <v>34</v>
      </c>
      <c r="H550" s="8">
        <v>45190</v>
      </c>
      <c r="I550" s="16"/>
      <c r="J550" t="b">
        <v>0</v>
      </c>
      <c r="K550" s="15" t="s">
        <v>1503</v>
      </c>
      <c r="L550" s="15" t="str">
        <f>HYPERLINK("https://uk1.aconex.co.uk/hub/index.html?mainTarget=%2FSearchControlledDoc%3FSEARCH_ACTION%3D15%26tab%3D0%26searchMode%3D1%26searchQuery%3Ddocno:%22"&amp;RawData[[#This Row],[Document Number]]&amp;"%22%20%2Bcversion%253A1",RawData[[#This Row],[Document Number]])</f>
        <v>FS1018-HBC-XX-XX-L-X-0013</v>
      </c>
    </row>
    <row r="551" spans="1:12" x14ac:dyDescent="0.3">
      <c r="A551" s="15" t="s">
        <v>1501</v>
      </c>
      <c r="B551" s="15" t="s">
        <v>1504</v>
      </c>
      <c r="C551" s="15" t="s">
        <v>10</v>
      </c>
      <c r="D551" s="15" t="s">
        <v>21</v>
      </c>
      <c r="E551" s="8">
        <v>45729</v>
      </c>
      <c r="F551" s="16" t="s">
        <v>12</v>
      </c>
      <c r="G551" s="16" t="s">
        <v>4</v>
      </c>
      <c r="H551" s="8"/>
      <c r="I551" s="16"/>
      <c r="J551" t="b">
        <v>1</v>
      </c>
      <c r="K551" s="15" t="s">
        <v>1505</v>
      </c>
      <c r="L551" s="15" t="str">
        <f>HYPERLINK("https://uk1.aconex.co.uk/hub/index.html?mainTarget=%2FSearchControlledDoc%3FSEARCH_ACTION%3D15%26tab%3D0%26searchMode%3D1%26searchQuery%3Ddocno:%22"&amp;RawData[[#This Row],[Document Number]]&amp;"%22%20%2Bcversion%253A1",RawData[[#This Row],[Document Number]])</f>
        <v>FS1018-HBC-XX-XX-L-X-0013</v>
      </c>
    </row>
    <row r="552" spans="1:12" ht="28.8" x14ac:dyDescent="0.3">
      <c r="A552" s="15" t="s">
        <v>1506</v>
      </c>
      <c r="B552" s="15" t="s">
        <v>1507</v>
      </c>
      <c r="C552" s="15" t="s">
        <v>14</v>
      </c>
      <c r="D552" s="15" t="s">
        <v>20</v>
      </c>
      <c r="E552" s="8">
        <v>45175</v>
      </c>
      <c r="F552" s="16" t="s">
        <v>939</v>
      </c>
      <c r="G552" s="16" t="s">
        <v>22</v>
      </c>
      <c r="H552" s="8">
        <v>45190</v>
      </c>
      <c r="I552" s="16" t="s">
        <v>1508</v>
      </c>
      <c r="J552" t="b">
        <v>0</v>
      </c>
      <c r="K552" s="15" t="s">
        <v>1509</v>
      </c>
      <c r="L552" s="15" t="str">
        <f>HYPERLINK("https://uk1.aconex.co.uk/hub/index.html?mainTarget=%2FSearchControlledDoc%3FSEARCH_ACTION%3D15%26tab%3D0%26searchMode%3D1%26searchQuery%3Ddocno:%22"&amp;RawData[[#This Row],[Document Number]]&amp;"%22%20%2Bcversion%253A1",RawData[[#This Row],[Document Number]])</f>
        <v>FS1018-HBC-XX-XX-L-X-0014</v>
      </c>
    </row>
    <row r="553" spans="1:12" x14ac:dyDescent="0.3">
      <c r="A553" s="15" t="s">
        <v>1506</v>
      </c>
      <c r="B553" s="15" t="s">
        <v>1507</v>
      </c>
      <c r="C553" s="15" t="s">
        <v>11</v>
      </c>
      <c r="D553" s="15" t="s">
        <v>21</v>
      </c>
      <c r="E553" s="8">
        <v>45729</v>
      </c>
      <c r="F553" s="16" t="s">
        <v>12</v>
      </c>
      <c r="G553" s="16" t="s">
        <v>4</v>
      </c>
      <c r="H553" s="8"/>
      <c r="I553" s="16"/>
      <c r="J553" t="b">
        <v>0</v>
      </c>
      <c r="K553" s="15" t="s">
        <v>1509</v>
      </c>
      <c r="L553" s="15" t="str">
        <f>HYPERLINK("https://uk1.aconex.co.uk/hub/index.html?mainTarget=%2FSearchControlledDoc%3FSEARCH_ACTION%3D15%26tab%3D0%26searchMode%3D1%26searchQuery%3Ddocno:%22"&amp;RawData[[#This Row],[Document Number]]&amp;"%22%20%2Bcversion%253A1",RawData[[#This Row],[Document Number]])</f>
        <v>FS1018-HBC-XX-XX-L-X-0014</v>
      </c>
    </row>
    <row r="554" spans="1:12" ht="28.8" x14ac:dyDescent="0.3">
      <c r="A554" s="15" t="s">
        <v>1510</v>
      </c>
      <c r="B554" s="15" t="s">
        <v>1511</v>
      </c>
      <c r="C554" s="15" t="s">
        <v>14</v>
      </c>
      <c r="D554" s="15" t="s">
        <v>20</v>
      </c>
      <c r="E554" s="8">
        <v>45175</v>
      </c>
      <c r="F554" s="16" t="s">
        <v>939</v>
      </c>
      <c r="G554" s="16" t="s">
        <v>22</v>
      </c>
      <c r="H554" s="8">
        <v>45190</v>
      </c>
      <c r="I554" s="16" t="s">
        <v>1512</v>
      </c>
      <c r="J554" t="b">
        <v>0</v>
      </c>
      <c r="K554" s="15" t="s">
        <v>1513</v>
      </c>
      <c r="L554" s="15" t="str">
        <f>HYPERLINK("https://uk1.aconex.co.uk/hub/index.html?mainTarget=%2FSearchControlledDoc%3FSEARCH_ACTION%3D15%26tab%3D0%26searchMode%3D1%26searchQuery%3Ddocno:%22"&amp;RawData[[#This Row],[Document Number]]&amp;"%22%20%2Bcversion%253A1",RawData[[#This Row],[Document Number]])</f>
        <v>FS1018-HBC-XX-XX-L-X-0015</v>
      </c>
    </row>
    <row r="555" spans="1:12" ht="28.8" x14ac:dyDescent="0.3">
      <c r="A555" s="15" t="s">
        <v>1514</v>
      </c>
      <c r="B555" s="15" t="s">
        <v>1515</v>
      </c>
      <c r="C555" s="15" t="s">
        <v>14</v>
      </c>
      <c r="D555" s="15" t="s">
        <v>20</v>
      </c>
      <c r="E555" s="8">
        <v>45175</v>
      </c>
      <c r="F555" s="16" t="s">
        <v>939</v>
      </c>
      <c r="G555" s="16" t="s">
        <v>34</v>
      </c>
      <c r="H555" s="8">
        <v>45190</v>
      </c>
      <c r="I555" s="16"/>
      <c r="J555" t="b">
        <v>0</v>
      </c>
      <c r="K555" s="15" t="s">
        <v>1516</v>
      </c>
      <c r="L555" s="15" t="str">
        <f>HYPERLINK("https://uk1.aconex.co.uk/hub/index.html?mainTarget=%2FSearchControlledDoc%3FSEARCH_ACTION%3D15%26tab%3D0%26searchMode%3D1%26searchQuery%3Ddocno:%22"&amp;RawData[[#This Row],[Document Number]]&amp;"%22%20%2Bcversion%253A1",RawData[[#This Row],[Document Number]])</f>
        <v>FS1018-HBC-XX-XX-L-X-0016</v>
      </c>
    </row>
    <row r="556" spans="1:12" x14ac:dyDescent="0.3">
      <c r="A556" s="15" t="s">
        <v>1514</v>
      </c>
      <c r="B556" s="15" t="s">
        <v>1515</v>
      </c>
      <c r="C556" s="15" t="s">
        <v>10</v>
      </c>
      <c r="D556" s="15" t="s">
        <v>21</v>
      </c>
      <c r="E556" s="8">
        <v>45729</v>
      </c>
      <c r="F556" s="16" t="s">
        <v>12</v>
      </c>
      <c r="G556" s="16" t="s">
        <v>4</v>
      </c>
      <c r="H556" s="8"/>
      <c r="I556" s="16"/>
      <c r="J556" t="b">
        <v>1</v>
      </c>
      <c r="K556" s="15" t="s">
        <v>1516</v>
      </c>
      <c r="L556" s="15" t="str">
        <f>HYPERLINK("https://uk1.aconex.co.uk/hub/index.html?mainTarget=%2FSearchControlledDoc%3FSEARCH_ACTION%3D15%26tab%3D0%26searchMode%3D1%26searchQuery%3Ddocno:%22"&amp;RawData[[#This Row],[Document Number]]&amp;"%22%20%2Bcversion%253A1",RawData[[#This Row],[Document Number]])</f>
        <v>FS1018-HBC-XX-XX-L-X-0016</v>
      </c>
    </row>
    <row r="557" spans="1:12" ht="28.8" x14ac:dyDescent="0.3">
      <c r="A557" s="15" t="s">
        <v>1517</v>
      </c>
      <c r="B557" s="15" t="s">
        <v>1518</v>
      </c>
      <c r="C557" s="15" t="s">
        <v>14</v>
      </c>
      <c r="D557" s="15" t="s">
        <v>20</v>
      </c>
      <c r="E557" s="8">
        <v>45210</v>
      </c>
      <c r="F557" s="16" t="s">
        <v>939</v>
      </c>
      <c r="G557" s="16" t="s">
        <v>34</v>
      </c>
      <c r="H557" s="8">
        <v>45216</v>
      </c>
      <c r="I557" s="16"/>
      <c r="J557" t="b">
        <v>0</v>
      </c>
      <c r="K557" s="15" t="s">
        <v>1519</v>
      </c>
      <c r="L557" s="15" t="str">
        <f>HYPERLINK("https://uk1.aconex.co.uk/hub/index.html?mainTarget=%2FSearchControlledDoc%3FSEARCH_ACTION%3D15%26tab%3D0%26searchMode%3D1%26searchQuery%3Ddocno:%22"&amp;RawData[[#This Row],[Document Number]]&amp;"%22%20%2Bcversion%253A1",RawData[[#This Row],[Document Number]])</f>
        <v>FS1018-HBC-XX-XX-L-X-0017</v>
      </c>
    </row>
    <row r="558" spans="1:12" x14ac:dyDescent="0.3">
      <c r="A558" s="15" t="s">
        <v>1520</v>
      </c>
      <c r="B558" s="15" t="s">
        <v>1521</v>
      </c>
      <c r="C558" s="15" t="s">
        <v>10</v>
      </c>
      <c r="D558" s="15" t="s">
        <v>21</v>
      </c>
      <c r="E558" s="8">
        <v>45729</v>
      </c>
      <c r="F558" s="16" t="s">
        <v>12</v>
      </c>
      <c r="G558" s="16" t="s">
        <v>4</v>
      </c>
      <c r="H558" s="8"/>
      <c r="I558" s="16"/>
      <c r="J558" t="b">
        <v>1</v>
      </c>
      <c r="K558" s="15" t="s">
        <v>1522</v>
      </c>
      <c r="L558" s="15" t="str">
        <f>HYPERLINK("https://uk1.aconex.co.uk/hub/index.html?mainTarget=%2FSearchControlledDoc%3FSEARCH_ACTION%3D15%26tab%3D0%26searchMode%3D1%26searchQuery%3Ddocno:%22"&amp;RawData[[#This Row],[Document Number]]&amp;"%22%20%2Bcversion%253A1",RawData[[#This Row],[Document Number]])</f>
        <v>FS1018-HBC-XX-XX-L-X-0018</v>
      </c>
    </row>
    <row r="559" spans="1:12" x14ac:dyDescent="0.3">
      <c r="A559" s="15" t="s">
        <v>1523</v>
      </c>
      <c r="B559" s="15" t="s">
        <v>1524</v>
      </c>
      <c r="C559" s="15" t="s">
        <v>14</v>
      </c>
      <c r="D559" s="15" t="s">
        <v>21</v>
      </c>
      <c r="E559" s="8">
        <v>45729</v>
      </c>
      <c r="F559" s="16" t="s">
        <v>12</v>
      </c>
      <c r="G559" s="16" t="s">
        <v>4</v>
      </c>
      <c r="H559" s="8"/>
      <c r="I559" s="16"/>
      <c r="J559" t="b">
        <v>0</v>
      </c>
      <c r="K559" s="15" t="s">
        <v>1525</v>
      </c>
      <c r="L559" s="15" t="str">
        <f>HYPERLINK("https://uk1.aconex.co.uk/hub/index.html?mainTarget=%2FSearchControlledDoc%3FSEARCH_ACTION%3D15%26tab%3D0%26searchMode%3D1%26searchQuery%3Ddocno:%22"&amp;RawData[[#This Row],[Document Number]]&amp;"%22%20%2Bcversion%253A1",RawData[[#This Row],[Document Number]])</f>
        <v>FS1018-HBC-XX-XX-L-X-0019</v>
      </c>
    </row>
    <row r="560" spans="1:12" x14ac:dyDescent="0.3">
      <c r="A560" s="15" t="s">
        <v>1526</v>
      </c>
      <c r="B560" s="15" t="s">
        <v>1527</v>
      </c>
      <c r="C560" s="15" t="s">
        <v>14</v>
      </c>
      <c r="D560" s="15" t="s">
        <v>21</v>
      </c>
      <c r="E560" s="8">
        <v>45729</v>
      </c>
      <c r="F560" s="16" t="s">
        <v>12</v>
      </c>
      <c r="G560" s="16" t="s">
        <v>4</v>
      </c>
      <c r="H560" s="8"/>
      <c r="I560" s="16"/>
      <c r="J560" t="b">
        <v>0</v>
      </c>
      <c r="K560" s="15" t="s">
        <v>1528</v>
      </c>
      <c r="L560" s="15" t="str">
        <f>HYPERLINK("https://uk1.aconex.co.uk/hub/index.html?mainTarget=%2FSearchControlledDoc%3FSEARCH_ACTION%3D15%26tab%3D0%26searchMode%3D1%26searchQuery%3Ddocno:%22"&amp;RawData[[#This Row],[Document Number]]&amp;"%22%20%2Bcversion%253A1",RawData[[#This Row],[Document Number]])</f>
        <v>FS1018-HBC-XX-XX-L-X-0020</v>
      </c>
    </row>
    <row r="561" spans="1:12" ht="28.8" x14ac:dyDescent="0.3">
      <c r="A561" s="15" t="s">
        <v>1529</v>
      </c>
      <c r="B561" s="15" t="s">
        <v>1530</v>
      </c>
      <c r="C561" s="15" t="s">
        <v>14</v>
      </c>
      <c r="D561" s="15" t="s">
        <v>20</v>
      </c>
      <c r="E561" s="8">
        <v>45175</v>
      </c>
      <c r="F561" s="16" t="s">
        <v>1531</v>
      </c>
      <c r="G561" s="16" t="s">
        <v>34</v>
      </c>
      <c r="H561" s="8">
        <v>45194</v>
      </c>
      <c r="I561" s="16"/>
      <c r="J561" t="b">
        <v>0</v>
      </c>
      <c r="K561" s="15" t="s">
        <v>1532</v>
      </c>
      <c r="L561" s="15" t="str">
        <f>HYPERLINK("https://uk1.aconex.co.uk/hub/index.html?mainTarget=%2FSearchControlledDoc%3FSEARCH_ACTION%3D15%26tab%3D0%26searchMode%3D1%26searchQuery%3Ddocno:%22"&amp;RawData[[#This Row],[Document Number]]&amp;"%22%20%2Bcversion%253A1",RawData[[#This Row],[Document Number]])</f>
        <v>FS1018-HBC-XX-XX-L-X-1001</v>
      </c>
    </row>
    <row r="562" spans="1:12" x14ac:dyDescent="0.3">
      <c r="A562" s="15" t="s">
        <v>1529</v>
      </c>
      <c r="B562" s="15" t="s">
        <v>1530</v>
      </c>
      <c r="C562" s="15" t="s">
        <v>10</v>
      </c>
      <c r="D562" s="15" t="s">
        <v>21</v>
      </c>
      <c r="E562" s="8">
        <v>45729</v>
      </c>
      <c r="F562" s="16" t="s">
        <v>12</v>
      </c>
      <c r="G562" s="16" t="s">
        <v>4</v>
      </c>
      <c r="H562" s="8"/>
      <c r="I562" s="16"/>
      <c r="J562" t="b">
        <v>1</v>
      </c>
      <c r="K562" s="15" t="s">
        <v>1532</v>
      </c>
      <c r="L562" s="15" t="str">
        <f>HYPERLINK("https://uk1.aconex.co.uk/hub/index.html?mainTarget=%2FSearchControlledDoc%3FSEARCH_ACTION%3D15%26tab%3D0%26searchMode%3D1%26searchQuery%3Ddocno:%22"&amp;RawData[[#This Row],[Document Number]]&amp;"%22%20%2Bcversion%253A1",RawData[[#This Row],[Document Number]])</f>
        <v>FS1018-HBC-XX-XX-L-X-1001</v>
      </c>
    </row>
    <row r="563" spans="1:12" ht="28.8" x14ac:dyDescent="0.3">
      <c r="A563" s="15" t="s">
        <v>1533</v>
      </c>
      <c r="B563" s="15" t="s">
        <v>1534</v>
      </c>
      <c r="C563" s="15" t="s">
        <v>10</v>
      </c>
      <c r="D563" s="15" t="s">
        <v>20</v>
      </c>
      <c r="E563" s="8">
        <v>45175</v>
      </c>
      <c r="F563" s="16" t="s">
        <v>1531</v>
      </c>
      <c r="G563" s="16" t="s">
        <v>34</v>
      </c>
      <c r="H563" s="8">
        <v>45201</v>
      </c>
      <c r="I563" s="16"/>
      <c r="J563" t="b">
        <v>1</v>
      </c>
      <c r="K563" s="15" t="s">
        <v>1535</v>
      </c>
      <c r="L563" s="15" t="str">
        <f>HYPERLINK("https://uk1.aconex.co.uk/hub/index.html?mainTarget=%2FSearchControlledDoc%3FSEARCH_ACTION%3D15%26tab%3D0%26searchMode%3D1%26searchQuery%3Ddocno:%22"&amp;RawData[[#This Row],[Document Number]]&amp;"%22%20%2Bcversion%253A1",RawData[[#This Row],[Document Number]])</f>
        <v>FS1018-HBC-XX-XX-L-X-1002</v>
      </c>
    </row>
    <row r="564" spans="1:12" x14ac:dyDescent="0.3">
      <c r="A564" s="15" t="s">
        <v>1533</v>
      </c>
      <c r="B564" s="15" t="s">
        <v>1534</v>
      </c>
      <c r="C564" s="15" t="s">
        <v>11</v>
      </c>
      <c r="D564" s="15" t="s">
        <v>21</v>
      </c>
      <c r="E564" s="8">
        <v>45729</v>
      </c>
      <c r="F564" s="16" t="s">
        <v>12</v>
      </c>
      <c r="G564" s="16" t="s">
        <v>4</v>
      </c>
      <c r="H564" s="8"/>
      <c r="I564" s="16"/>
      <c r="J564" t="b">
        <v>0</v>
      </c>
      <c r="K564" s="15" t="s">
        <v>1535</v>
      </c>
      <c r="L564" s="15" t="str">
        <f>HYPERLINK("https://uk1.aconex.co.uk/hub/index.html?mainTarget=%2FSearchControlledDoc%3FSEARCH_ACTION%3D15%26tab%3D0%26searchMode%3D1%26searchQuery%3Ddocno:%22"&amp;RawData[[#This Row],[Document Number]]&amp;"%22%20%2Bcversion%253A1",RawData[[#This Row],[Document Number]])</f>
        <v>FS1018-HBC-XX-XX-L-X-1002</v>
      </c>
    </row>
    <row r="565" spans="1:12" ht="28.8" x14ac:dyDescent="0.3">
      <c r="A565" s="15" t="s">
        <v>1536</v>
      </c>
      <c r="B565" s="15" t="s">
        <v>1537</v>
      </c>
      <c r="C565" s="15" t="s">
        <v>14</v>
      </c>
      <c r="D565" s="15" t="s">
        <v>20</v>
      </c>
      <c r="E565" s="8">
        <v>45175</v>
      </c>
      <c r="F565" s="16" t="s">
        <v>939</v>
      </c>
      <c r="G565" s="16" t="s">
        <v>34</v>
      </c>
      <c r="H565" s="8">
        <v>45201</v>
      </c>
      <c r="I565" s="16"/>
      <c r="J565" t="b">
        <v>0</v>
      </c>
      <c r="K565" s="15" t="s">
        <v>1538</v>
      </c>
      <c r="L565" s="15" t="str">
        <f>HYPERLINK("https://uk1.aconex.co.uk/hub/index.html?mainTarget=%2FSearchControlledDoc%3FSEARCH_ACTION%3D15%26tab%3D0%26searchMode%3D1%26searchQuery%3Ddocno:%22"&amp;RawData[[#This Row],[Document Number]]&amp;"%22%20%2Bcversion%253A1",RawData[[#This Row],[Document Number]])</f>
        <v>FS1018-HBC-XX-XX-L-X-1003</v>
      </c>
    </row>
    <row r="566" spans="1:12" ht="86.4" x14ac:dyDescent="0.3">
      <c r="A566" s="15" t="s">
        <v>1536</v>
      </c>
      <c r="B566" s="15" t="s">
        <v>1537</v>
      </c>
      <c r="C566" s="15" t="s">
        <v>14</v>
      </c>
      <c r="D566" s="15" t="s">
        <v>21</v>
      </c>
      <c r="E566" s="8">
        <v>45729</v>
      </c>
      <c r="F566" s="16" t="s">
        <v>12</v>
      </c>
      <c r="G566" s="16" t="s">
        <v>22</v>
      </c>
      <c r="H566" s="8">
        <v>45737</v>
      </c>
      <c r="I566" s="16" t="s">
        <v>1539</v>
      </c>
      <c r="J566" t="b">
        <v>0</v>
      </c>
      <c r="K566" s="15" t="s">
        <v>1538</v>
      </c>
      <c r="L566" s="15" t="str">
        <f>HYPERLINK("https://uk1.aconex.co.uk/hub/index.html?mainTarget=%2FSearchControlledDoc%3FSEARCH_ACTION%3D15%26tab%3D0%26searchMode%3D1%26searchQuery%3Ddocno:%22"&amp;RawData[[#This Row],[Document Number]]&amp;"%22%20%2Bcversion%253A1",RawData[[#This Row],[Document Number]])</f>
        <v>FS1018-HBC-XX-XX-L-X-1003</v>
      </c>
    </row>
    <row r="567" spans="1:12" ht="28.8" x14ac:dyDescent="0.3">
      <c r="A567" s="15" t="s">
        <v>1536</v>
      </c>
      <c r="B567" s="15" t="s">
        <v>1537</v>
      </c>
      <c r="C567" s="15" t="s">
        <v>14</v>
      </c>
      <c r="D567" s="15" t="s">
        <v>21</v>
      </c>
      <c r="E567" s="8">
        <v>45737</v>
      </c>
      <c r="F567" s="16" t="s">
        <v>23</v>
      </c>
      <c r="G567" s="16" t="s">
        <v>4</v>
      </c>
      <c r="H567" s="8"/>
      <c r="I567" s="16"/>
      <c r="J567" t="b">
        <v>0</v>
      </c>
      <c r="K567" s="15" t="s">
        <v>1538</v>
      </c>
      <c r="L567" s="15" t="str">
        <f>HYPERLINK("https://uk1.aconex.co.uk/hub/index.html?mainTarget=%2FSearchControlledDoc%3FSEARCH_ACTION%3D15%26tab%3D0%26searchMode%3D1%26searchQuery%3Ddocno:%22"&amp;RawData[[#This Row],[Document Number]]&amp;"%22%20%2Bcversion%253A1",RawData[[#This Row],[Document Number]])</f>
        <v>FS1018-HBC-XX-XX-L-X-1003</v>
      </c>
    </row>
    <row r="568" spans="1:12" ht="28.8" x14ac:dyDescent="0.3">
      <c r="A568" s="15" t="s">
        <v>1540</v>
      </c>
      <c r="B568" s="15" t="s">
        <v>1541</v>
      </c>
      <c r="C568" s="15" t="s">
        <v>14</v>
      </c>
      <c r="D568" s="15" t="s">
        <v>20</v>
      </c>
      <c r="E568" s="8">
        <v>45190</v>
      </c>
      <c r="F568" s="16" t="s">
        <v>939</v>
      </c>
      <c r="G568" s="16" t="s">
        <v>34</v>
      </c>
      <c r="H568" s="8">
        <v>45194</v>
      </c>
      <c r="I568" s="16"/>
      <c r="J568" t="b">
        <v>0</v>
      </c>
      <c r="K568" s="15" t="s">
        <v>1542</v>
      </c>
      <c r="L568" s="15" t="str">
        <f>HYPERLINK("https://uk1.aconex.co.uk/hub/index.html?mainTarget=%2FSearchControlledDoc%3FSEARCH_ACTION%3D15%26tab%3D0%26searchMode%3D1%26searchQuery%3Ddocno:%22"&amp;RawData[[#This Row],[Document Number]]&amp;"%22%20%2Bcversion%253A1",RawData[[#This Row],[Document Number]])</f>
        <v>FS1018-HBC-XX-XX-L-X-1004</v>
      </c>
    </row>
    <row r="569" spans="1:12" x14ac:dyDescent="0.3">
      <c r="A569" s="15" t="s">
        <v>1540</v>
      </c>
      <c r="B569" s="15" t="s">
        <v>1541</v>
      </c>
      <c r="C569" s="15" t="s">
        <v>10</v>
      </c>
      <c r="D569" s="15" t="s">
        <v>21</v>
      </c>
      <c r="E569" s="8">
        <v>45729</v>
      </c>
      <c r="F569" s="16" t="s">
        <v>12</v>
      </c>
      <c r="G569" s="16" t="s">
        <v>4</v>
      </c>
      <c r="H569" s="8"/>
      <c r="I569" s="16"/>
      <c r="J569" t="b">
        <v>1</v>
      </c>
      <c r="K569" s="15" t="s">
        <v>1542</v>
      </c>
      <c r="L569" s="15" t="str">
        <f>HYPERLINK("https://uk1.aconex.co.uk/hub/index.html?mainTarget=%2FSearchControlledDoc%3FSEARCH_ACTION%3D15%26tab%3D0%26searchMode%3D1%26searchQuery%3Ddocno:%22"&amp;RawData[[#This Row],[Document Number]]&amp;"%22%20%2Bcversion%253A1",RawData[[#This Row],[Document Number]])</f>
        <v>FS1018-HBC-XX-XX-L-X-1004</v>
      </c>
    </row>
    <row r="570" spans="1:12" ht="28.8" x14ac:dyDescent="0.3">
      <c r="A570" s="15" t="s">
        <v>1543</v>
      </c>
      <c r="B570" s="15" t="s">
        <v>1544</v>
      </c>
      <c r="C570" s="15" t="s">
        <v>14</v>
      </c>
      <c r="D570" s="15" t="s">
        <v>20</v>
      </c>
      <c r="E570" s="8">
        <v>45210</v>
      </c>
      <c r="F570" s="16" t="s">
        <v>939</v>
      </c>
      <c r="G570" s="16" t="s">
        <v>34</v>
      </c>
      <c r="H570" s="8">
        <v>45216</v>
      </c>
      <c r="I570" s="16"/>
      <c r="J570" t="b">
        <v>0</v>
      </c>
      <c r="K570" s="15" t="s">
        <v>1545</v>
      </c>
      <c r="L570" s="15" t="str">
        <f>HYPERLINK("https://uk1.aconex.co.uk/hub/index.html?mainTarget=%2FSearchControlledDoc%3FSEARCH_ACTION%3D15%26tab%3D0%26searchMode%3D1%26searchQuery%3Ddocno:%22"&amp;RawData[[#This Row],[Document Number]]&amp;"%22%20%2Bcversion%253A1",RawData[[#This Row],[Document Number]])</f>
        <v>FS1018-HBC-XX-XX-L-X-2003</v>
      </c>
    </row>
    <row r="571" spans="1:12" ht="43.2" x14ac:dyDescent="0.3">
      <c r="A571" s="15" t="s">
        <v>1546</v>
      </c>
      <c r="B571" s="15" t="s">
        <v>1547</v>
      </c>
      <c r="C571" s="15" t="s">
        <v>583</v>
      </c>
      <c r="D571" s="15" t="s">
        <v>20</v>
      </c>
      <c r="E571" s="8">
        <v>45638</v>
      </c>
      <c r="F571" s="16" t="s">
        <v>78</v>
      </c>
      <c r="G571" s="16" t="s">
        <v>40</v>
      </c>
      <c r="H571" s="8">
        <v>45669</v>
      </c>
      <c r="I571" s="16" t="s">
        <v>71</v>
      </c>
      <c r="J571" t="b">
        <v>0</v>
      </c>
      <c r="K571" s="15" t="s">
        <v>1548</v>
      </c>
      <c r="L571" s="15" t="str">
        <f>HYPERLINK("https://uk1.aconex.co.uk/hub/index.html?mainTarget=%2FSearchControlledDoc%3FSEARCH_ACTION%3D15%26tab%3D0%26searchMode%3D1%26searchQuery%3Ddocno:%22"&amp;RawData[[#This Row],[Document Number]]&amp;"%22%20%2Bcversion%253A1",RawData[[#This Row],[Document Number]])</f>
        <v>FS1018-HBC-XX-XX-L-X-3000</v>
      </c>
    </row>
    <row r="572" spans="1:12" x14ac:dyDescent="0.3">
      <c r="A572" s="15" t="s">
        <v>1546</v>
      </c>
      <c r="B572" s="15" t="s">
        <v>1547</v>
      </c>
      <c r="C572" s="15" t="s">
        <v>1155</v>
      </c>
      <c r="D572" s="15" t="s">
        <v>21</v>
      </c>
      <c r="E572" s="8">
        <v>45729</v>
      </c>
      <c r="F572" s="16" t="s">
        <v>12</v>
      </c>
      <c r="G572" s="16" t="s">
        <v>4</v>
      </c>
      <c r="H572" s="8"/>
      <c r="I572" s="16"/>
      <c r="J572" t="b">
        <v>0</v>
      </c>
      <c r="K572" s="15" t="s">
        <v>1548</v>
      </c>
      <c r="L572" s="15" t="str">
        <f>HYPERLINK("https://uk1.aconex.co.uk/hub/index.html?mainTarget=%2FSearchControlledDoc%3FSEARCH_ACTION%3D15%26tab%3D0%26searchMode%3D1%26searchQuery%3Ddocno:%22"&amp;RawData[[#This Row],[Document Number]]&amp;"%22%20%2Bcversion%253A1",RawData[[#This Row],[Document Number]])</f>
        <v>FS1018-HBC-XX-XX-L-X-3000</v>
      </c>
    </row>
    <row r="573" spans="1:12" x14ac:dyDescent="0.3">
      <c r="A573" s="15" t="s">
        <v>1549</v>
      </c>
      <c r="B573" s="15" t="s">
        <v>1550</v>
      </c>
      <c r="C573" s="15" t="s">
        <v>14</v>
      </c>
      <c r="D573" s="15" t="s">
        <v>21</v>
      </c>
      <c r="E573" s="8">
        <v>45729</v>
      </c>
      <c r="F573" s="16" t="s">
        <v>12</v>
      </c>
      <c r="G573" s="16" t="s">
        <v>22</v>
      </c>
      <c r="H573" s="8">
        <v>45737</v>
      </c>
      <c r="I573" s="16" t="s">
        <v>1551</v>
      </c>
      <c r="J573" t="b">
        <v>0</v>
      </c>
      <c r="K573" s="15" t="s">
        <v>1552</v>
      </c>
      <c r="L573" s="15" t="str">
        <f>HYPERLINK("https://uk1.aconex.co.uk/hub/index.html?mainTarget=%2FSearchControlledDoc%3FSEARCH_ACTION%3D15%26tab%3D0%26searchMode%3D1%26searchQuery%3Ddocno:%22"&amp;RawData[[#This Row],[Document Number]]&amp;"%22%20%2Bcversion%253A1",RawData[[#This Row],[Document Number]])</f>
        <v>FS1018-HBC-XX-XX-L-X-4000</v>
      </c>
    </row>
    <row r="574" spans="1:12" ht="28.8" x14ac:dyDescent="0.3">
      <c r="A574" s="15" t="s">
        <v>1549</v>
      </c>
      <c r="B574" s="15" t="s">
        <v>1550</v>
      </c>
      <c r="C574" s="15" t="s">
        <v>14</v>
      </c>
      <c r="D574" s="15" t="s">
        <v>21</v>
      </c>
      <c r="E574" s="8">
        <v>45737</v>
      </c>
      <c r="F574" s="16" t="s">
        <v>23</v>
      </c>
      <c r="G574" s="16" t="s">
        <v>4</v>
      </c>
      <c r="H574" s="8"/>
      <c r="I574" s="16"/>
      <c r="J574" t="b">
        <v>0</v>
      </c>
      <c r="K574" s="15" t="s">
        <v>1552</v>
      </c>
      <c r="L574" s="15" t="str">
        <f>HYPERLINK("https://uk1.aconex.co.uk/hub/index.html?mainTarget=%2FSearchControlledDoc%3FSEARCH_ACTION%3D15%26tab%3D0%26searchMode%3D1%26searchQuery%3Ddocno:%22"&amp;RawData[[#This Row],[Document Number]]&amp;"%22%20%2Bcversion%253A1",RawData[[#This Row],[Document Number]])</f>
        <v>FS1018-HBC-XX-XX-L-X-4000</v>
      </c>
    </row>
    <row r="575" spans="1:12" x14ac:dyDescent="0.3">
      <c r="A575" s="15" t="s">
        <v>1553</v>
      </c>
      <c r="B575" s="15" t="s">
        <v>1554</v>
      </c>
      <c r="C575" s="15" t="s">
        <v>14</v>
      </c>
      <c r="D575" s="15" t="s">
        <v>20</v>
      </c>
      <c r="E575" s="8">
        <v>45168</v>
      </c>
      <c r="F575" s="16" t="s">
        <v>1413</v>
      </c>
      <c r="G575" s="16" t="s">
        <v>1414</v>
      </c>
      <c r="H575" s="8">
        <v>45194</v>
      </c>
      <c r="I575" s="16" t="s">
        <v>1555</v>
      </c>
      <c r="J575" t="b">
        <v>0</v>
      </c>
      <c r="K575" s="15" t="s">
        <v>1556</v>
      </c>
      <c r="L575" s="15" t="str">
        <f>HYPERLINK("https://uk1.aconex.co.uk/hub/index.html?mainTarget=%2FSearchControlledDoc%3FSEARCH_ACTION%3D15%26tab%3D0%26searchMode%3D1%26searchQuery%3Ddocno:%22"&amp;RawData[[#This Row],[Document Number]]&amp;"%22%20%2Bcversion%253A1",RawData[[#This Row],[Document Number]])</f>
        <v>FS1018-HBC-XX-XX-T-R-0001</v>
      </c>
    </row>
    <row r="576" spans="1:12" ht="43.2" x14ac:dyDescent="0.3">
      <c r="A576" s="15" t="s">
        <v>1557</v>
      </c>
      <c r="B576" s="15" t="s">
        <v>1558</v>
      </c>
      <c r="C576" s="15" t="s">
        <v>14</v>
      </c>
      <c r="D576" s="15" t="s">
        <v>20</v>
      </c>
      <c r="E576" s="8">
        <v>45175</v>
      </c>
      <c r="F576" s="16" t="s">
        <v>939</v>
      </c>
      <c r="G576" s="16" t="s">
        <v>40</v>
      </c>
      <c r="H576" s="8">
        <v>45190</v>
      </c>
      <c r="I576" s="16" t="s">
        <v>1559</v>
      </c>
      <c r="J576" t="b">
        <v>0</v>
      </c>
      <c r="K576" s="15" t="s">
        <v>1560</v>
      </c>
      <c r="L576" s="15" t="str">
        <f>HYPERLINK("https://uk1.aconex.co.uk/hub/index.html?mainTarget=%2FSearchControlledDoc%3FSEARCH_ACTION%3D15%26tab%3D0%26searchMode%3D1%26searchQuery%3Ddocno:%22"&amp;RawData[[#This Row],[Document Number]]&amp;"%22%20%2Bcversion%253A1",RawData[[#This Row],[Document Number]])</f>
        <v>FS1018-HBC-XX-XX-T-X-0001</v>
      </c>
    </row>
    <row r="577" spans="1:12" ht="28.8" x14ac:dyDescent="0.3">
      <c r="A577" s="15" t="s">
        <v>1557</v>
      </c>
      <c r="B577" s="15" t="s">
        <v>1558</v>
      </c>
      <c r="C577" s="15" t="s">
        <v>10</v>
      </c>
      <c r="D577" s="15" t="s">
        <v>20</v>
      </c>
      <c r="E577" s="8">
        <v>45210</v>
      </c>
      <c r="F577" s="16" t="s">
        <v>939</v>
      </c>
      <c r="G577" s="16" t="s">
        <v>34</v>
      </c>
      <c r="H577" s="8">
        <v>45216</v>
      </c>
      <c r="I577" s="16"/>
      <c r="J577" t="b">
        <v>1</v>
      </c>
      <c r="K577" s="15" t="s">
        <v>1560</v>
      </c>
      <c r="L577" s="15" t="str">
        <f>HYPERLINK("https://uk1.aconex.co.uk/hub/index.html?mainTarget=%2FSearchControlledDoc%3FSEARCH_ACTION%3D15%26tab%3D0%26searchMode%3D1%26searchQuery%3Ddocno:%22"&amp;RawData[[#This Row],[Document Number]]&amp;"%22%20%2Bcversion%253A1",RawData[[#This Row],[Document Number]])</f>
        <v>FS1018-HBC-XX-XX-T-X-0001</v>
      </c>
    </row>
    <row r="578" spans="1:12" x14ac:dyDescent="0.3">
      <c r="A578" s="15" t="s">
        <v>1557</v>
      </c>
      <c r="B578" s="15" t="s">
        <v>1558</v>
      </c>
      <c r="C578" s="15" t="s">
        <v>11</v>
      </c>
      <c r="D578" s="15" t="s">
        <v>21</v>
      </c>
      <c r="E578" s="8">
        <v>45729</v>
      </c>
      <c r="F578" s="16" t="s">
        <v>12</v>
      </c>
      <c r="G578" s="16" t="s">
        <v>4</v>
      </c>
      <c r="H578" s="8"/>
      <c r="I578" s="16"/>
      <c r="J578" t="b">
        <v>0</v>
      </c>
      <c r="K578" s="15" t="s">
        <v>1560</v>
      </c>
      <c r="L578" s="15" t="str">
        <f>HYPERLINK("https://uk1.aconex.co.uk/hub/index.html?mainTarget=%2FSearchControlledDoc%3FSEARCH_ACTION%3D15%26tab%3D0%26searchMode%3D1%26searchQuery%3Ddocno:%22"&amp;RawData[[#This Row],[Document Number]]&amp;"%22%20%2Bcversion%253A1",RawData[[#This Row],[Document Number]])</f>
        <v>FS1018-HBC-XX-XX-T-X-0001</v>
      </c>
    </row>
    <row r="579" spans="1:12" ht="28.8" x14ac:dyDescent="0.3">
      <c r="A579" s="15" t="s">
        <v>1561</v>
      </c>
      <c r="B579" s="15" t="s">
        <v>1562</v>
      </c>
      <c r="C579" s="15" t="s">
        <v>14</v>
      </c>
      <c r="D579" s="15" t="s">
        <v>20</v>
      </c>
      <c r="E579" s="8">
        <v>45175</v>
      </c>
      <c r="F579" s="16" t="s">
        <v>939</v>
      </c>
      <c r="G579" s="16" t="s">
        <v>34</v>
      </c>
      <c r="H579" s="8">
        <v>45190</v>
      </c>
      <c r="I579" s="16"/>
      <c r="J579" t="b">
        <v>0</v>
      </c>
      <c r="K579" s="15" t="s">
        <v>1563</v>
      </c>
      <c r="L579" s="15" t="str">
        <f>HYPERLINK("https://uk1.aconex.co.uk/hub/index.html?mainTarget=%2FSearchControlledDoc%3FSEARCH_ACTION%3D15%26tab%3D0%26searchMode%3D1%26searchQuery%3Ddocno:%22"&amp;RawData[[#This Row],[Document Number]]&amp;"%22%20%2Bcversion%253A1",RawData[[#This Row],[Document Number]])</f>
        <v>FS1018-HBC-XX-XX-T-X-0017</v>
      </c>
    </row>
    <row r="580" spans="1:12" ht="28.8" x14ac:dyDescent="0.3">
      <c r="A580" s="15" t="s">
        <v>1564</v>
      </c>
      <c r="B580" s="15" t="s">
        <v>1565</v>
      </c>
      <c r="C580" s="15" t="s">
        <v>14</v>
      </c>
      <c r="D580" s="15" t="s">
        <v>20</v>
      </c>
      <c r="E580" s="8">
        <v>45175</v>
      </c>
      <c r="F580" s="16" t="s">
        <v>939</v>
      </c>
      <c r="G580" s="16" t="s">
        <v>34</v>
      </c>
      <c r="H580" s="8">
        <v>45190</v>
      </c>
      <c r="I580" s="16"/>
      <c r="J580" t="b">
        <v>0</v>
      </c>
      <c r="K580" s="15" t="s">
        <v>1566</v>
      </c>
      <c r="L580" s="15" t="str">
        <f>HYPERLINK("https://uk1.aconex.co.uk/hub/index.html?mainTarget=%2FSearchControlledDoc%3FSEARCH_ACTION%3D15%26tab%3D0%26searchMode%3D1%26searchQuery%3Ddocno:%22"&amp;RawData[[#This Row],[Document Number]]&amp;"%22%20%2Bcversion%253A1",RawData[[#This Row],[Document Number]])</f>
        <v>FS1018-HBC-XX-XX-T-X-0018</v>
      </c>
    </row>
    <row r="581" spans="1:12" ht="28.8" x14ac:dyDescent="0.3">
      <c r="A581" s="15" t="s">
        <v>1567</v>
      </c>
      <c r="B581" s="15" t="s">
        <v>1568</v>
      </c>
      <c r="C581" s="15" t="s">
        <v>14</v>
      </c>
      <c r="D581" s="15" t="s">
        <v>20</v>
      </c>
      <c r="E581" s="8">
        <v>45175</v>
      </c>
      <c r="F581" s="16" t="s">
        <v>939</v>
      </c>
      <c r="G581" s="16" t="s">
        <v>34</v>
      </c>
      <c r="H581" s="8">
        <v>45190</v>
      </c>
      <c r="I581" s="16"/>
      <c r="J581" t="b">
        <v>0</v>
      </c>
      <c r="K581" s="15" t="s">
        <v>1569</v>
      </c>
      <c r="L581" s="15" t="str">
        <f>HYPERLINK("https://uk1.aconex.co.uk/hub/index.html?mainTarget=%2FSearchControlledDoc%3FSEARCH_ACTION%3D15%26tab%3D0%26searchMode%3D1%26searchQuery%3Ddocno:%22"&amp;RawData[[#This Row],[Document Number]]&amp;"%22%20%2Bcversion%253A1",RawData[[#This Row],[Document Number]])</f>
        <v>FS1018-HBC-XX-XX-T-X-0019</v>
      </c>
    </row>
    <row r="582" spans="1:12" ht="28.8" x14ac:dyDescent="0.3">
      <c r="A582" s="15" t="s">
        <v>1570</v>
      </c>
      <c r="B582" s="15" t="s">
        <v>1571</v>
      </c>
      <c r="C582" s="15" t="s">
        <v>14</v>
      </c>
      <c r="D582" s="15" t="s">
        <v>20</v>
      </c>
      <c r="E582" s="8">
        <v>45175</v>
      </c>
      <c r="F582" s="16" t="s">
        <v>939</v>
      </c>
      <c r="G582" s="16" t="s">
        <v>34</v>
      </c>
      <c r="H582" s="8">
        <v>45190</v>
      </c>
      <c r="I582" s="16"/>
      <c r="J582" t="b">
        <v>0</v>
      </c>
      <c r="K582" s="15" t="s">
        <v>1572</v>
      </c>
      <c r="L582" s="15" t="str">
        <f>HYPERLINK("https://uk1.aconex.co.uk/hub/index.html?mainTarget=%2FSearchControlledDoc%3FSEARCH_ACTION%3D15%26tab%3D0%26searchMode%3D1%26searchQuery%3Ddocno:%22"&amp;RawData[[#This Row],[Document Number]]&amp;"%22%20%2Bcversion%253A1",RawData[[#This Row],[Document Number]])</f>
        <v>FS1018-HBC-XX-XX-T-X-0020</v>
      </c>
    </row>
    <row r="583" spans="1:12" ht="28.8" x14ac:dyDescent="0.3">
      <c r="A583" s="15" t="s">
        <v>1573</v>
      </c>
      <c r="B583" s="15" t="s">
        <v>1574</v>
      </c>
      <c r="C583" s="15" t="s">
        <v>14</v>
      </c>
      <c r="D583" s="15" t="s">
        <v>20</v>
      </c>
      <c r="E583" s="8">
        <v>45175</v>
      </c>
      <c r="F583" s="16" t="s">
        <v>939</v>
      </c>
      <c r="G583" s="16" t="s">
        <v>34</v>
      </c>
      <c r="H583" s="8">
        <v>45190</v>
      </c>
      <c r="I583" s="16"/>
      <c r="J583" t="b">
        <v>0</v>
      </c>
      <c r="K583" s="15" t="s">
        <v>1575</v>
      </c>
      <c r="L583" s="15" t="str">
        <f>HYPERLINK("https://uk1.aconex.co.uk/hub/index.html?mainTarget=%2FSearchControlledDoc%3FSEARCH_ACTION%3D15%26tab%3D0%26searchMode%3D1%26searchQuery%3Ddocno:%22"&amp;RawData[[#This Row],[Document Number]]&amp;"%22%20%2Bcversion%253A1",RawData[[#This Row],[Document Number]])</f>
        <v>FS1018-HBC-XX-XX-T-X-0021</v>
      </c>
    </row>
    <row r="584" spans="1:12" ht="28.8" x14ac:dyDescent="0.3">
      <c r="A584" s="15" t="s">
        <v>1576</v>
      </c>
      <c r="B584" s="15" t="s">
        <v>1577</v>
      </c>
      <c r="C584" s="15" t="s">
        <v>14</v>
      </c>
      <c r="D584" s="15" t="s">
        <v>20</v>
      </c>
      <c r="E584" s="8">
        <v>45175</v>
      </c>
      <c r="F584" s="16" t="s">
        <v>939</v>
      </c>
      <c r="G584" s="16" t="s">
        <v>34</v>
      </c>
      <c r="H584" s="8">
        <v>45190</v>
      </c>
      <c r="I584" s="16"/>
      <c r="J584" t="b">
        <v>0</v>
      </c>
      <c r="K584" s="15" t="s">
        <v>1578</v>
      </c>
      <c r="L584" s="15" t="str">
        <f>HYPERLINK("https://uk1.aconex.co.uk/hub/index.html?mainTarget=%2FSearchControlledDoc%3FSEARCH_ACTION%3D15%26tab%3D0%26searchMode%3D1%26searchQuery%3Ddocno:%22"&amp;RawData[[#This Row],[Document Number]]&amp;"%22%20%2Bcversion%253A1",RawData[[#This Row],[Document Number]])</f>
        <v>FS1018-HBC-XX-XX-T-X-0022</v>
      </c>
    </row>
    <row r="585" spans="1:12" ht="28.8" x14ac:dyDescent="0.3">
      <c r="A585" s="15" t="s">
        <v>1579</v>
      </c>
      <c r="B585" s="15" t="s">
        <v>1580</v>
      </c>
      <c r="C585" s="15" t="s">
        <v>14</v>
      </c>
      <c r="D585" s="15" t="s">
        <v>20</v>
      </c>
      <c r="E585" s="8">
        <v>45175</v>
      </c>
      <c r="F585" s="16" t="s">
        <v>939</v>
      </c>
      <c r="G585" s="16" t="s">
        <v>34</v>
      </c>
      <c r="H585" s="8">
        <v>45190</v>
      </c>
      <c r="I585" s="16"/>
      <c r="J585" t="b">
        <v>0</v>
      </c>
      <c r="K585" s="15" t="s">
        <v>1581</v>
      </c>
      <c r="L585" s="15" t="str">
        <f>HYPERLINK("https://uk1.aconex.co.uk/hub/index.html?mainTarget=%2FSearchControlledDoc%3FSEARCH_ACTION%3D15%26tab%3D0%26searchMode%3D1%26searchQuery%3Ddocno:%22"&amp;RawData[[#This Row],[Document Number]]&amp;"%22%20%2Bcversion%253A1",RawData[[#This Row],[Document Number]])</f>
        <v>FS1018-HBC-XX-XX-T-X-0023</v>
      </c>
    </row>
    <row r="586" spans="1:12" x14ac:dyDescent="0.3">
      <c r="A586" s="15" t="s">
        <v>1582</v>
      </c>
      <c r="B586" s="15" t="s">
        <v>1583</v>
      </c>
      <c r="C586" s="15" t="s">
        <v>14</v>
      </c>
      <c r="D586" s="15" t="s">
        <v>21</v>
      </c>
      <c r="E586" s="8">
        <v>45729</v>
      </c>
      <c r="F586" s="16" t="s">
        <v>12</v>
      </c>
      <c r="G586" s="16" t="s">
        <v>4</v>
      </c>
      <c r="H586" s="8"/>
      <c r="I586" s="16"/>
      <c r="J586" t="b">
        <v>0</v>
      </c>
      <c r="K586" s="15" t="s">
        <v>1584</v>
      </c>
      <c r="L586" s="15" t="str">
        <f>HYPERLINK("https://uk1.aconex.co.uk/hub/index.html?mainTarget=%2FSearchControlledDoc%3FSEARCH_ACTION%3D15%26tab%3D0%26searchMode%3D1%26searchQuery%3Ddocno:%22"&amp;RawData[[#This Row],[Document Number]]&amp;"%22%20%2Bcversion%253A1",RawData[[#This Row],[Document Number]])</f>
        <v>FS1018-HBC-XX-XX-T-X-0024</v>
      </c>
    </row>
    <row r="587" spans="1:12" x14ac:dyDescent="0.3">
      <c r="A587" s="15" t="s">
        <v>1585</v>
      </c>
      <c r="B587" s="15" t="s">
        <v>1586</v>
      </c>
      <c r="C587" s="15" t="s">
        <v>14</v>
      </c>
      <c r="D587" s="15" t="s">
        <v>21</v>
      </c>
      <c r="E587" s="8">
        <v>45729</v>
      </c>
      <c r="F587" s="16" t="s">
        <v>12</v>
      </c>
      <c r="G587" s="16" t="s">
        <v>4</v>
      </c>
      <c r="H587" s="8"/>
      <c r="I587" s="16"/>
      <c r="J587" t="b">
        <v>0</v>
      </c>
      <c r="K587" s="15" t="s">
        <v>1587</v>
      </c>
      <c r="L587" s="15" t="str">
        <f>HYPERLINK("https://uk1.aconex.co.uk/hub/index.html?mainTarget=%2FSearchControlledDoc%3FSEARCH_ACTION%3D15%26tab%3D0%26searchMode%3D1%26searchQuery%3Ddocno:%22"&amp;RawData[[#This Row],[Document Number]]&amp;"%22%20%2Bcversion%253A1",RawData[[#This Row],[Document Number]])</f>
        <v>FS1018-HBC-XX-XX-T-X-0025</v>
      </c>
    </row>
    <row r="588" spans="1:12" x14ac:dyDescent="0.3">
      <c r="A588" s="15" t="s">
        <v>1588</v>
      </c>
      <c r="B588" s="15" t="s">
        <v>1589</v>
      </c>
      <c r="C588" s="15" t="s">
        <v>14</v>
      </c>
      <c r="D588" s="15" t="s">
        <v>21</v>
      </c>
      <c r="E588" s="8">
        <v>45729</v>
      </c>
      <c r="F588" s="16" t="s">
        <v>12</v>
      </c>
      <c r="G588" s="16" t="s">
        <v>4</v>
      </c>
      <c r="H588" s="8"/>
      <c r="I588" s="16"/>
      <c r="J588" t="b">
        <v>0</v>
      </c>
      <c r="K588" s="15" t="s">
        <v>1590</v>
      </c>
      <c r="L588" s="15" t="str">
        <f>HYPERLINK("https://uk1.aconex.co.uk/hub/index.html?mainTarget=%2FSearchControlledDoc%3FSEARCH_ACTION%3D15%26tab%3D0%26searchMode%3D1%26searchQuery%3Ddocno:%22"&amp;RawData[[#This Row],[Document Number]]&amp;"%22%20%2Bcversion%253A1",RawData[[#This Row],[Document Number]])</f>
        <v>FS1018-HBC-XX-XX-T-X-0026</v>
      </c>
    </row>
    <row r="589" spans="1:12" x14ac:dyDescent="0.3">
      <c r="A589" s="15" t="s">
        <v>1591</v>
      </c>
      <c r="B589" s="15" t="s">
        <v>1592</v>
      </c>
      <c r="C589" s="15" t="s">
        <v>14</v>
      </c>
      <c r="D589" s="15" t="s">
        <v>21</v>
      </c>
      <c r="E589" s="8">
        <v>45729</v>
      </c>
      <c r="F589" s="16" t="s">
        <v>12</v>
      </c>
      <c r="G589" s="16" t="s">
        <v>4</v>
      </c>
      <c r="H589" s="8"/>
      <c r="I589" s="16"/>
      <c r="J589" t="b">
        <v>0</v>
      </c>
      <c r="K589" s="15" t="s">
        <v>1593</v>
      </c>
      <c r="L589" s="15" t="str">
        <f>HYPERLINK("https://uk1.aconex.co.uk/hub/index.html?mainTarget=%2FSearchControlledDoc%3FSEARCH_ACTION%3D15%26tab%3D0%26searchMode%3D1%26searchQuery%3Ddocno:%22"&amp;RawData[[#This Row],[Document Number]]&amp;"%22%20%2Bcversion%253A1",RawData[[#This Row],[Document Number]])</f>
        <v>FS1018-HBC-XX-XX-T-X-0027</v>
      </c>
    </row>
    <row r="590" spans="1:12" x14ac:dyDescent="0.3">
      <c r="A590" s="15" t="s">
        <v>1594</v>
      </c>
      <c r="B590" s="15" t="s">
        <v>1595</v>
      </c>
      <c r="C590" s="15" t="s">
        <v>14</v>
      </c>
      <c r="D590" s="15" t="s">
        <v>21</v>
      </c>
      <c r="E590" s="8">
        <v>45729</v>
      </c>
      <c r="F590" s="16" t="s">
        <v>12</v>
      </c>
      <c r="G590" s="16" t="s">
        <v>4</v>
      </c>
      <c r="H590" s="8"/>
      <c r="I590" s="16"/>
      <c r="J590" t="b">
        <v>0</v>
      </c>
      <c r="K590" s="15" t="s">
        <v>1596</v>
      </c>
      <c r="L590" s="15" t="str">
        <f>HYPERLINK("https://uk1.aconex.co.uk/hub/index.html?mainTarget=%2FSearchControlledDoc%3FSEARCH_ACTION%3D15%26tab%3D0%26searchMode%3D1%26searchQuery%3Ddocno:%22"&amp;RawData[[#This Row],[Document Number]]&amp;"%22%20%2Bcversion%253A1",RawData[[#This Row],[Document Number]])</f>
        <v>FS1018-HBC-XX-XX-T-X-0028</v>
      </c>
    </row>
    <row r="591" spans="1:12" x14ac:dyDescent="0.3">
      <c r="A591" s="15" t="s">
        <v>1597</v>
      </c>
      <c r="B591" s="15" t="s">
        <v>1598</v>
      </c>
      <c r="C591" s="15" t="s">
        <v>14</v>
      </c>
      <c r="D591" s="15" t="s">
        <v>21</v>
      </c>
      <c r="E591" s="8">
        <v>45729</v>
      </c>
      <c r="F591" s="16" t="s">
        <v>12</v>
      </c>
      <c r="G591" s="16" t="s">
        <v>4</v>
      </c>
      <c r="H591" s="8"/>
      <c r="I591" s="16"/>
      <c r="J591" t="b">
        <v>0</v>
      </c>
      <c r="K591" s="15" t="s">
        <v>1599</v>
      </c>
      <c r="L591" s="15" t="str">
        <f>HYPERLINK("https://uk1.aconex.co.uk/hub/index.html?mainTarget=%2FSearchControlledDoc%3FSEARCH_ACTION%3D15%26tab%3D0%26searchMode%3D1%26searchQuery%3Ddocno:%22"&amp;RawData[[#This Row],[Document Number]]&amp;"%22%20%2Bcversion%253A1",RawData[[#This Row],[Document Number]])</f>
        <v>FS1018-HBC-XX-XX-T-X-0029</v>
      </c>
    </row>
    <row r="592" spans="1:12" x14ac:dyDescent="0.3">
      <c r="A592" s="15" t="s">
        <v>1600</v>
      </c>
      <c r="B592" s="15" t="s">
        <v>1601</v>
      </c>
      <c r="C592" s="15" t="s">
        <v>14</v>
      </c>
      <c r="D592" s="15" t="s">
        <v>21</v>
      </c>
      <c r="E592" s="8">
        <v>45729</v>
      </c>
      <c r="F592" s="16" t="s">
        <v>12</v>
      </c>
      <c r="G592" s="16" t="s">
        <v>4</v>
      </c>
      <c r="H592" s="8"/>
      <c r="I592" s="16"/>
      <c r="J592" t="b">
        <v>0</v>
      </c>
      <c r="K592" s="15" t="s">
        <v>1602</v>
      </c>
      <c r="L592" s="15" t="str">
        <f>HYPERLINK("https://uk1.aconex.co.uk/hub/index.html?mainTarget=%2FSearchControlledDoc%3FSEARCH_ACTION%3D15%26tab%3D0%26searchMode%3D1%26searchQuery%3Ddocno:%22"&amp;RawData[[#This Row],[Document Number]]&amp;"%22%20%2Bcversion%253A1",RawData[[#This Row],[Document Number]])</f>
        <v>FS1018-HBC-XX-XX-T-X-0030</v>
      </c>
    </row>
    <row r="593" spans="1:12" x14ac:dyDescent="0.3">
      <c r="A593" s="15" t="s">
        <v>1603</v>
      </c>
      <c r="B593" s="15" t="s">
        <v>1604</v>
      </c>
      <c r="C593" s="15" t="s">
        <v>14</v>
      </c>
      <c r="D593" s="15" t="s">
        <v>21</v>
      </c>
      <c r="E593" s="8">
        <v>45729</v>
      </c>
      <c r="F593" s="16" t="s">
        <v>12</v>
      </c>
      <c r="G593" s="16" t="s">
        <v>4</v>
      </c>
      <c r="H593" s="8"/>
      <c r="I593" s="16"/>
      <c r="J593" t="b">
        <v>0</v>
      </c>
      <c r="K593" s="15" t="s">
        <v>1605</v>
      </c>
      <c r="L593" s="15" t="str">
        <f>HYPERLINK("https://uk1.aconex.co.uk/hub/index.html?mainTarget=%2FSearchControlledDoc%3FSEARCH_ACTION%3D15%26tab%3D0%26searchMode%3D1%26searchQuery%3Ddocno:%22"&amp;RawData[[#This Row],[Document Number]]&amp;"%22%20%2Bcversion%253A1",RawData[[#This Row],[Document Number]])</f>
        <v>FS1018-HBC-XX-XX-T-X-0031</v>
      </c>
    </row>
    <row r="594" spans="1:12" x14ac:dyDescent="0.3">
      <c r="A594" s="15" t="s">
        <v>1606</v>
      </c>
      <c r="B594" s="15" t="s">
        <v>1607</v>
      </c>
      <c r="C594" s="15" t="s">
        <v>14</v>
      </c>
      <c r="D594" s="15" t="s">
        <v>21</v>
      </c>
      <c r="E594" s="8">
        <v>45729</v>
      </c>
      <c r="F594" s="16" t="s">
        <v>12</v>
      </c>
      <c r="G594" s="16" t="s">
        <v>4</v>
      </c>
      <c r="H594" s="8"/>
      <c r="I594" s="16"/>
      <c r="J594" t="b">
        <v>0</v>
      </c>
      <c r="K594" s="15" t="s">
        <v>1608</v>
      </c>
      <c r="L594" s="15" t="str">
        <f>HYPERLINK("https://uk1.aconex.co.uk/hub/index.html?mainTarget=%2FSearchControlledDoc%3FSEARCH_ACTION%3D15%26tab%3D0%26searchMode%3D1%26searchQuery%3Ddocno:%22"&amp;RawData[[#This Row],[Document Number]]&amp;"%22%20%2Bcversion%253A1",RawData[[#This Row],[Document Number]])</f>
        <v>FS1018-HBC-XX-XX-T-X-0033</v>
      </c>
    </row>
    <row r="595" spans="1:12" x14ac:dyDescent="0.3">
      <c r="A595" s="15" t="s">
        <v>1609</v>
      </c>
      <c r="B595" s="15" t="s">
        <v>1610</v>
      </c>
      <c r="C595" s="15" t="s">
        <v>14</v>
      </c>
      <c r="D595" s="15" t="s">
        <v>21</v>
      </c>
      <c r="E595" s="8">
        <v>45729</v>
      </c>
      <c r="F595" s="16" t="s">
        <v>12</v>
      </c>
      <c r="G595" s="16" t="s">
        <v>4</v>
      </c>
      <c r="H595" s="8"/>
      <c r="I595" s="16"/>
      <c r="J595" t="b">
        <v>0</v>
      </c>
      <c r="K595" s="15" t="s">
        <v>1611</v>
      </c>
      <c r="L595" s="15" t="str">
        <f>HYPERLINK("https://uk1.aconex.co.uk/hub/index.html?mainTarget=%2FSearchControlledDoc%3FSEARCH_ACTION%3D15%26tab%3D0%26searchMode%3D1%26searchQuery%3Ddocno:%22"&amp;RawData[[#This Row],[Document Number]]&amp;"%22%20%2Bcversion%253A1",RawData[[#This Row],[Document Number]])</f>
        <v>FS1018-HBC-XX-XX-T-X-0034</v>
      </c>
    </row>
    <row r="596" spans="1:12" x14ac:dyDescent="0.3">
      <c r="A596" s="15" t="s">
        <v>1612</v>
      </c>
      <c r="B596" s="15" t="s">
        <v>1613</v>
      </c>
      <c r="C596" s="15" t="s">
        <v>14</v>
      </c>
      <c r="D596" s="15" t="s">
        <v>21</v>
      </c>
      <c r="E596" s="8">
        <v>45729</v>
      </c>
      <c r="F596" s="16" t="s">
        <v>12</v>
      </c>
      <c r="G596" s="16" t="s">
        <v>4</v>
      </c>
      <c r="H596" s="8"/>
      <c r="I596" s="16"/>
      <c r="J596" t="b">
        <v>0</v>
      </c>
      <c r="K596" s="15" t="s">
        <v>1614</v>
      </c>
      <c r="L596" s="15" t="str">
        <f>HYPERLINK("https://uk1.aconex.co.uk/hub/index.html?mainTarget=%2FSearchControlledDoc%3FSEARCH_ACTION%3D15%26tab%3D0%26searchMode%3D1%26searchQuery%3Ddocno:%22"&amp;RawData[[#This Row],[Document Number]]&amp;"%22%20%2Bcversion%253A1",RawData[[#This Row],[Document Number]])</f>
        <v>FS1018-HBC-XX-XX-T-X-0035</v>
      </c>
    </row>
    <row r="597" spans="1:12" x14ac:dyDescent="0.3">
      <c r="A597" s="15" t="s">
        <v>1615</v>
      </c>
      <c r="B597" s="15" t="s">
        <v>1616</v>
      </c>
      <c r="C597" s="15" t="s">
        <v>14</v>
      </c>
      <c r="D597" s="15" t="s">
        <v>21</v>
      </c>
      <c r="E597" s="8">
        <v>45729</v>
      </c>
      <c r="F597" s="16" t="s">
        <v>12</v>
      </c>
      <c r="G597" s="16" t="s">
        <v>4</v>
      </c>
      <c r="H597" s="8"/>
      <c r="I597" s="16"/>
      <c r="J597" t="b">
        <v>0</v>
      </c>
      <c r="K597" s="15" t="s">
        <v>1617</v>
      </c>
      <c r="L597" s="15" t="str">
        <f>HYPERLINK("https://uk1.aconex.co.uk/hub/index.html?mainTarget=%2FSearchControlledDoc%3FSEARCH_ACTION%3D15%26tab%3D0%26searchMode%3D1%26searchQuery%3Ddocno:%22"&amp;RawData[[#This Row],[Document Number]]&amp;"%22%20%2Bcversion%253A1",RawData[[#This Row],[Document Number]])</f>
        <v>FS1018-HBC-XX-XX-T-X-0036</v>
      </c>
    </row>
    <row r="598" spans="1:12" x14ac:dyDescent="0.3">
      <c r="A598" s="15" t="s">
        <v>1618</v>
      </c>
      <c r="B598" s="15" t="s">
        <v>1619</v>
      </c>
      <c r="C598" s="15" t="s">
        <v>14</v>
      </c>
      <c r="D598" s="15" t="s">
        <v>21</v>
      </c>
      <c r="E598" s="8">
        <v>45729</v>
      </c>
      <c r="F598" s="16" t="s">
        <v>12</v>
      </c>
      <c r="G598" s="16" t="s">
        <v>4</v>
      </c>
      <c r="H598" s="8"/>
      <c r="I598" s="16"/>
      <c r="J598" t="b">
        <v>0</v>
      </c>
      <c r="K598" s="15" t="s">
        <v>1620</v>
      </c>
      <c r="L598" s="15" t="str">
        <f>HYPERLINK("https://uk1.aconex.co.uk/hub/index.html?mainTarget=%2FSearchControlledDoc%3FSEARCH_ACTION%3D15%26tab%3D0%26searchMode%3D1%26searchQuery%3Ddocno:%22"&amp;RawData[[#This Row],[Document Number]]&amp;"%22%20%2Bcversion%253A1",RawData[[#This Row],[Document Number]])</f>
        <v>FS1018-HBC-XX-XX-T-X-0037</v>
      </c>
    </row>
    <row r="599" spans="1:12" x14ac:dyDescent="0.3">
      <c r="A599" s="15" t="s">
        <v>1621</v>
      </c>
      <c r="B599" s="15" t="s">
        <v>1622</v>
      </c>
      <c r="C599" s="15" t="s">
        <v>14</v>
      </c>
      <c r="D599" s="15" t="s">
        <v>21</v>
      </c>
      <c r="E599" s="8">
        <v>45729</v>
      </c>
      <c r="F599" s="16" t="s">
        <v>12</v>
      </c>
      <c r="G599" s="16" t="s">
        <v>4</v>
      </c>
      <c r="H599" s="8"/>
      <c r="I599" s="16"/>
      <c r="J599" t="b">
        <v>0</v>
      </c>
      <c r="K599" s="15" t="s">
        <v>1623</v>
      </c>
      <c r="L599" s="15" t="str">
        <f>HYPERLINK("https://uk1.aconex.co.uk/hub/index.html?mainTarget=%2FSearchControlledDoc%3FSEARCH_ACTION%3D15%26tab%3D0%26searchMode%3D1%26searchQuery%3Ddocno:%22"&amp;RawData[[#This Row],[Document Number]]&amp;"%22%20%2Bcversion%253A1",RawData[[#This Row],[Document Number]])</f>
        <v>FS1018-HBC-XX-XX-T-X-0038</v>
      </c>
    </row>
    <row r="600" spans="1:12" x14ac:dyDescent="0.3">
      <c r="A600" s="15" t="s">
        <v>1624</v>
      </c>
      <c r="B600" s="15" t="s">
        <v>1625</v>
      </c>
      <c r="C600" s="15" t="s">
        <v>14</v>
      </c>
      <c r="D600" s="15" t="s">
        <v>21</v>
      </c>
      <c r="E600" s="8">
        <v>45729</v>
      </c>
      <c r="F600" s="16" t="s">
        <v>12</v>
      </c>
      <c r="G600" s="16" t="s">
        <v>4</v>
      </c>
      <c r="H600" s="8"/>
      <c r="I600" s="16"/>
      <c r="J600" t="b">
        <v>0</v>
      </c>
      <c r="K600" s="15" t="s">
        <v>1626</v>
      </c>
      <c r="L600" s="15" t="str">
        <f>HYPERLINK("https://uk1.aconex.co.uk/hub/index.html?mainTarget=%2FSearchControlledDoc%3FSEARCH_ACTION%3D15%26tab%3D0%26searchMode%3D1%26searchQuery%3Ddocno:%22"&amp;RawData[[#This Row],[Document Number]]&amp;"%22%20%2Bcversion%253A1",RawData[[#This Row],[Document Number]])</f>
        <v>FS1018-HBC-XX-XX-T-X-0039</v>
      </c>
    </row>
    <row r="601" spans="1:12" x14ac:dyDescent="0.3">
      <c r="A601" s="15" t="s">
        <v>1627</v>
      </c>
      <c r="B601" s="15" t="s">
        <v>1628</v>
      </c>
      <c r="C601" s="15" t="s">
        <v>14</v>
      </c>
      <c r="D601" s="15" t="s">
        <v>21</v>
      </c>
      <c r="E601" s="8">
        <v>45729</v>
      </c>
      <c r="F601" s="16" t="s">
        <v>12</v>
      </c>
      <c r="G601" s="16" t="s">
        <v>4</v>
      </c>
      <c r="H601" s="8"/>
      <c r="I601" s="16"/>
      <c r="J601" t="b">
        <v>0</v>
      </c>
      <c r="K601" s="15" t="s">
        <v>1629</v>
      </c>
      <c r="L601" s="15" t="str">
        <f>HYPERLINK("https://uk1.aconex.co.uk/hub/index.html?mainTarget=%2FSearchControlledDoc%3FSEARCH_ACTION%3D15%26tab%3D0%26searchMode%3D1%26searchQuery%3Ddocno:%22"&amp;RawData[[#This Row],[Document Number]]&amp;"%22%20%2Bcversion%253A1",RawData[[#This Row],[Document Number]])</f>
        <v>FS1018-HBC-XX-XX-T-X-0040</v>
      </c>
    </row>
    <row r="602" spans="1:12" ht="72" x14ac:dyDescent="0.3">
      <c r="A602" s="15" t="s">
        <v>1630</v>
      </c>
      <c r="B602" s="15" t="s">
        <v>1631</v>
      </c>
      <c r="C602" s="15" t="s">
        <v>14</v>
      </c>
      <c r="D602" s="15" t="s">
        <v>21</v>
      </c>
      <c r="E602" s="8">
        <v>45729</v>
      </c>
      <c r="F602" s="16" t="s">
        <v>12</v>
      </c>
      <c r="G602" s="16" t="s">
        <v>1443</v>
      </c>
      <c r="H602" s="8">
        <v>45737</v>
      </c>
      <c r="I602" s="16" t="s">
        <v>1632</v>
      </c>
      <c r="J602" t="b">
        <v>0</v>
      </c>
      <c r="K602" s="15" t="s">
        <v>1633</v>
      </c>
      <c r="L602" s="15" t="str">
        <f>HYPERLINK("https://uk1.aconex.co.uk/hub/index.html?mainTarget=%2FSearchControlledDoc%3FSEARCH_ACTION%3D15%26tab%3D0%26searchMode%3D1%26searchQuery%3Ddocno:%22"&amp;RawData[[#This Row],[Document Number]]&amp;"%22%20%2Bcversion%253A1",RawData[[#This Row],[Document Number]])</f>
        <v>FS1018-HBC-XX-XX-T-X-0042</v>
      </c>
    </row>
    <row r="603" spans="1:12" ht="28.8" x14ac:dyDescent="0.3">
      <c r="A603" s="15" t="s">
        <v>1630</v>
      </c>
      <c r="B603" s="15" t="s">
        <v>1631</v>
      </c>
      <c r="C603" s="15" t="s">
        <v>14</v>
      </c>
      <c r="D603" s="15" t="s">
        <v>21</v>
      </c>
      <c r="E603" s="8">
        <v>45737</v>
      </c>
      <c r="F603" s="16" t="s">
        <v>23</v>
      </c>
      <c r="G603" s="16" t="s">
        <v>4</v>
      </c>
      <c r="H603" s="8"/>
      <c r="I603" s="16"/>
      <c r="J603" t="b">
        <v>0</v>
      </c>
      <c r="K603" s="15" t="s">
        <v>1633</v>
      </c>
      <c r="L603" s="15" t="str">
        <f>HYPERLINK("https://uk1.aconex.co.uk/hub/index.html?mainTarget=%2FSearchControlledDoc%3FSEARCH_ACTION%3D15%26tab%3D0%26searchMode%3D1%26searchQuery%3Ddocno:%22"&amp;RawData[[#This Row],[Document Number]]&amp;"%22%20%2Bcversion%253A1",RawData[[#This Row],[Document Number]])</f>
        <v>FS1018-HBC-XX-XX-T-X-0042</v>
      </c>
    </row>
    <row r="604" spans="1:12" x14ac:dyDescent="0.3">
      <c r="A604" s="15" t="s">
        <v>1634</v>
      </c>
      <c r="B604" s="15" t="s">
        <v>1635</v>
      </c>
      <c r="C604" s="15" t="s">
        <v>14</v>
      </c>
      <c r="D604" s="15" t="s">
        <v>21</v>
      </c>
      <c r="E604" s="8">
        <v>45729</v>
      </c>
      <c r="F604" s="16" t="s">
        <v>12</v>
      </c>
      <c r="G604" s="16" t="s">
        <v>4</v>
      </c>
      <c r="H604" s="8"/>
      <c r="I604" s="16"/>
      <c r="J604" t="b">
        <v>0</v>
      </c>
      <c r="K604" s="15" t="s">
        <v>1636</v>
      </c>
      <c r="L604" s="15" t="str">
        <f>HYPERLINK("https://uk1.aconex.co.uk/hub/index.html?mainTarget=%2FSearchControlledDoc%3FSEARCH_ACTION%3D15%26tab%3D0%26searchMode%3D1%26searchQuery%3Ddocno:%22"&amp;RawData[[#This Row],[Document Number]]&amp;"%22%20%2Bcversion%253A1",RawData[[#This Row],[Document Number]])</f>
        <v>FS1018-HBC-XX-XX-T-X-0043</v>
      </c>
    </row>
    <row r="605" spans="1:12" x14ac:dyDescent="0.3">
      <c r="A605" s="15" t="s">
        <v>1637</v>
      </c>
      <c r="B605" s="15" t="s">
        <v>1638</v>
      </c>
      <c r="C605" s="15" t="s">
        <v>14</v>
      </c>
      <c r="D605" s="15" t="s">
        <v>21</v>
      </c>
      <c r="E605" s="8">
        <v>45729</v>
      </c>
      <c r="F605" s="16" t="s">
        <v>12</v>
      </c>
      <c r="G605" s="16" t="s">
        <v>4</v>
      </c>
      <c r="H605" s="8"/>
      <c r="I605" s="16"/>
      <c r="J605" t="b">
        <v>0</v>
      </c>
      <c r="K605" s="15" t="s">
        <v>1639</v>
      </c>
      <c r="L605" s="15" t="str">
        <f>HYPERLINK("https://uk1.aconex.co.uk/hub/index.html?mainTarget=%2FSearchControlledDoc%3FSEARCH_ACTION%3D15%26tab%3D0%26searchMode%3D1%26searchQuery%3Ddocno:%22"&amp;RawData[[#This Row],[Document Number]]&amp;"%22%20%2Bcversion%253A1",RawData[[#This Row],[Document Number]])</f>
        <v>FS1018-HBC-XX-XX-T-X-0044</v>
      </c>
    </row>
    <row r="606" spans="1:12" x14ac:dyDescent="0.3">
      <c r="A606" s="15" t="s">
        <v>1640</v>
      </c>
      <c r="B606" s="15" t="s">
        <v>1641</v>
      </c>
      <c r="C606" s="15" t="s">
        <v>14</v>
      </c>
      <c r="D606" s="15" t="s">
        <v>21</v>
      </c>
      <c r="E606" s="8">
        <v>45729</v>
      </c>
      <c r="F606" s="16" t="s">
        <v>12</v>
      </c>
      <c r="G606" s="16" t="s">
        <v>4</v>
      </c>
      <c r="H606" s="8"/>
      <c r="I606" s="16"/>
      <c r="J606" t="b">
        <v>0</v>
      </c>
      <c r="K606" s="15" t="s">
        <v>1642</v>
      </c>
      <c r="L606" s="15" t="str">
        <f>HYPERLINK("https://uk1.aconex.co.uk/hub/index.html?mainTarget=%2FSearchControlledDoc%3FSEARCH_ACTION%3D15%26tab%3D0%26searchMode%3D1%26searchQuery%3Ddocno:%22"&amp;RawData[[#This Row],[Document Number]]&amp;"%22%20%2Bcversion%253A1",RawData[[#This Row],[Document Number]])</f>
        <v>FS1018-HBC-XX-XX-T-X-0045</v>
      </c>
    </row>
    <row r="607" spans="1:12" ht="43.2" x14ac:dyDescent="0.3">
      <c r="A607" s="15" t="s">
        <v>1643</v>
      </c>
      <c r="B607" s="15" t="s">
        <v>1644</v>
      </c>
      <c r="C607" s="15" t="s">
        <v>14</v>
      </c>
      <c r="D607" s="15" t="s">
        <v>20</v>
      </c>
      <c r="E607" s="8">
        <v>45512</v>
      </c>
      <c r="F607" s="16" t="s">
        <v>1353</v>
      </c>
      <c r="G607" s="16" t="s">
        <v>40</v>
      </c>
      <c r="H607" s="8">
        <v>45669</v>
      </c>
      <c r="I607" s="16" t="s">
        <v>71</v>
      </c>
      <c r="J607" t="b">
        <v>0</v>
      </c>
      <c r="K607" s="15" t="s">
        <v>1645</v>
      </c>
      <c r="L607" s="15" t="str">
        <f>HYPERLINK("https://uk1.aconex.co.uk/hub/index.html?mainTarget=%2FSearchControlledDoc%3FSEARCH_ACTION%3D15%26tab%3D0%26searchMode%3D1%26searchQuery%3Ddocno:%22"&amp;RawData[[#This Row],[Document Number]]&amp;"%22%20%2Bcversion%253A1",RawData[[#This Row],[Document Number]])</f>
        <v>FS1018-HEX-XX-00-T-H-0002</v>
      </c>
    </row>
    <row r="608" spans="1:12" ht="43.2" x14ac:dyDescent="0.3">
      <c r="A608" s="15" t="s">
        <v>1646</v>
      </c>
      <c r="B608" s="15" t="s">
        <v>1647</v>
      </c>
      <c r="C608" s="15" t="s">
        <v>10</v>
      </c>
      <c r="D608" s="15" t="s">
        <v>20</v>
      </c>
      <c r="E608" s="8">
        <v>45532</v>
      </c>
      <c r="F608" s="16" t="s">
        <v>1353</v>
      </c>
      <c r="G608" s="16" t="s">
        <v>40</v>
      </c>
      <c r="H608" s="8">
        <v>45669</v>
      </c>
      <c r="I608" s="16" t="s">
        <v>71</v>
      </c>
      <c r="J608" t="b">
        <v>1</v>
      </c>
      <c r="K608" s="15" t="s">
        <v>1648</v>
      </c>
      <c r="L608" s="15" t="str">
        <f>HYPERLINK("https://uk1.aconex.co.uk/hub/index.html?mainTarget=%2FSearchControlledDoc%3FSEARCH_ACTION%3D15%26tab%3D0%26searchMode%3D1%26searchQuery%3Ddocno:%22"&amp;RawData[[#This Row],[Document Number]]&amp;"%22%20%2Bcversion%253A1",RawData[[#This Row],[Document Number]])</f>
        <v>FS1018-HEX-XX-XX-T-C-0001</v>
      </c>
    </row>
    <row r="609" spans="1:12" ht="43.2" x14ac:dyDescent="0.3">
      <c r="A609" s="15" t="s">
        <v>1649</v>
      </c>
      <c r="B609" s="15" t="s">
        <v>1650</v>
      </c>
      <c r="C609" s="15" t="s">
        <v>14</v>
      </c>
      <c r="D609" s="15" t="s">
        <v>20</v>
      </c>
      <c r="E609" s="8">
        <v>45512</v>
      </c>
      <c r="F609" s="16" t="s">
        <v>1353</v>
      </c>
      <c r="G609" s="16" t="s">
        <v>40</v>
      </c>
      <c r="H609" s="8">
        <v>45669</v>
      </c>
      <c r="I609" s="16" t="s">
        <v>71</v>
      </c>
      <c r="J609" t="b">
        <v>0</v>
      </c>
      <c r="K609" s="15" t="s">
        <v>1651</v>
      </c>
      <c r="L609" s="15" t="str">
        <f>HYPERLINK("https://uk1.aconex.co.uk/hub/index.html?mainTarget=%2FSearchControlledDoc%3FSEARCH_ACTION%3D15%26tab%3D0%26searchMode%3D1%26searchQuery%3Ddocno:%22"&amp;RawData[[#This Row],[Document Number]]&amp;"%22%20%2Bcversion%253A1",RawData[[#This Row],[Document Number]])</f>
        <v>FS1018-HEX-XX-XX-T-C-0002</v>
      </c>
    </row>
    <row r="610" spans="1:12" x14ac:dyDescent="0.3">
      <c r="A610" s="15" t="s">
        <v>1652</v>
      </c>
      <c r="B610" s="15" t="s">
        <v>1653</v>
      </c>
      <c r="C610" s="15" t="s">
        <v>14</v>
      </c>
      <c r="D610" s="15" t="s">
        <v>20</v>
      </c>
      <c r="E610" s="8">
        <v>45175</v>
      </c>
      <c r="F610" s="16" t="s">
        <v>1353</v>
      </c>
      <c r="G610" s="16" t="s">
        <v>34</v>
      </c>
      <c r="H610" s="8">
        <v>45195</v>
      </c>
      <c r="I610" s="16"/>
      <c r="J610" t="b">
        <v>0</v>
      </c>
      <c r="K610" s="15" t="s">
        <v>1654</v>
      </c>
      <c r="L610" s="15" t="str">
        <f>HYPERLINK("https://uk1.aconex.co.uk/hub/index.html?mainTarget=%2FSearchControlledDoc%3FSEARCH_ACTION%3D15%26tab%3D0%26searchMode%3D1%26searchQuery%3Ddocno:%22"&amp;RawData[[#This Row],[Document Number]]&amp;"%22%20%2Bcversion%253A1",RawData[[#This Row],[Document Number]])</f>
        <v>FS1018-HEX-XX-XX-T-C-0004</v>
      </c>
    </row>
    <row r="611" spans="1:12" x14ac:dyDescent="0.3">
      <c r="A611" s="15" t="s">
        <v>1652</v>
      </c>
      <c r="B611" s="15" t="s">
        <v>1655</v>
      </c>
      <c r="C611" s="15" t="s">
        <v>10</v>
      </c>
      <c r="D611" s="15" t="s">
        <v>21</v>
      </c>
      <c r="E611" s="8">
        <v>45729</v>
      </c>
      <c r="F611" s="16" t="s">
        <v>12</v>
      </c>
      <c r="G611" s="16" t="s">
        <v>4</v>
      </c>
      <c r="H611" s="8"/>
      <c r="I611" s="16"/>
      <c r="J611" t="b">
        <v>1</v>
      </c>
      <c r="K611" s="15" t="s">
        <v>1656</v>
      </c>
      <c r="L611" s="15" t="str">
        <f>HYPERLINK("https://uk1.aconex.co.uk/hub/index.html?mainTarget=%2FSearchControlledDoc%3FSEARCH_ACTION%3D15%26tab%3D0%26searchMode%3D1%26searchQuery%3Ddocno:%22"&amp;RawData[[#This Row],[Document Number]]&amp;"%22%20%2Bcversion%253A1",RawData[[#This Row],[Document Number]])</f>
        <v>FS1018-HEX-XX-XX-T-C-0004</v>
      </c>
    </row>
    <row r="612" spans="1:12" ht="244.8" x14ac:dyDescent="0.3">
      <c r="A612" s="15" t="s">
        <v>1657</v>
      </c>
      <c r="B612" s="15" t="s">
        <v>77</v>
      </c>
      <c r="C612" s="15" t="s">
        <v>14</v>
      </c>
      <c r="D612" s="15" t="s">
        <v>20</v>
      </c>
      <c r="E612" s="8">
        <v>45175</v>
      </c>
      <c r="F612" s="16" t="s">
        <v>760</v>
      </c>
      <c r="G612" s="16" t="s">
        <v>22</v>
      </c>
      <c r="H612" s="8">
        <v>45194</v>
      </c>
      <c r="I612" s="16" t="s">
        <v>1658</v>
      </c>
      <c r="J612" t="b">
        <v>0</v>
      </c>
      <c r="K612" s="15" t="s">
        <v>1659</v>
      </c>
      <c r="L612" s="15" t="str">
        <f>HYPERLINK("https://uk1.aconex.co.uk/hub/index.html?mainTarget=%2FSearchControlledDoc%3FSEARCH_ACTION%3D15%26tab%3D0%26searchMode%3D1%26searchQuery%3Ddocno:%22"&amp;RawData[[#This Row],[Document Number]]&amp;"%22%20%2Bcversion%253A1",RawData[[#This Row],[Document Number]])</f>
        <v>FS1018-HEX-XX-XX-T-C-0010</v>
      </c>
    </row>
    <row r="613" spans="1:12" ht="43.2" x14ac:dyDescent="0.3">
      <c r="A613" s="15" t="s">
        <v>1657</v>
      </c>
      <c r="B613" s="15" t="s">
        <v>77</v>
      </c>
      <c r="C613" s="15" t="s">
        <v>10</v>
      </c>
      <c r="D613" s="15" t="s">
        <v>20</v>
      </c>
      <c r="E613" s="8">
        <v>45638</v>
      </c>
      <c r="F613" s="16" t="s">
        <v>78</v>
      </c>
      <c r="G613" s="16" t="s">
        <v>40</v>
      </c>
      <c r="H613" s="8">
        <v>45669</v>
      </c>
      <c r="I613" s="16" t="s">
        <v>71</v>
      </c>
      <c r="J613" t="b">
        <v>1</v>
      </c>
      <c r="K613" s="15" t="s">
        <v>1659</v>
      </c>
      <c r="L613" s="15" t="str">
        <f>HYPERLINK("https://uk1.aconex.co.uk/hub/index.html?mainTarget=%2FSearchControlledDoc%3FSEARCH_ACTION%3D15%26tab%3D0%26searchMode%3D1%26searchQuery%3Ddocno:%22"&amp;RawData[[#This Row],[Document Number]]&amp;"%22%20%2Bcversion%253A1",RawData[[#This Row],[Document Number]])</f>
        <v>FS1018-HEX-XX-XX-T-C-0010</v>
      </c>
    </row>
    <row r="614" spans="1:12" x14ac:dyDescent="0.3">
      <c r="A614" s="15" t="s">
        <v>1657</v>
      </c>
      <c r="B614" s="15" t="s">
        <v>77</v>
      </c>
      <c r="C614" s="15" t="s">
        <v>11</v>
      </c>
      <c r="D614" s="15" t="s">
        <v>21</v>
      </c>
      <c r="E614" s="8">
        <v>45729</v>
      </c>
      <c r="F614" s="16" t="s">
        <v>12</v>
      </c>
      <c r="G614" s="16" t="s">
        <v>4</v>
      </c>
      <c r="H614" s="8"/>
      <c r="I614" s="16"/>
      <c r="J614" t="b">
        <v>0</v>
      </c>
      <c r="K614" s="15" t="s">
        <v>1659</v>
      </c>
      <c r="L614" s="15" t="str">
        <f>HYPERLINK("https://uk1.aconex.co.uk/hub/index.html?mainTarget=%2FSearchControlledDoc%3FSEARCH_ACTION%3D15%26tab%3D0%26searchMode%3D1%26searchQuery%3Ddocno:%22"&amp;RawData[[#This Row],[Document Number]]&amp;"%22%20%2Bcversion%253A1",RawData[[#This Row],[Document Number]])</f>
        <v>FS1018-HEX-XX-XX-T-C-0010</v>
      </c>
    </row>
    <row r="615" spans="1:12" x14ac:dyDescent="0.3">
      <c r="A615" s="15" t="s">
        <v>1660</v>
      </c>
      <c r="B615" s="15" t="s">
        <v>1661</v>
      </c>
      <c r="C615" s="15" t="s">
        <v>14</v>
      </c>
      <c r="D615" s="15" t="s">
        <v>21</v>
      </c>
      <c r="E615" s="8">
        <v>45729</v>
      </c>
      <c r="F615" s="16" t="s">
        <v>12</v>
      </c>
      <c r="G615" s="16" t="s">
        <v>4</v>
      </c>
      <c r="H615" s="8"/>
      <c r="I615" s="16"/>
      <c r="J615" t="b">
        <v>0</v>
      </c>
      <c r="K615" s="15" t="s">
        <v>1662</v>
      </c>
      <c r="L615" s="15" t="str">
        <f>HYPERLINK("https://uk1.aconex.co.uk/hub/index.html?mainTarget=%2FSearchControlledDoc%3FSEARCH_ACTION%3D15%26tab%3D0%26searchMode%3D1%26searchQuery%3Ddocno:%22"&amp;RawData[[#This Row],[Document Number]]&amp;"%22%20%2Bcversion%253A1",RawData[[#This Row],[Document Number]])</f>
        <v>FS1018-HEX-XX-XX-T-C-0011</v>
      </c>
    </row>
    <row r="616" spans="1:12" x14ac:dyDescent="0.3">
      <c r="A616" s="15" t="s">
        <v>1663</v>
      </c>
      <c r="B616" s="15" t="s">
        <v>1664</v>
      </c>
      <c r="C616" s="15" t="s">
        <v>14</v>
      </c>
      <c r="D616" s="15" t="s">
        <v>21</v>
      </c>
      <c r="E616" s="8">
        <v>45729</v>
      </c>
      <c r="F616" s="16" t="s">
        <v>12</v>
      </c>
      <c r="G616" s="16" t="s">
        <v>4</v>
      </c>
      <c r="H616" s="8"/>
      <c r="I616" s="16"/>
      <c r="J616" t="b">
        <v>0</v>
      </c>
      <c r="K616" s="15" t="s">
        <v>1665</v>
      </c>
      <c r="L616" s="15" t="str">
        <f>HYPERLINK("https://uk1.aconex.co.uk/hub/index.html?mainTarget=%2FSearchControlledDoc%3FSEARCH_ACTION%3D15%26tab%3D0%26searchMode%3D1%26searchQuery%3Ddocno:%22"&amp;RawData[[#This Row],[Document Number]]&amp;"%22%20%2Bcversion%253A1",RawData[[#This Row],[Document Number]])</f>
        <v>FS1018-HEX-XX-XX-T-C-0012</v>
      </c>
    </row>
    <row r="617" spans="1:12" ht="43.2" x14ac:dyDescent="0.3">
      <c r="A617" s="15" t="s">
        <v>1666</v>
      </c>
      <c r="B617" s="15" t="s">
        <v>1667</v>
      </c>
      <c r="C617" s="15" t="s">
        <v>14</v>
      </c>
      <c r="D617" s="15" t="s">
        <v>20</v>
      </c>
      <c r="E617" s="8">
        <v>45512</v>
      </c>
      <c r="F617" s="16" t="s">
        <v>1353</v>
      </c>
      <c r="G617" s="16" t="s">
        <v>40</v>
      </c>
      <c r="H617" s="8">
        <v>45669</v>
      </c>
      <c r="I617" s="16" t="s">
        <v>71</v>
      </c>
      <c r="J617" t="b">
        <v>0</v>
      </c>
      <c r="K617" s="15" t="s">
        <v>1668</v>
      </c>
      <c r="L617" s="15" t="str">
        <f>HYPERLINK("https://uk1.aconex.co.uk/hub/index.html?mainTarget=%2FSearchControlledDoc%3FSEARCH_ACTION%3D15%26tab%3D0%26searchMode%3D1%26searchQuery%3Ddocno:%22"&amp;RawData[[#This Row],[Document Number]]&amp;"%22%20%2Bcversion%253A1",RawData[[#This Row],[Document Number]])</f>
        <v>FS1018-HEX-XX-XX-T-H-0001</v>
      </c>
    </row>
    <row r="618" spans="1:12" x14ac:dyDescent="0.3">
      <c r="A618" s="15" t="s">
        <v>1666</v>
      </c>
      <c r="B618" s="15" t="s">
        <v>1667</v>
      </c>
      <c r="C618" s="15" t="s">
        <v>10</v>
      </c>
      <c r="D618" s="15" t="s">
        <v>21</v>
      </c>
      <c r="E618" s="8">
        <v>45729</v>
      </c>
      <c r="F618" s="16" t="s">
        <v>12</v>
      </c>
      <c r="G618" s="16" t="s">
        <v>4</v>
      </c>
      <c r="H618" s="8"/>
      <c r="I618" s="16"/>
      <c r="J618" t="b">
        <v>1</v>
      </c>
      <c r="K618" s="15" t="s">
        <v>1668</v>
      </c>
      <c r="L618" s="15" t="str">
        <f>HYPERLINK("https://uk1.aconex.co.uk/hub/index.html?mainTarget=%2FSearchControlledDoc%3FSEARCH_ACTION%3D15%26tab%3D0%26searchMode%3D1%26searchQuery%3Ddocno:%22"&amp;RawData[[#This Row],[Document Number]]&amp;"%22%20%2Bcversion%253A1",RawData[[#This Row],[Document Number]])</f>
        <v>FS1018-HEX-XX-XX-T-H-0001</v>
      </c>
    </row>
    <row r="619" spans="1:12" ht="43.2" x14ac:dyDescent="0.3">
      <c r="A619" s="15" t="s">
        <v>1669</v>
      </c>
      <c r="B619" s="15" t="s">
        <v>1670</v>
      </c>
      <c r="C619" s="15" t="s">
        <v>14</v>
      </c>
      <c r="D619" s="15" t="s">
        <v>20</v>
      </c>
      <c r="E619" s="8">
        <v>45175</v>
      </c>
      <c r="F619" s="16" t="s">
        <v>1671</v>
      </c>
      <c r="G619" s="16" t="s">
        <v>40</v>
      </c>
      <c r="H619" s="8">
        <v>45194</v>
      </c>
      <c r="I619" s="16" t="s">
        <v>1672</v>
      </c>
      <c r="J619" t="b">
        <v>0</v>
      </c>
      <c r="K619" s="15" t="s">
        <v>1673</v>
      </c>
      <c r="L619" s="15" t="str">
        <f>HYPERLINK("https://uk1.aconex.co.uk/hub/index.html?mainTarget=%2FSearchControlledDoc%3FSEARCH_ACTION%3D15%26tab%3D0%26searchMode%3D1%26searchQuery%3Ddocno:%22"&amp;RawData[[#This Row],[Document Number]]&amp;"%22%20%2Bcversion%253A1",RawData[[#This Row],[Document Number]])</f>
        <v>FS1018-HEX-XX-XX-T-S-0003</v>
      </c>
    </row>
    <row r="620" spans="1:12" x14ac:dyDescent="0.3">
      <c r="A620" s="15" t="s">
        <v>1669</v>
      </c>
      <c r="B620" s="15" t="s">
        <v>1670</v>
      </c>
      <c r="C620" s="15" t="s">
        <v>10</v>
      </c>
      <c r="D620" s="15" t="s">
        <v>21</v>
      </c>
      <c r="E620" s="8">
        <v>45729</v>
      </c>
      <c r="F620" s="16" t="s">
        <v>12</v>
      </c>
      <c r="G620" s="16" t="s">
        <v>4</v>
      </c>
      <c r="H620" s="8"/>
      <c r="I620" s="16"/>
      <c r="J620" t="b">
        <v>1</v>
      </c>
      <c r="K620" s="15" t="s">
        <v>1673</v>
      </c>
      <c r="L620" s="15" t="str">
        <f>HYPERLINK("https://uk1.aconex.co.uk/hub/index.html?mainTarget=%2FSearchControlledDoc%3FSEARCH_ACTION%3D15%26tab%3D0%26searchMode%3D1%26searchQuery%3Ddocno:%22"&amp;RawData[[#This Row],[Document Number]]&amp;"%22%20%2Bcversion%253A1",RawData[[#This Row],[Document Number]])</f>
        <v>FS1018-HEX-XX-XX-T-S-0003</v>
      </c>
    </row>
    <row r="621" spans="1:12" x14ac:dyDescent="0.3">
      <c r="A621" s="15" t="s">
        <v>1674</v>
      </c>
      <c r="B621" s="15" t="s">
        <v>1675</v>
      </c>
      <c r="C621" s="15" t="s">
        <v>14</v>
      </c>
      <c r="D621" s="15" t="s">
        <v>21</v>
      </c>
      <c r="E621" s="8">
        <v>45729</v>
      </c>
      <c r="F621" s="16" t="s">
        <v>12</v>
      </c>
      <c r="G621" s="16" t="s">
        <v>4</v>
      </c>
      <c r="H621" s="8"/>
      <c r="I621" s="16"/>
      <c r="J621" t="b">
        <v>0</v>
      </c>
      <c r="K621" s="15" t="s">
        <v>1676</v>
      </c>
      <c r="L621" s="15" t="str">
        <f>HYPERLINK("https://uk1.aconex.co.uk/hub/index.html?mainTarget=%2FSearchControlledDoc%3FSEARCH_ACTION%3D15%26tab%3D0%26searchMode%3D1%26searchQuery%3Ddocno:%22"&amp;RawData[[#This Row],[Document Number]]&amp;"%22%20%2Bcversion%253A1",RawData[[#This Row],[Document Number]])</f>
        <v>FS1018-HEX-XX-XX-T-S-0004</v>
      </c>
    </row>
    <row r="622" spans="1:12" x14ac:dyDescent="0.3">
      <c r="A622" s="15" t="s">
        <v>1677</v>
      </c>
      <c r="B622" s="15" t="s">
        <v>1678</v>
      </c>
      <c r="C622" s="15" t="s">
        <v>14</v>
      </c>
      <c r="D622" s="15" t="s">
        <v>21</v>
      </c>
      <c r="E622" s="8">
        <v>45729</v>
      </c>
      <c r="F622" s="16" t="s">
        <v>12</v>
      </c>
      <c r="G622" s="16" t="s">
        <v>4</v>
      </c>
      <c r="H622" s="8"/>
      <c r="I622" s="16"/>
      <c r="J622" t="b">
        <v>0</v>
      </c>
      <c r="K622" s="15" t="s">
        <v>1679</v>
      </c>
      <c r="L622" s="15" t="str">
        <f>HYPERLINK("https://uk1.aconex.co.uk/hub/index.html?mainTarget=%2FSearchControlledDoc%3FSEARCH_ACTION%3D15%26tab%3D0%26searchMode%3D1%26searchQuery%3Ddocno:%22"&amp;RawData[[#This Row],[Document Number]]&amp;"%22%20%2Bcversion%253A1",RawData[[#This Row],[Document Number]])</f>
        <v>FS1018-HEX-XX-XX-T-S-0005</v>
      </c>
    </row>
    <row r="623" spans="1:12" x14ac:dyDescent="0.3">
      <c r="A623" s="15" t="s">
        <v>1680</v>
      </c>
      <c r="B623" s="15" t="s">
        <v>1681</v>
      </c>
      <c r="C623" s="15" t="s">
        <v>14</v>
      </c>
      <c r="D623" s="15" t="s">
        <v>21</v>
      </c>
      <c r="E623" s="8">
        <v>45729</v>
      </c>
      <c r="F623" s="16" t="s">
        <v>12</v>
      </c>
      <c r="G623" s="16" t="s">
        <v>4</v>
      </c>
      <c r="H623" s="8"/>
      <c r="I623" s="16"/>
      <c r="J623" t="b">
        <v>0</v>
      </c>
      <c r="K623" s="15" t="s">
        <v>1682</v>
      </c>
      <c r="L623" s="15" t="str">
        <f>HYPERLINK("https://uk1.aconex.co.uk/hub/index.html?mainTarget=%2FSearchControlledDoc%3FSEARCH_ACTION%3D15%26tab%3D0%26searchMode%3D1%26searchQuery%3Ddocno:%22"&amp;RawData[[#This Row],[Document Number]]&amp;"%22%20%2Bcversion%253A1",RawData[[#This Row],[Document Number]])</f>
        <v>FS1018-HEX-XX-XX-T-S-0006</v>
      </c>
    </row>
    <row r="624" spans="1:12" ht="43.2" x14ac:dyDescent="0.3">
      <c r="A624" s="15" t="s">
        <v>1683</v>
      </c>
      <c r="B624" s="15" t="s">
        <v>1684</v>
      </c>
      <c r="C624" s="15" t="s">
        <v>10</v>
      </c>
      <c r="D624" s="15" t="s">
        <v>20</v>
      </c>
      <c r="E624" s="8">
        <v>45175</v>
      </c>
      <c r="F624" s="16" t="s">
        <v>1671</v>
      </c>
      <c r="G624" s="16" t="s">
        <v>40</v>
      </c>
      <c r="H624" s="8">
        <v>45194</v>
      </c>
      <c r="I624" s="16" t="s">
        <v>1685</v>
      </c>
      <c r="J624" t="b">
        <v>1</v>
      </c>
      <c r="K624" s="15" t="s">
        <v>1686</v>
      </c>
      <c r="L624" s="15" t="str">
        <f>HYPERLINK("https://uk1.aconex.co.uk/hub/index.html?mainTarget=%2FSearchControlledDoc%3FSEARCH_ACTION%3D15%26tab%3D0%26searchMode%3D1%26searchQuery%3Ddocno:%22"&amp;RawData[[#This Row],[Document Number]]&amp;"%22%20%2Bcversion%253A1",RawData[[#This Row],[Document Number]])</f>
        <v>FS1018-HEX-ZZ-00-D-S-0101</v>
      </c>
    </row>
    <row r="625" spans="1:12" x14ac:dyDescent="0.3">
      <c r="A625" s="15" t="s">
        <v>1683</v>
      </c>
      <c r="B625" s="15" t="s">
        <v>1687</v>
      </c>
      <c r="C625" s="15" t="s">
        <v>11</v>
      </c>
      <c r="D625" s="15" t="s">
        <v>21</v>
      </c>
      <c r="E625" s="8">
        <v>45729</v>
      </c>
      <c r="F625" s="16" t="s">
        <v>12</v>
      </c>
      <c r="G625" s="16" t="s">
        <v>4</v>
      </c>
      <c r="H625" s="8"/>
      <c r="I625" s="16"/>
      <c r="J625" t="b">
        <v>0</v>
      </c>
      <c r="K625" s="15" t="s">
        <v>1688</v>
      </c>
      <c r="L625" s="15" t="str">
        <f>HYPERLINK("https://uk1.aconex.co.uk/hub/index.html?mainTarget=%2FSearchControlledDoc%3FSEARCH_ACTION%3D15%26tab%3D0%26searchMode%3D1%26searchQuery%3Ddocno:%22"&amp;RawData[[#This Row],[Document Number]]&amp;"%22%20%2Bcversion%253A1",RawData[[#This Row],[Document Number]])</f>
        <v>FS1018-HEX-ZZ-00-D-S-0101</v>
      </c>
    </row>
    <row r="626" spans="1:12" x14ac:dyDescent="0.3">
      <c r="A626" s="15" t="s">
        <v>1689</v>
      </c>
      <c r="B626" s="15" t="s">
        <v>1690</v>
      </c>
      <c r="C626" s="15" t="s">
        <v>14</v>
      </c>
      <c r="D626" s="15" t="s">
        <v>21</v>
      </c>
      <c r="E626" s="8">
        <v>45729</v>
      </c>
      <c r="F626" s="16" t="s">
        <v>12</v>
      </c>
      <c r="G626" s="16" t="s">
        <v>4</v>
      </c>
      <c r="H626" s="8"/>
      <c r="I626" s="16"/>
      <c r="J626" t="b">
        <v>0</v>
      </c>
      <c r="K626" s="15" t="s">
        <v>1691</v>
      </c>
      <c r="L626" s="15" t="str">
        <f>HYPERLINK("https://uk1.aconex.co.uk/hub/index.html?mainTarget=%2FSearchControlledDoc%3FSEARCH_ACTION%3D15%26tab%3D0%26searchMode%3D1%26searchQuery%3Ddocno:%22"&amp;RawData[[#This Row],[Document Number]]&amp;"%22%20%2Bcversion%253A1",RawData[[#This Row],[Document Number]])</f>
        <v>FS1018-HEX-ZZ-00-D-S-0102</v>
      </c>
    </row>
    <row r="627" spans="1:12" x14ac:dyDescent="0.3">
      <c r="A627" s="15" t="s">
        <v>1692</v>
      </c>
      <c r="B627" s="15" t="s">
        <v>1693</v>
      </c>
      <c r="C627" s="15" t="s">
        <v>10</v>
      </c>
      <c r="D627" s="15" t="s">
        <v>20</v>
      </c>
      <c r="E627" s="8">
        <v>45175</v>
      </c>
      <c r="F627" s="16" t="s">
        <v>1671</v>
      </c>
      <c r="G627" s="16" t="s">
        <v>34</v>
      </c>
      <c r="H627" s="8">
        <v>45194</v>
      </c>
      <c r="I627" s="16"/>
      <c r="J627" t="b">
        <v>1</v>
      </c>
      <c r="K627" s="15" t="s">
        <v>1694</v>
      </c>
      <c r="L627" s="15" t="str">
        <f>HYPERLINK("https://uk1.aconex.co.uk/hub/index.html?mainTarget=%2FSearchControlledDoc%3FSEARCH_ACTION%3D15%26tab%3D0%26searchMode%3D1%26searchQuery%3Ddocno:%22"&amp;RawData[[#This Row],[Document Number]]&amp;"%22%20%2Bcversion%253A1",RawData[[#This Row],[Document Number]])</f>
        <v>FS1018-HEX-ZZ-00-D-S-0200</v>
      </c>
    </row>
    <row r="628" spans="1:12" x14ac:dyDescent="0.3">
      <c r="A628" s="15" t="s">
        <v>1692</v>
      </c>
      <c r="B628" s="15" t="s">
        <v>1695</v>
      </c>
      <c r="C628" s="15" t="s">
        <v>11</v>
      </c>
      <c r="D628" s="15" t="s">
        <v>21</v>
      </c>
      <c r="E628" s="8">
        <v>45729</v>
      </c>
      <c r="F628" s="16" t="s">
        <v>12</v>
      </c>
      <c r="G628" s="16" t="s">
        <v>4</v>
      </c>
      <c r="H628" s="8"/>
      <c r="I628" s="16"/>
      <c r="J628" t="b">
        <v>0</v>
      </c>
      <c r="K628" s="15" t="s">
        <v>1696</v>
      </c>
      <c r="L628" s="15" t="str">
        <f>HYPERLINK("https://uk1.aconex.co.uk/hub/index.html?mainTarget=%2FSearchControlledDoc%3FSEARCH_ACTION%3D15%26tab%3D0%26searchMode%3D1%26searchQuery%3Ddocno:%22"&amp;RawData[[#This Row],[Document Number]]&amp;"%22%20%2Bcversion%253A1",RawData[[#This Row],[Document Number]])</f>
        <v>FS1018-HEX-ZZ-00-D-S-0200</v>
      </c>
    </row>
    <row r="629" spans="1:12" x14ac:dyDescent="0.3">
      <c r="A629" s="15" t="s">
        <v>1697</v>
      </c>
      <c r="B629" s="15" t="s">
        <v>1698</v>
      </c>
      <c r="C629" s="15" t="s">
        <v>10</v>
      </c>
      <c r="D629" s="15" t="s">
        <v>20</v>
      </c>
      <c r="E629" s="8">
        <v>45175</v>
      </c>
      <c r="F629" s="16" t="s">
        <v>1671</v>
      </c>
      <c r="G629" s="16" t="s">
        <v>34</v>
      </c>
      <c r="H629" s="8">
        <v>45194</v>
      </c>
      <c r="I629" s="16"/>
      <c r="J629" t="b">
        <v>1</v>
      </c>
      <c r="K629" s="15" t="s">
        <v>1699</v>
      </c>
      <c r="L629" s="15" t="str">
        <f>HYPERLINK("https://uk1.aconex.co.uk/hub/index.html?mainTarget=%2FSearchControlledDoc%3FSEARCH_ACTION%3D15%26tab%3D0%26searchMode%3D1%26searchQuery%3Ddocno:%22"&amp;RawData[[#This Row],[Document Number]]&amp;"%22%20%2Bcversion%253A1",RawData[[#This Row],[Document Number]])</f>
        <v>FS1018-HEX-ZZ-01-D-S-0201</v>
      </c>
    </row>
    <row r="630" spans="1:12" x14ac:dyDescent="0.3">
      <c r="A630" s="15" t="s">
        <v>1697</v>
      </c>
      <c r="B630" s="15" t="s">
        <v>1700</v>
      </c>
      <c r="C630" s="15" t="s">
        <v>11</v>
      </c>
      <c r="D630" s="15" t="s">
        <v>21</v>
      </c>
      <c r="E630" s="8">
        <v>45729</v>
      </c>
      <c r="F630" s="16" t="s">
        <v>12</v>
      </c>
      <c r="G630" s="16" t="s">
        <v>4</v>
      </c>
      <c r="H630" s="8"/>
      <c r="I630" s="16"/>
      <c r="J630" t="b">
        <v>0</v>
      </c>
      <c r="K630" s="15" t="s">
        <v>1701</v>
      </c>
      <c r="L630" s="15" t="str">
        <f>HYPERLINK("https://uk1.aconex.co.uk/hub/index.html?mainTarget=%2FSearchControlledDoc%3FSEARCH_ACTION%3D15%26tab%3D0%26searchMode%3D1%26searchQuery%3Ddocno:%22"&amp;RawData[[#This Row],[Document Number]]&amp;"%22%20%2Bcversion%253A1",RawData[[#This Row],[Document Number]])</f>
        <v>FS1018-HEX-ZZ-01-D-S-0201</v>
      </c>
    </row>
    <row r="631" spans="1:12" x14ac:dyDescent="0.3">
      <c r="A631" s="15" t="s">
        <v>1702</v>
      </c>
      <c r="B631" s="15" t="s">
        <v>1703</v>
      </c>
      <c r="C631" s="15" t="s">
        <v>10</v>
      </c>
      <c r="D631" s="15" t="s">
        <v>20</v>
      </c>
      <c r="E631" s="8">
        <v>45175</v>
      </c>
      <c r="F631" s="16" t="s">
        <v>1671</v>
      </c>
      <c r="G631" s="16" t="s">
        <v>34</v>
      </c>
      <c r="H631" s="8">
        <v>45194</v>
      </c>
      <c r="I631" s="16"/>
      <c r="J631" t="b">
        <v>1</v>
      </c>
      <c r="K631" s="15" t="s">
        <v>1704</v>
      </c>
      <c r="L631" s="15" t="str">
        <f>HYPERLINK("https://uk1.aconex.co.uk/hub/index.html?mainTarget=%2FSearchControlledDoc%3FSEARCH_ACTION%3D15%26tab%3D0%26searchMode%3D1%26searchQuery%3Ddocno:%22"&amp;RawData[[#This Row],[Document Number]]&amp;"%22%20%2Bcversion%253A1",RawData[[#This Row],[Document Number]])</f>
        <v>FS1018-HEX-ZZ-02-D-S-0202</v>
      </c>
    </row>
    <row r="632" spans="1:12" x14ac:dyDescent="0.3">
      <c r="A632" s="15" t="s">
        <v>1702</v>
      </c>
      <c r="B632" s="15" t="s">
        <v>1705</v>
      </c>
      <c r="C632" s="15" t="s">
        <v>11</v>
      </c>
      <c r="D632" s="15" t="s">
        <v>21</v>
      </c>
      <c r="E632" s="8">
        <v>45729</v>
      </c>
      <c r="F632" s="16" t="s">
        <v>12</v>
      </c>
      <c r="G632" s="16" t="s">
        <v>4</v>
      </c>
      <c r="H632" s="8"/>
      <c r="I632" s="16"/>
      <c r="J632" t="b">
        <v>0</v>
      </c>
      <c r="K632" s="15" t="s">
        <v>1706</v>
      </c>
      <c r="L632" s="15" t="str">
        <f>HYPERLINK("https://uk1.aconex.co.uk/hub/index.html?mainTarget=%2FSearchControlledDoc%3FSEARCH_ACTION%3D15%26tab%3D0%26searchMode%3D1%26searchQuery%3Ddocno:%22"&amp;RawData[[#This Row],[Document Number]]&amp;"%22%20%2Bcversion%253A1",RawData[[#This Row],[Document Number]])</f>
        <v>FS1018-HEX-ZZ-02-D-S-0202</v>
      </c>
    </row>
    <row r="633" spans="1:12" x14ac:dyDescent="0.3">
      <c r="A633" s="15" t="s">
        <v>1707</v>
      </c>
      <c r="B633" s="15" t="s">
        <v>1708</v>
      </c>
      <c r="C633" s="15" t="s">
        <v>10</v>
      </c>
      <c r="D633" s="15" t="s">
        <v>20</v>
      </c>
      <c r="E633" s="8">
        <v>45175</v>
      </c>
      <c r="F633" s="16" t="s">
        <v>1671</v>
      </c>
      <c r="G633" s="16" t="s">
        <v>34</v>
      </c>
      <c r="H633" s="8">
        <v>45194</v>
      </c>
      <c r="I633" s="16"/>
      <c r="J633" t="b">
        <v>1</v>
      </c>
      <c r="K633" s="15" t="s">
        <v>1709</v>
      </c>
      <c r="L633" s="15" t="str">
        <f>HYPERLINK("https://uk1.aconex.co.uk/hub/index.html?mainTarget=%2FSearchControlledDoc%3FSEARCH_ACTION%3D15%26tab%3D0%26searchMode%3D1%26searchQuery%3Ddocno:%22"&amp;RawData[[#This Row],[Document Number]]&amp;"%22%20%2Bcversion%253A1",RawData[[#This Row],[Document Number]])</f>
        <v>FS1018-HEX-ZZ-RF-D-S-0203</v>
      </c>
    </row>
    <row r="634" spans="1:12" x14ac:dyDescent="0.3">
      <c r="A634" s="15" t="s">
        <v>1707</v>
      </c>
      <c r="B634" s="15" t="s">
        <v>1710</v>
      </c>
      <c r="C634" s="15" t="s">
        <v>11</v>
      </c>
      <c r="D634" s="15" t="s">
        <v>21</v>
      </c>
      <c r="E634" s="8">
        <v>45729</v>
      </c>
      <c r="F634" s="16" t="s">
        <v>12</v>
      </c>
      <c r="G634" s="16" t="s">
        <v>4</v>
      </c>
      <c r="H634" s="8"/>
      <c r="I634" s="16"/>
      <c r="J634" t="b">
        <v>0</v>
      </c>
      <c r="K634" s="15" t="s">
        <v>1711</v>
      </c>
      <c r="L634" s="15" t="str">
        <f>HYPERLINK("https://uk1.aconex.co.uk/hub/index.html?mainTarget=%2FSearchControlledDoc%3FSEARCH_ACTION%3D15%26tab%3D0%26searchMode%3D1%26searchQuery%3Ddocno:%22"&amp;RawData[[#This Row],[Document Number]]&amp;"%22%20%2Bcversion%253A1",RawData[[#This Row],[Document Number]])</f>
        <v>FS1018-HEX-ZZ-RF-D-S-0203</v>
      </c>
    </row>
    <row r="635" spans="1:12" x14ac:dyDescent="0.3">
      <c r="A635" s="15" t="s">
        <v>1712</v>
      </c>
      <c r="B635" s="15" t="s">
        <v>1713</v>
      </c>
      <c r="C635" s="15" t="s">
        <v>10</v>
      </c>
      <c r="D635" s="15" t="s">
        <v>20</v>
      </c>
      <c r="E635" s="8">
        <v>45175</v>
      </c>
      <c r="F635" s="16" t="s">
        <v>1671</v>
      </c>
      <c r="G635" s="16" t="s">
        <v>34</v>
      </c>
      <c r="H635" s="8">
        <v>45194</v>
      </c>
      <c r="I635" s="16"/>
      <c r="J635" t="b">
        <v>1</v>
      </c>
      <c r="K635" s="15" t="s">
        <v>1714</v>
      </c>
      <c r="L635" s="15" t="str">
        <f>HYPERLINK("https://uk1.aconex.co.uk/hub/index.html?mainTarget=%2FSearchControlledDoc%3FSEARCH_ACTION%3D15%26tab%3D0%26searchMode%3D1%26searchQuery%3Ddocno:%22"&amp;RawData[[#This Row],[Document Number]]&amp;"%22%20%2Bcversion%253A1",RawData[[#This Row],[Document Number]])</f>
        <v>FS1018-HEX-ZZ-RF-D-S-0204</v>
      </c>
    </row>
    <row r="636" spans="1:12" x14ac:dyDescent="0.3">
      <c r="A636" s="15" t="s">
        <v>1712</v>
      </c>
      <c r="B636" s="15" t="s">
        <v>1715</v>
      </c>
      <c r="C636" s="15" t="s">
        <v>11</v>
      </c>
      <c r="D636" s="15" t="s">
        <v>21</v>
      </c>
      <c r="E636" s="8">
        <v>45729</v>
      </c>
      <c r="F636" s="16" t="s">
        <v>12</v>
      </c>
      <c r="G636" s="16" t="s">
        <v>4</v>
      </c>
      <c r="H636" s="8"/>
      <c r="I636" s="16"/>
      <c r="J636" t="b">
        <v>0</v>
      </c>
      <c r="K636" s="15" t="s">
        <v>1716</v>
      </c>
      <c r="L636" s="15" t="str">
        <f>HYPERLINK("https://uk1.aconex.co.uk/hub/index.html?mainTarget=%2FSearchControlledDoc%3FSEARCH_ACTION%3D15%26tab%3D0%26searchMode%3D1%26searchQuery%3Ddocno:%22"&amp;RawData[[#This Row],[Document Number]]&amp;"%22%20%2Bcversion%253A1",RawData[[#This Row],[Document Number]])</f>
        <v>FS1018-HEX-ZZ-RF-D-S-0204</v>
      </c>
    </row>
    <row r="637" spans="1:12" x14ac:dyDescent="0.3">
      <c r="A637" s="15" t="s">
        <v>1717</v>
      </c>
      <c r="B637" s="15" t="s">
        <v>1718</v>
      </c>
      <c r="C637" s="15" t="s">
        <v>10</v>
      </c>
      <c r="D637" s="15" t="s">
        <v>20</v>
      </c>
      <c r="E637" s="8">
        <v>45175</v>
      </c>
      <c r="F637" s="16" t="s">
        <v>1671</v>
      </c>
      <c r="G637" s="16" t="s">
        <v>34</v>
      </c>
      <c r="H637" s="8">
        <v>45194</v>
      </c>
      <c r="I637" s="16"/>
      <c r="J637" t="b">
        <v>1</v>
      </c>
      <c r="K637" s="15" t="s">
        <v>1719</v>
      </c>
      <c r="L637" s="15" t="str">
        <f>HYPERLINK("https://uk1.aconex.co.uk/hub/index.html?mainTarget=%2FSearchControlledDoc%3FSEARCH_ACTION%3D15%26tab%3D0%26searchMode%3D1%26searchQuery%3Ddocno:%22"&amp;RawData[[#This Row],[Document Number]]&amp;"%22%20%2Bcversion%253A1",RawData[[#This Row],[Document Number]])</f>
        <v>FS1018-HEX-ZZ-RF-D-S-0205</v>
      </c>
    </row>
    <row r="638" spans="1:12" x14ac:dyDescent="0.3">
      <c r="A638" s="15" t="s">
        <v>1717</v>
      </c>
      <c r="B638" s="15" t="s">
        <v>1720</v>
      </c>
      <c r="C638" s="15" t="s">
        <v>11</v>
      </c>
      <c r="D638" s="15" t="s">
        <v>21</v>
      </c>
      <c r="E638" s="8">
        <v>45729</v>
      </c>
      <c r="F638" s="16" t="s">
        <v>12</v>
      </c>
      <c r="G638" s="16" t="s">
        <v>4</v>
      </c>
      <c r="H638" s="8"/>
      <c r="I638" s="16"/>
      <c r="J638" t="b">
        <v>0</v>
      </c>
      <c r="K638" s="15" t="s">
        <v>1721</v>
      </c>
      <c r="L638" s="15" t="str">
        <f>HYPERLINK("https://uk1.aconex.co.uk/hub/index.html?mainTarget=%2FSearchControlledDoc%3FSEARCH_ACTION%3D15%26tab%3D0%26searchMode%3D1%26searchQuery%3Ddocno:%22"&amp;RawData[[#This Row],[Document Number]]&amp;"%22%20%2Bcversion%253A1",RawData[[#This Row],[Document Number]])</f>
        <v>FS1018-HEX-ZZ-RF-D-S-0205</v>
      </c>
    </row>
    <row r="639" spans="1:12" ht="43.2" x14ac:dyDescent="0.3">
      <c r="A639" s="15" t="s">
        <v>1722</v>
      </c>
      <c r="B639" s="15" t="s">
        <v>1723</v>
      </c>
      <c r="C639" s="15" t="s">
        <v>14</v>
      </c>
      <c r="D639" s="15" t="s">
        <v>20</v>
      </c>
      <c r="E639" s="8">
        <v>45175</v>
      </c>
      <c r="F639" s="16" t="s">
        <v>1671</v>
      </c>
      <c r="G639" s="16" t="s">
        <v>40</v>
      </c>
      <c r="H639" s="8">
        <v>45194</v>
      </c>
      <c r="I639" s="16" t="s">
        <v>1724</v>
      </c>
      <c r="J639" t="b">
        <v>0</v>
      </c>
      <c r="K639" s="15" t="s">
        <v>1725</v>
      </c>
      <c r="L639" s="15" t="str">
        <f>HYPERLINK("https://uk1.aconex.co.uk/hub/index.html?mainTarget=%2FSearchControlledDoc%3FSEARCH_ACTION%3D15%26tab%3D0%26searchMode%3D1%26searchQuery%3Ddocno:%22"&amp;RawData[[#This Row],[Document Number]]&amp;"%22%20%2Bcversion%253A1",RawData[[#This Row],[Document Number]])</f>
        <v>FS1018-HEX-ZZ-XX-D-S-0001</v>
      </c>
    </row>
    <row r="640" spans="1:12" x14ac:dyDescent="0.3">
      <c r="A640" s="15" t="s">
        <v>1722</v>
      </c>
      <c r="B640" s="15" t="s">
        <v>1726</v>
      </c>
      <c r="C640" s="15" t="s">
        <v>10</v>
      </c>
      <c r="D640" s="15" t="s">
        <v>21</v>
      </c>
      <c r="E640" s="8">
        <v>45729</v>
      </c>
      <c r="F640" s="16" t="s">
        <v>12</v>
      </c>
      <c r="G640" s="16" t="s">
        <v>4</v>
      </c>
      <c r="H640" s="8"/>
      <c r="I640" s="16"/>
      <c r="J640" t="b">
        <v>1</v>
      </c>
      <c r="K640" s="15" t="s">
        <v>1727</v>
      </c>
      <c r="L640" s="15" t="str">
        <f>HYPERLINK("https://uk1.aconex.co.uk/hub/index.html?mainTarget=%2FSearchControlledDoc%3FSEARCH_ACTION%3D15%26tab%3D0%26searchMode%3D1%26searchQuery%3Ddocno:%22"&amp;RawData[[#This Row],[Document Number]]&amp;"%22%20%2Bcversion%253A1",RawData[[#This Row],[Document Number]])</f>
        <v>FS1018-HEX-ZZ-XX-D-S-0001</v>
      </c>
    </row>
    <row r="641" spans="1:12" ht="28.8" x14ac:dyDescent="0.3">
      <c r="A641" s="15" t="s">
        <v>1728</v>
      </c>
      <c r="B641" s="15" t="s">
        <v>1729</v>
      </c>
      <c r="C641" s="15" t="s">
        <v>14</v>
      </c>
      <c r="D641" s="15" t="s">
        <v>20</v>
      </c>
      <c r="E641" s="8">
        <v>45175</v>
      </c>
      <c r="F641" s="16" t="s">
        <v>1353</v>
      </c>
      <c r="G641" s="16" t="s">
        <v>34</v>
      </c>
      <c r="H641" s="8">
        <v>45195</v>
      </c>
      <c r="I641" s="16" t="s">
        <v>1730</v>
      </c>
      <c r="J641" t="b">
        <v>0</v>
      </c>
      <c r="K641" s="15" t="s">
        <v>1731</v>
      </c>
      <c r="L641" s="15" t="str">
        <f>HYPERLINK("https://uk1.aconex.co.uk/hub/index.html?mainTarget=%2FSearchControlledDoc%3FSEARCH_ACTION%3D15%26tab%3D0%26searchMode%3D1%26searchQuery%3Ddocno:%22"&amp;RawData[[#This Row],[Document Number]]&amp;"%22%20%2Bcversion%253A1",RawData[[#This Row],[Document Number]])</f>
        <v>FS1018-HEX-ZZ-ZZ-D-C-5200</v>
      </c>
    </row>
    <row r="642" spans="1:12" x14ac:dyDescent="0.3">
      <c r="A642" s="15" t="s">
        <v>1728</v>
      </c>
      <c r="B642" s="15" t="s">
        <v>1732</v>
      </c>
      <c r="C642" s="15" t="s">
        <v>1155</v>
      </c>
      <c r="D642" s="15" t="s">
        <v>21</v>
      </c>
      <c r="E642" s="8">
        <v>45729</v>
      </c>
      <c r="F642" s="16" t="s">
        <v>12</v>
      </c>
      <c r="G642" s="16" t="s">
        <v>4</v>
      </c>
      <c r="H642" s="8"/>
      <c r="I642" s="16"/>
      <c r="J642" t="b">
        <v>0</v>
      </c>
      <c r="K642" s="15" t="s">
        <v>1733</v>
      </c>
      <c r="L642" s="15" t="str">
        <f>HYPERLINK("https://uk1.aconex.co.uk/hub/index.html?mainTarget=%2FSearchControlledDoc%3FSEARCH_ACTION%3D15%26tab%3D0%26searchMode%3D1%26searchQuery%3Ddocno:%22"&amp;RawData[[#This Row],[Document Number]]&amp;"%22%20%2Bcversion%253A1",RawData[[#This Row],[Document Number]])</f>
        <v>FS1018-HEX-ZZ-ZZ-D-C-5200</v>
      </c>
    </row>
    <row r="643" spans="1:12" ht="28.8" x14ac:dyDescent="0.3">
      <c r="A643" s="15" t="s">
        <v>1734</v>
      </c>
      <c r="B643" s="15" t="s">
        <v>1735</v>
      </c>
      <c r="C643" s="15" t="s">
        <v>14</v>
      </c>
      <c r="D643" s="15" t="s">
        <v>20</v>
      </c>
      <c r="E643" s="8">
        <v>45175</v>
      </c>
      <c r="F643" s="16" t="s">
        <v>1353</v>
      </c>
      <c r="G643" s="16" t="s">
        <v>34</v>
      </c>
      <c r="H643" s="8">
        <v>45195</v>
      </c>
      <c r="I643" s="16" t="s">
        <v>1730</v>
      </c>
      <c r="J643" t="b">
        <v>0</v>
      </c>
      <c r="K643" s="15" t="s">
        <v>1736</v>
      </c>
      <c r="L643" s="15" t="str">
        <f>HYPERLINK("https://uk1.aconex.co.uk/hub/index.html?mainTarget=%2FSearchControlledDoc%3FSEARCH_ACTION%3D15%26tab%3D0%26searchMode%3D1%26searchQuery%3Ddocno:%22"&amp;RawData[[#This Row],[Document Number]]&amp;"%22%20%2Bcversion%253A1",RawData[[#This Row],[Document Number]])</f>
        <v>FS1018-HEX-ZZ-ZZ-D-C-5201</v>
      </c>
    </row>
    <row r="644" spans="1:12" x14ac:dyDescent="0.3">
      <c r="A644" s="15" t="s">
        <v>1734</v>
      </c>
      <c r="B644" s="15" t="s">
        <v>1737</v>
      </c>
      <c r="C644" s="15" t="s">
        <v>1155</v>
      </c>
      <c r="D644" s="15" t="s">
        <v>21</v>
      </c>
      <c r="E644" s="8">
        <v>45729</v>
      </c>
      <c r="F644" s="16" t="s">
        <v>12</v>
      </c>
      <c r="G644" s="16" t="s">
        <v>4</v>
      </c>
      <c r="H644" s="8"/>
      <c r="I644" s="16"/>
      <c r="J644" t="b">
        <v>0</v>
      </c>
      <c r="K644" s="15" t="s">
        <v>1738</v>
      </c>
      <c r="L644" s="15" t="str">
        <f>HYPERLINK("https://uk1.aconex.co.uk/hub/index.html?mainTarget=%2FSearchControlledDoc%3FSEARCH_ACTION%3D15%26tab%3D0%26searchMode%3D1%26searchQuery%3Ddocno:%22"&amp;RawData[[#This Row],[Document Number]]&amp;"%22%20%2Bcversion%253A1",RawData[[#This Row],[Document Number]])</f>
        <v>FS1018-HEX-ZZ-ZZ-D-C-5201</v>
      </c>
    </row>
    <row r="645" spans="1:12" ht="43.2" x14ac:dyDescent="0.3">
      <c r="A645" s="15" t="s">
        <v>1739</v>
      </c>
      <c r="B645" s="15" t="s">
        <v>1740</v>
      </c>
      <c r="C645" s="15" t="s">
        <v>14</v>
      </c>
      <c r="D645" s="15" t="s">
        <v>20</v>
      </c>
      <c r="E645" s="8">
        <v>45175</v>
      </c>
      <c r="F645" s="16" t="s">
        <v>1353</v>
      </c>
      <c r="G645" s="16" t="s">
        <v>22</v>
      </c>
      <c r="H645" s="8">
        <v>45195</v>
      </c>
      <c r="I645" s="16" t="s">
        <v>1741</v>
      </c>
      <c r="J645" t="b">
        <v>0</v>
      </c>
      <c r="K645" s="15" t="s">
        <v>1742</v>
      </c>
      <c r="L645" s="15" t="str">
        <f>HYPERLINK("https://uk1.aconex.co.uk/hub/index.html?mainTarget=%2FSearchControlledDoc%3FSEARCH_ACTION%3D15%26tab%3D0%26searchMode%3D1%26searchQuery%3Ddocno:%22"&amp;RawData[[#This Row],[Document Number]]&amp;"%22%20%2Bcversion%253A1",RawData[[#This Row],[Document Number]])</f>
        <v>FS1018-HEX-ZZ-ZZ-D-C-5205</v>
      </c>
    </row>
    <row r="646" spans="1:12" x14ac:dyDescent="0.3">
      <c r="A646" s="15" t="s">
        <v>1739</v>
      </c>
      <c r="B646" s="15" t="s">
        <v>1743</v>
      </c>
      <c r="C646" s="15" t="s">
        <v>583</v>
      </c>
      <c r="D646" s="15" t="s">
        <v>21</v>
      </c>
      <c r="E646" s="8">
        <v>45729</v>
      </c>
      <c r="F646" s="16" t="s">
        <v>12</v>
      </c>
      <c r="G646" s="16" t="s">
        <v>4</v>
      </c>
      <c r="H646" s="8"/>
      <c r="I646" s="16"/>
      <c r="J646" t="b">
        <v>0</v>
      </c>
      <c r="K646" s="15" t="s">
        <v>1744</v>
      </c>
      <c r="L646" s="15" t="str">
        <f>HYPERLINK("https://uk1.aconex.co.uk/hub/index.html?mainTarget=%2FSearchControlledDoc%3FSEARCH_ACTION%3D15%26tab%3D0%26searchMode%3D1%26searchQuery%3Ddocno:%22"&amp;RawData[[#This Row],[Document Number]]&amp;"%22%20%2Bcversion%253A1",RawData[[#This Row],[Document Number]])</f>
        <v>FS1018-HEX-ZZ-ZZ-D-C-5205</v>
      </c>
    </row>
    <row r="647" spans="1:12" x14ac:dyDescent="0.3">
      <c r="A647" s="15" t="s">
        <v>1745</v>
      </c>
      <c r="B647" s="15" t="s">
        <v>1746</v>
      </c>
      <c r="C647" s="15" t="s">
        <v>14</v>
      </c>
      <c r="D647" s="15" t="s">
        <v>20</v>
      </c>
      <c r="E647" s="8">
        <v>45202</v>
      </c>
      <c r="F647" s="16" t="s">
        <v>1353</v>
      </c>
      <c r="G647" s="16" t="s">
        <v>34</v>
      </c>
      <c r="H647" s="8">
        <v>45208</v>
      </c>
      <c r="I647" s="16"/>
      <c r="J647" t="b">
        <v>0</v>
      </c>
      <c r="K647" s="15" t="s">
        <v>1747</v>
      </c>
      <c r="L647" s="15" t="str">
        <f>HYPERLINK("https://uk1.aconex.co.uk/hub/index.html?mainTarget=%2FSearchControlledDoc%3FSEARCH_ACTION%3D15%26tab%3D0%26searchMode%3D1%26searchQuery%3Ddocno:%22"&amp;RawData[[#This Row],[Document Number]]&amp;"%22%20%2Bcversion%253A1",RawData[[#This Row],[Document Number]])</f>
        <v>FS1018-HEX-ZZ-ZZ-D-C-5210</v>
      </c>
    </row>
    <row r="648" spans="1:12" x14ac:dyDescent="0.3">
      <c r="A648" s="15" t="s">
        <v>1745</v>
      </c>
      <c r="B648" s="15" t="s">
        <v>1748</v>
      </c>
      <c r="C648" s="15" t="s">
        <v>11</v>
      </c>
      <c r="D648" s="15" t="s">
        <v>21</v>
      </c>
      <c r="E648" s="8">
        <v>45729</v>
      </c>
      <c r="F648" s="16" t="s">
        <v>12</v>
      </c>
      <c r="G648" s="16" t="s">
        <v>4</v>
      </c>
      <c r="H648" s="8"/>
      <c r="I648" s="16"/>
      <c r="J648" t="b">
        <v>0</v>
      </c>
      <c r="K648" s="15" t="s">
        <v>1749</v>
      </c>
      <c r="L648" s="15" t="str">
        <f>HYPERLINK("https://uk1.aconex.co.uk/hub/index.html?mainTarget=%2FSearchControlledDoc%3FSEARCH_ACTION%3D15%26tab%3D0%26searchMode%3D1%26searchQuery%3Ddocno:%22"&amp;RawData[[#This Row],[Document Number]]&amp;"%22%20%2Bcversion%253A1",RawData[[#This Row],[Document Number]])</f>
        <v>FS1018-HEX-ZZ-ZZ-D-C-5210</v>
      </c>
    </row>
    <row r="649" spans="1:12" x14ac:dyDescent="0.3">
      <c r="A649" s="15" t="s">
        <v>1750</v>
      </c>
      <c r="B649" s="15" t="s">
        <v>1751</v>
      </c>
      <c r="C649" s="15" t="s">
        <v>14</v>
      </c>
      <c r="D649" s="15" t="s">
        <v>20</v>
      </c>
      <c r="E649" s="8">
        <v>45202</v>
      </c>
      <c r="F649" s="16" t="s">
        <v>1353</v>
      </c>
      <c r="G649" s="16" t="s">
        <v>34</v>
      </c>
      <c r="H649" s="8">
        <v>45208</v>
      </c>
      <c r="I649" s="16"/>
      <c r="J649" t="b">
        <v>0</v>
      </c>
      <c r="K649" s="15" t="s">
        <v>1752</v>
      </c>
      <c r="L649" s="15" t="str">
        <f>HYPERLINK("https://uk1.aconex.co.uk/hub/index.html?mainTarget=%2FSearchControlledDoc%3FSEARCH_ACTION%3D15%26tab%3D0%26searchMode%3D1%26searchQuery%3Ddocno:%22"&amp;RawData[[#This Row],[Document Number]]&amp;"%22%20%2Bcversion%253A1",RawData[[#This Row],[Document Number]])</f>
        <v>FS1018-HEX-ZZ-ZZ-D-C-5211</v>
      </c>
    </row>
    <row r="650" spans="1:12" x14ac:dyDescent="0.3">
      <c r="A650" s="15" t="s">
        <v>1750</v>
      </c>
      <c r="B650" s="15" t="s">
        <v>1753</v>
      </c>
      <c r="C650" s="15" t="s">
        <v>11</v>
      </c>
      <c r="D650" s="15" t="s">
        <v>21</v>
      </c>
      <c r="E650" s="8">
        <v>45729</v>
      </c>
      <c r="F650" s="16" t="s">
        <v>12</v>
      </c>
      <c r="G650" s="16" t="s">
        <v>4</v>
      </c>
      <c r="H650" s="8"/>
      <c r="I650" s="16"/>
      <c r="J650" t="b">
        <v>0</v>
      </c>
      <c r="K650" s="15" t="s">
        <v>1754</v>
      </c>
      <c r="L650" s="15" t="str">
        <f>HYPERLINK("https://uk1.aconex.co.uk/hub/index.html?mainTarget=%2FSearchControlledDoc%3FSEARCH_ACTION%3D15%26tab%3D0%26searchMode%3D1%26searchQuery%3Ddocno:%22"&amp;RawData[[#This Row],[Document Number]]&amp;"%22%20%2Bcversion%253A1",RawData[[#This Row],[Document Number]])</f>
        <v>FS1018-HEX-ZZ-ZZ-D-C-5211</v>
      </c>
    </row>
    <row r="651" spans="1:12" x14ac:dyDescent="0.3">
      <c r="A651" s="15" t="s">
        <v>1755</v>
      </c>
      <c r="B651" s="15" t="s">
        <v>1756</v>
      </c>
      <c r="C651" s="15" t="s">
        <v>14</v>
      </c>
      <c r="D651" s="15" t="s">
        <v>21</v>
      </c>
      <c r="E651" s="8">
        <v>45729</v>
      </c>
      <c r="F651" s="16" t="s">
        <v>12</v>
      </c>
      <c r="G651" s="16" t="s">
        <v>4</v>
      </c>
      <c r="H651" s="8"/>
      <c r="I651" s="16"/>
      <c r="J651" t="b">
        <v>0</v>
      </c>
      <c r="K651" s="15" t="s">
        <v>1757</v>
      </c>
      <c r="L651" s="15" t="str">
        <f>HYPERLINK("https://uk1.aconex.co.uk/hub/index.html?mainTarget=%2FSearchControlledDoc%3FSEARCH_ACTION%3D15%26tab%3D0%26searchMode%3D1%26searchQuery%3Ddocno:%22"&amp;RawData[[#This Row],[Document Number]]&amp;"%22%20%2Bcversion%253A1",RawData[[#This Row],[Document Number]])</f>
        <v>FS1018-HEX-ZZ-ZZ-D-C-9000</v>
      </c>
    </row>
    <row r="652" spans="1:12" x14ac:dyDescent="0.3">
      <c r="A652" s="15" t="s">
        <v>1758</v>
      </c>
      <c r="B652" s="15" t="s">
        <v>1759</v>
      </c>
      <c r="C652" s="15" t="s">
        <v>14</v>
      </c>
      <c r="D652" s="15" t="s">
        <v>20</v>
      </c>
      <c r="E652" s="8">
        <v>45175</v>
      </c>
      <c r="F652" s="16" t="s">
        <v>1353</v>
      </c>
      <c r="G652" s="16" t="s">
        <v>34</v>
      </c>
      <c r="H652" s="8">
        <v>45195</v>
      </c>
      <c r="I652" s="16"/>
      <c r="J652" t="b">
        <v>0</v>
      </c>
      <c r="K652" s="15" t="s">
        <v>1760</v>
      </c>
      <c r="L652" s="15" t="str">
        <f>HYPERLINK("https://uk1.aconex.co.uk/hub/index.html?mainTarget=%2FSearchControlledDoc%3FSEARCH_ACTION%3D15%26tab%3D0%26searchMode%3D1%26searchQuery%3Ddocno:%22"&amp;RawData[[#This Row],[Document Number]]&amp;"%22%20%2Bcversion%253A1",RawData[[#This Row],[Document Number]])</f>
        <v>FS1018-HEX-ZZ-ZZ-D-C-9020</v>
      </c>
    </row>
    <row r="653" spans="1:12" x14ac:dyDescent="0.3">
      <c r="A653" s="15" t="s">
        <v>1758</v>
      </c>
      <c r="B653" s="15" t="s">
        <v>1761</v>
      </c>
      <c r="C653" s="15" t="s">
        <v>10</v>
      </c>
      <c r="D653" s="15" t="s">
        <v>21</v>
      </c>
      <c r="E653" s="8">
        <v>45729</v>
      </c>
      <c r="F653" s="16" t="s">
        <v>12</v>
      </c>
      <c r="G653" s="16" t="s">
        <v>4</v>
      </c>
      <c r="H653" s="8"/>
      <c r="I653" s="16"/>
      <c r="J653" t="b">
        <v>1</v>
      </c>
      <c r="K653" s="15" t="s">
        <v>1762</v>
      </c>
      <c r="L653" s="15" t="str">
        <f>HYPERLINK("https://uk1.aconex.co.uk/hub/index.html?mainTarget=%2FSearchControlledDoc%3FSEARCH_ACTION%3D15%26tab%3D0%26searchMode%3D1%26searchQuery%3Ddocno:%22"&amp;RawData[[#This Row],[Document Number]]&amp;"%22%20%2Bcversion%253A1",RawData[[#This Row],[Document Number]])</f>
        <v>FS1018-HEX-ZZ-ZZ-D-C-9020</v>
      </c>
    </row>
    <row r="654" spans="1:12" x14ac:dyDescent="0.3">
      <c r="A654" s="15" t="s">
        <v>1763</v>
      </c>
      <c r="B654" s="15" t="s">
        <v>1764</v>
      </c>
      <c r="C654" s="15" t="s">
        <v>14</v>
      </c>
      <c r="D654" s="15" t="s">
        <v>20</v>
      </c>
      <c r="E654" s="8">
        <v>45175</v>
      </c>
      <c r="F654" s="16" t="s">
        <v>1353</v>
      </c>
      <c r="G654" s="16" t="s">
        <v>34</v>
      </c>
      <c r="H654" s="8">
        <v>45195</v>
      </c>
      <c r="I654" s="16"/>
      <c r="J654" t="b">
        <v>0</v>
      </c>
      <c r="K654" s="15" t="s">
        <v>1765</v>
      </c>
      <c r="L654" s="15" t="str">
        <f>HYPERLINK("https://uk1.aconex.co.uk/hub/index.html?mainTarget=%2FSearchControlledDoc%3FSEARCH_ACTION%3D15%26tab%3D0%26searchMode%3D1%26searchQuery%3Ddocno:%22"&amp;RawData[[#This Row],[Document Number]]&amp;"%22%20%2Bcversion%253A1",RawData[[#This Row],[Document Number]])</f>
        <v>FS1018-HEX-ZZ-ZZ-D-C-9021</v>
      </c>
    </row>
    <row r="655" spans="1:12" x14ac:dyDescent="0.3">
      <c r="A655" s="15" t="s">
        <v>1763</v>
      </c>
      <c r="B655" s="15" t="s">
        <v>1766</v>
      </c>
      <c r="C655" s="15" t="s">
        <v>10</v>
      </c>
      <c r="D655" s="15" t="s">
        <v>21</v>
      </c>
      <c r="E655" s="8">
        <v>45729</v>
      </c>
      <c r="F655" s="16" t="s">
        <v>12</v>
      </c>
      <c r="G655" s="16" t="s">
        <v>4</v>
      </c>
      <c r="H655" s="8"/>
      <c r="I655" s="16"/>
      <c r="J655" t="b">
        <v>1</v>
      </c>
      <c r="K655" s="15" t="s">
        <v>1767</v>
      </c>
      <c r="L655" s="15" t="str">
        <f>HYPERLINK("https://uk1.aconex.co.uk/hub/index.html?mainTarget=%2FSearchControlledDoc%3FSEARCH_ACTION%3D15%26tab%3D0%26searchMode%3D1%26searchQuery%3Ddocno:%22"&amp;RawData[[#This Row],[Document Number]]&amp;"%22%20%2Bcversion%253A1",RawData[[#This Row],[Document Number]])</f>
        <v>FS1018-HEX-ZZ-ZZ-D-C-9021</v>
      </c>
    </row>
    <row r="656" spans="1:12" x14ac:dyDescent="0.3">
      <c r="A656" s="15" t="s">
        <v>1768</v>
      </c>
      <c r="B656" s="15" t="s">
        <v>1769</v>
      </c>
      <c r="C656" s="15" t="s">
        <v>14</v>
      </c>
      <c r="D656" s="15" t="s">
        <v>20</v>
      </c>
      <c r="E656" s="8">
        <v>45175</v>
      </c>
      <c r="F656" s="16" t="s">
        <v>1353</v>
      </c>
      <c r="G656" s="16" t="s">
        <v>34</v>
      </c>
      <c r="H656" s="8">
        <v>45195</v>
      </c>
      <c r="I656" s="16"/>
      <c r="J656" t="b">
        <v>0</v>
      </c>
      <c r="K656" s="15" t="s">
        <v>1770</v>
      </c>
      <c r="L656" s="15" t="str">
        <f>HYPERLINK("https://uk1.aconex.co.uk/hub/index.html?mainTarget=%2FSearchControlledDoc%3FSEARCH_ACTION%3D15%26tab%3D0%26searchMode%3D1%26searchQuery%3Ddocno:%22"&amp;RawData[[#This Row],[Document Number]]&amp;"%22%20%2Bcversion%253A1",RawData[[#This Row],[Document Number]])</f>
        <v>FS1018-HEX-ZZ-ZZ-D-C-9025</v>
      </c>
    </row>
    <row r="657" spans="1:12" x14ac:dyDescent="0.3">
      <c r="A657" s="15" t="s">
        <v>1768</v>
      </c>
      <c r="B657" s="15" t="s">
        <v>1771</v>
      </c>
      <c r="C657" s="15" t="s">
        <v>10</v>
      </c>
      <c r="D657" s="15" t="s">
        <v>21</v>
      </c>
      <c r="E657" s="8">
        <v>45729</v>
      </c>
      <c r="F657" s="16" t="s">
        <v>12</v>
      </c>
      <c r="G657" s="16" t="s">
        <v>4</v>
      </c>
      <c r="H657" s="8"/>
      <c r="I657" s="16"/>
      <c r="J657" t="b">
        <v>1</v>
      </c>
      <c r="K657" s="15" t="s">
        <v>1772</v>
      </c>
      <c r="L657" s="15" t="str">
        <f>HYPERLINK("https://uk1.aconex.co.uk/hub/index.html?mainTarget=%2FSearchControlledDoc%3FSEARCH_ACTION%3D15%26tab%3D0%26searchMode%3D1%26searchQuery%3Ddocno:%22"&amp;RawData[[#This Row],[Document Number]]&amp;"%22%20%2Bcversion%253A1",RawData[[#This Row],[Document Number]])</f>
        <v>FS1018-HEX-ZZ-ZZ-D-C-9025</v>
      </c>
    </row>
    <row r="658" spans="1:12" ht="43.2" x14ac:dyDescent="0.3">
      <c r="A658" s="15" t="s">
        <v>1773</v>
      </c>
      <c r="B658" s="15" t="s">
        <v>1774</v>
      </c>
      <c r="C658" s="15" t="s">
        <v>10</v>
      </c>
      <c r="D658" s="15" t="s">
        <v>20</v>
      </c>
      <c r="E658" s="8">
        <v>45175</v>
      </c>
      <c r="F658" s="16" t="s">
        <v>1671</v>
      </c>
      <c r="G658" s="16" t="s">
        <v>40</v>
      </c>
      <c r="H658" s="8">
        <v>45194</v>
      </c>
      <c r="I658" s="16" t="s">
        <v>1775</v>
      </c>
      <c r="J658" t="b">
        <v>1</v>
      </c>
      <c r="K658" s="15" t="s">
        <v>1776</v>
      </c>
      <c r="L658" s="15" t="str">
        <f>HYPERLINK("https://uk1.aconex.co.uk/hub/index.html?mainTarget=%2FSearchControlledDoc%3FSEARCH_ACTION%3D15%26tab%3D0%26searchMode%3D1%26searchQuery%3Ddocno:%22"&amp;RawData[[#This Row],[Document Number]]&amp;"%22%20%2Bcversion%253A1",RawData[[#This Row],[Document Number]])</f>
        <v>FS1018-HEX-ZZ-ZZ-D-S-0501</v>
      </c>
    </row>
    <row r="659" spans="1:12" x14ac:dyDescent="0.3">
      <c r="A659" s="15" t="s">
        <v>1773</v>
      </c>
      <c r="B659" s="15" t="s">
        <v>1777</v>
      </c>
      <c r="C659" s="15" t="s">
        <v>11</v>
      </c>
      <c r="D659" s="15" t="s">
        <v>21</v>
      </c>
      <c r="E659" s="8">
        <v>45729</v>
      </c>
      <c r="F659" s="16" t="s">
        <v>12</v>
      </c>
      <c r="G659" s="16" t="s">
        <v>4</v>
      </c>
      <c r="H659" s="8"/>
      <c r="I659" s="16"/>
      <c r="J659" t="b">
        <v>0</v>
      </c>
      <c r="K659" s="15" t="s">
        <v>1778</v>
      </c>
      <c r="L659" s="15" t="str">
        <f>HYPERLINK("https://uk1.aconex.co.uk/hub/index.html?mainTarget=%2FSearchControlledDoc%3FSEARCH_ACTION%3D15%26tab%3D0%26searchMode%3D1%26searchQuery%3Ddocno:%22"&amp;RawData[[#This Row],[Document Number]]&amp;"%22%20%2Bcversion%253A1",RawData[[#This Row],[Document Number]])</f>
        <v>FS1018-HEX-ZZ-ZZ-D-S-0501</v>
      </c>
    </row>
    <row r="660" spans="1:12" ht="43.2" x14ac:dyDescent="0.3">
      <c r="A660" s="15" t="s">
        <v>1779</v>
      </c>
      <c r="B660" s="15" t="s">
        <v>1780</v>
      </c>
      <c r="C660" s="15" t="s">
        <v>10</v>
      </c>
      <c r="D660" s="15" t="s">
        <v>20</v>
      </c>
      <c r="E660" s="8">
        <v>45175</v>
      </c>
      <c r="F660" s="16" t="s">
        <v>1671</v>
      </c>
      <c r="G660" s="16" t="s">
        <v>40</v>
      </c>
      <c r="H660" s="8">
        <v>45194</v>
      </c>
      <c r="I660" s="16" t="s">
        <v>1775</v>
      </c>
      <c r="J660" t="b">
        <v>1</v>
      </c>
      <c r="K660" s="15" t="s">
        <v>1781</v>
      </c>
      <c r="L660" s="15" t="str">
        <f>HYPERLINK("https://uk1.aconex.co.uk/hub/index.html?mainTarget=%2FSearchControlledDoc%3FSEARCH_ACTION%3D15%26tab%3D0%26searchMode%3D1%26searchQuery%3Ddocno:%22"&amp;RawData[[#This Row],[Document Number]]&amp;"%22%20%2Bcversion%253A1",RawData[[#This Row],[Document Number]])</f>
        <v>FS1018-HEX-ZZ-ZZ-D-S-0502</v>
      </c>
    </row>
    <row r="661" spans="1:12" x14ac:dyDescent="0.3">
      <c r="A661" s="15" t="s">
        <v>1779</v>
      </c>
      <c r="B661" s="15" t="s">
        <v>1782</v>
      </c>
      <c r="C661" s="15" t="s">
        <v>11</v>
      </c>
      <c r="D661" s="15" t="s">
        <v>21</v>
      </c>
      <c r="E661" s="8">
        <v>45729</v>
      </c>
      <c r="F661" s="16" t="s">
        <v>12</v>
      </c>
      <c r="G661" s="16" t="s">
        <v>4</v>
      </c>
      <c r="H661" s="8"/>
      <c r="I661" s="16"/>
      <c r="J661" t="b">
        <v>0</v>
      </c>
      <c r="K661" s="15" t="s">
        <v>1783</v>
      </c>
      <c r="L661" s="15" t="str">
        <f>HYPERLINK("https://uk1.aconex.co.uk/hub/index.html?mainTarget=%2FSearchControlledDoc%3FSEARCH_ACTION%3D15%26tab%3D0%26searchMode%3D1%26searchQuery%3Ddocno:%22"&amp;RawData[[#This Row],[Document Number]]&amp;"%22%20%2Bcversion%253A1",RawData[[#This Row],[Document Number]])</f>
        <v>FS1018-HEX-ZZ-ZZ-D-S-0502</v>
      </c>
    </row>
    <row r="662" spans="1:12" ht="43.2" x14ac:dyDescent="0.3">
      <c r="A662" s="15" t="s">
        <v>1784</v>
      </c>
      <c r="B662" s="15" t="s">
        <v>1785</v>
      </c>
      <c r="C662" s="15" t="s">
        <v>10</v>
      </c>
      <c r="D662" s="15" t="s">
        <v>20</v>
      </c>
      <c r="E662" s="8">
        <v>45175</v>
      </c>
      <c r="F662" s="16" t="s">
        <v>1671</v>
      </c>
      <c r="G662" s="16" t="s">
        <v>40</v>
      </c>
      <c r="H662" s="8">
        <v>45194</v>
      </c>
      <c r="I662" s="16" t="s">
        <v>1786</v>
      </c>
      <c r="J662" t="b">
        <v>1</v>
      </c>
      <c r="K662" s="15" t="s">
        <v>1787</v>
      </c>
      <c r="L662" s="15" t="str">
        <f>HYPERLINK("https://uk1.aconex.co.uk/hub/index.html?mainTarget=%2FSearchControlledDoc%3FSEARCH_ACTION%3D15%26tab%3D0%26searchMode%3D1%26searchQuery%3Ddocno:%22"&amp;RawData[[#This Row],[Document Number]]&amp;"%22%20%2Bcversion%253A1",RawData[[#This Row],[Document Number]])</f>
        <v>FS1018-HEX-ZZ-ZZ-D-S-0503</v>
      </c>
    </row>
    <row r="663" spans="1:12" x14ac:dyDescent="0.3">
      <c r="A663" s="15" t="s">
        <v>1784</v>
      </c>
      <c r="B663" s="15" t="s">
        <v>1788</v>
      </c>
      <c r="C663" s="15" t="s">
        <v>11</v>
      </c>
      <c r="D663" s="15" t="s">
        <v>21</v>
      </c>
      <c r="E663" s="8">
        <v>45729</v>
      </c>
      <c r="F663" s="16" t="s">
        <v>12</v>
      </c>
      <c r="G663" s="16" t="s">
        <v>4</v>
      </c>
      <c r="H663" s="8"/>
      <c r="I663" s="16"/>
      <c r="J663" t="b">
        <v>0</v>
      </c>
      <c r="K663" s="15" t="s">
        <v>1789</v>
      </c>
      <c r="L663" s="15" t="str">
        <f>HYPERLINK("https://uk1.aconex.co.uk/hub/index.html?mainTarget=%2FSearchControlledDoc%3FSEARCH_ACTION%3D15%26tab%3D0%26searchMode%3D1%26searchQuery%3Ddocno:%22"&amp;RawData[[#This Row],[Document Number]]&amp;"%22%20%2Bcversion%253A1",RawData[[#This Row],[Document Number]])</f>
        <v>FS1018-HEX-ZZ-ZZ-D-S-0503</v>
      </c>
    </row>
    <row r="664" spans="1:12" x14ac:dyDescent="0.3">
      <c r="A664" s="15" t="s">
        <v>1790</v>
      </c>
      <c r="B664" s="15" t="s">
        <v>1791</v>
      </c>
      <c r="C664" s="15" t="s">
        <v>10</v>
      </c>
      <c r="D664" s="15" t="s">
        <v>20</v>
      </c>
      <c r="E664" s="8">
        <v>45175</v>
      </c>
      <c r="F664" s="16" t="s">
        <v>1671</v>
      </c>
      <c r="G664" s="16" t="s">
        <v>34</v>
      </c>
      <c r="H664" s="8">
        <v>45194</v>
      </c>
      <c r="I664" s="16"/>
      <c r="J664" t="b">
        <v>1</v>
      </c>
      <c r="K664" s="15" t="s">
        <v>1792</v>
      </c>
      <c r="L664" s="15" t="str">
        <f>HYPERLINK("https://uk1.aconex.co.uk/hub/index.html?mainTarget=%2FSearchControlledDoc%3FSEARCH_ACTION%3D15%26tab%3D0%26searchMode%3D1%26searchQuery%3Ddocno:%22"&amp;RawData[[#This Row],[Document Number]]&amp;"%22%20%2Bcversion%253A1",RawData[[#This Row],[Document Number]])</f>
        <v>FS1018-HEX-ZZ-ZZ-D-S-0601</v>
      </c>
    </row>
    <row r="665" spans="1:12" x14ac:dyDescent="0.3">
      <c r="A665" s="15" t="s">
        <v>1790</v>
      </c>
      <c r="B665" s="15" t="s">
        <v>1793</v>
      </c>
      <c r="C665" s="15" t="s">
        <v>11</v>
      </c>
      <c r="D665" s="15" t="s">
        <v>21</v>
      </c>
      <c r="E665" s="8">
        <v>45729</v>
      </c>
      <c r="F665" s="16" t="s">
        <v>12</v>
      </c>
      <c r="G665" s="16" t="s">
        <v>4</v>
      </c>
      <c r="H665" s="8"/>
      <c r="I665" s="16"/>
      <c r="J665" t="b">
        <v>0</v>
      </c>
      <c r="K665" s="15" t="s">
        <v>1794</v>
      </c>
      <c r="L665" s="15" t="str">
        <f>HYPERLINK("https://uk1.aconex.co.uk/hub/index.html?mainTarget=%2FSearchControlledDoc%3FSEARCH_ACTION%3D15%26tab%3D0%26searchMode%3D1%26searchQuery%3Ddocno:%22"&amp;RawData[[#This Row],[Document Number]]&amp;"%22%20%2Bcversion%253A1",RawData[[#This Row],[Document Number]])</f>
        <v>FS1018-HEX-ZZ-ZZ-D-S-0601</v>
      </c>
    </row>
    <row r="666" spans="1:12" ht="72" x14ac:dyDescent="0.3">
      <c r="A666" s="15" t="s">
        <v>1795</v>
      </c>
      <c r="B666" s="15" t="s">
        <v>1796</v>
      </c>
      <c r="C666" s="15" t="s">
        <v>10</v>
      </c>
      <c r="D666" s="15" t="s">
        <v>20</v>
      </c>
      <c r="E666" s="8">
        <v>45175</v>
      </c>
      <c r="F666" s="16" t="s">
        <v>1671</v>
      </c>
      <c r="G666" s="16" t="s">
        <v>40</v>
      </c>
      <c r="H666" s="8">
        <v>45194</v>
      </c>
      <c r="I666" s="16" t="s">
        <v>1797</v>
      </c>
      <c r="J666" t="b">
        <v>1</v>
      </c>
      <c r="K666" s="15" t="s">
        <v>1798</v>
      </c>
      <c r="L666" s="15" t="str">
        <f>HYPERLINK("https://uk1.aconex.co.uk/hub/index.html?mainTarget=%2FSearchControlledDoc%3FSEARCH_ACTION%3D15%26tab%3D0%26searchMode%3D1%26searchQuery%3Ddocno:%22"&amp;RawData[[#This Row],[Document Number]]&amp;"%22%20%2Bcversion%253A1",RawData[[#This Row],[Document Number]])</f>
        <v>FS1018-HEX-ZZ-ZZ-D-S-0602</v>
      </c>
    </row>
    <row r="667" spans="1:12" x14ac:dyDescent="0.3">
      <c r="A667" s="15" t="s">
        <v>1795</v>
      </c>
      <c r="B667" s="15" t="s">
        <v>1799</v>
      </c>
      <c r="C667" s="15" t="s">
        <v>11</v>
      </c>
      <c r="D667" s="15" t="s">
        <v>21</v>
      </c>
      <c r="E667" s="8">
        <v>45729</v>
      </c>
      <c r="F667" s="16" t="s">
        <v>12</v>
      </c>
      <c r="G667" s="16" t="s">
        <v>4</v>
      </c>
      <c r="H667" s="8"/>
      <c r="I667" s="16"/>
      <c r="J667" t="b">
        <v>0</v>
      </c>
      <c r="K667" s="15" t="s">
        <v>1800</v>
      </c>
      <c r="L667" s="15" t="str">
        <f>HYPERLINK("https://uk1.aconex.co.uk/hub/index.html?mainTarget=%2FSearchControlledDoc%3FSEARCH_ACTION%3D15%26tab%3D0%26searchMode%3D1%26searchQuery%3Ddocno:%22"&amp;RawData[[#This Row],[Document Number]]&amp;"%22%20%2Bcversion%253A1",RawData[[#This Row],[Document Number]])</f>
        <v>FS1018-HEX-ZZ-ZZ-D-S-0602</v>
      </c>
    </row>
    <row r="668" spans="1:12" x14ac:dyDescent="0.3">
      <c r="A668" s="15" t="s">
        <v>1801</v>
      </c>
      <c r="B668" s="15" t="s">
        <v>1802</v>
      </c>
      <c r="C668" s="15" t="s">
        <v>14</v>
      </c>
      <c r="D668" s="15" t="s">
        <v>21</v>
      </c>
      <c r="E668" s="8">
        <v>45729</v>
      </c>
      <c r="F668" s="16" t="s">
        <v>12</v>
      </c>
      <c r="G668" s="16" t="s">
        <v>4</v>
      </c>
      <c r="H668" s="8"/>
      <c r="I668" s="16"/>
      <c r="J668" t="b">
        <v>0</v>
      </c>
      <c r="K668" s="15" t="s">
        <v>1803</v>
      </c>
      <c r="L668" s="15" t="str">
        <f>HYPERLINK("https://uk1.aconex.co.uk/hub/index.html?mainTarget=%2FSearchControlledDoc%3FSEARCH_ACTION%3D15%26tab%3D0%26searchMode%3D1%26searchQuery%3Ddocno:%22"&amp;RawData[[#This Row],[Document Number]]&amp;"%22%20%2Bcversion%253A1",RawData[[#This Row],[Document Number]])</f>
        <v>FS1018-HEX-ZZ-ZZ-D-S-0801</v>
      </c>
    </row>
    <row r="669" spans="1:12" x14ac:dyDescent="0.3">
      <c r="A669" s="15" t="s">
        <v>1804</v>
      </c>
      <c r="B669" s="15" t="s">
        <v>1805</v>
      </c>
      <c r="C669" s="15" t="s">
        <v>14</v>
      </c>
      <c r="D669" s="15" t="s">
        <v>20</v>
      </c>
      <c r="E669" s="8">
        <v>45175</v>
      </c>
      <c r="F669" s="16" t="s">
        <v>1353</v>
      </c>
      <c r="G669" s="16" t="s">
        <v>34</v>
      </c>
      <c r="H669" s="8">
        <v>45195</v>
      </c>
      <c r="I669" s="16"/>
      <c r="J669" t="b">
        <v>0</v>
      </c>
      <c r="K669" s="15" t="s">
        <v>1806</v>
      </c>
      <c r="L669" s="15" t="str">
        <f>HYPERLINK("https://uk1.aconex.co.uk/hub/index.html?mainTarget=%2FSearchControlledDoc%3FSEARCH_ACTION%3D15%26tab%3D0%26searchMode%3D1%26searchQuery%3Ddocno:%22"&amp;RawData[[#This Row],[Document Number]]&amp;"%22%20%2Bcversion%253A1",RawData[[#This Row],[Document Number]])</f>
        <v>FS1018-HEX-ZZ-ZZ-M-C-0001</v>
      </c>
    </row>
    <row r="670" spans="1:12" x14ac:dyDescent="0.3">
      <c r="A670" s="15" t="s">
        <v>1804</v>
      </c>
      <c r="B670" s="15" t="s">
        <v>1805</v>
      </c>
      <c r="C670" s="15" t="s">
        <v>10</v>
      </c>
      <c r="D670" s="15" t="s">
        <v>21</v>
      </c>
      <c r="E670" s="8">
        <v>45729</v>
      </c>
      <c r="F670" s="16" t="s">
        <v>12</v>
      </c>
      <c r="G670" s="16" t="s">
        <v>4</v>
      </c>
      <c r="H670" s="8"/>
      <c r="I670" s="16"/>
      <c r="J670" t="b">
        <v>1</v>
      </c>
      <c r="K670" s="15" t="s">
        <v>1806</v>
      </c>
      <c r="L670" s="15" t="str">
        <f>HYPERLINK("https://uk1.aconex.co.uk/hub/index.html?mainTarget=%2FSearchControlledDoc%3FSEARCH_ACTION%3D15%26tab%3D0%26searchMode%3D1%26searchQuery%3Ddocno:%22"&amp;RawData[[#This Row],[Document Number]]&amp;"%22%20%2Bcversion%253A1",RawData[[#This Row],[Document Number]])</f>
        <v>FS1018-HEX-ZZ-ZZ-M-C-0001</v>
      </c>
    </row>
    <row r="671" spans="1:12" x14ac:dyDescent="0.3">
      <c r="A671" s="15" t="s">
        <v>1807</v>
      </c>
      <c r="B671" s="15" t="s">
        <v>1808</v>
      </c>
      <c r="C671" s="15" t="s">
        <v>14</v>
      </c>
      <c r="D671" s="15" t="s">
        <v>20</v>
      </c>
      <c r="E671" s="8">
        <v>45175</v>
      </c>
      <c r="F671" s="16" t="s">
        <v>1353</v>
      </c>
      <c r="G671" s="16" t="s">
        <v>34</v>
      </c>
      <c r="H671" s="8">
        <v>45195</v>
      </c>
      <c r="I671" s="16"/>
      <c r="J671" t="b">
        <v>0</v>
      </c>
      <c r="K671" s="15" t="s">
        <v>1809</v>
      </c>
      <c r="L671" s="15" t="str">
        <f>HYPERLINK("https://uk1.aconex.co.uk/hub/index.html?mainTarget=%2FSearchControlledDoc%3FSEARCH_ACTION%3D15%26tab%3D0%26searchMode%3D1%26searchQuery%3Ddocno:%22"&amp;RawData[[#This Row],[Document Number]]&amp;"%22%20%2Bcversion%253A1",RawData[[#This Row],[Document Number]])</f>
        <v>FS1018-HEX-ZZ-ZZ-M-C-0002</v>
      </c>
    </row>
    <row r="672" spans="1:12" x14ac:dyDescent="0.3">
      <c r="A672" s="15" t="s">
        <v>1807</v>
      </c>
      <c r="B672" s="15" t="s">
        <v>1808</v>
      </c>
      <c r="C672" s="15" t="s">
        <v>10</v>
      </c>
      <c r="D672" s="15" t="s">
        <v>21</v>
      </c>
      <c r="E672" s="8">
        <v>45729</v>
      </c>
      <c r="F672" s="16" t="s">
        <v>12</v>
      </c>
      <c r="G672" s="16" t="s">
        <v>4</v>
      </c>
      <c r="H672" s="8"/>
      <c r="I672" s="16"/>
      <c r="J672" t="b">
        <v>1</v>
      </c>
      <c r="K672" s="15" t="s">
        <v>1809</v>
      </c>
      <c r="L672" s="15" t="str">
        <f>HYPERLINK("https://uk1.aconex.co.uk/hub/index.html?mainTarget=%2FSearchControlledDoc%3FSEARCH_ACTION%3D15%26tab%3D0%26searchMode%3D1%26searchQuery%3Ddocno:%22"&amp;RawData[[#This Row],[Document Number]]&amp;"%22%20%2Bcversion%253A1",RawData[[#This Row],[Document Number]])</f>
        <v>FS1018-HEX-ZZ-ZZ-M-C-0002</v>
      </c>
    </row>
    <row r="673" spans="1:12" ht="57.6" x14ac:dyDescent="0.3">
      <c r="A673" s="15" t="s">
        <v>1810</v>
      </c>
      <c r="B673" s="15" t="s">
        <v>1811</v>
      </c>
      <c r="C673" s="15" t="s">
        <v>14</v>
      </c>
      <c r="D673" s="15" t="s">
        <v>20</v>
      </c>
      <c r="E673" s="8">
        <v>45175</v>
      </c>
      <c r="F673" s="16" t="s">
        <v>1353</v>
      </c>
      <c r="G673" s="16" t="s">
        <v>40</v>
      </c>
      <c r="H673" s="8">
        <v>45195</v>
      </c>
      <c r="I673" s="16" t="s">
        <v>1812</v>
      </c>
      <c r="J673" t="b">
        <v>0</v>
      </c>
      <c r="K673" s="15" t="s">
        <v>1813</v>
      </c>
      <c r="L673" s="15" t="str">
        <f>HYPERLINK("https://uk1.aconex.co.uk/hub/index.html?mainTarget=%2FSearchControlledDoc%3FSEARCH_ACTION%3D15%26tab%3D0%26searchMode%3D1%26searchQuery%3Ddocno:%22"&amp;RawData[[#This Row],[Document Number]]&amp;"%22%20%2Bcversion%253A1",RawData[[#This Row],[Document Number]])</f>
        <v>FS1018-HEX-ZZ-ZZ-M-C-0003</v>
      </c>
    </row>
    <row r="674" spans="1:12" x14ac:dyDescent="0.3">
      <c r="A674" s="15" t="s">
        <v>1810</v>
      </c>
      <c r="B674" s="15" t="s">
        <v>1814</v>
      </c>
      <c r="C674" s="15" t="s">
        <v>10</v>
      </c>
      <c r="D674" s="15" t="s">
        <v>21</v>
      </c>
      <c r="E674" s="8">
        <v>45729</v>
      </c>
      <c r="F674" s="16" t="s">
        <v>12</v>
      </c>
      <c r="G674" s="16" t="s">
        <v>4</v>
      </c>
      <c r="H674" s="8"/>
      <c r="I674" s="16"/>
      <c r="J674" t="b">
        <v>1</v>
      </c>
      <c r="K674" s="15" t="s">
        <v>1815</v>
      </c>
      <c r="L674" s="15" t="str">
        <f>HYPERLINK("https://uk1.aconex.co.uk/hub/index.html?mainTarget=%2FSearchControlledDoc%3FSEARCH_ACTION%3D15%26tab%3D0%26searchMode%3D1%26searchQuery%3Ddocno:%22"&amp;RawData[[#This Row],[Document Number]]&amp;"%22%20%2Bcversion%253A1",RawData[[#This Row],[Document Number]])</f>
        <v>FS1018-HEX-ZZ-ZZ-M-C-0003</v>
      </c>
    </row>
    <row r="675" spans="1:12" ht="43.2" x14ac:dyDescent="0.3">
      <c r="A675" s="15" t="s">
        <v>1816</v>
      </c>
      <c r="B675" s="15" t="s">
        <v>1817</v>
      </c>
      <c r="C675" s="15" t="s">
        <v>11</v>
      </c>
      <c r="D675" s="15" t="s">
        <v>20</v>
      </c>
      <c r="E675" s="8">
        <v>45175</v>
      </c>
      <c r="F675" s="16" t="s">
        <v>1671</v>
      </c>
      <c r="G675" s="16" t="s">
        <v>40</v>
      </c>
      <c r="H675" s="8">
        <v>45194</v>
      </c>
      <c r="I675" s="16" t="s">
        <v>1818</v>
      </c>
      <c r="J675" t="b">
        <v>0</v>
      </c>
      <c r="K675" s="15" t="s">
        <v>1819</v>
      </c>
      <c r="L675" s="15" t="str">
        <f>HYPERLINK("https://uk1.aconex.co.uk/hub/index.html?mainTarget=%2FSearchControlledDoc%3FSEARCH_ACTION%3D15%26tab%3D0%26searchMode%3D1%26searchQuery%3Ddocno:%22"&amp;RawData[[#This Row],[Document Number]]&amp;"%22%20%2Bcversion%253A1",RawData[[#This Row],[Document Number]])</f>
        <v>FS1018-HEX-ZZ-ZZ-M-S-0001</v>
      </c>
    </row>
    <row r="676" spans="1:12" ht="43.2" x14ac:dyDescent="0.3">
      <c r="A676" s="15" t="s">
        <v>1816</v>
      </c>
      <c r="B676" s="15" t="s">
        <v>1817</v>
      </c>
      <c r="C676" s="15" t="s">
        <v>583</v>
      </c>
      <c r="D676" s="15" t="s">
        <v>20</v>
      </c>
      <c r="E676" s="8">
        <v>45533</v>
      </c>
      <c r="F676" s="16" t="s">
        <v>1671</v>
      </c>
      <c r="G676" s="16" t="s">
        <v>40</v>
      </c>
      <c r="H676" s="8">
        <v>45669</v>
      </c>
      <c r="I676" s="16" t="s">
        <v>71</v>
      </c>
      <c r="J676" t="b">
        <v>0</v>
      </c>
      <c r="K676" s="15" t="s">
        <v>1819</v>
      </c>
      <c r="L676" s="15" t="str">
        <f>HYPERLINK("https://uk1.aconex.co.uk/hub/index.html?mainTarget=%2FSearchControlledDoc%3FSEARCH_ACTION%3D15%26tab%3D0%26searchMode%3D1%26searchQuery%3Ddocno:%22"&amp;RawData[[#This Row],[Document Number]]&amp;"%22%20%2Bcversion%253A1",RawData[[#This Row],[Document Number]])</f>
        <v>FS1018-HEX-ZZ-ZZ-M-S-0001</v>
      </c>
    </row>
    <row r="677" spans="1:12" x14ac:dyDescent="0.3">
      <c r="A677" s="15" t="s">
        <v>1816</v>
      </c>
      <c r="B677" s="15" t="s">
        <v>1817</v>
      </c>
      <c r="C677" s="15" t="s">
        <v>970</v>
      </c>
      <c r="D677" s="15" t="s">
        <v>21</v>
      </c>
      <c r="E677" s="8">
        <v>45729</v>
      </c>
      <c r="F677" s="16" t="s">
        <v>12</v>
      </c>
      <c r="G677" s="16" t="s">
        <v>4</v>
      </c>
      <c r="H677" s="8"/>
      <c r="I677" s="16"/>
      <c r="J677" t="b">
        <v>0</v>
      </c>
      <c r="K677" s="15" t="s">
        <v>1819</v>
      </c>
      <c r="L677" s="15" t="str">
        <f>HYPERLINK("https://uk1.aconex.co.uk/hub/index.html?mainTarget=%2FSearchControlledDoc%3FSEARCH_ACTION%3D15%26tab%3D0%26searchMode%3D1%26searchQuery%3Ddocno:%22"&amp;RawData[[#This Row],[Document Number]]&amp;"%22%20%2Bcversion%253A1",RawData[[#This Row],[Document Number]])</f>
        <v>FS1018-HEX-ZZ-ZZ-M-S-0001</v>
      </c>
    </row>
    <row r="678" spans="1:12" ht="72" x14ac:dyDescent="0.3">
      <c r="A678" s="15" t="s">
        <v>1820</v>
      </c>
      <c r="B678" s="15" t="s">
        <v>1821</v>
      </c>
      <c r="C678" s="15" t="s">
        <v>11</v>
      </c>
      <c r="D678" s="15" t="s">
        <v>20</v>
      </c>
      <c r="E678" s="8">
        <v>45175</v>
      </c>
      <c r="F678" s="16" t="s">
        <v>1671</v>
      </c>
      <c r="G678" s="16" t="s">
        <v>40</v>
      </c>
      <c r="H678" s="8">
        <v>45194</v>
      </c>
      <c r="I678" s="16" t="s">
        <v>1822</v>
      </c>
      <c r="J678" t="b">
        <v>0</v>
      </c>
      <c r="K678" s="15" t="s">
        <v>1823</v>
      </c>
      <c r="L678" s="15" t="str">
        <f>HYPERLINK("https://uk1.aconex.co.uk/hub/index.html?mainTarget=%2FSearchControlledDoc%3FSEARCH_ACTION%3D15%26tab%3D0%26searchMode%3D1%26searchQuery%3Ddocno:%22"&amp;RawData[[#This Row],[Document Number]]&amp;"%22%20%2Bcversion%253A1",RawData[[#This Row],[Document Number]])</f>
        <v>FS1018-HEX-ZZ-ZZ-M-S-0002</v>
      </c>
    </row>
    <row r="679" spans="1:12" ht="43.2" x14ac:dyDescent="0.3">
      <c r="A679" s="15" t="s">
        <v>1820</v>
      </c>
      <c r="B679" s="15" t="s">
        <v>1821</v>
      </c>
      <c r="C679" s="15" t="s">
        <v>583</v>
      </c>
      <c r="D679" s="15" t="s">
        <v>20</v>
      </c>
      <c r="E679" s="8">
        <v>45533</v>
      </c>
      <c r="F679" s="16" t="s">
        <v>1671</v>
      </c>
      <c r="G679" s="16" t="s">
        <v>40</v>
      </c>
      <c r="H679" s="8">
        <v>45669</v>
      </c>
      <c r="I679" s="16" t="s">
        <v>71</v>
      </c>
      <c r="J679" t="b">
        <v>0</v>
      </c>
      <c r="K679" s="15" t="s">
        <v>1823</v>
      </c>
      <c r="L679" s="15" t="str">
        <f>HYPERLINK("https://uk1.aconex.co.uk/hub/index.html?mainTarget=%2FSearchControlledDoc%3FSEARCH_ACTION%3D15%26tab%3D0%26searchMode%3D1%26searchQuery%3Ddocno:%22"&amp;RawData[[#This Row],[Document Number]]&amp;"%22%20%2Bcversion%253A1",RawData[[#This Row],[Document Number]])</f>
        <v>FS1018-HEX-ZZ-ZZ-M-S-0002</v>
      </c>
    </row>
    <row r="680" spans="1:12" x14ac:dyDescent="0.3">
      <c r="A680" s="15" t="s">
        <v>1820</v>
      </c>
      <c r="B680" s="15" t="s">
        <v>1821</v>
      </c>
      <c r="C680" s="15" t="s">
        <v>970</v>
      </c>
      <c r="D680" s="15" t="s">
        <v>21</v>
      </c>
      <c r="E680" s="8">
        <v>45729</v>
      </c>
      <c r="F680" s="16" t="s">
        <v>12</v>
      </c>
      <c r="G680" s="16" t="s">
        <v>4</v>
      </c>
      <c r="H680" s="8"/>
      <c r="I680" s="16"/>
      <c r="J680" t="b">
        <v>0</v>
      </c>
      <c r="K680" s="15" t="s">
        <v>1823</v>
      </c>
      <c r="L680" s="15" t="str">
        <f>HYPERLINK("https://uk1.aconex.co.uk/hub/index.html?mainTarget=%2FSearchControlledDoc%3FSEARCH_ACTION%3D15%26tab%3D0%26searchMode%3D1%26searchQuery%3Ddocno:%22"&amp;RawData[[#This Row],[Document Number]]&amp;"%22%20%2Bcversion%253A1",RawData[[#This Row],[Document Number]])</f>
        <v>FS1018-HEX-ZZ-ZZ-M-S-0002</v>
      </c>
    </row>
    <row r="681" spans="1:12" ht="43.2" x14ac:dyDescent="0.3">
      <c r="A681" s="15" t="s">
        <v>1824</v>
      </c>
      <c r="B681" s="15" t="s">
        <v>1825</v>
      </c>
      <c r="C681" s="15" t="s">
        <v>11</v>
      </c>
      <c r="D681" s="15" t="s">
        <v>20</v>
      </c>
      <c r="E681" s="8">
        <v>45175</v>
      </c>
      <c r="F681" s="16" t="s">
        <v>1671</v>
      </c>
      <c r="G681" s="16" t="s">
        <v>40</v>
      </c>
      <c r="H681" s="8">
        <v>45194</v>
      </c>
      <c r="I681" s="16" t="s">
        <v>1826</v>
      </c>
      <c r="J681" t="b">
        <v>0</v>
      </c>
      <c r="K681" s="15" t="s">
        <v>1827</v>
      </c>
      <c r="L681" s="15" t="str">
        <f>HYPERLINK("https://uk1.aconex.co.uk/hub/index.html?mainTarget=%2FSearchControlledDoc%3FSEARCH_ACTION%3D15%26tab%3D0%26searchMode%3D1%26searchQuery%3Ddocno:%22"&amp;RawData[[#This Row],[Document Number]]&amp;"%22%20%2Bcversion%253A1",RawData[[#This Row],[Document Number]])</f>
        <v>FS1018-HEX-ZZ-ZZ-M-S-0003</v>
      </c>
    </row>
    <row r="682" spans="1:12" ht="43.2" x14ac:dyDescent="0.3">
      <c r="A682" s="15" t="s">
        <v>1824</v>
      </c>
      <c r="B682" s="15" t="s">
        <v>1825</v>
      </c>
      <c r="C682" s="15" t="s">
        <v>583</v>
      </c>
      <c r="D682" s="15" t="s">
        <v>20</v>
      </c>
      <c r="E682" s="8">
        <v>45533</v>
      </c>
      <c r="F682" s="16" t="s">
        <v>1671</v>
      </c>
      <c r="G682" s="16" t="s">
        <v>40</v>
      </c>
      <c r="H682" s="8">
        <v>45669</v>
      </c>
      <c r="I682" s="16" t="s">
        <v>71</v>
      </c>
      <c r="J682" t="b">
        <v>0</v>
      </c>
      <c r="K682" s="15" t="s">
        <v>1827</v>
      </c>
      <c r="L682" s="15" t="str">
        <f>HYPERLINK("https://uk1.aconex.co.uk/hub/index.html?mainTarget=%2FSearchControlledDoc%3FSEARCH_ACTION%3D15%26tab%3D0%26searchMode%3D1%26searchQuery%3Ddocno:%22"&amp;RawData[[#This Row],[Document Number]]&amp;"%22%20%2Bcversion%253A1",RawData[[#This Row],[Document Number]])</f>
        <v>FS1018-HEX-ZZ-ZZ-M-S-0003</v>
      </c>
    </row>
    <row r="683" spans="1:12" x14ac:dyDescent="0.3">
      <c r="A683" s="15" t="s">
        <v>1824</v>
      </c>
      <c r="B683" s="15" t="s">
        <v>1825</v>
      </c>
      <c r="C683" s="15" t="s">
        <v>970</v>
      </c>
      <c r="D683" s="15" t="s">
        <v>21</v>
      </c>
      <c r="E683" s="8">
        <v>45729</v>
      </c>
      <c r="F683" s="16" t="s">
        <v>12</v>
      </c>
      <c r="G683" s="16" t="s">
        <v>4</v>
      </c>
      <c r="H683" s="8"/>
      <c r="I683" s="16"/>
      <c r="J683" t="b">
        <v>0</v>
      </c>
      <c r="K683" s="15" t="s">
        <v>1827</v>
      </c>
      <c r="L683" s="15" t="str">
        <f>HYPERLINK("https://uk1.aconex.co.uk/hub/index.html?mainTarget=%2FSearchControlledDoc%3FSEARCH_ACTION%3D15%26tab%3D0%26searchMode%3D1%26searchQuery%3Ddocno:%22"&amp;RawData[[#This Row],[Document Number]]&amp;"%22%20%2Bcversion%253A1",RawData[[#This Row],[Document Number]])</f>
        <v>FS1018-HEX-ZZ-ZZ-M-S-0003</v>
      </c>
    </row>
    <row r="684" spans="1:12" x14ac:dyDescent="0.3">
      <c r="A684" s="15" t="s">
        <v>1828</v>
      </c>
      <c r="B684" s="15" t="s">
        <v>1829</v>
      </c>
      <c r="C684" s="15" t="s">
        <v>14</v>
      </c>
      <c r="D684" s="15" t="s">
        <v>20</v>
      </c>
      <c r="E684" s="8">
        <v>45175</v>
      </c>
      <c r="F684" s="16" t="s">
        <v>1353</v>
      </c>
      <c r="G684" s="16" t="s">
        <v>34</v>
      </c>
      <c r="H684" s="8">
        <v>45195</v>
      </c>
      <c r="I684" s="16"/>
      <c r="J684" t="b">
        <v>0</v>
      </c>
      <c r="K684" s="15" t="s">
        <v>1830</v>
      </c>
      <c r="L684" s="15" t="str">
        <f>HYPERLINK("https://uk1.aconex.co.uk/hub/index.html?mainTarget=%2FSearchControlledDoc%3FSEARCH_ACTION%3D15%26tab%3D0%26searchMode%3D1%26searchQuery%3Ddocno:%22"&amp;RawData[[#This Row],[Document Number]]&amp;"%22%20%2Bcversion%253A1",RawData[[#This Row],[Document Number]])</f>
        <v>FS1018-HEX-ZZ-ZZ-T-C-0001</v>
      </c>
    </row>
    <row r="685" spans="1:12" x14ac:dyDescent="0.3">
      <c r="A685" s="15" t="s">
        <v>1828</v>
      </c>
      <c r="B685" s="15" t="s">
        <v>1831</v>
      </c>
      <c r="C685" s="15" t="s">
        <v>10</v>
      </c>
      <c r="D685" s="15" t="s">
        <v>21</v>
      </c>
      <c r="E685" s="8">
        <v>45729</v>
      </c>
      <c r="F685" s="16" t="s">
        <v>12</v>
      </c>
      <c r="G685" s="16" t="s">
        <v>4</v>
      </c>
      <c r="H685" s="8"/>
      <c r="I685" s="16"/>
      <c r="J685" t="b">
        <v>1</v>
      </c>
      <c r="K685" s="15" t="s">
        <v>1832</v>
      </c>
      <c r="L685" s="15" t="str">
        <f>HYPERLINK("https://uk1.aconex.co.uk/hub/index.html?mainTarget=%2FSearchControlledDoc%3FSEARCH_ACTION%3D15%26tab%3D0%26searchMode%3D1%26searchQuery%3Ddocno:%22"&amp;RawData[[#This Row],[Document Number]]&amp;"%22%20%2Bcversion%253A1",RawData[[#This Row],[Document Number]])</f>
        <v>FS1018-HEX-ZZ-ZZ-T-C-0001</v>
      </c>
    </row>
    <row r="686" spans="1:12" ht="28.8" x14ac:dyDescent="0.3">
      <c r="A686" s="15" t="s">
        <v>1833</v>
      </c>
      <c r="B686" s="15" t="s">
        <v>1834</v>
      </c>
      <c r="C686" s="15" t="s">
        <v>14</v>
      </c>
      <c r="D686" s="15" t="s">
        <v>20</v>
      </c>
      <c r="E686" s="8">
        <v>45175</v>
      </c>
      <c r="F686" s="16" t="s">
        <v>939</v>
      </c>
      <c r="G686" s="16" t="s">
        <v>34</v>
      </c>
      <c r="H686" s="8">
        <v>45194</v>
      </c>
      <c r="I686" s="16"/>
      <c r="J686" t="b">
        <v>0</v>
      </c>
      <c r="K686" s="15" t="s">
        <v>1835</v>
      </c>
      <c r="L686" s="15" t="str">
        <f>HYPERLINK("https://uk1.aconex.co.uk/hub/index.html?mainTarget=%2FSearchControlledDoc%3FSEARCH_ACTION%3D15%26tab%3D0%26searchMode%3D1%26searchQuery%3Ddocno:%22"&amp;RawData[[#This Row],[Document Number]]&amp;"%22%20%2Bcversion%253A1",RawData[[#This Row],[Document Number]])</f>
        <v>FS1018-MAJ-XX-XX-L-X-0090</v>
      </c>
    </row>
    <row r="687" spans="1:12" x14ac:dyDescent="0.3">
      <c r="A687" s="15" t="s">
        <v>1833</v>
      </c>
      <c r="B687" s="15" t="s">
        <v>1836</v>
      </c>
      <c r="C687" s="15" t="s">
        <v>10</v>
      </c>
      <c r="D687" s="15" t="s">
        <v>21</v>
      </c>
      <c r="E687" s="8">
        <v>45729</v>
      </c>
      <c r="F687" s="16" t="s">
        <v>12</v>
      </c>
      <c r="G687" s="16" t="s">
        <v>4</v>
      </c>
      <c r="H687" s="8"/>
      <c r="I687" s="16"/>
      <c r="J687" t="b">
        <v>1</v>
      </c>
      <c r="K687" s="15" t="s">
        <v>1837</v>
      </c>
      <c r="L687" s="15" t="str">
        <f>HYPERLINK("https://uk1.aconex.co.uk/hub/index.html?mainTarget=%2FSearchControlledDoc%3FSEARCH_ACTION%3D15%26tab%3D0%26searchMode%3D1%26searchQuery%3Ddocno:%22"&amp;RawData[[#This Row],[Document Number]]&amp;"%22%20%2Bcversion%253A1",RawData[[#This Row],[Document Number]])</f>
        <v>FS1018-MAJ-XX-XX-L-X-0090</v>
      </c>
    </row>
    <row r="688" spans="1:12" ht="57.6" x14ac:dyDescent="0.3">
      <c r="A688" s="15" t="s">
        <v>1838</v>
      </c>
      <c r="B688" s="15" t="s">
        <v>1839</v>
      </c>
      <c r="C688" s="15" t="s">
        <v>14</v>
      </c>
      <c r="D688" s="15" t="s">
        <v>20</v>
      </c>
      <c r="E688" s="8">
        <v>45175</v>
      </c>
      <c r="F688" s="16" t="s">
        <v>939</v>
      </c>
      <c r="G688" s="16" t="s">
        <v>22</v>
      </c>
      <c r="H688" s="8">
        <v>45194</v>
      </c>
      <c r="I688" s="16" t="s">
        <v>1840</v>
      </c>
      <c r="J688" t="b">
        <v>0</v>
      </c>
      <c r="K688" s="15" t="s">
        <v>1841</v>
      </c>
      <c r="L688" s="15" t="str">
        <f>HYPERLINK("https://uk1.aconex.co.uk/hub/index.html?mainTarget=%2FSearchControlledDoc%3FSEARCH_ACTION%3D15%26tab%3D0%26searchMode%3D1%26searchQuery%3Ddocno:%22"&amp;RawData[[#This Row],[Document Number]]&amp;"%22%20%2Bcversion%253A1",RawData[[#This Row],[Document Number]])</f>
        <v>FS1018-MAJ-XX-XX-L-X-8001</v>
      </c>
    </row>
    <row r="689" spans="1:12" x14ac:dyDescent="0.3">
      <c r="A689" s="15" t="s">
        <v>1838</v>
      </c>
      <c r="B689" s="15" t="s">
        <v>1842</v>
      </c>
      <c r="C689" s="15" t="s">
        <v>10</v>
      </c>
      <c r="D689" s="15" t="s">
        <v>21</v>
      </c>
      <c r="E689" s="8">
        <v>45729</v>
      </c>
      <c r="F689" s="16" t="s">
        <v>12</v>
      </c>
      <c r="G689" s="16" t="s">
        <v>4</v>
      </c>
      <c r="H689" s="8"/>
      <c r="I689" s="16"/>
      <c r="J689" t="b">
        <v>1</v>
      </c>
      <c r="K689" s="15" t="s">
        <v>1843</v>
      </c>
      <c r="L689" s="15" t="str">
        <f>HYPERLINK("https://uk1.aconex.co.uk/hub/index.html?mainTarget=%2FSearchControlledDoc%3FSEARCH_ACTION%3D15%26tab%3D0%26searchMode%3D1%26searchQuery%3Ddocno:%22"&amp;RawData[[#This Row],[Document Number]]&amp;"%22%20%2Bcversion%253A1",RawData[[#This Row],[Document Number]])</f>
        <v>FS1018-MAJ-XX-XX-L-X-8001</v>
      </c>
    </row>
    <row r="690" spans="1:12" ht="28.8" x14ac:dyDescent="0.3">
      <c r="A690" s="15" t="s">
        <v>1844</v>
      </c>
      <c r="B690" s="15" t="s">
        <v>1845</v>
      </c>
      <c r="C690" s="15" t="s">
        <v>14</v>
      </c>
      <c r="D690" s="15" t="s">
        <v>20</v>
      </c>
      <c r="E690" s="8">
        <v>45175</v>
      </c>
      <c r="F690" s="16" t="s">
        <v>939</v>
      </c>
      <c r="G690" s="16" t="s">
        <v>22</v>
      </c>
      <c r="H690" s="8">
        <v>45194</v>
      </c>
      <c r="I690" s="16" t="s">
        <v>1846</v>
      </c>
      <c r="J690" t="b">
        <v>0</v>
      </c>
      <c r="K690" s="15" t="s">
        <v>1847</v>
      </c>
      <c r="L690" s="15" t="str">
        <f>HYPERLINK("https://uk1.aconex.co.uk/hub/index.html?mainTarget=%2FSearchControlledDoc%3FSEARCH_ACTION%3D15%26tab%3D0%26searchMode%3D1%26searchQuery%3Ddocno:%22"&amp;RawData[[#This Row],[Document Number]]&amp;"%22%20%2Bcversion%253A1",RawData[[#This Row],[Document Number]])</f>
        <v>FS1018-MAJ-XX-XX-L-X-8002</v>
      </c>
    </row>
    <row r="691" spans="1:12" x14ac:dyDescent="0.3">
      <c r="A691" s="15" t="s">
        <v>1844</v>
      </c>
      <c r="B691" s="15" t="s">
        <v>1848</v>
      </c>
      <c r="C691" s="15" t="s">
        <v>10</v>
      </c>
      <c r="D691" s="15" t="s">
        <v>21</v>
      </c>
      <c r="E691" s="8">
        <v>45729</v>
      </c>
      <c r="F691" s="16" t="s">
        <v>12</v>
      </c>
      <c r="G691" s="16" t="s">
        <v>4</v>
      </c>
      <c r="H691" s="8"/>
      <c r="I691" s="16"/>
      <c r="J691" t="b">
        <v>1</v>
      </c>
      <c r="K691" s="15" t="s">
        <v>1849</v>
      </c>
      <c r="L691" s="15" t="str">
        <f>HYPERLINK("https://uk1.aconex.co.uk/hub/index.html?mainTarget=%2FSearchControlledDoc%3FSEARCH_ACTION%3D15%26tab%3D0%26searchMode%3D1%26searchQuery%3Ddocno:%22"&amp;RawData[[#This Row],[Document Number]]&amp;"%22%20%2Bcversion%253A1",RawData[[#This Row],[Document Number]])</f>
        <v>FS1018-MAJ-XX-XX-L-X-8002</v>
      </c>
    </row>
    <row r="692" spans="1:12" ht="316.8" x14ac:dyDescent="0.3">
      <c r="A692" s="15" t="s">
        <v>1850</v>
      </c>
      <c r="B692" s="15" t="s">
        <v>1851</v>
      </c>
      <c r="C692" s="15" t="s">
        <v>10</v>
      </c>
      <c r="D692" s="15" t="s">
        <v>20</v>
      </c>
      <c r="E692" s="8">
        <v>45175</v>
      </c>
      <c r="F692" s="16" t="s">
        <v>939</v>
      </c>
      <c r="G692" s="16" t="s">
        <v>22</v>
      </c>
      <c r="H692" s="8">
        <v>45194</v>
      </c>
      <c r="I692" s="16" t="s">
        <v>1852</v>
      </c>
      <c r="J692" t="b">
        <v>1</v>
      </c>
      <c r="K692" s="15" t="s">
        <v>1853</v>
      </c>
      <c r="L692" s="15" t="str">
        <f>HYPERLINK("https://uk1.aconex.co.uk/hub/index.html?mainTarget=%2FSearchControlledDoc%3FSEARCH_ACTION%3D15%26tab%3D0%26searchMode%3D1%26searchQuery%3Ddocno:%22"&amp;RawData[[#This Row],[Document Number]]&amp;"%22%20%2Bcversion%253A1",RawData[[#This Row],[Document Number]])</f>
        <v>FS1018-MAJ-XX-XX-T-X-0001</v>
      </c>
    </row>
    <row r="693" spans="1:12" x14ac:dyDescent="0.3">
      <c r="A693" s="15" t="s">
        <v>1850</v>
      </c>
      <c r="B693" s="15" t="s">
        <v>1851</v>
      </c>
      <c r="C693" s="15" t="s">
        <v>960</v>
      </c>
      <c r="D693" s="15" t="s">
        <v>21</v>
      </c>
      <c r="E693" s="8">
        <v>45729</v>
      </c>
      <c r="F693" s="16" t="s">
        <v>12</v>
      </c>
      <c r="G693" s="16" t="s">
        <v>4</v>
      </c>
      <c r="H693" s="8"/>
      <c r="I693" s="16"/>
      <c r="J693" t="b">
        <v>0</v>
      </c>
      <c r="K693" s="15" t="s">
        <v>1853</v>
      </c>
      <c r="L693" s="15" t="str">
        <f>HYPERLINK("https://uk1.aconex.co.uk/hub/index.html?mainTarget=%2FSearchControlledDoc%3FSEARCH_ACTION%3D15%26tab%3D0%26searchMode%3D1%26searchQuery%3Ddocno:%22"&amp;RawData[[#This Row],[Document Number]]&amp;"%22%20%2Bcversion%253A1",RawData[[#This Row],[Document Number]])</f>
        <v>FS1018-MAJ-XX-XX-T-X-0001</v>
      </c>
    </row>
    <row r="694" spans="1:12" ht="43.2" x14ac:dyDescent="0.3">
      <c r="A694" s="15" t="s">
        <v>1854</v>
      </c>
      <c r="B694" s="15" t="s">
        <v>1855</v>
      </c>
      <c r="C694" s="15" t="s">
        <v>14</v>
      </c>
      <c r="D694" s="15" t="s">
        <v>20</v>
      </c>
      <c r="E694" s="8">
        <v>45175</v>
      </c>
      <c r="F694" s="16" t="s">
        <v>939</v>
      </c>
      <c r="G694" s="16" t="s">
        <v>40</v>
      </c>
      <c r="H694" s="8">
        <v>45194</v>
      </c>
      <c r="I694" s="16" t="s">
        <v>1856</v>
      </c>
      <c r="J694" t="b">
        <v>0</v>
      </c>
      <c r="K694" s="15" t="s">
        <v>1857</v>
      </c>
      <c r="L694" s="15" t="str">
        <f>HYPERLINK("https://uk1.aconex.co.uk/hub/index.html?mainTarget=%2FSearchControlledDoc%3FSEARCH_ACTION%3D15%26tab%3D0%26searchMode%3D1%26searchQuery%3Ddocno:%22"&amp;RawData[[#This Row],[Document Number]]&amp;"%22%20%2Bcversion%253A1",RawData[[#This Row],[Document Number]])</f>
        <v>FS1018-MAJ-XX-XX-T-X-1001</v>
      </c>
    </row>
    <row r="695" spans="1:12" x14ac:dyDescent="0.3">
      <c r="A695" s="15" t="s">
        <v>1854</v>
      </c>
      <c r="B695" s="15" t="s">
        <v>1858</v>
      </c>
      <c r="C695" s="15" t="s">
        <v>583</v>
      </c>
      <c r="D695" s="15" t="s">
        <v>21</v>
      </c>
      <c r="E695" s="8">
        <v>45729</v>
      </c>
      <c r="F695" s="16" t="s">
        <v>12</v>
      </c>
      <c r="G695" s="16" t="s">
        <v>4</v>
      </c>
      <c r="H695" s="8"/>
      <c r="I695" s="16"/>
      <c r="J695" t="b">
        <v>0</v>
      </c>
      <c r="K695" s="15" t="s">
        <v>1859</v>
      </c>
      <c r="L695" s="15" t="str">
        <f>HYPERLINK("https://uk1.aconex.co.uk/hub/index.html?mainTarget=%2FSearchControlledDoc%3FSEARCH_ACTION%3D15%26tab%3D0%26searchMode%3D1%26searchQuery%3Ddocno:%22"&amp;RawData[[#This Row],[Document Number]]&amp;"%22%20%2Bcversion%253A1",RawData[[#This Row],[Document Number]])</f>
        <v>FS1018-MAJ-XX-XX-T-X-1001</v>
      </c>
    </row>
    <row r="696" spans="1:12" ht="43.2" x14ac:dyDescent="0.3">
      <c r="A696" s="15" t="s">
        <v>1860</v>
      </c>
      <c r="B696" s="15" t="s">
        <v>1861</v>
      </c>
      <c r="C696" s="15" t="s">
        <v>14</v>
      </c>
      <c r="D696" s="15" t="s">
        <v>20</v>
      </c>
      <c r="E696" s="8">
        <v>45175</v>
      </c>
      <c r="F696" s="16" t="s">
        <v>939</v>
      </c>
      <c r="G696" s="16" t="s">
        <v>40</v>
      </c>
      <c r="H696" s="8">
        <v>45194</v>
      </c>
      <c r="I696" s="16" t="s">
        <v>1862</v>
      </c>
      <c r="J696" t="b">
        <v>0</v>
      </c>
      <c r="K696" s="15" t="s">
        <v>1863</v>
      </c>
      <c r="L696" s="15" t="str">
        <f>HYPERLINK("https://uk1.aconex.co.uk/hub/index.html?mainTarget=%2FSearchControlledDoc%3FSEARCH_ACTION%3D15%26tab%3D0%26searchMode%3D1%26searchQuery%3Ddocno:%22"&amp;RawData[[#This Row],[Document Number]]&amp;"%22%20%2Bcversion%253A1",RawData[[#This Row],[Document Number]])</f>
        <v>FS1018-MAJ-ZZ-ZZ-M-X-0001</v>
      </c>
    </row>
    <row r="697" spans="1:12" x14ac:dyDescent="0.3">
      <c r="A697" s="15" t="s">
        <v>1860</v>
      </c>
      <c r="B697" s="15" t="s">
        <v>1864</v>
      </c>
      <c r="C697" s="15" t="s">
        <v>960</v>
      </c>
      <c r="D697" s="15" t="s">
        <v>21</v>
      </c>
      <c r="E697" s="8">
        <v>45729</v>
      </c>
      <c r="F697" s="16" t="s">
        <v>12</v>
      </c>
      <c r="G697" s="16" t="s">
        <v>4</v>
      </c>
      <c r="H697" s="8"/>
      <c r="I697" s="16"/>
      <c r="J697" t="b">
        <v>0</v>
      </c>
      <c r="K697" s="15" t="s">
        <v>1865</v>
      </c>
      <c r="L697" s="15" t="str">
        <f>HYPERLINK("https://uk1.aconex.co.uk/hub/index.html?mainTarget=%2FSearchControlledDoc%3FSEARCH_ACTION%3D15%26tab%3D0%26searchMode%3D1%26searchQuery%3Ddocno:%22"&amp;RawData[[#This Row],[Document Number]]&amp;"%22%20%2Bcversion%253A1",RawData[[#This Row],[Document Number]])</f>
        <v>FS1018-MAJ-ZZ-ZZ-M-X-0001</v>
      </c>
    </row>
    <row r="698" spans="1:12" ht="43.2" x14ac:dyDescent="0.3">
      <c r="A698" s="15" t="s">
        <v>1866</v>
      </c>
      <c r="B698" s="15" t="s">
        <v>1867</v>
      </c>
      <c r="C698" s="15" t="s">
        <v>14</v>
      </c>
      <c r="D698" s="15" t="s">
        <v>20</v>
      </c>
      <c r="E698" s="8">
        <v>45176</v>
      </c>
      <c r="F698" s="16" t="s">
        <v>33</v>
      </c>
      <c r="G698" s="16" t="s">
        <v>22</v>
      </c>
      <c r="H698" s="8">
        <v>45190</v>
      </c>
      <c r="I698" s="16" t="s">
        <v>1868</v>
      </c>
      <c r="J698" t="b">
        <v>0</v>
      </c>
      <c r="K698" s="15" t="s">
        <v>1869</v>
      </c>
      <c r="L698" s="15" t="str">
        <f>HYPERLINK("https://uk1.aconex.co.uk/hub/index.html?mainTarget=%2FSearchControlledDoc%3FSEARCH_ACTION%3D15%26tab%3D0%26searchMode%3D1%26searchQuery%3Ddocno:%22"&amp;RawData[[#This Row],[Document Number]]&amp;"%22%20%2Bcversion%253A1",RawData[[#This Row],[Document Number]])</f>
        <v>FS1018-OFR-XX-00-D-K-0001</v>
      </c>
    </row>
    <row r="699" spans="1:12" ht="43.2" x14ac:dyDescent="0.3">
      <c r="A699" s="15" t="s">
        <v>1866</v>
      </c>
      <c r="B699" s="15" t="s">
        <v>1870</v>
      </c>
      <c r="C699" s="15" t="s">
        <v>10</v>
      </c>
      <c r="D699" s="15" t="s">
        <v>20</v>
      </c>
      <c r="E699" s="8">
        <v>45544</v>
      </c>
      <c r="F699" s="16" t="s">
        <v>78</v>
      </c>
      <c r="G699" s="16" t="s">
        <v>40</v>
      </c>
      <c r="H699" s="8">
        <v>45669</v>
      </c>
      <c r="I699" s="16" t="s">
        <v>71</v>
      </c>
      <c r="J699" t="b">
        <v>1</v>
      </c>
      <c r="K699" s="15" t="s">
        <v>1871</v>
      </c>
      <c r="L699" s="15" t="str">
        <f>HYPERLINK("https://uk1.aconex.co.uk/hub/index.html?mainTarget=%2FSearchControlledDoc%3FSEARCH_ACTION%3D15%26tab%3D0%26searchMode%3D1%26searchQuery%3Ddocno:%22"&amp;RawData[[#This Row],[Document Number]]&amp;"%22%20%2Bcversion%253A1",RawData[[#This Row],[Document Number]])</f>
        <v>FS1018-OFR-XX-00-D-K-0001</v>
      </c>
    </row>
    <row r="700" spans="1:12" ht="43.2" x14ac:dyDescent="0.3">
      <c r="A700" s="15" t="s">
        <v>1872</v>
      </c>
      <c r="B700" s="15" t="s">
        <v>1867</v>
      </c>
      <c r="C700" s="15" t="s">
        <v>14</v>
      </c>
      <c r="D700" s="15" t="s">
        <v>20</v>
      </c>
      <c r="E700" s="8">
        <v>45176</v>
      </c>
      <c r="F700" s="16" t="s">
        <v>33</v>
      </c>
      <c r="G700" s="16" t="s">
        <v>22</v>
      </c>
      <c r="H700" s="8">
        <v>45190</v>
      </c>
      <c r="I700" s="16" t="s">
        <v>1868</v>
      </c>
      <c r="J700" t="b">
        <v>0</v>
      </c>
      <c r="K700" s="15" t="s">
        <v>1873</v>
      </c>
      <c r="L700" s="15" t="str">
        <f>HYPERLINK("https://uk1.aconex.co.uk/hub/index.html?mainTarget=%2FSearchControlledDoc%3FSEARCH_ACTION%3D15%26tab%3D0%26searchMode%3D1%26searchQuery%3Ddocno:%22"&amp;RawData[[#This Row],[Document Number]]&amp;"%22%20%2Bcversion%253A1",RawData[[#This Row],[Document Number]])</f>
        <v>FS1018-OFR-XX-01-D-K-0001</v>
      </c>
    </row>
    <row r="701" spans="1:12" ht="43.2" x14ac:dyDescent="0.3">
      <c r="A701" s="15" t="s">
        <v>1872</v>
      </c>
      <c r="B701" s="15" t="s">
        <v>1870</v>
      </c>
      <c r="C701" s="15" t="s">
        <v>10</v>
      </c>
      <c r="D701" s="15" t="s">
        <v>20</v>
      </c>
      <c r="E701" s="8">
        <v>45544</v>
      </c>
      <c r="F701" s="16" t="s">
        <v>78</v>
      </c>
      <c r="G701" s="16" t="s">
        <v>40</v>
      </c>
      <c r="H701" s="8">
        <v>45669</v>
      </c>
      <c r="I701" s="16" t="s">
        <v>71</v>
      </c>
      <c r="J701" t="b">
        <v>1</v>
      </c>
      <c r="K701" s="15" t="s">
        <v>1874</v>
      </c>
      <c r="L701" s="15" t="str">
        <f>HYPERLINK("https://uk1.aconex.co.uk/hub/index.html?mainTarget=%2FSearchControlledDoc%3FSEARCH_ACTION%3D15%26tab%3D0%26searchMode%3D1%26searchQuery%3Ddocno:%22"&amp;RawData[[#This Row],[Document Number]]&amp;"%22%20%2Bcversion%253A1",RawData[[#This Row],[Document Number]])</f>
        <v>FS1018-OFR-XX-01-D-K-0001</v>
      </c>
    </row>
    <row r="702" spans="1:12" ht="43.2" x14ac:dyDescent="0.3">
      <c r="A702" s="15" t="s">
        <v>1875</v>
      </c>
      <c r="B702" s="15" t="s">
        <v>1867</v>
      </c>
      <c r="C702" s="15" t="s">
        <v>14</v>
      </c>
      <c r="D702" s="15" t="s">
        <v>20</v>
      </c>
      <c r="E702" s="8">
        <v>45176</v>
      </c>
      <c r="F702" s="16" t="s">
        <v>33</v>
      </c>
      <c r="G702" s="16" t="s">
        <v>22</v>
      </c>
      <c r="H702" s="8">
        <v>45190</v>
      </c>
      <c r="I702" s="16" t="s">
        <v>1868</v>
      </c>
      <c r="J702" t="b">
        <v>0</v>
      </c>
      <c r="K702" s="15" t="s">
        <v>1876</v>
      </c>
      <c r="L702" s="15" t="str">
        <f>HYPERLINK("https://uk1.aconex.co.uk/hub/index.html?mainTarget=%2FSearchControlledDoc%3FSEARCH_ACTION%3D15%26tab%3D0%26searchMode%3D1%26searchQuery%3Ddocno:%22"&amp;RawData[[#This Row],[Document Number]]&amp;"%22%20%2Bcversion%253A1",RawData[[#This Row],[Document Number]])</f>
        <v>FS1018-OFR-XX-02-D-K-0001</v>
      </c>
    </row>
    <row r="703" spans="1:12" ht="43.2" x14ac:dyDescent="0.3">
      <c r="A703" s="15" t="s">
        <v>1875</v>
      </c>
      <c r="B703" s="15" t="s">
        <v>1870</v>
      </c>
      <c r="C703" s="15" t="s">
        <v>10</v>
      </c>
      <c r="D703" s="15" t="s">
        <v>20</v>
      </c>
      <c r="E703" s="8">
        <v>45541</v>
      </c>
      <c r="F703" s="16" t="s">
        <v>78</v>
      </c>
      <c r="G703" s="16" t="s">
        <v>40</v>
      </c>
      <c r="H703" s="8">
        <v>45669</v>
      </c>
      <c r="I703" s="16" t="s">
        <v>71</v>
      </c>
      <c r="J703" t="b">
        <v>1</v>
      </c>
      <c r="K703" s="15" t="s">
        <v>1877</v>
      </c>
      <c r="L703" s="15" t="str">
        <f>HYPERLINK("https://uk1.aconex.co.uk/hub/index.html?mainTarget=%2FSearchControlledDoc%3FSEARCH_ACTION%3D15%26tab%3D0%26searchMode%3D1%26searchQuery%3Ddocno:%22"&amp;RawData[[#This Row],[Document Number]]&amp;"%22%20%2Bcversion%253A1",RawData[[#This Row],[Document Number]])</f>
        <v>FS1018-OFR-XX-02-D-K-0001</v>
      </c>
    </row>
    <row r="704" spans="1:12" ht="43.2" x14ac:dyDescent="0.3">
      <c r="A704" s="15" t="s">
        <v>1878</v>
      </c>
      <c r="B704" s="15" t="s">
        <v>1870</v>
      </c>
      <c r="C704" s="15" t="s">
        <v>14</v>
      </c>
      <c r="D704" s="15" t="s">
        <v>20</v>
      </c>
      <c r="E704" s="8">
        <v>45541</v>
      </c>
      <c r="F704" s="16" t="s">
        <v>78</v>
      </c>
      <c r="G704" s="16" t="s">
        <v>40</v>
      </c>
      <c r="H704" s="8">
        <v>45669</v>
      </c>
      <c r="I704" s="16" t="s">
        <v>71</v>
      </c>
      <c r="J704" t="b">
        <v>0</v>
      </c>
      <c r="K704" s="15" t="s">
        <v>1879</v>
      </c>
      <c r="L704" s="15" t="str">
        <f>HYPERLINK("https://uk1.aconex.co.uk/hub/index.html?mainTarget=%2FSearchControlledDoc%3FSEARCH_ACTION%3D15%26tab%3D0%26searchMode%3D1%26searchQuery%3Ddocno:%22"&amp;RawData[[#This Row],[Document Number]]&amp;"%22%20%2Bcversion%253A1",RawData[[#This Row],[Document Number]])</f>
        <v>FS1018-OFR-XX-RF-D-K-0001</v>
      </c>
    </row>
    <row r="705" spans="1:12" ht="43.2" x14ac:dyDescent="0.3">
      <c r="A705" s="15" t="s">
        <v>1880</v>
      </c>
      <c r="B705" s="15" t="s">
        <v>1867</v>
      </c>
      <c r="C705" s="15" t="s">
        <v>14</v>
      </c>
      <c r="D705" s="15" t="s">
        <v>20</v>
      </c>
      <c r="E705" s="8">
        <v>45176</v>
      </c>
      <c r="F705" s="16" t="s">
        <v>33</v>
      </c>
      <c r="G705" s="16" t="s">
        <v>22</v>
      </c>
      <c r="H705" s="8">
        <v>45190</v>
      </c>
      <c r="I705" s="16" t="s">
        <v>1868</v>
      </c>
      <c r="J705" t="b">
        <v>0</v>
      </c>
      <c r="K705" s="15" t="s">
        <v>1881</v>
      </c>
      <c r="L705" s="15" t="str">
        <f>HYPERLINK("https://uk1.aconex.co.uk/hub/index.html?mainTarget=%2FSearchControlledDoc%3FSEARCH_ACTION%3D15%26tab%3D0%26searchMode%3D1%26searchQuery%3Ddocno:%22"&amp;RawData[[#This Row],[Document Number]]&amp;"%22%20%2Bcversion%253A1",RawData[[#This Row],[Document Number]])</f>
        <v>FS1018-OFR-XX-XX-D-K-0001</v>
      </c>
    </row>
    <row r="706" spans="1:12" ht="43.2" x14ac:dyDescent="0.3">
      <c r="A706" s="15" t="s">
        <v>1880</v>
      </c>
      <c r="B706" s="15" t="s">
        <v>1870</v>
      </c>
      <c r="C706" s="15" t="s">
        <v>10</v>
      </c>
      <c r="D706" s="15" t="s">
        <v>20</v>
      </c>
      <c r="E706" s="8">
        <v>45544</v>
      </c>
      <c r="F706" s="16" t="s">
        <v>78</v>
      </c>
      <c r="G706" s="16" t="s">
        <v>40</v>
      </c>
      <c r="H706" s="8">
        <v>45669</v>
      </c>
      <c r="I706" s="16" t="s">
        <v>71</v>
      </c>
      <c r="J706" t="b">
        <v>1</v>
      </c>
      <c r="K706" s="15" t="s">
        <v>1882</v>
      </c>
      <c r="L706" s="15" t="str">
        <f>HYPERLINK("https://uk1.aconex.co.uk/hub/index.html?mainTarget=%2FSearchControlledDoc%3FSEARCH_ACTION%3D15%26tab%3D0%26searchMode%3D1%26searchQuery%3Ddocno:%22"&amp;RawData[[#This Row],[Document Number]]&amp;"%22%20%2Bcversion%253A1",RawData[[#This Row],[Document Number]])</f>
        <v>FS1018-OFR-XX-XX-D-K-0001</v>
      </c>
    </row>
    <row r="707" spans="1:12" ht="28.8" x14ac:dyDescent="0.3">
      <c r="A707" s="15" t="s">
        <v>1883</v>
      </c>
      <c r="B707" s="15" t="s">
        <v>1884</v>
      </c>
      <c r="C707" s="15" t="s">
        <v>14</v>
      </c>
      <c r="D707" s="15" t="s">
        <v>20</v>
      </c>
      <c r="E707" s="8">
        <v>45176</v>
      </c>
      <c r="F707" s="16" t="s">
        <v>33</v>
      </c>
      <c r="G707" s="16" t="s">
        <v>22</v>
      </c>
      <c r="H707" s="8">
        <v>45190</v>
      </c>
      <c r="I707" s="16" t="s">
        <v>1885</v>
      </c>
      <c r="J707" t="b">
        <v>0</v>
      </c>
      <c r="K707" s="15" t="s">
        <v>1886</v>
      </c>
      <c r="L707" s="15" t="str">
        <f>HYPERLINK("https://uk1.aconex.co.uk/hub/index.html?mainTarget=%2FSearchControlledDoc%3FSEARCH_ACTION%3D15%26tab%3D0%26searchMode%3D1%26searchQuery%3Ddocno:%22"&amp;RawData[[#This Row],[Document Number]]&amp;"%22%20%2Bcversion%253A1",RawData[[#This Row],[Document Number]])</f>
        <v>FS1018-OFR-XX-ZZ-G-K-0001</v>
      </c>
    </row>
    <row r="708" spans="1:12" ht="43.2" x14ac:dyDescent="0.3">
      <c r="A708" s="15" t="s">
        <v>1883</v>
      </c>
      <c r="B708" s="15" t="s">
        <v>1884</v>
      </c>
      <c r="C708" s="15" t="s">
        <v>10</v>
      </c>
      <c r="D708" s="15" t="s">
        <v>20</v>
      </c>
      <c r="E708" s="8">
        <v>45541</v>
      </c>
      <c r="F708" s="16" t="s">
        <v>78</v>
      </c>
      <c r="G708" s="16" t="s">
        <v>40</v>
      </c>
      <c r="H708" s="8">
        <v>45669</v>
      </c>
      <c r="I708" s="16" t="s">
        <v>71</v>
      </c>
      <c r="J708" t="b">
        <v>1</v>
      </c>
      <c r="K708" s="15" t="s">
        <v>1886</v>
      </c>
      <c r="L708" s="15" t="str">
        <f>HYPERLINK("https://uk1.aconex.co.uk/hub/index.html?mainTarget=%2FSearchControlledDoc%3FSEARCH_ACTION%3D15%26tab%3D0%26searchMode%3D1%26searchQuery%3Ddocno:%22"&amp;RawData[[#This Row],[Document Number]]&amp;"%22%20%2Bcversion%253A1",RawData[[#This Row],[Document Number]])</f>
        <v>FS1018-OFR-XX-ZZ-G-K-0001</v>
      </c>
    </row>
    <row r="709" spans="1:12" x14ac:dyDescent="0.3">
      <c r="A709" s="15" t="s">
        <v>1883</v>
      </c>
      <c r="B709" s="15" t="s">
        <v>1884</v>
      </c>
      <c r="C709" s="15" t="s">
        <v>1155</v>
      </c>
      <c r="D709" s="15" t="s">
        <v>21</v>
      </c>
      <c r="E709" s="8">
        <v>45729</v>
      </c>
      <c r="F709" s="16" t="s">
        <v>12</v>
      </c>
      <c r="G709" s="16" t="s">
        <v>4</v>
      </c>
      <c r="H709" s="8"/>
      <c r="I709" s="16"/>
      <c r="J709" t="b">
        <v>0</v>
      </c>
      <c r="K709" s="15" t="s">
        <v>1886</v>
      </c>
      <c r="L709" s="15" t="str">
        <f>HYPERLINK("https://uk1.aconex.co.uk/hub/index.html?mainTarget=%2FSearchControlledDoc%3FSEARCH_ACTION%3D15%26tab%3D0%26searchMode%3D1%26searchQuery%3Ddocno:%22"&amp;RawData[[#This Row],[Document Number]]&amp;"%22%20%2Bcversion%253A1",RawData[[#This Row],[Document Number]])</f>
        <v>FS1018-OFR-XX-ZZ-G-K-0001</v>
      </c>
    </row>
    <row r="710" spans="1:12" ht="115.2" x14ac:dyDescent="0.3">
      <c r="A710" s="15" t="s">
        <v>1887</v>
      </c>
      <c r="B710" s="15" t="s">
        <v>964</v>
      </c>
      <c r="C710" s="15" t="s">
        <v>14</v>
      </c>
      <c r="D710" s="15" t="s">
        <v>20</v>
      </c>
      <c r="E710" s="8">
        <v>45175</v>
      </c>
      <c r="F710" s="16" t="s">
        <v>1888</v>
      </c>
      <c r="G710" s="16" t="s">
        <v>40</v>
      </c>
      <c r="H710" s="8">
        <v>45190</v>
      </c>
      <c r="I710" s="16" t="s">
        <v>1889</v>
      </c>
      <c r="J710" t="b">
        <v>0</v>
      </c>
      <c r="K710" s="15" t="s">
        <v>1890</v>
      </c>
      <c r="L710" s="15" t="str">
        <f>HYPERLINK("https://uk1.aconex.co.uk/hub/index.html?mainTarget=%2FSearchControlledDoc%3FSEARCH_ACTION%3D15%26tab%3D0%26searchMode%3D1%26searchQuery%3Ddocno:%22"&amp;RawData[[#This Row],[Document Number]]&amp;"%22%20%2Bcversion%253A1",RawData[[#This Row],[Document Number]])</f>
        <v>FS1018-ONE-00-XX-T-L-0001</v>
      </c>
    </row>
    <row r="711" spans="1:12" ht="43.2" x14ac:dyDescent="0.3">
      <c r="A711" s="15" t="s">
        <v>1891</v>
      </c>
      <c r="B711" s="15" t="s">
        <v>949</v>
      </c>
      <c r="C711" s="15" t="s">
        <v>10</v>
      </c>
      <c r="D711" s="15" t="s">
        <v>20</v>
      </c>
      <c r="E711" s="8">
        <v>45505</v>
      </c>
      <c r="F711" s="16" t="s">
        <v>1888</v>
      </c>
      <c r="G711" s="16" t="s">
        <v>40</v>
      </c>
      <c r="H711" s="8">
        <v>45669</v>
      </c>
      <c r="I711" s="16" t="s">
        <v>71</v>
      </c>
      <c r="J711" t="b">
        <v>1</v>
      </c>
      <c r="K711" s="15" t="s">
        <v>1892</v>
      </c>
      <c r="L711" s="15" t="str">
        <f>HYPERLINK("https://uk1.aconex.co.uk/hub/index.html?mainTarget=%2FSearchControlledDoc%3FSEARCH_ACTION%3D15%26tab%3D0%26searchMode%3D1%26searchQuery%3Ddocno:%22"&amp;RawData[[#This Row],[Document Number]]&amp;"%22%20%2Bcversion%253A1",RawData[[#This Row],[Document Number]])</f>
        <v>FS1018-ONE-XX-XX-T-L-0001</v>
      </c>
    </row>
    <row r="712" spans="1:12" x14ac:dyDescent="0.3">
      <c r="A712" s="15" t="s">
        <v>1891</v>
      </c>
      <c r="B712" s="15" t="s">
        <v>949</v>
      </c>
      <c r="C712" s="15" t="s">
        <v>583</v>
      </c>
      <c r="D712" s="15" t="s">
        <v>21</v>
      </c>
      <c r="E712" s="8">
        <v>45729</v>
      </c>
      <c r="F712" s="16" t="s">
        <v>12</v>
      </c>
      <c r="G712" s="16" t="s">
        <v>4</v>
      </c>
      <c r="H712" s="8"/>
      <c r="I712" s="16"/>
      <c r="J712" t="b">
        <v>0</v>
      </c>
      <c r="K712" s="15" t="s">
        <v>1892</v>
      </c>
      <c r="L712" s="15" t="str">
        <f>HYPERLINK("https://uk1.aconex.co.uk/hub/index.html?mainTarget=%2FSearchControlledDoc%3FSEARCH_ACTION%3D15%26tab%3D0%26searchMode%3D1%26searchQuery%3Ddocno:%22"&amp;RawData[[#This Row],[Document Number]]&amp;"%22%20%2Bcversion%253A1",RawData[[#This Row],[Document Number]])</f>
        <v>FS1018-ONE-XX-XX-T-L-0001</v>
      </c>
    </row>
    <row r="713" spans="1:12" ht="43.2" x14ac:dyDescent="0.3">
      <c r="A713" s="15" t="s">
        <v>1893</v>
      </c>
      <c r="B713" s="15" t="s">
        <v>1894</v>
      </c>
      <c r="C713" s="15" t="s">
        <v>14</v>
      </c>
      <c r="D713" s="15" t="s">
        <v>20</v>
      </c>
      <c r="E713" s="8">
        <v>45175</v>
      </c>
      <c r="F713" s="16" t="s">
        <v>1888</v>
      </c>
      <c r="G713" s="16" t="s">
        <v>40</v>
      </c>
      <c r="H713" s="8">
        <v>45190</v>
      </c>
      <c r="I713" s="16" t="s">
        <v>1895</v>
      </c>
      <c r="J713" t="b">
        <v>0</v>
      </c>
      <c r="K713" s="15" t="s">
        <v>1896</v>
      </c>
      <c r="L713" s="15" t="str">
        <f>HYPERLINK("https://uk1.aconex.co.uk/hub/index.html?mainTarget=%2FSearchControlledDoc%3FSEARCH_ACTION%3D15%26tab%3D0%26searchMode%3D1%26searchQuery%3Ddocno:%22"&amp;RawData[[#This Row],[Document Number]]&amp;"%22%20%2Bcversion%253A1",RawData[[#This Row],[Document Number]])</f>
        <v>FS1018-ONE-XX-XX-T-L-0002</v>
      </c>
    </row>
    <row r="714" spans="1:12" x14ac:dyDescent="0.3">
      <c r="A714" s="15" t="s">
        <v>1893</v>
      </c>
      <c r="B714" s="15" t="s">
        <v>1894</v>
      </c>
      <c r="C714" s="15" t="s">
        <v>10</v>
      </c>
      <c r="D714" s="15" t="s">
        <v>21</v>
      </c>
      <c r="E714" s="8">
        <v>45729</v>
      </c>
      <c r="F714" s="16" t="s">
        <v>12</v>
      </c>
      <c r="G714" s="16" t="s">
        <v>4</v>
      </c>
      <c r="H714" s="8"/>
      <c r="I714" s="16"/>
      <c r="J714" t="b">
        <v>1</v>
      </c>
      <c r="K714" s="15" t="s">
        <v>1896</v>
      </c>
      <c r="L714" s="15" t="str">
        <f>HYPERLINK("https://uk1.aconex.co.uk/hub/index.html?mainTarget=%2FSearchControlledDoc%3FSEARCH_ACTION%3D15%26tab%3D0%26searchMode%3D1%26searchQuery%3Ddocno:%22"&amp;RawData[[#This Row],[Document Number]]&amp;"%22%20%2Bcversion%253A1",RawData[[#This Row],[Document Number]])</f>
        <v>FS1018-ONE-XX-XX-T-L-0002</v>
      </c>
    </row>
    <row r="715" spans="1:12" ht="43.2" x14ac:dyDescent="0.3">
      <c r="A715" s="15" t="s">
        <v>1897</v>
      </c>
      <c r="B715" s="15" t="s">
        <v>77</v>
      </c>
      <c r="C715" s="15" t="s">
        <v>14</v>
      </c>
      <c r="D715" s="15" t="s">
        <v>20</v>
      </c>
      <c r="E715" s="8">
        <v>45638</v>
      </c>
      <c r="F715" s="16" t="s">
        <v>78</v>
      </c>
      <c r="G715" s="16" t="s">
        <v>40</v>
      </c>
      <c r="H715" s="8">
        <v>45669</v>
      </c>
      <c r="I715" s="16" t="s">
        <v>71</v>
      </c>
      <c r="J715" t="b">
        <v>0</v>
      </c>
      <c r="K715" s="15" t="s">
        <v>1898</v>
      </c>
      <c r="L715" s="15" t="str">
        <f>HYPERLINK("https://uk1.aconex.co.uk/hub/index.html?mainTarget=%2FSearchControlledDoc%3FSEARCH_ACTION%3D15%26tab%3D0%26searchMode%3D1%26searchQuery%3Ddocno:%22"&amp;RawData[[#This Row],[Document Number]]&amp;"%22%20%2Bcversion%253A1",RawData[[#This Row],[Document Number]])</f>
        <v>FS1018-ONE-XX-XX-T-L-0003</v>
      </c>
    </row>
    <row r="716" spans="1:12" x14ac:dyDescent="0.3">
      <c r="A716" s="15" t="s">
        <v>1899</v>
      </c>
      <c r="B716" s="15" t="s">
        <v>1900</v>
      </c>
      <c r="C716" s="15" t="s">
        <v>10</v>
      </c>
      <c r="D716" s="15" t="s">
        <v>20</v>
      </c>
      <c r="E716" s="8">
        <v>45175</v>
      </c>
      <c r="F716" s="16" t="s">
        <v>1888</v>
      </c>
      <c r="G716" s="16" t="s">
        <v>34</v>
      </c>
      <c r="H716" s="8">
        <v>45190</v>
      </c>
      <c r="I716" s="16"/>
      <c r="J716" t="b">
        <v>1</v>
      </c>
      <c r="K716" s="15" t="s">
        <v>1901</v>
      </c>
      <c r="L716" s="15" t="str">
        <f>HYPERLINK("https://uk1.aconex.co.uk/hub/index.html?mainTarget=%2FSearchControlledDoc%3FSEARCH_ACTION%3D15%26tab%3D0%26searchMode%3D1%26searchQuery%3Ddocno:%22"&amp;RawData[[#This Row],[Document Number]]&amp;"%22%20%2Bcversion%253A1",RawData[[#This Row],[Document Number]])</f>
        <v>FS1018-ONE-XX-ZZ-D-L-0001</v>
      </c>
    </row>
    <row r="717" spans="1:12" ht="43.2" x14ac:dyDescent="0.3">
      <c r="A717" s="15" t="s">
        <v>1899</v>
      </c>
      <c r="B717" s="15" t="s">
        <v>1900</v>
      </c>
      <c r="C717" s="15" t="s">
        <v>10</v>
      </c>
      <c r="D717" s="15" t="s">
        <v>20</v>
      </c>
      <c r="E717" s="8">
        <v>45544</v>
      </c>
      <c r="F717" s="16" t="s">
        <v>78</v>
      </c>
      <c r="G717" s="16" t="s">
        <v>40</v>
      </c>
      <c r="H717" s="8">
        <v>45669</v>
      </c>
      <c r="I717" s="16" t="s">
        <v>71</v>
      </c>
      <c r="J717" t="b">
        <v>1</v>
      </c>
      <c r="K717" s="15" t="s">
        <v>1901</v>
      </c>
      <c r="L717" s="15" t="str">
        <f>HYPERLINK("https://uk1.aconex.co.uk/hub/index.html?mainTarget=%2FSearchControlledDoc%3FSEARCH_ACTION%3D15%26tab%3D0%26searchMode%3D1%26searchQuery%3Ddocno:%22"&amp;RawData[[#This Row],[Document Number]]&amp;"%22%20%2Bcversion%253A1",RawData[[#This Row],[Document Number]])</f>
        <v>FS1018-ONE-XX-ZZ-D-L-0001</v>
      </c>
    </row>
    <row r="718" spans="1:12" x14ac:dyDescent="0.3">
      <c r="A718" s="15" t="s">
        <v>1899</v>
      </c>
      <c r="B718" s="15" t="s">
        <v>1900</v>
      </c>
      <c r="C718" s="15" t="s">
        <v>1155</v>
      </c>
      <c r="D718" s="15" t="s">
        <v>21</v>
      </c>
      <c r="E718" s="8">
        <v>45729</v>
      </c>
      <c r="F718" s="16" t="s">
        <v>12</v>
      </c>
      <c r="G718" s="16" t="s">
        <v>4</v>
      </c>
      <c r="H718" s="8"/>
      <c r="I718" s="16"/>
      <c r="J718" t="b">
        <v>0</v>
      </c>
      <c r="K718" s="15" t="s">
        <v>1901</v>
      </c>
      <c r="L718" s="15" t="str">
        <f>HYPERLINK("https://uk1.aconex.co.uk/hub/index.html?mainTarget=%2FSearchControlledDoc%3FSEARCH_ACTION%3D15%26tab%3D0%26searchMode%3D1%26searchQuery%3Ddocno:%22"&amp;RawData[[#This Row],[Document Number]]&amp;"%22%20%2Bcversion%253A1",RawData[[#This Row],[Document Number]])</f>
        <v>FS1018-ONE-XX-ZZ-D-L-0001</v>
      </c>
    </row>
    <row r="719" spans="1:12" x14ac:dyDescent="0.3">
      <c r="A719" s="15" t="s">
        <v>1902</v>
      </c>
      <c r="B719" s="15" t="s">
        <v>1903</v>
      </c>
      <c r="C719" s="15" t="s">
        <v>1155</v>
      </c>
      <c r="D719" s="15" t="s">
        <v>20</v>
      </c>
      <c r="E719" s="8">
        <v>45175</v>
      </c>
      <c r="F719" s="16" t="s">
        <v>1888</v>
      </c>
      <c r="G719" s="16" t="s">
        <v>34</v>
      </c>
      <c r="H719" s="8">
        <v>45190</v>
      </c>
      <c r="I719" s="16"/>
      <c r="J719" t="b">
        <v>0</v>
      </c>
      <c r="K719" s="15" t="s">
        <v>1904</v>
      </c>
      <c r="L719" s="15" t="str">
        <f>HYPERLINK("https://uk1.aconex.co.uk/hub/index.html?mainTarget=%2FSearchControlledDoc%3FSEARCH_ACTION%3D15%26tab%3D0%26searchMode%3D1%26searchQuery%3Ddocno:%22"&amp;RawData[[#This Row],[Document Number]]&amp;"%22%20%2Bcversion%253A1",RawData[[#This Row],[Document Number]])</f>
        <v>FS1018-ONE-XX-ZZ-D-L-0002</v>
      </c>
    </row>
    <row r="720" spans="1:12" ht="43.2" x14ac:dyDescent="0.3">
      <c r="A720" s="15" t="s">
        <v>1902</v>
      </c>
      <c r="B720" s="15" t="s">
        <v>1903</v>
      </c>
      <c r="C720" s="15" t="s">
        <v>1155</v>
      </c>
      <c r="D720" s="15" t="s">
        <v>20</v>
      </c>
      <c r="E720" s="8">
        <v>45544</v>
      </c>
      <c r="F720" s="16" t="s">
        <v>78</v>
      </c>
      <c r="G720" s="16" t="s">
        <v>40</v>
      </c>
      <c r="H720" s="8">
        <v>45669</v>
      </c>
      <c r="I720" s="16" t="s">
        <v>71</v>
      </c>
      <c r="J720" t="b">
        <v>0</v>
      </c>
      <c r="K720" s="15" t="s">
        <v>1904</v>
      </c>
      <c r="L720" s="15" t="str">
        <f>HYPERLINK("https://uk1.aconex.co.uk/hub/index.html?mainTarget=%2FSearchControlledDoc%3FSEARCH_ACTION%3D15%26tab%3D0%26searchMode%3D1%26searchQuery%3Ddocno:%22"&amp;RawData[[#This Row],[Document Number]]&amp;"%22%20%2Bcversion%253A1",RawData[[#This Row],[Document Number]])</f>
        <v>FS1018-ONE-XX-ZZ-D-L-0002</v>
      </c>
    </row>
    <row r="721" spans="1:12" x14ac:dyDescent="0.3">
      <c r="A721" s="15" t="s">
        <v>1902</v>
      </c>
      <c r="B721" s="15" t="s">
        <v>1903</v>
      </c>
      <c r="C721" s="15" t="s">
        <v>1102</v>
      </c>
      <c r="D721" s="15" t="s">
        <v>21</v>
      </c>
      <c r="E721" s="8">
        <v>45729</v>
      </c>
      <c r="F721" s="16" t="s">
        <v>12</v>
      </c>
      <c r="G721" s="16" t="s">
        <v>4</v>
      </c>
      <c r="H721" s="8"/>
      <c r="I721" s="16"/>
      <c r="J721" t="b">
        <v>0</v>
      </c>
      <c r="K721" s="15" t="s">
        <v>1904</v>
      </c>
      <c r="L721" s="15" t="str">
        <f>HYPERLINK("https://uk1.aconex.co.uk/hub/index.html?mainTarget=%2FSearchControlledDoc%3FSEARCH_ACTION%3D15%26tab%3D0%26searchMode%3D1%26searchQuery%3Ddocno:%22"&amp;RawData[[#This Row],[Document Number]]&amp;"%22%20%2Bcversion%253A1",RawData[[#This Row],[Document Number]])</f>
        <v>FS1018-ONE-XX-ZZ-D-L-0002</v>
      </c>
    </row>
    <row r="722" spans="1:12" ht="43.2" x14ac:dyDescent="0.3">
      <c r="A722" s="15" t="s">
        <v>1905</v>
      </c>
      <c r="B722" s="15" t="s">
        <v>1906</v>
      </c>
      <c r="C722" s="15" t="s">
        <v>1102</v>
      </c>
      <c r="D722" s="15" t="s">
        <v>20</v>
      </c>
      <c r="E722" s="8">
        <v>45175</v>
      </c>
      <c r="F722" s="16" t="s">
        <v>1888</v>
      </c>
      <c r="G722" s="16" t="s">
        <v>40</v>
      </c>
      <c r="H722" s="8">
        <v>45190</v>
      </c>
      <c r="I722" s="16" t="s">
        <v>1907</v>
      </c>
      <c r="J722" t="b">
        <v>0</v>
      </c>
      <c r="K722" s="15" t="s">
        <v>1908</v>
      </c>
      <c r="L722" s="15" t="str">
        <f>HYPERLINK("https://uk1.aconex.co.uk/hub/index.html?mainTarget=%2FSearchControlledDoc%3FSEARCH_ACTION%3D15%26tab%3D0%26searchMode%3D1%26searchQuery%3Ddocno:%22"&amp;RawData[[#This Row],[Document Number]]&amp;"%22%20%2Bcversion%253A1",RawData[[#This Row],[Document Number]])</f>
        <v>FS1018-ONE-XX-ZZ-D-L-0003</v>
      </c>
    </row>
    <row r="723" spans="1:12" ht="43.2" x14ac:dyDescent="0.3">
      <c r="A723" s="15" t="s">
        <v>1905</v>
      </c>
      <c r="B723" s="15" t="s">
        <v>1906</v>
      </c>
      <c r="C723" s="15" t="s">
        <v>1459</v>
      </c>
      <c r="D723" s="15" t="s">
        <v>20</v>
      </c>
      <c r="E723" s="8">
        <v>45638</v>
      </c>
      <c r="F723" s="16" t="s">
        <v>78</v>
      </c>
      <c r="G723" s="16" t="s">
        <v>40</v>
      </c>
      <c r="H723" s="8">
        <v>45669</v>
      </c>
      <c r="I723" s="16" t="s">
        <v>71</v>
      </c>
      <c r="J723" t="b">
        <v>0</v>
      </c>
      <c r="K723" s="15" t="s">
        <v>1908</v>
      </c>
      <c r="L723" s="15" t="str">
        <f>HYPERLINK("https://uk1.aconex.co.uk/hub/index.html?mainTarget=%2FSearchControlledDoc%3FSEARCH_ACTION%3D15%26tab%3D0%26searchMode%3D1%26searchQuery%3Ddocno:%22"&amp;RawData[[#This Row],[Document Number]]&amp;"%22%20%2Bcversion%253A1",RawData[[#This Row],[Document Number]])</f>
        <v>FS1018-ONE-XX-ZZ-D-L-0003</v>
      </c>
    </row>
    <row r="724" spans="1:12" x14ac:dyDescent="0.3">
      <c r="A724" s="15" t="s">
        <v>1905</v>
      </c>
      <c r="B724" s="15" t="s">
        <v>1906</v>
      </c>
      <c r="C724" s="15" t="s">
        <v>1909</v>
      </c>
      <c r="D724" s="15" t="s">
        <v>21</v>
      </c>
      <c r="E724" s="8">
        <v>45729</v>
      </c>
      <c r="F724" s="16" t="s">
        <v>12</v>
      </c>
      <c r="G724" s="16" t="s">
        <v>4</v>
      </c>
      <c r="H724" s="8"/>
      <c r="I724" s="16"/>
      <c r="J724" t="b">
        <v>0</v>
      </c>
      <c r="K724" s="15" t="s">
        <v>1908</v>
      </c>
      <c r="L724" s="15" t="str">
        <f>HYPERLINK("https://uk1.aconex.co.uk/hub/index.html?mainTarget=%2FSearchControlledDoc%3FSEARCH_ACTION%3D15%26tab%3D0%26searchMode%3D1%26searchQuery%3Ddocno:%22"&amp;RawData[[#This Row],[Document Number]]&amp;"%22%20%2Bcversion%253A1",RawData[[#This Row],[Document Number]])</f>
        <v>FS1018-ONE-XX-ZZ-D-L-0003</v>
      </c>
    </row>
    <row r="725" spans="1:12" ht="129.6" x14ac:dyDescent="0.3">
      <c r="A725" s="15" t="s">
        <v>1910</v>
      </c>
      <c r="B725" s="15" t="s">
        <v>1911</v>
      </c>
      <c r="C725" s="15" t="s">
        <v>10</v>
      </c>
      <c r="D725" s="15" t="s">
        <v>20</v>
      </c>
      <c r="E725" s="8">
        <v>45175</v>
      </c>
      <c r="F725" s="16" t="s">
        <v>1888</v>
      </c>
      <c r="G725" s="16" t="s">
        <v>40</v>
      </c>
      <c r="H725" s="8">
        <v>45190</v>
      </c>
      <c r="I725" s="16" t="s">
        <v>1912</v>
      </c>
      <c r="J725" t="b">
        <v>1</v>
      </c>
      <c r="K725" s="15" t="s">
        <v>1913</v>
      </c>
      <c r="L725" s="15" t="str">
        <f>HYPERLINK("https://uk1.aconex.co.uk/hub/index.html?mainTarget=%2FSearchControlledDoc%3FSEARCH_ACTION%3D15%26tab%3D0%26searchMode%3D1%26searchQuery%3Ddocno:%22"&amp;RawData[[#This Row],[Document Number]]&amp;"%22%20%2Bcversion%253A1",RawData[[#This Row],[Document Number]])</f>
        <v>FS1018-ONE-XX-ZZ-D-L-0004</v>
      </c>
    </row>
    <row r="726" spans="1:12" ht="43.2" x14ac:dyDescent="0.3">
      <c r="A726" s="15" t="s">
        <v>1910</v>
      </c>
      <c r="B726" s="15" t="s">
        <v>1911</v>
      </c>
      <c r="C726" s="15" t="s">
        <v>583</v>
      </c>
      <c r="D726" s="15" t="s">
        <v>20</v>
      </c>
      <c r="E726" s="8">
        <v>45544</v>
      </c>
      <c r="F726" s="16" t="s">
        <v>78</v>
      </c>
      <c r="G726" s="16" t="s">
        <v>40</v>
      </c>
      <c r="H726" s="8">
        <v>45669</v>
      </c>
      <c r="I726" s="16" t="s">
        <v>71</v>
      </c>
      <c r="J726" t="b">
        <v>0</v>
      </c>
      <c r="K726" s="15" t="s">
        <v>1913</v>
      </c>
      <c r="L726" s="15" t="str">
        <f>HYPERLINK("https://uk1.aconex.co.uk/hub/index.html?mainTarget=%2FSearchControlledDoc%3FSEARCH_ACTION%3D15%26tab%3D0%26searchMode%3D1%26searchQuery%3Ddocno:%22"&amp;RawData[[#This Row],[Document Number]]&amp;"%22%20%2Bcversion%253A1",RawData[[#This Row],[Document Number]])</f>
        <v>FS1018-ONE-XX-ZZ-D-L-0004</v>
      </c>
    </row>
    <row r="727" spans="1:12" x14ac:dyDescent="0.3">
      <c r="A727" s="15" t="s">
        <v>1910</v>
      </c>
      <c r="B727" s="15" t="s">
        <v>1911</v>
      </c>
      <c r="C727" s="15" t="s">
        <v>1102</v>
      </c>
      <c r="D727" s="15" t="s">
        <v>21</v>
      </c>
      <c r="E727" s="8">
        <v>45729</v>
      </c>
      <c r="F727" s="16" t="s">
        <v>12</v>
      </c>
      <c r="G727" s="16" t="s">
        <v>4</v>
      </c>
      <c r="H727" s="8"/>
      <c r="I727" s="16"/>
      <c r="J727" t="b">
        <v>0</v>
      </c>
      <c r="K727" s="15" t="s">
        <v>1913</v>
      </c>
      <c r="L727" s="15" t="str">
        <f>HYPERLINK("https://uk1.aconex.co.uk/hub/index.html?mainTarget=%2FSearchControlledDoc%3FSEARCH_ACTION%3D15%26tab%3D0%26searchMode%3D1%26searchQuery%3Ddocno:%22"&amp;RawData[[#This Row],[Document Number]]&amp;"%22%20%2Bcversion%253A1",RawData[[#This Row],[Document Number]])</f>
        <v>FS1018-ONE-XX-ZZ-D-L-0004</v>
      </c>
    </row>
    <row r="728" spans="1:12" ht="129.6" x14ac:dyDescent="0.3">
      <c r="A728" s="15" t="s">
        <v>1914</v>
      </c>
      <c r="B728" s="15" t="s">
        <v>1915</v>
      </c>
      <c r="C728" s="15" t="s">
        <v>10</v>
      </c>
      <c r="D728" s="15" t="s">
        <v>20</v>
      </c>
      <c r="E728" s="8">
        <v>45175</v>
      </c>
      <c r="F728" s="16" t="s">
        <v>1888</v>
      </c>
      <c r="G728" s="16" t="s">
        <v>40</v>
      </c>
      <c r="H728" s="8">
        <v>45190</v>
      </c>
      <c r="I728" s="16" t="s">
        <v>1912</v>
      </c>
      <c r="J728" t="b">
        <v>1</v>
      </c>
      <c r="K728" s="15" t="s">
        <v>1916</v>
      </c>
      <c r="L728" s="15" t="str">
        <f>HYPERLINK("https://uk1.aconex.co.uk/hub/index.html?mainTarget=%2FSearchControlledDoc%3FSEARCH_ACTION%3D15%26tab%3D0%26searchMode%3D1%26searchQuery%3Ddocno:%22"&amp;RawData[[#This Row],[Document Number]]&amp;"%22%20%2Bcversion%253A1",RawData[[#This Row],[Document Number]])</f>
        <v>FS1018-ONE-XX-ZZ-D-L-0005</v>
      </c>
    </row>
    <row r="729" spans="1:12" ht="43.2" x14ac:dyDescent="0.3">
      <c r="A729" s="15" t="s">
        <v>1914</v>
      </c>
      <c r="B729" s="15" t="s">
        <v>1915</v>
      </c>
      <c r="C729" s="15" t="s">
        <v>583</v>
      </c>
      <c r="D729" s="15" t="s">
        <v>20</v>
      </c>
      <c r="E729" s="8">
        <v>45544</v>
      </c>
      <c r="F729" s="16" t="s">
        <v>78</v>
      </c>
      <c r="G729" s="16" t="s">
        <v>40</v>
      </c>
      <c r="H729" s="8">
        <v>45669</v>
      </c>
      <c r="I729" s="16" t="s">
        <v>71</v>
      </c>
      <c r="J729" t="b">
        <v>0</v>
      </c>
      <c r="K729" s="15" t="s">
        <v>1916</v>
      </c>
      <c r="L729" s="15" t="str">
        <f>HYPERLINK("https://uk1.aconex.co.uk/hub/index.html?mainTarget=%2FSearchControlledDoc%3FSEARCH_ACTION%3D15%26tab%3D0%26searchMode%3D1%26searchQuery%3Ddocno:%22"&amp;RawData[[#This Row],[Document Number]]&amp;"%22%20%2Bcversion%253A1",RawData[[#This Row],[Document Number]])</f>
        <v>FS1018-ONE-XX-ZZ-D-L-0005</v>
      </c>
    </row>
    <row r="730" spans="1:12" x14ac:dyDescent="0.3">
      <c r="A730" s="15" t="s">
        <v>1914</v>
      </c>
      <c r="B730" s="15" t="s">
        <v>1915</v>
      </c>
      <c r="C730" s="15" t="s">
        <v>1102</v>
      </c>
      <c r="D730" s="15" t="s">
        <v>21</v>
      </c>
      <c r="E730" s="8">
        <v>45729</v>
      </c>
      <c r="F730" s="16" t="s">
        <v>12</v>
      </c>
      <c r="G730" s="16" t="s">
        <v>4</v>
      </c>
      <c r="H730" s="8"/>
      <c r="I730" s="16"/>
      <c r="J730" t="b">
        <v>0</v>
      </c>
      <c r="K730" s="15" t="s">
        <v>1916</v>
      </c>
      <c r="L730" s="15" t="str">
        <f>HYPERLINK("https://uk1.aconex.co.uk/hub/index.html?mainTarget=%2FSearchControlledDoc%3FSEARCH_ACTION%3D15%26tab%3D0%26searchMode%3D1%26searchQuery%3Ddocno:%22"&amp;RawData[[#This Row],[Document Number]]&amp;"%22%20%2Bcversion%253A1",RawData[[#This Row],[Document Number]])</f>
        <v>FS1018-ONE-XX-ZZ-D-L-0005</v>
      </c>
    </row>
    <row r="731" spans="1:12" ht="129.6" x14ac:dyDescent="0.3">
      <c r="A731" s="15" t="s">
        <v>1917</v>
      </c>
      <c r="B731" s="15" t="s">
        <v>1918</v>
      </c>
      <c r="C731" s="15" t="s">
        <v>10</v>
      </c>
      <c r="D731" s="15" t="s">
        <v>20</v>
      </c>
      <c r="E731" s="8">
        <v>45175</v>
      </c>
      <c r="F731" s="16" t="s">
        <v>1888</v>
      </c>
      <c r="G731" s="16" t="s">
        <v>40</v>
      </c>
      <c r="H731" s="8">
        <v>45190</v>
      </c>
      <c r="I731" s="16" t="s">
        <v>1912</v>
      </c>
      <c r="J731" t="b">
        <v>1</v>
      </c>
      <c r="K731" s="15" t="s">
        <v>1919</v>
      </c>
      <c r="L731" s="15" t="str">
        <f>HYPERLINK("https://uk1.aconex.co.uk/hub/index.html?mainTarget=%2FSearchControlledDoc%3FSEARCH_ACTION%3D15%26tab%3D0%26searchMode%3D1%26searchQuery%3Ddocno:%22"&amp;RawData[[#This Row],[Document Number]]&amp;"%22%20%2Bcversion%253A1",RawData[[#This Row],[Document Number]])</f>
        <v>FS1018-ONE-XX-ZZ-D-L-0006</v>
      </c>
    </row>
    <row r="732" spans="1:12" ht="43.2" x14ac:dyDescent="0.3">
      <c r="A732" s="15" t="s">
        <v>1917</v>
      </c>
      <c r="B732" s="15" t="s">
        <v>1918</v>
      </c>
      <c r="C732" s="15" t="s">
        <v>583</v>
      </c>
      <c r="D732" s="15" t="s">
        <v>20</v>
      </c>
      <c r="E732" s="8">
        <v>45544</v>
      </c>
      <c r="F732" s="16" t="s">
        <v>78</v>
      </c>
      <c r="G732" s="16" t="s">
        <v>40</v>
      </c>
      <c r="H732" s="8">
        <v>45669</v>
      </c>
      <c r="I732" s="16" t="s">
        <v>71</v>
      </c>
      <c r="J732" t="b">
        <v>0</v>
      </c>
      <c r="K732" s="15" t="s">
        <v>1919</v>
      </c>
      <c r="L732" s="15" t="str">
        <f>HYPERLINK("https://uk1.aconex.co.uk/hub/index.html?mainTarget=%2FSearchControlledDoc%3FSEARCH_ACTION%3D15%26tab%3D0%26searchMode%3D1%26searchQuery%3Ddocno:%22"&amp;RawData[[#This Row],[Document Number]]&amp;"%22%20%2Bcversion%253A1",RawData[[#This Row],[Document Number]])</f>
        <v>FS1018-ONE-XX-ZZ-D-L-0006</v>
      </c>
    </row>
    <row r="733" spans="1:12" x14ac:dyDescent="0.3">
      <c r="A733" s="15" t="s">
        <v>1917</v>
      </c>
      <c r="B733" s="15" t="s">
        <v>1918</v>
      </c>
      <c r="C733" s="15" t="s">
        <v>1102</v>
      </c>
      <c r="D733" s="15" t="s">
        <v>21</v>
      </c>
      <c r="E733" s="8">
        <v>45729</v>
      </c>
      <c r="F733" s="16" t="s">
        <v>12</v>
      </c>
      <c r="G733" s="16" t="s">
        <v>4</v>
      </c>
      <c r="H733" s="8"/>
      <c r="I733" s="16"/>
      <c r="J733" t="b">
        <v>0</v>
      </c>
      <c r="K733" s="15" t="s">
        <v>1919</v>
      </c>
      <c r="L733" s="15" t="str">
        <f>HYPERLINK("https://uk1.aconex.co.uk/hub/index.html?mainTarget=%2FSearchControlledDoc%3FSEARCH_ACTION%3D15%26tab%3D0%26searchMode%3D1%26searchQuery%3Ddocno:%22"&amp;RawData[[#This Row],[Document Number]]&amp;"%22%20%2Bcversion%253A1",RawData[[#This Row],[Document Number]])</f>
        <v>FS1018-ONE-XX-ZZ-D-L-0006</v>
      </c>
    </row>
    <row r="734" spans="1:12" ht="129.6" x14ac:dyDescent="0.3">
      <c r="A734" s="15" t="s">
        <v>1920</v>
      </c>
      <c r="B734" s="15" t="s">
        <v>1921</v>
      </c>
      <c r="C734" s="15" t="s">
        <v>10</v>
      </c>
      <c r="D734" s="15" t="s">
        <v>20</v>
      </c>
      <c r="E734" s="8">
        <v>45175</v>
      </c>
      <c r="F734" s="16" t="s">
        <v>1888</v>
      </c>
      <c r="G734" s="16" t="s">
        <v>40</v>
      </c>
      <c r="H734" s="8">
        <v>45190</v>
      </c>
      <c r="I734" s="16" t="s">
        <v>1912</v>
      </c>
      <c r="J734" t="b">
        <v>1</v>
      </c>
      <c r="K734" s="15" t="s">
        <v>1922</v>
      </c>
      <c r="L734" s="15" t="str">
        <f>HYPERLINK("https://uk1.aconex.co.uk/hub/index.html?mainTarget=%2FSearchControlledDoc%3FSEARCH_ACTION%3D15%26tab%3D0%26searchMode%3D1%26searchQuery%3Ddocno:%22"&amp;RawData[[#This Row],[Document Number]]&amp;"%22%20%2Bcversion%253A1",RawData[[#This Row],[Document Number]])</f>
        <v>FS1018-ONE-XX-ZZ-D-L-0007</v>
      </c>
    </row>
    <row r="735" spans="1:12" ht="43.2" x14ac:dyDescent="0.3">
      <c r="A735" s="15" t="s">
        <v>1920</v>
      </c>
      <c r="B735" s="15" t="s">
        <v>1921</v>
      </c>
      <c r="C735" s="15" t="s">
        <v>583</v>
      </c>
      <c r="D735" s="15" t="s">
        <v>20</v>
      </c>
      <c r="E735" s="8">
        <v>45544</v>
      </c>
      <c r="F735" s="16" t="s">
        <v>78</v>
      </c>
      <c r="G735" s="16" t="s">
        <v>40</v>
      </c>
      <c r="H735" s="8">
        <v>45669</v>
      </c>
      <c r="I735" s="16" t="s">
        <v>71</v>
      </c>
      <c r="J735" t="b">
        <v>0</v>
      </c>
      <c r="K735" s="15" t="s">
        <v>1922</v>
      </c>
      <c r="L735" s="15" t="str">
        <f>HYPERLINK("https://uk1.aconex.co.uk/hub/index.html?mainTarget=%2FSearchControlledDoc%3FSEARCH_ACTION%3D15%26tab%3D0%26searchMode%3D1%26searchQuery%3Ddocno:%22"&amp;RawData[[#This Row],[Document Number]]&amp;"%22%20%2Bcversion%253A1",RawData[[#This Row],[Document Number]])</f>
        <v>FS1018-ONE-XX-ZZ-D-L-0007</v>
      </c>
    </row>
    <row r="736" spans="1:12" x14ac:dyDescent="0.3">
      <c r="A736" s="15" t="s">
        <v>1920</v>
      </c>
      <c r="B736" s="15" t="s">
        <v>1921</v>
      </c>
      <c r="C736" s="15" t="s">
        <v>1102</v>
      </c>
      <c r="D736" s="15" t="s">
        <v>21</v>
      </c>
      <c r="E736" s="8">
        <v>45729</v>
      </c>
      <c r="F736" s="16" t="s">
        <v>12</v>
      </c>
      <c r="G736" s="16" t="s">
        <v>4</v>
      </c>
      <c r="H736" s="8"/>
      <c r="I736" s="16"/>
      <c r="J736" t="b">
        <v>0</v>
      </c>
      <c r="K736" s="15" t="s">
        <v>1922</v>
      </c>
      <c r="L736" s="15" t="str">
        <f>HYPERLINK("https://uk1.aconex.co.uk/hub/index.html?mainTarget=%2FSearchControlledDoc%3FSEARCH_ACTION%3D15%26tab%3D0%26searchMode%3D1%26searchQuery%3Ddocno:%22"&amp;RawData[[#This Row],[Document Number]]&amp;"%22%20%2Bcversion%253A1",RawData[[#This Row],[Document Number]])</f>
        <v>FS1018-ONE-XX-ZZ-D-L-0007</v>
      </c>
    </row>
    <row r="737" spans="1:12" ht="129.6" x14ac:dyDescent="0.3">
      <c r="A737" s="15" t="s">
        <v>1923</v>
      </c>
      <c r="B737" s="15" t="s">
        <v>1924</v>
      </c>
      <c r="C737" s="15" t="s">
        <v>10</v>
      </c>
      <c r="D737" s="15" t="s">
        <v>20</v>
      </c>
      <c r="E737" s="8">
        <v>45175</v>
      </c>
      <c r="F737" s="16" t="s">
        <v>1888</v>
      </c>
      <c r="G737" s="16" t="s">
        <v>40</v>
      </c>
      <c r="H737" s="8">
        <v>45190</v>
      </c>
      <c r="I737" s="16" t="s">
        <v>1912</v>
      </c>
      <c r="J737" t="b">
        <v>1</v>
      </c>
      <c r="K737" s="15" t="s">
        <v>1925</v>
      </c>
      <c r="L737" s="15" t="str">
        <f>HYPERLINK("https://uk1.aconex.co.uk/hub/index.html?mainTarget=%2FSearchControlledDoc%3FSEARCH_ACTION%3D15%26tab%3D0%26searchMode%3D1%26searchQuery%3Ddocno:%22"&amp;RawData[[#This Row],[Document Number]]&amp;"%22%20%2Bcversion%253A1",RawData[[#This Row],[Document Number]])</f>
        <v>FS1018-ONE-XX-ZZ-D-L-0008</v>
      </c>
    </row>
    <row r="738" spans="1:12" ht="43.2" x14ac:dyDescent="0.3">
      <c r="A738" s="15" t="s">
        <v>1923</v>
      </c>
      <c r="B738" s="15" t="s">
        <v>1924</v>
      </c>
      <c r="C738" s="15" t="s">
        <v>583</v>
      </c>
      <c r="D738" s="15" t="s">
        <v>20</v>
      </c>
      <c r="E738" s="8">
        <v>45544</v>
      </c>
      <c r="F738" s="16" t="s">
        <v>78</v>
      </c>
      <c r="G738" s="16" t="s">
        <v>40</v>
      </c>
      <c r="H738" s="8">
        <v>45669</v>
      </c>
      <c r="I738" s="16" t="s">
        <v>71</v>
      </c>
      <c r="J738" t="b">
        <v>0</v>
      </c>
      <c r="K738" s="15" t="s">
        <v>1925</v>
      </c>
      <c r="L738" s="15" t="str">
        <f>HYPERLINK("https://uk1.aconex.co.uk/hub/index.html?mainTarget=%2FSearchControlledDoc%3FSEARCH_ACTION%3D15%26tab%3D0%26searchMode%3D1%26searchQuery%3Ddocno:%22"&amp;RawData[[#This Row],[Document Number]]&amp;"%22%20%2Bcversion%253A1",RawData[[#This Row],[Document Number]])</f>
        <v>FS1018-ONE-XX-ZZ-D-L-0008</v>
      </c>
    </row>
    <row r="739" spans="1:12" x14ac:dyDescent="0.3">
      <c r="A739" s="15" t="s">
        <v>1923</v>
      </c>
      <c r="B739" s="15" t="s">
        <v>1924</v>
      </c>
      <c r="C739" s="15" t="s">
        <v>1102</v>
      </c>
      <c r="D739" s="15" t="s">
        <v>21</v>
      </c>
      <c r="E739" s="8">
        <v>45729</v>
      </c>
      <c r="F739" s="16" t="s">
        <v>12</v>
      </c>
      <c r="G739" s="16" t="s">
        <v>4</v>
      </c>
      <c r="H739" s="8"/>
      <c r="I739" s="16"/>
      <c r="J739" t="b">
        <v>0</v>
      </c>
      <c r="K739" s="15" t="s">
        <v>1925</v>
      </c>
      <c r="L739" s="15" t="str">
        <f>HYPERLINK("https://uk1.aconex.co.uk/hub/index.html?mainTarget=%2FSearchControlledDoc%3FSEARCH_ACTION%3D15%26tab%3D0%26searchMode%3D1%26searchQuery%3Ddocno:%22"&amp;RawData[[#This Row],[Document Number]]&amp;"%22%20%2Bcversion%253A1",RawData[[#This Row],[Document Number]])</f>
        <v>FS1018-ONE-XX-ZZ-D-L-0008</v>
      </c>
    </row>
    <row r="740" spans="1:12" ht="187.2" x14ac:dyDescent="0.3">
      <c r="A740" s="15" t="s">
        <v>1926</v>
      </c>
      <c r="B740" s="15" t="s">
        <v>1927</v>
      </c>
      <c r="C740" s="15" t="s">
        <v>583</v>
      </c>
      <c r="D740" s="15" t="s">
        <v>20</v>
      </c>
      <c r="E740" s="8">
        <v>45175</v>
      </c>
      <c r="F740" s="16" t="s">
        <v>1888</v>
      </c>
      <c r="G740" s="16" t="s">
        <v>40</v>
      </c>
      <c r="H740" s="8">
        <v>45190</v>
      </c>
      <c r="I740" s="16" t="s">
        <v>1928</v>
      </c>
      <c r="J740" t="b">
        <v>0</v>
      </c>
      <c r="K740" s="15" t="s">
        <v>1929</v>
      </c>
      <c r="L740" s="15" t="str">
        <f>HYPERLINK("https://uk1.aconex.co.uk/hub/index.html?mainTarget=%2FSearchControlledDoc%3FSEARCH_ACTION%3D15%26tab%3D0%26searchMode%3D1%26searchQuery%3Ddocno:%22"&amp;RawData[[#This Row],[Document Number]]&amp;"%22%20%2Bcversion%253A1",RawData[[#This Row],[Document Number]])</f>
        <v>FS1018-ONE-XX-ZZ-D-L-0009</v>
      </c>
    </row>
    <row r="741" spans="1:12" ht="43.2" x14ac:dyDescent="0.3">
      <c r="A741" s="15" t="s">
        <v>1926</v>
      </c>
      <c r="B741" s="15" t="s">
        <v>1930</v>
      </c>
      <c r="C741" s="15" t="s">
        <v>960</v>
      </c>
      <c r="D741" s="15" t="s">
        <v>20</v>
      </c>
      <c r="E741" s="8">
        <v>45638</v>
      </c>
      <c r="F741" s="16" t="s">
        <v>78</v>
      </c>
      <c r="G741" s="16" t="s">
        <v>40</v>
      </c>
      <c r="H741" s="8">
        <v>45669</v>
      </c>
      <c r="I741" s="16" t="s">
        <v>71</v>
      </c>
      <c r="J741" t="b">
        <v>0</v>
      </c>
      <c r="K741" s="15" t="s">
        <v>1931</v>
      </c>
      <c r="L741" s="15" t="str">
        <f>HYPERLINK("https://uk1.aconex.co.uk/hub/index.html?mainTarget=%2FSearchControlledDoc%3FSEARCH_ACTION%3D15%26tab%3D0%26searchMode%3D1%26searchQuery%3Ddocno:%22"&amp;RawData[[#This Row],[Document Number]]&amp;"%22%20%2Bcversion%253A1",RawData[[#This Row],[Document Number]])</f>
        <v>FS1018-ONE-XX-ZZ-D-L-0009</v>
      </c>
    </row>
    <row r="742" spans="1:12" x14ac:dyDescent="0.3">
      <c r="A742" s="15" t="s">
        <v>1926</v>
      </c>
      <c r="B742" s="15" t="s">
        <v>1932</v>
      </c>
      <c r="C742" s="15" t="s">
        <v>968</v>
      </c>
      <c r="D742" s="15" t="s">
        <v>21</v>
      </c>
      <c r="E742" s="8">
        <v>45729</v>
      </c>
      <c r="F742" s="16" t="s">
        <v>12</v>
      </c>
      <c r="G742" s="16" t="s">
        <v>4</v>
      </c>
      <c r="H742" s="8"/>
      <c r="I742" s="16"/>
      <c r="J742" t="b">
        <v>0</v>
      </c>
      <c r="K742" s="15" t="s">
        <v>1933</v>
      </c>
      <c r="L742" s="15" t="str">
        <f>HYPERLINK("https://uk1.aconex.co.uk/hub/index.html?mainTarget=%2FSearchControlledDoc%3FSEARCH_ACTION%3D15%26tab%3D0%26searchMode%3D1%26searchQuery%3Ddocno:%22"&amp;RawData[[#This Row],[Document Number]]&amp;"%22%20%2Bcversion%253A1",RawData[[#This Row],[Document Number]])</f>
        <v>FS1018-ONE-XX-ZZ-D-L-0009</v>
      </c>
    </row>
    <row r="743" spans="1:12" ht="43.2" x14ac:dyDescent="0.3">
      <c r="A743" s="15" t="s">
        <v>1934</v>
      </c>
      <c r="B743" s="15" t="s">
        <v>1129</v>
      </c>
      <c r="C743" s="15" t="s">
        <v>11</v>
      </c>
      <c r="D743" s="15" t="s">
        <v>20</v>
      </c>
      <c r="E743" s="8">
        <v>45175</v>
      </c>
      <c r="F743" s="16" t="s">
        <v>1888</v>
      </c>
      <c r="G743" s="16" t="s">
        <v>40</v>
      </c>
      <c r="H743" s="8">
        <v>45190</v>
      </c>
      <c r="I743" s="16" t="s">
        <v>1935</v>
      </c>
      <c r="J743" t="b">
        <v>0</v>
      </c>
      <c r="K743" s="15" t="s">
        <v>1936</v>
      </c>
      <c r="L743" s="15" t="str">
        <f>HYPERLINK("https://uk1.aconex.co.uk/hub/index.html?mainTarget=%2FSearchControlledDoc%3FSEARCH_ACTION%3D15%26tab%3D0%26searchMode%3D1%26searchQuery%3Ddocno:%22"&amp;RawData[[#This Row],[Document Number]]&amp;"%22%20%2Bcversion%253A1",RawData[[#This Row],[Document Number]])</f>
        <v>FS1018-ONE-XX-ZZ-D-L-0010</v>
      </c>
    </row>
    <row r="744" spans="1:12" ht="43.2" x14ac:dyDescent="0.3">
      <c r="A744" s="15" t="s">
        <v>1934</v>
      </c>
      <c r="B744" s="15" t="s">
        <v>1129</v>
      </c>
      <c r="C744" s="15" t="s">
        <v>583</v>
      </c>
      <c r="D744" s="15" t="s">
        <v>20</v>
      </c>
      <c r="E744" s="8">
        <v>45544</v>
      </c>
      <c r="F744" s="16" t="s">
        <v>78</v>
      </c>
      <c r="G744" s="16" t="s">
        <v>40</v>
      </c>
      <c r="H744" s="8">
        <v>45669</v>
      </c>
      <c r="I744" s="16" t="s">
        <v>71</v>
      </c>
      <c r="J744" t="b">
        <v>0</v>
      </c>
      <c r="K744" s="15" t="s">
        <v>1936</v>
      </c>
      <c r="L744" s="15" t="str">
        <f>HYPERLINK("https://uk1.aconex.co.uk/hub/index.html?mainTarget=%2FSearchControlledDoc%3FSEARCH_ACTION%3D15%26tab%3D0%26searchMode%3D1%26searchQuery%3Ddocno:%22"&amp;RawData[[#This Row],[Document Number]]&amp;"%22%20%2Bcversion%253A1",RawData[[#This Row],[Document Number]])</f>
        <v>FS1018-ONE-XX-ZZ-D-L-0010</v>
      </c>
    </row>
    <row r="745" spans="1:12" x14ac:dyDescent="0.3">
      <c r="A745" s="15" t="s">
        <v>1934</v>
      </c>
      <c r="B745" s="15" t="s">
        <v>1129</v>
      </c>
      <c r="C745" s="15" t="s">
        <v>960</v>
      </c>
      <c r="D745" s="15" t="s">
        <v>21</v>
      </c>
      <c r="E745" s="8">
        <v>45729</v>
      </c>
      <c r="F745" s="16" t="s">
        <v>12</v>
      </c>
      <c r="G745" s="16" t="s">
        <v>4</v>
      </c>
      <c r="H745" s="8"/>
      <c r="I745" s="16"/>
      <c r="J745" t="b">
        <v>0</v>
      </c>
      <c r="K745" s="15" t="s">
        <v>1936</v>
      </c>
      <c r="L745" s="15" t="str">
        <f>HYPERLINK("https://uk1.aconex.co.uk/hub/index.html?mainTarget=%2FSearchControlledDoc%3FSEARCH_ACTION%3D15%26tab%3D0%26searchMode%3D1%26searchQuery%3Ddocno:%22"&amp;RawData[[#This Row],[Document Number]]&amp;"%22%20%2Bcversion%253A1",RawData[[#This Row],[Document Number]])</f>
        <v>FS1018-ONE-XX-ZZ-D-L-0010</v>
      </c>
    </row>
    <row r="746" spans="1:12" ht="43.2" x14ac:dyDescent="0.3">
      <c r="A746" s="15" t="s">
        <v>1937</v>
      </c>
      <c r="B746" s="15" t="s">
        <v>1938</v>
      </c>
      <c r="C746" s="15" t="s">
        <v>11</v>
      </c>
      <c r="D746" s="15" t="s">
        <v>20</v>
      </c>
      <c r="E746" s="8">
        <v>45175</v>
      </c>
      <c r="F746" s="16" t="s">
        <v>1888</v>
      </c>
      <c r="G746" s="16" t="s">
        <v>40</v>
      </c>
      <c r="H746" s="8">
        <v>45190</v>
      </c>
      <c r="I746" s="16" t="s">
        <v>1935</v>
      </c>
      <c r="J746" t="b">
        <v>0</v>
      </c>
      <c r="K746" s="15" t="s">
        <v>1939</v>
      </c>
      <c r="L746" s="15" t="str">
        <f>HYPERLINK("https://uk1.aconex.co.uk/hub/index.html?mainTarget=%2FSearchControlledDoc%3FSEARCH_ACTION%3D15%26tab%3D0%26searchMode%3D1%26searchQuery%3Ddocno:%22"&amp;RawData[[#This Row],[Document Number]]&amp;"%22%20%2Bcversion%253A1",RawData[[#This Row],[Document Number]])</f>
        <v>FS1018-ONE-XX-ZZ-D-L-0011</v>
      </c>
    </row>
    <row r="747" spans="1:12" ht="43.2" x14ac:dyDescent="0.3">
      <c r="A747" s="15" t="s">
        <v>1937</v>
      </c>
      <c r="B747" s="15" t="s">
        <v>1938</v>
      </c>
      <c r="C747" s="15" t="s">
        <v>1155</v>
      </c>
      <c r="D747" s="15" t="s">
        <v>20</v>
      </c>
      <c r="E747" s="8">
        <v>45544</v>
      </c>
      <c r="F747" s="16" t="s">
        <v>78</v>
      </c>
      <c r="G747" s="16" t="s">
        <v>40</v>
      </c>
      <c r="H747" s="8">
        <v>45669</v>
      </c>
      <c r="I747" s="16" t="s">
        <v>71</v>
      </c>
      <c r="J747" t="b">
        <v>0</v>
      </c>
      <c r="K747" s="15" t="s">
        <v>1939</v>
      </c>
      <c r="L747" s="15" t="str">
        <f>HYPERLINK("https://uk1.aconex.co.uk/hub/index.html?mainTarget=%2FSearchControlledDoc%3FSEARCH_ACTION%3D15%26tab%3D0%26searchMode%3D1%26searchQuery%3Ddocno:%22"&amp;RawData[[#This Row],[Document Number]]&amp;"%22%20%2Bcversion%253A1",RawData[[#This Row],[Document Number]])</f>
        <v>FS1018-ONE-XX-ZZ-D-L-0011</v>
      </c>
    </row>
    <row r="748" spans="1:12" x14ac:dyDescent="0.3">
      <c r="A748" s="15" t="s">
        <v>1937</v>
      </c>
      <c r="B748" s="15" t="s">
        <v>1938</v>
      </c>
      <c r="C748" s="15" t="s">
        <v>1102</v>
      </c>
      <c r="D748" s="15" t="s">
        <v>21</v>
      </c>
      <c r="E748" s="8">
        <v>45729</v>
      </c>
      <c r="F748" s="16" t="s">
        <v>12</v>
      </c>
      <c r="G748" s="16" t="s">
        <v>4</v>
      </c>
      <c r="H748" s="8"/>
      <c r="I748" s="16"/>
      <c r="J748" t="b">
        <v>0</v>
      </c>
      <c r="K748" s="15" t="s">
        <v>1939</v>
      </c>
      <c r="L748" s="15" t="str">
        <f>HYPERLINK("https://uk1.aconex.co.uk/hub/index.html?mainTarget=%2FSearchControlledDoc%3FSEARCH_ACTION%3D15%26tab%3D0%26searchMode%3D1%26searchQuery%3Ddocno:%22"&amp;RawData[[#This Row],[Document Number]]&amp;"%22%20%2Bcversion%253A1",RawData[[#This Row],[Document Number]])</f>
        <v>FS1018-ONE-XX-ZZ-D-L-0011</v>
      </c>
    </row>
    <row r="749" spans="1:12" ht="129.6" x14ac:dyDescent="0.3">
      <c r="A749" s="15" t="s">
        <v>1940</v>
      </c>
      <c r="B749" s="15" t="s">
        <v>1941</v>
      </c>
      <c r="C749" s="15" t="s">
        <v>583</v>
      </c>
      <c r="D749" s="15" t="s">
        <v>20</v>
      </c>
      <c r="E749" s="8">
        <v>45175</v>
      </c>
      <c r="F749" s="16" t="s">
        <v>1888</v>
      </c>
      <c r="G749" s="16" t="s">
        <v>40</v>
      </c>
      <c r="H749" s="8">
        <v>45190</v>
      </c>
      <c r="I749" s="16" t="s">
        <v>1942</v>
      </c>
      <c r="J749" t="b">
        <v>0</v>
      </c>
      <c r="K749" s="15" t="s">
        <v>1943</v>
      </c>
      <c r="L749" s="15" t="str">
        <f>HYPERLINK("https://uk1.aconex.co.uk/hub/index.html?mainTarget=%2FSearchControlledDoc%3FSEARCH_ACTION%3D15%26tab%3D0%26searchMode%3D1%26searchQuery%3Ddocno:%22"&amp;RawData[[#This Row],[Document Number]]&amp;"%22%20%2Bcversion%253A1",RawData[[#This Row],[Document Number]])</f>
        <v>FS1018-ONE-XX-ZZ-D-L-0012</v>
      </c>
    </row>
    <row r="750" spans="1:12" ht="43.2" x14ac:dyDescent="0.3">
      <c r="A750" s="15" t="s">
        <v>1940</v>
      </c>
      <c r="B750" s="15" t="s">
        <v>1941</v>
      </c>
      <c r="C750" s="15" t="s">
        <v>960</v>
      </c>
      <c r="D750" s="15" t="s">
        <v>20</v>
      </c>
      <c r="E750" s="8">
        <v>45544</v>
      </c>
      <c r="F750" s="16" t="s">
        <v>78</v>
      </c>
      <c r="G750" s="16" t="s">
        <v>40</v>
      </c>
      <c r="H750" s="8">
        <v>45669</v>
      </c>
      <c r="I750" s="16" t="s">
        <v>71</v>
      </c>
      <c r="J750" t="b">
        <v>0</v>
      </c>
      <c r="K750" s="15" t="s">
        <v>1943</v>
      </c>
      <c r="L750" s="15" t="str">
        <f>HYPERLINK("https://uk1.aconex.co.uk/hub/index.html?mainTarget=%2FSearchControlledDoc%3FSEARCH_ACTION%3D15%26tab%3D0%26searchMode%3D1%26searchQuery%3Ddocno:%22"&amp;RawData[[#This Row],[Document Number]]&amp;"%22%20%2Bcversion%253A1",RawData[[#This Row],[Document Number]])</f>
        <v>FS1018-ONE-XX-ZZ-D-L-0012</v>
      </c>
    </row>
    <row r="751" spans="1:12" x14ac:dyDescent="0.3">
      <c r="A751" s="15" t="s">
        <v>1940</v>
      </c>
      <c r="B751" s="15" t="s">
        <v>1941</v>
      </c>
      <c r="C751" s="15" t="s">
        <v>968</v>
      </c>
      <c r="D751" s="15" t="s">
        <v>21</v>
      </c>
      <c r="E751" s="8">
        <v>45729</v>
      </c>
      <c r="F751" s="16" t="s">
        <v>12</v>
      </c>
      <c r="G751" s="16" t="s">
        <v>4</v>
      </c>
      <c r="H751" s="8"/>
      <c r="I751" s="16"/>
      <c r="J751" t="b">
        <v>0</v>
      </c>
      <c r="K751" s="15" t="s">
        <v>1943</v>
      </c>
      <c r="L751" s="15" t="str">
        <f>HYPERLINK("https://uk1.aconex.co.uk/hub/index.html?mainTarget=%2FSearchControlledDoc%3FSEARCH_ACTION%3D15%26tab%3D0%26searchMode%3D1%26searchQuery%3Ddocno:%22"&amp;RawData[[#This Row],[Document Number]]&amp;"%22%20%2Bcversion%253A1",RawData[[#This Row],[Document Number]])</f>
        <v>FS1018-ONE-XX-ZZ-D-L-0012</v>
      </c>
    </row>
    <row r="752" spans="1:12" ht="43.2" x14ac:dyDescent="0.3">
      <c r="A752" s="15" t="s">
        <v>1944</v>
      </c>
      <c r="B752" s="15" t="s">
        <v>1945</v>
      </c>
      <c r="C752" s="15" t="s">
        <v>10</v>
      </c>
      <c r="D752" s="15" t="s">
        <v>20</v>
      </c>
      <c r="E752" s="8">
        <v>45175</v>
      </c>
      <c r="F752" s="16" t="s">
        <v>1888</v>
      </c>
      <c r="G752" s="16" t="s">
        <v>40</v>
      </c>
      <c r="H752" s="8">
        <v>45190</v>
      </c>
      <c r="I752" s="16" t="s">
        <v>1946</v>
      </c>
      <c r="J752" t="b">
        <v>1</v>
      </c>
      <c r="K752" s="15" t="s">
        <v>1947</v>
      </c>
      <c r="L752" s="15" t="str">
        <f>HYPERLINK("https://uk1.aconex.co.uk/hub/index.html?mainTarget=%2FSearchControlledDoc%3FSEARCH_ACTION%3D15%26tab%3D0%26searchMode%3D1%26searchQuery%3Ddocno:%22"&amp;RawData[[#This Row],[Document Number]]&amp;"%22%20%2Bcversion%253A1",RawData[[#This Row],[Document Number]])</f>
        <v>FS1018-ONE-XX-ZZ-D-L-0013</v>
      </c>
    </row>
    <row r="753" spans="1:12" ht="43.2" x14ac:dyDescent="0.3">
      <c r="A753" s="15" t="s">
        <v>1944</v>
      </c>
      <c r="B753" s="15" t="s">
        <v>1945</v>
      </c>
      <c r="C753" s="15" t="s">
        <v>11</v>
      </c>
      <c r="D753" s="15" t="s">
        <v>20</v>
      </c>
      <c r="E753" s="8">
        <v>45544</v>
      </c>
      <c r="F753" s="16" t="s">
        <v>78</v>
      </c>
      <c r="G753" s="16" t="s">
        <v>40</v>
      </c>
      <c r="H753" s="8">
        <v>45669</v>
      </c>
      <c r="I753" s="16" t="s">
        <v>71</v>
      </c>
      <c r="J753" t="b">
        <v>0</v>
      </c>
      <c r="K753" s="15" t="s">
        <v>1947</v>
      </c>
      <c r="L753" s="15" t="str">
        <f>HYPERLINK("https://uk1.aconex.co.uk/hub/index.html?mainTarget=%2FSearchControlledDoc%3FSEARCH_ACTION%3D15%26tab%3D0%26searchMode%3D1%26searchQuery%3Ddocno:%22"&amp;RawData[[#This Row],[Document Number]]&amp;"%22%20%2Bcversion%253A1",RawData[[#This Row],[Document Number]])</f>
        <v>FS1018-ONE-XX-ZZ-D-L-0013</v>
      </c>
    </row>
    <row r="754" spans="1:12" x14ac:dyDescent="0.3">
      <c r="A754" s="15" t="s">
        <v>1944</v>
      </c>
      <c r="B754" s="15" t="s">
        <v>1945</v>
      </c>
      <c r="C754" s="15" t="s">
        <v>1155</v>
      </c>
      <c r="D754" s="15" t="s">
        <v>21</v>
      </c>
      <c r="E754" s="8">
        <v>45729</v>
      </c>
      <c r="F754" s="16" t="s">
        <v>12</v>
      </c>
      <c r="G754" s="16" t="s">
        <v>4</v>
      </c>
      <c r="H754" s="8"/>
      <c r="I754" s="16"/>
      <c r="J754" t="b">
        <v>0</v>
      </c>
      <c r="K754" s="15" t="s">
        <v>1947</v>
      </c>
      <c r="L754" s="15" t="str">
        <f>HYPERLINK("https://uk1.aconex.co.uk/hub/index.html?mainTarget=%2FSearchControlledDoc%3FSEARCH_ACTION%3D15%26tab%3D0%26searchMode%3D1%26searchQuery%3Ddocno:%22"&amp;RawData[[#This Row],[Document Number]]&amp;"%22%20%2Bcversion%253A1",RawData[[#This Row],[Document Number]])</f>
        <v>FS1018-ONE-XX-ZZ-D-L-0013</v>
      </c>
    </row>
    <row r="755" spans="1:12" ht="100.8" x14ac:dyDescent="0.3">
      <c r="A755" s="15" t="s">
        <v>1948</v>
      </c>
      <c r="B755" s="15" t="s">
        <v>1206</v>
      </c>
      <c r="C755" s="15" t="s">
        <v>10</v>
      </c>
      <c r="D755" s="15" t="s">
        <v>20</v>
      </c>
      <c r="E755" s="8">
        <v>45175</v>
      </c>
      <c r="F755" s="16" t="s">
        <v>1888</v>
      </c>
      <c r="G755" s="16" t="s">
        <v>40</v>
      </c>
      <c r="H755" s="8">
        <v>45190</v>
      </c>
      <c r="I755" s="16" t="s">
        <v>1949</v>
      </c>
      <c r="J755" t="b">
        <v>1</v>
      </c>
      <c r="K755" s="15" t="s">
        <v>1950</v>
      </c>
      <c r="L755" s="15" t="str">
        <f>HYPERLINK("https://uk1.aconex.co.uk/hub/index.html?mainTarget=%2FSearchControlledDoc%3FSEARCH_ACTION%3D15%26tab%3D0%26searchMode%3D1%26searchQuery%3Ddocno:%22"&amp;RawData[[#This Row],[Document Number]]&amp;"%22%20%2Bcversion%253A1",RawData[[#This Row],[Document Number]])</f>
        <v>FS1018-ONE-XX-ZZ-D-L-0014</v>
      </c>
    </row>
    <row r="756" spans="1:12" ht="43.2" x14ac:dyDescent="0.3">
      <c r="A756" s="15" t="s">
        <v>1948</v>
      </c>
      <c r="B756" s="15" t="s">
        <v>1206</v>
      </c>
      <c r="C756" s="15" t="s">
        <v>583</v>
      </c>
      <c r="D756" s="15" t="s">
        <v>20</v>
      </c>
      <c r="E756" s="8">
        <v>45544</v>
      </c>
      <c r="F756" s="16" t="s">
        <v>78</v>
      </c>
      <c r="G756" s="16" t="s">
        <v>40</v>
      </c>
      <c r="H756" s="8">
        <v>45669</v>
      </c>
      <c r="I756" s="16" t="s">
        <v>71</v>
      </c>
      <c r="J756" t="b">
        <v>0</v>
      </c>
      <c r="K756" s="15" t="s">
        <v>1950</v>
      </c>
      <c r="L756" s="15" t="str">
        <f>HYPERLINK("https://uk1.aconex.co.uk/hub/index.html?mainTarget=%2FSearchControlledDoc%3FSEARCH_ACTION%3D15%26tab%3D0%26searchMode%3D1%26searchQuery%3Ddocno:%22"&amp;RawData[[#This Row],[Document Number]]&amp;"%22%20%2Bcversion%253A1",RawData[[#This Row],[Document Number]])</f>
        <v>FS1018-ONE-XX-ZZ-D-L-0014</v>
      </c>
    </row>
    <row r="757" spans="1:12" x14ac:dyDescent="0.3">
      <c r="A757" s="15" t="s">
        <v>1948</v>
      </c>
      <c r="B757" s="15" t="s">
        <v>1206</v>
      </c>
      <c r="C757" s="15" t="s">
        <v>960</v>
      </c>
      <c r="D757" s="15" t="s">
        <v>21</v>
      </c>
      <c r="E757" s="8">
        <v>45729</v>
      </c>
      <c r="F757" s="16" t="s">
        <v>12</v>
      </c>
      <c r="G757" s="16" t="s">
        <v>4</v>
      </c>
      <c r="H757" s="8"/>
      <c r="I757" s="16"/>
      <c r="J757" t="b">
        <v>0</v>
      </c>
      <c r="K757" s="15" t="s">
        <v>1950</v>
      </c>
      <c r="L757" s="15" t="str">
        <f>HYPERLINK("https://uk1.aconex.co.uk/hub/index.html?mainTarget=%2FSearchControlledDoc%3FSEARCH_ACTION%3D15%26tab%3D0%26searchMode%3D1%26searchQuery%3Ddocno:%22"&amp;RawData[[#This Row],[Document Number]]&amp;"%22%20%2Bcversion%253A1",RawData[[#This Row],[Document Number]])</f>
        <v>FS1018-ONE-XX-ZZ-D-L-0014</v>
      </c>
    </row>
    <row r="758" spans="1:12" ht="43.2" x14ac:dyDescent="0.3">
      <c r="A758" s="15" t="s">
        <v>1951</v>
      </c>
      <c r="B758" s="15" t="s">
        <v>1952</v>
      </c>
      <c r="C758" s="15" t="s">
        <v>11</v>
      </c>
      <c r="D758" s="15" t="s">
        <v>20</v>
      </c>
      <c r="E758" s="8">
        <v>45175</v>
      </c>
      <c r="F758" s="16" t="s">
        <v>1888</v>
      </c>
      <c r="G758" s="16" t="s">
        <v>40</v>
      </c>
      <c r="H758" s="8">
        <v>45190</v>
      </c>
      <c r="I758" s="16" t="s">
        <v>1953</v>
      </c>
      <c r="J758" t="b">
        <v>0</v>
      </c>
      <c r="K758" s="15" t="s">
        <v>1954</v>
      </c>
      <c r="L758" s="15" t="str">
        <f>HYPERLINK("https://uk1.aconex.co.uk/hub/index.html?mainTarget=%2FSearchControlledDoc%3FSEARCH_ACTION%3D15%26tab%3D0%26searchMode%3D1%26searchQuery%3Ddocno:%22"&amp;RawData[[#This Row],[Document Number]]&amp;"%22%20%2Bcversion%253A1",RawData[[#This Row],[Document Number]])</f>
        <v>FS1018-ONE-XX-ZZ-D-L-0015</v>
      </c>
    </row>
    <row r="759" spans="1:12" ht="43.2" x14ac:dyDescent="0.3">
      <c r="A759" s="15" t="s">
        <v>1951</v>
      </c>
      <c r="B759" s="15" t="s">
        <v>1952</v>
      </c>
      <c r="C759" s="15" t="s">
        <v>1102</v>
      </c>
      <c r="D759" s="15" t="s">
        <v>20</v>
      </c>
      <c r="E759" s="8">
        <v>45544</v>
      </c>
      <c r="F759" s="16" t="s">
        <v>78</v>
      </c>
      <c r="G759" s="16" t="s">
        <v>40</v>
      </c>
      <c r="H759" s="8">
        <v>45669</v>
      </c>
      <c r="I759" s="16" t="s">
        <v>71</v>
      </c>
      <c r="J759" t="b">
        <v>0</v>
      </c>
      <c r="K759" s="15" t="s">
        <v>1954</v>
      </c>
      <c r="L759" s="15" t="str">
        <f>HYPERLINK("https://uk1.aconex.co.uk/hub/index.html?mainTarget=%2FSearchControlledDoc%3FSEARCH_ACTION%3D15%26tab%3D0%26searchMode%3D1%26searchQuery%3Ddocno:%22"&amp;RawData[[#This Row],[Document Number]]&amp;"%22%20%2Bcversion%253A1",RawData[[#This Row],[Document Number]])</f>
        <v>FS1018-ONE-XX-ZZ-D-L-0015</v>
      </c>
    </row>
    <row r="760" spans="1:12" x14ac:dyDescent="0.3">
      <c r="A760" s="15" t="s">
        <v>1951</v>
      </c>
      <c r="B760" s="15" t="s">
        <v>1952</v>
      </c>
      <c r="C760" s="15" t="s">
        <v>970</v>
      </c>
      <c r="D760" s="15" t="s">
        <v>21</v>
      </c>
      <c r="E760" s="8">
        <v>45729</v>
      </c>
      <c r="F760" s="16" t="s">
        <v>12</v>
      </c>
      <c r="G760" s="16" t="s">
        <v>4</v>
      </c>
      <c r="H760" s="8"/>
      <c r="I760" s="16"/>
      <c r="J760" t="b">
        <v>0</v>
      </c>
      <c r="K760" s="15" t="s">
        <v>1954</v>
      </c>
      <c r="L760" s="15" t="str">
        <f>HYPERLINK("https://uk1.aconex.co.uk/hub/index.html?mainTarget=%2FSearchControlledDoc%3FSEARCH_ACTION%3D15%26tab%3D0%26searchMode%3D1%26searchQuery%3Ddocno:%22"&amp;RawData[[#This Row],[Document Number]]&amp;"%22%20%2Bcversion%253A1",RawData[[#This Row],[Document Number]])</f>
        <v>FS1018-ONE-XX-ZZ-D-L-0015</v>
      </c>
    </row>
    <row r="761" spans="1:12" ht="43.2" x14ac:dyDescent="0.3">
      <c r="A761" s="15" t="s">
        <v>1955</v>
      </c>
      <c r="B761" s="15" t="s">
        <v>1956</v>
      </c>
      <c r="C761" s="15" t="s">
        <v>14</v>
      </c>
      <c r="D761" s="15" t="s">
        <v>20</v>
      </c>
      <c r="E761" s="8">
        <v>45544</v>
      </c>
      <c r="F761" s="16" t="s">
        <v>78</v>
      </c>
      <c r="G761" s="16" t="s">
        <v>40</v>
      </c>
      <c r="H761" s="8">
        <v>45669</v>
      </c>
      <c r="I761" s="16" t="s">
        <v>71</v>
      </c>
      <c r="J761" t="b">
        <v>0</v>
      </c>
      <c r="K761" s="15" t="s">
        <v>1957</v>
      </c>
      <c r="L761" s="15" t="str">
        <f>HYPERLINK("https://uk1.aconex.co.uk/hub/index.html?mainTarget=%2FSearchControlledDoc%3FSEARCH_ACTION%3D15%26tab%3D0%26searchMode%3D1%26searchQuery%3Ddocno:%22"&amp;RawData[[#This Row],[Document Number]]&amp;"%22%20%2Bcversion%253A1",RawData[[#This Row],[Document Number]])</f>
        <v>FS1018-ONE-XX-ZZ-D-L-0017</v>
      </c>
    </row>
    <row r="762" spans="1:12" x14ac:dyDescent="0.3">
      <c r="A762" s="15" t="s">
        <v>1955</v>
      </c>
      <c r="B762" s="15" t="s">
        <v>1956</v>
      </c>
      <c r="C762" s="15" t="s">
        <v>11</v>
      </c>
      <c r="D762" s="15" t="s">
        <v>21</v>
      </c>
      <c r="E762" s="8">
        <v>45729</v>
      </c>
      <c r="F762" s="16" t="s">
        <v>12</v>
      </c>
      <c r="G762" s="16" t="s">
        <v>4</v>
      </c>
      <c r="H762" s="8"/>
      <c r="I762" s="16"/>
      <c r="J762" t="b">
        <v>0</v>
      </c>
      <c r="K762" s="15" t="s">
        <v>1957</v>
      </c>
      <c r="L762" s="15" t="str">
        <f>HYPERLINK("https://uk1.aconex.co.uk/hub/index.html?mainTarget=%2FSearchControlledDoc%3FSEARCH_ACTION%3D15%26tab%3D0%26searchMode%3D1%26searchQuery%3Ddocno:%22"&amp;RawData[[#This Row],[Document Number]]&amp;"%22%20%2Bcversion%253A1",RawData[[#This Row],[Document Number]])</f>
        <v>FS1018-ONE-XX-ZZ-D-L-0017</v>
      </c>
    </row>
    <row r="763" spans="1:12" x14ac:dyDescent="0.3">
      <c r="A763" s="15" t="s">
        <v>1958</v>
      </c>
      <c r="B763" s="15" t="s">
        <v>1959</v>
      </c>
      <c r="C763" s="15" t="s">
        <v>10</v>
      </c>
      <c r="D763" s="15" t="s">
        <v>21</v>
      </c>
      <c r="E763" s="8">
        <v>45729</v>
      </c>
      <c r="F763" s="16" t="s">
        <v>12</v>
      </c>
      <c r="G763" s="16" t="s">
        <v>4</v>
      </c>
      <c r="H763" s="8"/>
      <c r="I763" s="16"/>
      <c r="J763" t="b">
        <v>1</v>
      </c>
      <c r="K763" s="15" t="s">
        <v>1960</v>
      </c>
      <c r="L763" s="15" t="str">
        <f>HYPERLINK("https://uk1.aconex.co.uk/hub/index.html?mainTarget=%2FSearchControlledDoc%3FSEARCH_ACTION%3D15%26tab%3D0%26searchMode%3D1%26searchQuery%3Ddocno:%22"&amp;RawData[[#This Row],[Document Number]]&amp;"%22%20%2Bcversion%253A1",RawData[[#This Row],[Document Number]])</f>
        <v>FS1018-ONE-XX-ZZ-D-L-0021</v>
      </c>
    </row>
    <row r="764" spans="1:12" x14ac:dyDescent="0.3">
      <c r="A764" s="15" t="s">
        <v>1961</v>
      </c>
      <c r="B764" s="15" t="s">
        <v>1962</v>
      </c>
      <c r="C764" s="15" t="s">
        <v>10</v>
      </c>
      <c r="D764" s="15" t="s">
        <v>21</v>
      </c>
      <c r="E764" s="8">
        <v>45729</v>
      </c>
      <c r="F764" s="16" t="s">
        <v>12</v>
      </c>
      <c r="G764" s="16" t="s">
        <v>4</v>
      </c>
      <c r="H764" s="8"/>
      <c r="I764" s="16"/>
      <c r="J764" t="b">
        <v>1</v>
      </c>
      <c r="K764" s="15" t="s">
        <v>1963</v>
      </c>
      <c r="L764" s="15" t="str">
        <f>HYPERLINK("https://uk1.aconex.co.uk/hub/index.html?mainTarget=%2FSearchControlledDoc%3FSEARCH_ACTION%3D15%26tab%3D0%26searchMode%3D1%26searchQuery%3Ddocno:%22"&amp;RawData[[#This Row],[Document Number]]&amp;"%22%20%2Bcversion%253A1",RawData[[#This Row],[Document Number]])</f>
        <v>FS1018-ONE-XX-ZZ-D-L-0022</v>
      </c>
    </row>
    <row r="765" spans="1:12" x14ac:dyDescent="0.3">
      <c r="A765" s="15" t="s">
        <v>1964</v>
      </c>
      <c r="B765" s="15" t="s">
        <v>1965</v>
      </c>
      <c r="C765" s="15" t="s">
        <v>10</v>
      </c>
      <c r="D765" s="15" t="s">
        <v>21</v>
      </c>
      <c r="E765" s="8">
        <v>45729</v>
      </c>
      <c r="F765" s="16" t="s">
        <v>12</v>
      </c>
      <c r="G765" s="16" t="s">
        <v>4</v>
      </c>
      <c r="H765" s="8"/>
      <c r="I765" s="16"/>
      <c r="J765" t="b">
        <v>1</v>
      </c>
      <c r="K765" s="15" t="s">
        <v>1966</v>
      </c>
      <c r="L765" s="15" t="str">
        <f>HYPERLINK("https://uk1.aconex.co.uk/hub/index.html?mainTarget=%2FSearchControlledDoc%3FSEARCH_ACTION%3D15%26tab%3D0%26searchMode%3D1%26searchQuery%3Ddocno:%22"&amp;RawData[[#This Row],[Document Number]]&amp;"%22%20%2Bcversion%253A1",RawData[[#This Row],[Document Number]])</f>
        <v>FS1018-ONE-XX-ZZ-D-L-0023</v>
      </c>
    </row>
    <row r="766" spans="1:12" x14ac:dyDescent="0.3">
      <c r="A766" s="15" t="s">
        <v>1967</v>
      </c>
      <c r="B766" s="15" t="s">
        <v>1968</v>
      </c>
      <c r="C766" s="15" t="s">
        <v>10</v>
      </c>
      <c r="D766" s="15" t="s">
        <v>21</v>
      </c>
      <c r="E766" s="8">
        <v>45729</v>
      </c>
      <c r="F766" s="16" t="s">
        <v>12</v>
      </c>
      <c r="G766" s="16" t="s">
        <v>4</v>
      </c>
      <c r="H766" s="8"/>
      <c r="I766" s="16"/>
      <c r="J766" t="b">
        <v>1</v>
      </c>
      <c r="K766" s="15" t="s">
        <v>1969</v>
      </c>
      <c r="L766" s="15" t="str">
        <f>HYPERLINK("https://uk1.aconex.co.uk/hub/index.html?mainTarget=%2FSearchControlledDoc%3FSEARCH_ACTION%3D15%26tab%3D0%26searchMode%3D1%26searchQuery%3Ddocno:%22"&amp;RawData[[#This Row],[Document Number]]&amp;"%22%20%2Bcversion%253A1",RawData[[#This Row],[Document Number]])</f>
        <v>FS1018-ONE-XX-ZZ-D-L-0024</v>
      </c>
    </row>
    <row r="767" spans="1:12" x14ac:dyDescent="0.3">
      <c r="A767" s="15" t="s">
        <v>1970</v>
      </c>
      <c r="B767" s="15" t="s">
        <v>1971</v>
      </c>
      <c r="C767" s="15" t="s">
        <v>10</v>
      </c>
      <c r="D767" s="15" t="s">
        <v>21</v>
      </c>
      <c r="E767" s="8">
        <v>45729</v>
      </c>
      <c r="F767" s="16" t="s">
        <v>12</v>
      </c>
      <c r="G767" s="16" t="s">
        <v>4</v>
      </c>
      <c r="H767" s="8"/>
      <c r="I767" s="16"/>
      <c r="J767" t="b">
        <v>1</v>
      </c>
      <c r="K767" s="15" t="s">
        <v>1972</v>
      </c>
      <c r="L767" s="15" t="str">
        <f>HYPERLINK("https://uk1.aconex.co.uk/hub/index.html?mainTarget=%2FSearchControlledDoc%3FSEARCH_ACTION%3D15%26tab%3D0%26searchMode%3D1%26searchQuery%3Ddocno:%22"&amp;RawData[[#This Row],[Document Number]]&amp;"%22%20%2Bcversion%253A1",RawData[[#This Row],[Document Number]])</f>
        <v>FS1018-ONE-XX-ZZ-D-L-0025</v>
      </c>
    </row>
    <row r="768" spans="1:12" ht="43.2" x14ac:dyDescent="0.3">
      <c r="A768" s="15" t="s">
        <v>1973</v>
      </c>
      <c r="B768" s="15" t="s">
        <v>1974</v>
      </c>
      <c r="C768" s="15" t="s">
        <v>14</v>
      </c>
      <c r="D768" s="15" t="s">
        <v>20</v>
      </c>
      <c r="E768" s="8">
        <v>45544</v>
      </c>
      <c r="F768" s="16" t="s">
        <v>78</v>
      </c>
      <c r="G768" s="16" t="s">
        <v>40</v>
      </c>
      <c r="H768" s="8">
        <v>45669</v>
      </c>
      <c r="I768" s="16" t="s">
        <v>71</v>
      </c>
      <c r="J768" t="b">
        <v>0</v>
      </c>
      <c r="K768" s="15" t="s">
        <v>1975</v>
      </c>
      <c r="L768" s="15" t="str">
        <f>HYPERLINK("https://uk1.aconex.co.uk/hub/index.html?mainTarget=%2FSearchControlledDoc%3FSEARCH_ACTION%3D15%26tab%3D0%26searchMode%3D1%26searchQuery%3Ddocno:%22"&amp;RawData[[#This Row],[Document Number]]&amp;"%22%20%2Bcversion%253A1",RawData[[#This Row],[Document Number]])</f>
        <v>FS1018-ONE-XX-ZZ-D-L-0201</v>
      </c>
    </row>
    <row r="769" spans="1:12" x14ac:dyDescent="0.3">
      <c r="A769" s="15" t="s">
        <v>1973</v>
      </c>
      <c r="B769" s="15" t="s">
        <v>1976</v>
      </c>
      <c r="C769" s="15" t="s">
        <v>11</v>
      </c>
      <c r="D769" s="15" t="s">
        <v>21</v>
      </c>
      <c r="E769" s="8">
        <v>45729</v>
      </c>
      <c r="F769" s="16" t="s">
        <v>12</v>
      </c>
      <c r="G769" s="16" t="s">
        <v>4</v>
      </c>
      <c r="H769" s="8"/>
      <c r="I769" s="16"/>
      <c r="J769" t="b">
        <v>0</v>
      </c>
      <c r="K769" s="15" t="s">
        <v>1977</v>
      </c>
      <c r="L769" s="15" t="str">
        <f>HYPERLINK("https://uk1.aconex.co.uk/hub/index.html?mainTarget=%2FSearchControlledDoc%3FSEARCH_ACTION%3D15%26tab%3D0%26searchMode%3D1%26searchQuery%3Ddocno:%22"&amp;RawData[[#This Row],[Document Number]]&amp;"%22%20%2Bcversion%253A1",RawData[[#This Row],[Document Number]])</f>
        <v>FS1018-ONE-XX-ZZ-D-L-0201</v>
      </c>
    </row>
    <row r="770" spans="1:12" ht="43.2" x14ac:dyDescent="0.3">
      <c r="A770" s="15" t="s">
        <v>1978</v>
      </c>
      <c r="B770" s="15" t="s">
        <v>1979</v>
      </c>
      <c r="C770" s="15" t="s">
        <v>14</v>
      </c>
      <c r="D770" s="15" t="s">
        <v>20</v>
      </c>
      <c r="E770" s="8">
        <v>45544</v>
      </c>
      <c r="F770" s="16" t="s">
        <v>78</v>
      </c>
      <c r="G770" s="16" t="s">
        <v>40</v>
      </c>
      <c r="H770" s="8">
        <v>45669</v>
      </c>
      <c r="I770" s="16" t="s">
        <v>71</v>
      </c>
      <c r="J770" t="b">
        <v>0</v>
      </c>
      <c r="K770" s="15" t="s">
        <v>1980</v>
      </c>
      <c r="L770" s="15" t="str">
        <f>HYPERLINK("https://uk1.aconex.co.uk/hub/index.html?mainTarget=%2FSearchControlledDoc%3FSEARCH_ACTION%3D15%26tab%3D0%26searchMode%3D1%26searchQuery%3Ddocno:%22"&amp;RawData[[#This Row],[Document Number]]&amp;"%22%20%2Bcversion%253A1",RawData[[#This Row],[Document Number]])</f>
        <v>FS1018-ONE-XX-ZZ-D-L-0202</v>
      </c>
    </row>
    <row r="771" spans="1:12" x14ac:dyDescent="0.3">
      <c r="A771" s="15" t="s">
        <v>1978</v>
      </c>
      <c r="B771" s="15" t="s">
        <v>1981</v>
      </c>
      <c r="C771" s="15" t="s">
        <v>11</v>
      </c>
      <c r="D771" s="15" t="s">
        <v>21</v>
      </c>
      <c r="E771" s="8">
        <v>45729</v>
      </c>
      <c r="F771" s="16" t="s">
        <v>12</v>
      </c>
      <c r="G771" s="16" t="s">
        <v>4</v>
      </c>
      <c r="H771" s="8"/>
      <c r="I771" s="16"/>
      <c r="J771" t="b">
        <v>0</v>
      </c>
      <c r="K771" s="15" t="s">
        <v>1982</v>
      </c>
      <c r="L771" s="15" t="str">
        <f>HYPERLINK("https://uk1.aconex.co.uk/hub/index.html?mainTarget=%2FSearchControlledDoc%3FSEARCH_ACTION%3D15%26tab%3D0%26searchMode%3D1%26searchQuery%3Ddocno:%22"&amp;RawData[[#This Row],[Document Number]]&amp;"%22%20%2Bcversion%253A1",RawData[[#This Row],[Document Number]])</f>
        <v>FS1018-ONE-XX-ZZ-D-L-0202</v>
      </c>
    </row>
    <row r="772" spans="1:12" ht="43.2" x14ac:dyDescent="0.3">
      <c r="A772" s="15" t="s">
        <v>1983</v>
      </c>
      <c r="B772" s="15" t="s">
        <v>1984</v>
      </c>
      <c r="C772" s="15" t="s">
        <v>14</v>
      </c>
      <c r="D772" s="15" t="s">
        <v>20</v>
      </c>
      <c r="E772" s="8">
        <v>45544</v>
      </c>
      <c r="F772" s="16" t="s">
        <v>78</v>
      </c>
      <c r="G772" s="16" t="s">
        <v>40</v>
      </c>
      <c r="H772" s="8">
        <v>45669</v>
      </c>
      <c r="I772" s="16" t="s">
        <v>71</v>
      </c>
      <c r="J772" t="b">
        <v>0</v>
      </c>
      <c r="K772" s="15" t="s">
        <v>1985</v>
      </c>
      <c r="L772" s="15" t="str">
        <f>HYPERLINK("https://uk1.aconex.co.uk/hub/index.html?mainTarget=%2FSearchControlledDoc%3FSEARCH_ACTION%3D15%26tab%3D0%26searchMode%3D1%26searchQuery%3Ddocno:%22"&amp;RawData[[#This Row],[Document Number]]&amp;"%22%20%2Bcversion%253A1",RawData[[#This Row],[Document Number]])</f>
        <v>FS1018-ONE-XX-ZZ-D-L-0203</v>
      </c>
    </row>
    <row r="773" spans="1:12" x14ac:dyDescent="0.3">
      <c r="A773" s="15" t="s">
        <v>1983</v>
      </c>
      <c r="B773" s="15" t="s">
        <v>1986</v>
      </c>
      <c r="C773" s="15" t="s">
        <v>583</v>
      </c>
      <c r="D773" s="15" t="s">
        <v>21</v>
      </c>
      <c r="E773" s="8">
        <v>45729</v>
      </c>
      <c r="F773" s="16" t="s">
        <v>12</v>
      </c>
      <c r="G773" s="16" t="s">
        <v>4</v>
      </c>
      <c r="H773" s="8"/>
      <c r="I773" s="16"/>
      <c r="J773" t="b">
        <v>0</v>
      </c>
      <c r="K773" s="15" t="s">
        <v>1987</v>
      </c>
      <c r="L773" s="15" t="str">
        <f>HYPERLINK("https://uk1.aconex.co.uk/hub/index.html?mainTarget=%2FSearchControlledDoc%3FSEARCH_ACTION%3D15%26tab%3D0%26searchMode%3D1%26searchQuery%3Ddocno:%22"&amp;RawData[[#This Row],[Document Number]]&amp;"%22%20%2Bcversion%253A1",RawData[[#This Row],[Document Number]])</f>
        <v>FS1018-ONE-XX-ZZ-D-L-0203</v>
      </c>
    </row>
    <row r="774" spans="1:12" ht="43.2" x14ac:dyDescent="0.3">
      <c r="A774" s="15" t="s">
        <v>1988</v>
      </c>
      <c r="B774" s="15" t="s">
        <v>1989</v>
      </c>
      <c r="C774" s="15" t="s">
        <v>14</v>
      </c>
      <c r="D774" s="15" t="s">
        <v>20</v>
      </c>
      <c r="E774" s="8">
        <v>45544</v>
      </c>
      <c r="F774" s="16" t="s">
        <v>78</v>
      </c>
      <c r="G774" s="16" t="s">
        <v>40</v>
      </c>
      <c r="H774" s="8">
        <v>45669</v>
      </c>
      <c r="I774" s="16" t="s">
        <v>71</v>
      </c>
      <c r="J774" t="b">
        <v>0</v>
      </c>
      <c r="K774" s="15" t="s">
        <v>1990</v>
      </c>
      <c r="L774" s="15" t="str">
        <f>HYPERLINK("https://uk1.aconex.co.uk/hub/index.html?mainTarget=%2FSearchControlledDoc%3FSEARCH_ACTION%3D15%26tab%3D0%26searchMode%3D1%26searchQuery%3Ddocno:%22"&amp;RawData[[#This Row],[Document Number]]&amp;"%22%20%2Bcversion%253A1",RawData[[#This Row],[Document Number]])</f>
        <v>FS1018-ONE-XX-ZZ-D-L-0204</v>
      </c>
    </row>
    <row r="775" spans="1:12" x14ac:dyDescent="0.3">
      <c r="A775" s="15" t="s">
        <v>1988</v>
      </c>
      <c r="B775" s="15" t="s">
        <v>1991</v>
      </c>
      <c r="C775" s="15" t="s">
        <v>11</v>
      </c>
      <c r="D775" s="15" t="s">
        <v>21</v>
      </c>
      <c r="E775" s="8">
        <v>45729</v>
      </c>
      <c r="F775" s="16" t="s">
        <v>12</v>
      </c>
      <c r="G775" s="16" t="s">
        <v>4</v>
      </c>
      <c r="H775" s="8"/>
      <c r="I775" s="16"/>
      <c r="J775" t="b">
        <v>0</v>
      </c>
      <c r="K775" s="15" t="s">
        <v>1992</v>
      </c>
      <c r="L775" s="15" t="str">
        <f>HYPERLINK("https://uk1.aconex.co.uk/hub/index.html?mainTarget=%2FSearchControlledDoc%3FSEARCH_ACTION%3D15%26tab%3D0%26searchMode%3D1%26searchQuery%3Ddocno:%22"&amp;RawData[[#This Row],[Document Number]]&amp;"%22%20%2Bcversion%253A1",RawData[[#This Row],[Document Number]])</f>
        <v>FS1018-ONE-XX-ZZ-D-L-0204</v>
      </c>
    </row>
    <row r="776" spans="1:12" ht="43.2" x14ac:dyDescent="0.3">
      <c r="A776" s="15" t="s">
        <v>1993</v>
      </c>
      <c r="B776" s="15" t="s">
        <v>1994</v>
      </c>
      <c r="C776" s="15" t="s">
        <v>10</v>
      </c>
      <c r="D776" s="15" t="s">
        <v>20</v>
      </c>
      <c r="E776" s="8">
        <v>45544</v>
      </c>
      <c r="F776" s="16" t="s">
        <v>78</v>
      </c>
      <c r="G776" s="16" t="s">
        <v>40</v>
      </c>
      <c r="H776" s="8">
        <v>45669</v>
      </c>
      <c r="I776" s="16" t="s">
        <v>71</v>
      </c>
      <c r="J776" t="b">
        <v>1</v>
      </c>
      <c r="K776" s="15" t="s">
        <v>1995</v>
      </c>
      <c r="L776" s="15" t="str">
        <f>HYPERLINK("https://uk1.aconex.co.uk/hub/index.html?mainTarget=%2FSearchControlledDoc%3FSEARCH_ACTION%3D15%26tab%3D0%26searchMode%3D1%26searchQuery%3Ddocno:%22"&amp;RawData[[#This Row],[Document Number]]&amp;"%22%20%2Bcversion%253A1",RawData[[#This Row],[Document Number]])</f>
        <v>FS1018-ONE-XX-ZZ-D-L-0205</v>
      </c>
    </row>
    <row r="777" spans="1:12" x14ac:dyDescent="0.3">
      <c r="A777" s="15" t="s">
        <v>1993</v>
      </c>
      <c r="B777" s="15" t="s">
        <v>1996</v>
      </c>
      <c r="C777" s="15" t="s">
        <v>583</v>
      </c>
      <c r="D777" s="15" t="s">
        <v>21</v>
      </c>
      <c r="E777" s="8">
        <v>45729</v>
      </c>
      <c r="F777" s="16" t="s">
        <v>12</v>
      </c>
      <c r="G777" s="16" t="s">
        <v>4</v>
      </c>
      <c r="H777" s="8"/>
      <c r="I777" s="16"/>
      <c r="J777" t="b">
        <v>0</v>
      </c>
      <c r="K777" s="15" t="s">
        <v>1997</v>
      </c>
      <c r="L777" s="15" t="str">
        <f>HYPERLINK("https://uk1.aconex.co.uk/hub/index.html?mainTarget=%2FSearchControlledDoc%3FSEARCH_ACTION%3D15%26tab%3D0%26searchMode%3D1%26searchQuery%3Ddocno:%22"&amp;RawData[[#This Row],[Document Number]]&amp;"%22%20%2Bcversion%253A1",RawData[[#This Row],[Document Number]])</f>
        <v>FS1018-ONE-XX-ZZ-D-L-0205</v>
      </c>
    </row>
    <row r="778" spans="1:12" ht="43.2" x14ac:dyDescent="0.3">
      <c r="A778" s="15" t="s">
        <v>1998</v>
      </c>
      <c r="B778" s="15" t="s">
        <v>1999</v>
      </c>
      <c r="C778" s="15" t="s">
        <v>10</v>
      </c>
      <c r="D778" s="15" t="s">
        <v>20</v>
      </c>
      <c r="E778" s="8">
        <v>45175</v>
      </c>
      <c r="F778" s="16" t="s">
        <v>1888</v>
      </c>
      <c r="G778" s="16" t="s">
        <v>40</v>
      </c>
      <c r="H778" s="8">
        <v>45190</v>
      </c>
      <c r="I778" s="16" t="s">
        <v>2000</v>
      </c>
      <c r="J778" t="b">
        <v>1</v>
      </c>
      <c r="K778" s="15" t="s">
        <v>2001</v>
      </c>
      <c r="L778" s="15" t="str">
        <f>HYPERLINK("https://uk1.aconex.co.uk/hub/index.html?mainTarget=%2FSearchControlledDoc%3FSEARCH_ACTION%3D15%26tab%3D0%26searchMode%3D1%26searchQuery%3Ddocno:%22"&amp;RawData[[#This Row],[Document Number]]&amp;"%22%20%2Bcversion%253A1",RawData[[#This Row],[Document Number]])</f>
        <v>FS1018-ONE-XX-ZZ-D-L-0401</v>
      </c>
    </row>
    <row r="779" spans="1:12" ht="43.2" x14ac:dyDescent="0.3">
      <c r="A779" s="15" t="s">
        <v>1998</v>
      </c>
      <c r="B779" s="15" t="s">
        <v>2002</v>
      </c>
      <c r="C779" s="15" t="s">
        <v>583</v>
      </c>
      <c r="D779" s="15" t="s">
        <v>20</v>
      </c>
      <c r="E779" s="8">
        <v>45544</v>
      </c>
      <c r="F779" s="16" t="s">
        <v>78</v>
      </c>
      <c r="G779" s="16" t="s">
        <v>40</v>
      </c>
      <c r="H779" s="8">
        <v>45669</v>
      </c>
      <c r="I779" s="16" t="s">
        <v>71</v>
      </c>
      <c r="J779" t="b">
        <v>0</v>
      </c>
      <c r="K779" s="15" t="s">
        <v>2003</v>
      </c>
      <c r="L779" s="15" t="str">
        <f>HYPERLINK("https://uk1.aconex.co.uk/hub/index.html?mainTarget=%2FSearchControlledDoc%3FSEARCH_ACTION%3D15%26tab%3D0%26searchMode%3D1%26searchQuery%3Ddocno:%22"&amp;RawData[[#This Row],[Document Number]]&amp;"%22%20%2Bcversion%253A1",RawData[[#This Row],[Document Number]])</f>
        <v>FS1018-ONE-XX-ZZ-D-L-0401</v>
      </c>
    </row>
    <row r="780" spans="1:12" x14ac:dyDescent="0.3">
      <c r="A780" s="15" t="s">
        <v>1998</v>
      </c>
      <c r="B780" s="15" t="s">
        <v>1999</v>
      </c>
      <c r="C780" s="15" t="s">
        <v>1102</v>
      </c>
      <c r="D780" s="15" t="s">
        <v>21</v>
      </c>
      <c r="E780" s="8">
        <v>45729</v>
      </c>
      <c r="F780" s="16" t="s">
        <v>12</v>
      </c>
      <c r="G780" s="16" t="s">
        <v>4</v>
      </c>
      <c r="H780" s="8"/>
      <c r="I780" s="16"/>
      <c r="J780" t="b">
        <v>0</v>
      </c>
      <c r="K780" s="15" t="s">
        <v>2001</v>
      </c>
      <c r="L780" s="15" t="str">
        <f>HYPERLINK("https://uk1.aconex.co.uk/hub/index.html?mainTarget=%2FSearchControlledDoc%3FSEARCH_ACTION%3D15%26tab%3D0%26searchMode%3D1%26searchQuery%3Ddocno:%22"&amp;RawData[[#This Row],[Document Number]]&amp;"%22%20%2Bcversion%253A1",RawData[[#This Row],[Document Number]])</f>
        <v>FS1018-ONE-XX-ZZ-D-L-0401</v>
      </c>
    </row>
    <row r="781" spans="1:12" ht="43.2" x14ac:dyDescent="0.3">
      <c r="A781" s="15" t="s">
        <v>2004</v>
      </c>
      <c r="B781" s="15" t="s">
        <v>2005</v>
      </c>
      <c r="C781" s="15" t="s">
        <v>10</v>
      </c>
      <c r="D781" s="15" t="s">
        <v>20</v>
      </c>
      <c r="E781" s="8">
        <v>45175</v>
      </c>
      <c r="F781" s="16" t="s">
        <v>1888</v>
      </c>
      <c r="G781" s="16" t="s">
        <v>40</v>
      </c>
      <c r="H781" s="8">
        <v>45208</v>
      </c>
      <c r="I781" s="16" t="s">
        <v>2006</v>
      </c>
      <c r="J781" t="b">
        <v>1</v>
      </c>
      <c r="K781" s="15" t="s">
        <v>2007</v>
      </c>
      <c r="L781" s="15" t="str">
        <f>HYPERLINK("https://uk1.aconex.co.uk/hub/index.html?mainTarget=%2FSearchControlledDoc%3FSEARCH_ACTION%3D15%26tab%3D0%26searchMode%3D1%26searchQuery%3Ddocno:%22"&amp;RawData[[#This Row],[Document Number]]&amp;"%22%20%2Bcversion%253A1",RawData[[#This Row],[Document Number]])</f>
        <v>FS1018-ONE-XX-ZZ-D-L-0402</v>
      </c>
    </row>
    <row r="782" spans="1:12" ht="43.2" x14ac:dyDescent="0.3">
      <c r="A782" s="15" t="s">
        <v>2004</v>
      </c>
      <c r="B782" s="15" t="s">
        <v>2008</v>
      </c>
      <c r="C782" s="15" t="s">
        <v>583</v>
      </c>
      <c r="D782" s="15" t="s">
        <v>20</v>
      </c>
      <c r="E782" s="8">
        <v>45544</v>
      </c>
      <c r="F782" s="16" t="s">
        <v>78</v>
      </c>
      <c r="G782" s="16" t="s">
        <v>40</v>
      </c>
      <c r="H782" s="8">
        <v>45669</v>
      </c>
      <c r="I782" s="16" t="s">
        <v>71</v>
      </c>
      <c r="J782" t="b">
        <v>0</v>
      </c>
      <c r="K782" s="15" t="s">
        <v>2009</v>
      </c>
      <c r="L782" s="15" t="str">
        <f>HYPERLINK("https://uk1.aconex.co.uk/hub/index.html?mainTarget=%2FSearchControlledDoc%3FSEARCH_ACTION%3D15%26tab%3D0%26searchMode%3D1%26searchQuery%3Ddocno:%22"&amp;RawData[[#This Row],[Document Number]]&amp;"%22%20%2Bcversion%253A1",RawData[[#This Row],[Document Number]])</f>
        <v>FS1018-ONE-XX-ZZ-D-L-0402</v>
      </c>
    </row>
    <row r="783" spans="1:12" x14ac:dyDescent="0.3">
      <c r="A783" s="15" t="s">
        <v>2004</v>
      </c>
      <c r="B783" s="15" t="s">
        <v>2005</v>
      </c>
      <c r="C783" s="15" t="s">
        <v>1102</v>
      </c>
      <c r="D783" s="15" t="s">
        <v>21</v>
      </c>
      <c r="E783" s="8">
        <v>45729</v>
      </c>
      <c r="F783" s="16" t="s">
        <v>12</v>
      </c>
      <c r="G783" s="16" t="s">
        <v>4</v>
      </c>
      <c r="H783" s="8"/>
      <c r="I783" s="16"/>
      <c r="J783" t="b">
        <v>0</v>
      </c>
      <c r="K783" s="15" t="s">
        <v>2007</v>
      </c>
      <c r="L783" s="15" t="str">
        <f>HYPERLINK("https://uk1.aconex.co.uk/hub/index.html?mainTarget=%2FSearchControlledDoc%3FSEARCH_ACTION%3D15%26tab%3D0%26searchMode%3D1%26searchQuery%3Ddocno:%22"&amp;RawData[[#This Row],[Document Number]]&amp;"%22%20%2Bcversion%253A1",RawData[[#This Row],[Document Number]])</f>
        <v>FS1018-ONE-XX-ZZ-D-L-0402</v>
      </c>
    </row>
    <row r="784" spans="1:12" ht="43.2" x14ac:dyDescent="0.3">
      <c r="A784" s="15" t="s">
        <v>2010</v>
      </c>
      <c r="B784" s="15" t="s">
        <v>2011</v>
      </c>
      <c r="C784" s="15" t="s">
        <v>10</v>
      </c>
      <c r="D784" s="15" t="s">
        <v>20</v>
      </c>
      <c r="E784" s="8">
        <v>45175</v>
      </c>
      <c r="F784" s="16" t="s">
        <v>1888</v>
      </c>
      <c r="G784" s="16" t="s">
        <v>40</v>
      </c>
      <c r="H784" s="8">
        <v>45208</v>
      </c>
      <c r="I784" s="16" t="s">
        <v>2012</v>
      </c>
      <c r="J784" t="b">
        <v>1</v>
      </c>
      <c r="K784" s="15" t="s">
        <v>2013</v>
      </c>
      <c r="L784" s="15" t="str">
        <f>HYPERLINK("https://uk1.aconex.co.uk/hub/index.html?mainTarget=%2FSearchControlledDoc%3FSEARCH_ACTION%3D15%26tab%3D0%26searchMode%3D1%26searchQuery%3Ddocno:%22"&amp;RawData[[#This Row],[Document Number]]&amp;"%22%20%2Bcversion%253A1",RawData[[#This Row],[Document Number]])</f>
        <v>FS1018-ONE-XX-ZZ-D-L-0403</v>
      </c>
    </row>
    <row r="785" spans="1:12" ht="43.2" x14ac:dyDescent="0.3">
      <c r="A785" s="15" t="s">
        <v>2010</v>
      </c>
      <c r="B785" s="15" t="s">
        <v>2014</v>
      </c>
      <c r="C785" s="15" t="s">
        <v>583</v>
      </c>
      <c r="D785" s="15" t="s">
        <v>20</v>
      </c>
      <c r="E785" s="8">
        <v>45544</v>
      </c>
      <c r="F785" s="16" t="s">
        <v>78</v>
      </c>
      <c r="G785" s="16" t="s">
        <v>40</v>
      </c>
      <c r="H785" s="8">
        <v>45669</v>
      </c>
      <c r="I785" s="16" t="s">
        <v>71</v>
      </c>
      <c r="J785" t="b">
        <v>0</v>
      </c>
      <c r="K785" s="15" t="s">
        <v>2015</v>
      </c>
      <c r="L785" s="15" t="str">
        <f>HYPERLINK("https://uk1.aconex.co.uk/hub/index.html?mainTarget=%2FSearchControlledDoc%3FSEARCH_ACTION%3D15%26tab%3D0%26searchMode%3D1%26searchQuery%3Ddocno:%22"&amp;RawData[[#This Row],[Document Number]]&amp;"%22%20%2Bcversion%253A1",RawData[[#This Row],[Document Number]])</f>
        <v>FS1018-ONE-XX-ZZ-D-L-0403</v>
      </c>
    </row>
    <row r="786" spans="1:12" x14ac:dyDescent="0.3">
      <c r="A786" s="15" t="s">
        <v>2010</v>
      </c>
      <c r="B786" s="15" t="s">
        <v>2011</v>
      </c>
      <c r="C786" s="15" t="s">
        <v>1102</v>
      </c>
      <c r="D786" s="15" t="s">
        <v>21</v>
      </c>
      <c r="E786" s="8">
        <v>45729</v>
      </c>
      <c r="F786" s="16" t="s">
        <v>12</v>
      </c>
      <c r="G786" s="16" t="s">
        <v>4</v>
      </c>
      <c r="H786" s="8"/>
      <c r="I786" s="16"/>
      <c r="J786" t="b">
        <v>0</v>
      </c>
      <c r="K786" s="15" t="s">
        <v>2013</v>
      </c>
      <c r="L786" s="15" t="str">
        <f>HYPERLINK("https://uk1.aconex.co.uk/hub/index.html?mainTarget=%2FSearchControlledDoc%3FSEARCH_ACTION%3D15%26tab%3D0%26searchMode%3D1%26searchQuery%3Ddocno:%22"&amp;RawData[[#This Row],[Document Number]]&amp;"%22%20%2Bcversion%253A1",RawData[[#This Row],[Document Number]])</f>
        <v>FS1018-ONE-XX-ZZ-D-L-0403</v>
      </c>
    </row>
    <row r="787" spans="1:12" ht="43.2" x14ac:dyDescent="0.3">
      <c r="A787" s="15" t="s">
        <v>2016</v>
      </c>
      <c r="B787" s="15" t="s">
        <v>2017</v>
      </c>
      <c r="C787" s="15" t="s">
        <v>10</v>
      </c>
      <c r="D787" s="15" t="s">
        <v>20</v>
      </c>
      <c r="E787" s="8">
        <v>45175</v>
      </c>
      <c r="F787" s="16" t="s">
        <v>1888</v>
      </c>
      <c r="G787" s="16" t="s">
        <v>40</v>
      </c>
      <c r="H787" s="8">
        <v>45208</v>
      </c>
      <c r="I787" s="16" t="s">
        <v>2018</v>
      </c>
      <c r="J787" t="b">
        <v>1</v>
      </c>
      <c r="K787" s="15" t="s">
        <v>2019</v>
      </c>
      <c r="L787" s="15" t="str">
        <f>HYPERLINK("https://uk1.aconex.co.uk/hub/index.html?mainTarget=%2FSearchControlledDoc%3FSEARCH_ACTION%3D15%26tab%3D0%26searchMode%3D1%26searchQuery%3Ddocno:%22"&amp;RawData[[#This Row],[Document Number]]&amp;"%22%20%2Bcversion%253A1",RawData[[#This Row],[Document Number]])</f>
        <v>FS1018-ONE-XX-ZZ-D-L-0404</v>
      </c>
    </row>
    <row r="788" spans="1:12" ht="43.2" x14ac:dyDescent="0.3">
      <c r="A788" s="15" t="s">
        <v>2016</v>
      </c>
      <c r="B788" s="15" t="s">
        <v>2020</v>
      </c>
      <c r="C788" s="15" t="s">
        <v>583</v>
      </c>
      <c r="D788" s="15" t="s">
        <v>20</v>
      </c>
      <c r="E788" s="8">
        <v>45544</v>
      </c>
      <c r="F788" s="16" t="s">
        <v>78</v>
      </c>
      <c r="G788" s="16" t="s">
        <v>40</v>
      </c>
      <c r="H788" s="8">
        <v>45669</v>
      </c>
      <c r="I788" s="16" t="s">
        <v>71</v>
      </c>
      <c r="J788" t="b">
        <v>0</v>
      </c>
      <c r="K788" s="15" t="s">
        <v>2021</v>
      </c>
      <c r="L788" s="15" t="str">
        <f>HYPERLINK("https://uk1.aconex.co.uk/hub/index.html?mainTarget=%2FSearchControlledDoc%3FSEARCH_ACTION%3D15%26tab%3D0%26searchMode%3D1%26searchQuery%3Ddocno:%22"&amp;RawData[[#This Row],[Document Number]]&amp;"%22%20%2Bcversion%253A1",RawData[[#This Row],[Document Number]])</f>
        <v>FS1018-ONE-XX-ZZ-D-L-0404</v>
      </c>
    </row>
    <row r="789" spans="1:12" x14ac:dyDescent="0.3">
      <c r="A789" s="15" t="s">
        <v>2016</v>
      </c>
      <c r="B789" s="15" t="s">
        <v>2017</v>
      </c>
      <c r="C789" s="15" t="s">
        <v>960</v>
      </c>
      <c r="D789" s="15" t="s">
        <v>21</v>
      </c>
      <c r="E789" s="8">
        <v>45729</v>
      </c>
      <c r="F789" s="16" t="s">
        <v>12</v>
      </c>
      <c r="G789" s="16" t="s">
        <v>4</v>
      </c>
      <c r="H789" s="8"/>
      <c r="I789" s="16"/>
      <c r="J789" t="b">
        <v>0</v>
      </c>
      <c r="K789" s="15" t="s">
        <v>2019</v>
      </c>
      <c r="L789" s="15" t="str">
        <f>HYPERLINK("https://uk1.aconex.co.uk/hub/index.html?mainTarget=%2FSearchControlledDoc%3FSEARCH_ACTION%3D15%26tab%3D0%26searchMode%3D1%26searchQuery%3Ddocno:%22"&amp;RawData[[#This Row],[Document Number]]&amp;"%22%20%2Bcversion%253A1",RawData[[#This Row],[Document Number]])</f>
        <v>FS1018-ONE-XX-ZZ-D-L-0404</v>
      </c>
    </row>
    <row r="790" spans="1:12" ht="43.2" x14ac:dyDescent="0.3">
      <c r="A790" s="15" t="s">
        <v>2022</v>
      </c>
      <c r="B790" s="15" t="s">
        <v>2023</v>
      </c>
      <c r="C790" s="15" t="s">
        <v>10</v>
      </c>
      <c r="D790" s="15" t="s">
        <v>20</v>
      </c>
      <c r="E790" s="8">
        <v>45175</v>
      </c>
      <c r="F790" s="16" t="s">
        <v>1888</v>
      </c>
      <c r="G790" s="16" t="s">
        <v>40</v>
      </c>
      <c r="H790" s="8">
        <v>45208</v>
      </c>
      <c r="I790" s="16" t="s">
        <v>2006</v>
      </c>
      <c r="J790" t="b">
        <v>1</v>
      </c>
      <c r="K790" s="15" t="s">
        <v>2024</v>
      </c>
      <c r="L790" s="15" t="str">
        <f>HYPERLINK("https://uk1.aconex.co.uk/hub/index.html?mainTarget=%2FSearchControlledDoc%3FSEARCH_ACTION%3D15%26tab%3D0%26searchMode%3D1%26searchQuery%3Ddocno:%22"&amp;RawData[[#This Row],[Document Number]]&amp;"%22%20%2Bcversion%253A1",RawData[[#This Row],[Document Number]])</f>
        <v>FS1018-ONE-XX-ZZ-D-L-0405</v>
      </c>
    </row>
    <row r="791" spans="1:12" ht="43.2" x14ac:dyDescent="0.3">
      <c r="A791" s="15" t="s">
        <v>2022</v>
      </c>
      <c r="B791" s="15" t="s">
        <v>2025</v>
      </c>
      <c r="C791" s="15" t="s">
        <v>583</v>
      </c>
      <c r="D791" s="15" t="s">
        <v>20</v>
      </c>
      <c r="E791" s="8">
        <v>45544</v>
      </c>
      <c r="F791" s="16" t="s">
        <v>78</v>
      </c>
      <c r="G791" s="16" t="s">
        <v>40</v>
      </c>
      <c r="H791" s="8">
        <v>45669</v>
      </c>
      <c r="I791" s="16" t="s">
        <v>71</v>
      </c>
      <c r="J791" t="b">
        <v>0</v>
      </c>
      <c r="K791" s="15" t="s">
        <v>2026</v>
      </c>
      <c r="L791" s="15" t="str">
        <f>HYPERLINK("https://uk1.aconex.co.uk/hub/index.html?mainTarget=%2FSearchControlledDoc%3FSEARCH_ACTION%3D15%26tab%3D0%26searchMode%3D1%26searchQuery%3Ddocno:%22"&amp;RawData[[#This Row],[Document Number]]&amp;"%22%20%2Bcversion%253A1",RawData[[#This Row],[Document Number]])</f>
        <v>FS1018-ONE-XX-ZZ-D-L-0405</v>
      </c>
    </row>
    <row r="792" spans="1:12" x14ac:dyDescent="0.3">
      <c r="A792" s="15" t="s">
        <v>2022</v>
      </c>
      <c r="B792" s="15" t="s">
        <v>2023</v>
      </c>
      <c r="C792" s="15" t="s">
        <v>960</v>
      </c>
      <c r="D792" s="15" t="s">
        <v>21</v>
      </c>
      <c r="E792" s="8">
        <v>45729</v>
      </c>
      <c r="F792" s="16" t="s">
        <v>12</v>
      </c>
      <c r="G792" s="16" t="s">
        <v>4</v>
      </c>
      <c r="H792" s="8"/>
      <c r="I792" s="16"/>
      <c r="J792" t="b">
        <v>0</v>
      </c>
      <c r="K792" s="15" t="s">
        <v>2024</v>
      </c>
      <c r="L792" s="15" t="str">
        <f>HYPERLINK("https://uk1.aconex.co.uk/hub/index.html?mainTarget=%2FSearchControlledDoc%3FSEARCH_ACTION%3D15%26tab%3D0%26searchMode%3D1%26searchQuery%3Ddocno:%22"&amp;RawData[[#This Row],[Document Number]]&amp;"%22%20%2Bcversion%253A1",RawData[[#This Row],[Document Number]])</f>
        <v>FS1018-ONE-XX-ZZ-D-L-0405</v>
      </c>
    </row>
    <row r="793" spans="1:12" x14ac:dyDescent="0.3">
      <c r="A793" s="15" t="s">
        <v>2027</v>
      </c>
      <c r="B793" s="15" t="s">
        <v>2028</v>
      </c>
      <c r="C793" s="15" t="s">
        <v>11</v>
      </c>
      <c r="D793" s="15" t="s">
        <v>21</v>
      </c>
      <c r="E793" s="8">
        <v>45729</v>
      </c>
      <c r="F793" s="16" t="s">
        <v>12</v>
      </c>
      <c r="G793" s="16" t="s">
        <v>4</v>
      </c>
      <c r="H793" s="8"/>
      <c r="I793" s="16"/>
      <c r="J793" t="b">
        <v>0</v>
      </c>
      <c r="K793" s="15" t="s">
        <v>2029</v>
      </c>
      <c r="L793" s="15" t="str">
        <f>HYPERLINK("https://uk1.aconex.co.uk/hub/index.html?mainTarget=%2FSearchControlledDoc%3FSEARCH_ACTION%3D15%26tab%3D0%26searchMode%3D1%26searchQuery%3Ddocno:%22"&amp;RawData[[#This Row],[Document Number]]&amp;"%22%20%2Bcversion%253A1",RawData[[#This Row],[Document Number]])</f>
        <v>FS1018-ONE-XX-ZZ-D-L-0601</v>
      </c>
    </row>
    <row r="794" spans="1:12" x14ac:dyDescent="0.3">
      <c r="A794" s="15" t="s">
        <v>2030</v>
      </c>
      <c r="B794" s="15" t="s">
        <v>2031</v>
      </c>
      <c r="C794" s="15" t="s">
        <v>11</v>
      </c>
      <c r="D794" s="15" t="s">
        <v>21</v>
      </c>
      <c r="E794" s="8">
        <v>45729</v>
      </c>
      <c r="F794" s="16" t="s">
        <v>12</v>
      </c>
      <c r="G794" s="16" t="s">
        <v>4</v>
      </c>
      <c r="H794" s="8"/>
      <c r="I794" s="16"/>
      <c r="J794" t="b">
        <v>0</v>
      </c>
      <c r="K794" s="15" t="s">
        <v>2032</v>
      </c>
      <c r="L794" s="15" t="str">
        <f>HYPERLINK("https://uk1.aconex.co.uk/hub/index.html?mainTarget=%2FSearchControlledDoc%3FSEARCH_ACTION%3D15%26tab%3D0%26searchMode%3D1%26searchQuery%3Ddocno:%22"&amp;RawData[[#This Row],[Document Number]]&amp;"%22%20%2Bcversion%253A1",RawData[[#This Row],[Document Number]])</f>
        <v>FS1018-ONE-XX-ZZ-D-L-0602</v>
      </c>
    </row>
    <row r="795" spans="1:12" x14ac:dyDescent="0.3">
      <c r="A795" s="15" t="s">
        <v>2033</v>
      </c>
      <c r="B795" s="15" t="s">
        <v>2034</v>
      </c>
      <c r="C795" s="15" t="s">
        <v>11</v>
      </c>
      <c r="D795" s="15" t="s">
        <v>21</v>
      </c>
      <c r="E795" s="8">
        <v>45729</v>
      </c>
      <c r="F795" s="16" t="s">
        <v>12</v>
      </c>
      <c r="G795" s="16" t="s">
        <v>4</v>
      </c>
      <c r="H795" s="8"/>
      <c r="I795" s="16"/>
      <c r="J795" t="b">
        <v>0</v>
      </c>
      <c r="K795" s="15" t="s">
        <v>2035</v>
      </c>
      <c r="L795" s="15" t="str">
        <f>HYPERLINK("https://uk1.aconex.co.uk/hub/index.html?mainTarget=%2FSearchControlledDoc%3FSEARCH_ACTION%3D15%26tab%3D0%26searchMode%3D1%26searchQuery%3Ddocno:%22"&amp;RawData[[#This Row],[Document Number]]&amp;"%22%20%2Bcversion%253A1",RawData[[#This Row],[Document Number]])</f>
        <v>FS1018-ONE-XX-ZZ-D-L-0603</v>
      </c>
    </row>
    <row r="796" spans="1:12" ht="43.2" x14ac:dyDescent="0.3">
      <c r="A796" s="15" t="s">
        <v>2036</v>
      </c>
      <c r="B796" s="15" t="s">
        <v>2037</v>
      </c>
      <c r="C796" s="15" t="s">
        <v>14</v>
      </c>
      <c r="D796" s="15" t="s">
        <v>20</v>
      </c>
      <c r="E796" s="8">
        <v>45638</v>
      </c>
      <c r="F796" s="16" t="s">
        <v>78</v>
      </c>
      <c r="G796" s="16" t="s">
        <v>40</v>
      </c>
      <c r="H796" s="8">
        <v>45669</v>
      </c>
      <c r="I796" s="16" t="s">
        <v>71</v>
      </c>
      <c r="J796" t="b">
        <v>0</v>
      </c>
      <c r="K796" s="15" t="s">
        <v>2038</v>
      </c>
      <c r="L796" s="15" t="str">
        <f>HYPERLINK("https://uk1.aconex.co.uk/hub/index.html?mainTarget=%2FSearchControlledDoc%3FSEARCH_ACTION%3D15%26tab%3D0%26searchMode%3D1%26searchQuery%3Ddocno:%22"&amp;RawData[[#This Row],[Document Number]]&amp;"%22%20%2Bcversion%253A1",RawData[[#This Row],[Document Number]])</f>
        <v>FS1018-ONE-ZZ-XX-T-L-0004</v>
      </c>
    </row>
    <row r="797" spans="1:12" x14ac:dyDescent="0.3">
      <c r="A797" s="15" t="s">
        <v>2036</v>
      </c>
      <c r="B797" s="15" t="s">
        <v>2037</v>
      </c>
      <c r="C797" s="15" t="s">
        <v>10</v>
      </c>
      <c r="D797" s="15" t="s">
        <v>21</v>
      </c>
      <c r="E797" s="8">
        <v>45729</v>
      </c>
      <c r="F797" s="16" t="s">
        <v>12</v>
      </c>
      <c r="G797" s="16" t="s">
        <v>4</v>
      </c>
      <c r="H797" s="8"/>
      <c r="I797" s="16"/>
      <c r="J797" t="b">
        <v>1</v>
      </c>
      <c r="K797" s="15" t="s">
        <v>2038</v>
      </c>
      <c r="L797" s="15" t="str">
        <f>HYPERLINK("https://uk1.aconex.co.uk/hub/index.html?mainTarget=%2FSearchControlledDoc%3FSEARCH_ACTION%3D15%26tab%3D0%26searchMode%3D1%26searchQuery%3Ddocno:%22"&amp;RawData[[#This Row],[Document Number]]&amp;"%22%20%2Bcversion%253A1",RawData[[#This Row],[Document Number]])</f>
        <v>FS1018-ONE-ZZ-XX-T-L-0004</v>
      </c>
    </row>
    <row r="798" spans="1:12" ht="43.2" x14ac:dyDescent="0.3">
      <c r="A798" s="15" t="s">
        <v>2039</v>
      </c>
      <c r="B798" s="15" t="s">
        <v>2040</v>
      </c>
      <c r="C798" s="15" t="s">
        <v>14</v>
      </c>
      <c r="D798" s="15" t="s">
        <v>20</v>
      </c>
      <c r="E798" s="8">
        <v>45175</v>
      </c>
      <c r="F798" s="16" t="s">
        <v>1888</v>
      </c>
      <c r="G798" s="16" t="s">
        <v>40</v>
      </c>
      <c r="H798" s="8">
        <v>45195</v>
      </c>
      <c r="I798" s="16" t="s">
        <v>2041</v>
      </c>
      <c r="J798" t="b">
        <v>0</v>
      </c>
      <c r="K798" s="15" t="s">
        <v>2042</v>
      </c>
      <c r="L798" s="15" t="str">
        <f>HYPERLINK("https://uk1.aconex.co.uk/hub/index.html?mainTarget=%2FSearchControlledDoc%3FSEARCH_ACTION%3D15%26tab%3D0%26searchMode%3D1%26searchQuery%3Ddocno:%22"&amp;RawData[[#This Row],[Document Number]]&amp;"%22%20%2Bcversion%253A1",RawData[[#This Row],[Document Number]])</f>
        <v>FS1018-ONE-ZZ-ZZ-M-L-0001</v>
      </c>
    </row>
    <row r="799" spans="1:12" x14ac:dyDescent="0.3">
      <c r="A799" s="15" t="s">
        <v>2039</v>
      </c>
      <c r="B799" s="15" t="s">
        <v>2043</v>
      </c>
      <c r="C799" s="15" t="s">
        <v>11</v>
      </c>
      <c r="D799" s="15" t="s">
        <v>21</v>
      </c>
      <c r="E799" s="8">
        <v>45729</v>
      </c>
      <c r="F799" s="16" t="s">
        <v>12</v>
      </c>
      <c r="G799" s="16" t="s">
        <v>4</v>
      </c>
      <c r="H799" s="8"/>
      <c r="I799" s="16"/>
      <c r="J799" t="b">
        <v>0</v>
      </c>
      <c r="K799" s="15" t="s">
        <v>2044</v>
      </c>
      <c r="L799" s="15" t="str">
        <f>HYPERLINK("https://uk1.aconex.co.uk/hub/index.html?mainTarget=%2FSearchControlledDoc%3FSEARCH_ACTION%3D15%26tab%3D0%26searchMode%3D1%26searchQuery%3Ddocno:%22"&amp;RawData[[#This Row],[Document Number]]&amp;"%22%20%2Bcversion%253A1",RawData[[#This Row],[Document Number]])</f>
        <v>FS1018-ONE-ZZ-ZZ-M-L-0001</v>
      </c>
    </row>
    <row r="800" spans="1:12" ht="72" x14ac:dyDescent="0.3">
      <c r="A800" s="15" t="s">
        <v>2045</v>
      </c>
      <c r="B800" s="15" t="s">
        <v>2046</v>
      </c>
      <c r="C800" s="15" t="s">
        <v>14</v>
      </c>
      <c r="D800" s="15" t="s">
        <v>20</v>
      </c>
      <c r="E800" s="8">
        <v>45175</v>
      </c>
      <c r="F800" s="16" t="s">
        <v>1888</v>
      </c>
      <c r="G800" s="16" t="s">
        <v>40</v>
      </c>
      <c r="H800" s="8">
        <v>45195</v>
      </c>
      <c r="I800" s="16" t="s">
        <v>2047</v>
      </c>
      <c r="J800" t="b">
        <v>0</v>
      </c>
      <c r="K800" s="15" t="s">
        <v>2048</v>
      </c>
      <c r="L800" s="15" t="str">
        <f>HYPERLINK("https://uk1.aconex.co.uk/hub/index.html?mainTarget=%2FSearchControlledDoc%3FSEARCH_ACTION%3D15%26tab%3D0%26searchMode%3D1%26searchQuery%3Ddocno:%22"&amp;RawData[[#This Row],[Document Number]]&amp;"%22%20%2Bcversion%253A1",RawData[[#This Row],[Document Number]])</f>
        <v>FS1018-ONE-ZZ-ZZ-M-L-0002</v>
      </c>
    </row>
    <row r="801" spans="1:12" ht="43.2" x14ac:dyDescent="0.3">
      <c r="A801" s="15" t="s">
        <v>2045</v>
      </c>
      <c r="B801" s="15" t="s">
        <v>2043</v>
      </c>
      <c r="C801" s="15" t="s">
        <v>10</v>
      </c>
      <c r="D801" s="15" t="s">
        <v>20</v>
      </c>
      <c r="E801" s="8">
        <v>45505</v>
      </c>
      <c r="F801" s="16" t="s">
        <v>1888</v>
      </c>
      <c r="G801" s="16" t="s">
        <v>40</v>
      </c>
      <c r="H801" s="8">
        <v>45669</v>
      </c>
      <c r="I801" s="16" t="s">
        <v>71</v>
      </c>
      <c r="J801" t="b">
        <v>1</v>
      </c>
      <c r="K801" s="15" t="s">
        <v>2049</v>
      </c>
      <c r="L801" s="15" t="str">
        <f>HYPERLINK("https://uk1.aconex.co.uk/hub/index.html?mainTarget=%2FSearchControlledDoc%3FSEARCH_ACTION%3D15%26tab%3D0%26searchMode%3D1%26searchQuery%3Ddocno:%22"&amp;RawData[[#This Row],[Document Number]]&amp;"%22%20%2Bcversion%253A1",RawData[[#This Row],[Document Number]])</f>
        <v>FS1018-ONE-ZZ-ZZ-M-L-0002</v>
      </c>
    </row>
    <row r="802" spans="1:12" x14ac:dyDescent="0.3">
      <c r="A802" s="15" t="s">
        <v>2045</v>
      </c>
      <c r="B802" s="15" t="s">
        <v>2043</v>
      </c>
      <c r="C802" s="15" t="s">
        <v>11</v>
      </c>
      <c r="D802" s="15" t="s">
        <v>21</v>
      </c>
      <c r="E802" s="8">
        <v>45729</v>
      </c>
      <c r="F802" s="16" t="s">
        <v>12</v>
      </c>
      <c r="G802" s="16" t="s">
        <v>4</v>
      </c>
      <c r="H802" s="8"/>
      <c r="I802" s="16"/>
      <c r="J802" t="b">
        <v>0</v>
      </c>
      <c r="K802" s="15" t="s">
        <v>2049</v>
      </c>
      <c r="L802" s="15" t="str">
        <f>HYPERLINK("https://uk1.aconex.co.uk/hub/index.html?mainTarget=%2FSearchControlledDoc%3FSEARCH_ACTION%3D15%26tab%3D0%26searchMode%3D1%26searchQuery%3Ddocno:%22"&amp;RawData[[#This Row],[Document Number]]&amp;"%22%20%2Bcversion%253A1",RawData[[#This Row],[Document Number]])</f>
        <v>FS1018-ONE-ZZ-ZZ-M-L-0002</v>
      </c>
    </row>
    <row r="803" spans="1:12" ht="72" x14ac:dyDescent="0.3">
      <c r="A803" s="15" t="s">
        <v>2050</v>
      </c>
      <c r="B803" s="15" t="s">
        <v>2046</v>
      </c>
      <c r="C803" s="15" t="s">
        <v>14</v>
      </c>
      <c r="D803" s="15" t="s">
        <v>20</v>
      </c>
      <c r="E803" s="8">
        <v>45175</v>
      </c>
      <c r="F803" s="16" t="s">
        <v>1888</v>
      </c>
      <c r="G803" s="16" t="s">
        <v>40</v>
      </c>
      <c r="H803" s="8">
        <v>45195</v>
      </c>
      <c r="I803" s="16" t="s">
        <v>2051</v>
      </c>
      <c r="J803" t="b">
        <v>0</v>
      </c>
      <c r="K803" s="15" t="s">
        <v>2052</v>
      </c>
      <c r="L803" s="15" t="str">
        <f>HYPERLINK("https://uk1.aconex.co.uk/hub/index.html?mainTarget=%2FSearchControlledDoc%3FSEARCH_ACTION%3D15%26tab%3D0%26searchMode%3D1%26searchQuery%3Ddocno:%22"&amp;RawData[[#This Row],[Document Number]]&amp;"%22%20%2Bcversion%253A1",RawData[[#This Row],[Document Number]])</f>
        <v>FS1018-ONE-ZZ-ZZ-M-L-0003</v>
      </c>
    </row>
    <row r="804" spans="1:12" ht="43.2" x14ac:dyDescent="0.3">
      <c r="A804" s="15" t="s">
        <v>2050</v>
      </c>
      <c r="B804" s="15" t="s">
        <v>2043</v>
      </c>
      <c r="C804" s="15" t="s">
        <v>10</v>
      </c>
      <c r="D804" s="15" t="s">
        <v>20</v>
      </c>
      <c r="E804" s="8">
        <v>45532</v>
      </c>
      <c r="F804" s="16" t="s">
        <v>33</v>
      </c>
      <c r="G804" s="16" t="s">
        <v>40</v>
      </c>
      <c r="H804" s="8">
        <v>45669</v>
      </c>
      <c r="I804" s="16" t="s">
        <v>71</v>
      </c>
      <c r="J804" t="b">
        <v>1</v>
      </c>
      <c r="K804" s="15" t="s">
        <v>2053</v>
      </c>
      <c r="L804" s="15" t="str">
        <f>HYPERLINK("https://uk1.aconex.co.uk/hub/index.html?mainTarget=%2FSearchControlledDoc%3FSEARCH_ACTION%3D15%26tab%3D0%26searchMode%3D1%26searchQuery%3Ddocno:%22"&amp;RawData[[#This Row],[Document Number]]&amp;"%22%20%2Bcversion%253A1",RawData[[#This Row],[Document Number]])</f>
        <v>FS1018-ONE-ZZ-ZZ-M-L-0003</v>
      </c>
    </row>
    <row r="805" spans="1:12" x14ac:dyDescent="0.3">
      <c r="A805" s="15" t="s">
        <v>2050</v>
      </c>
      <c r="B805" s="15" t="s">
        <v>2043</v>
      </c>
      <c r="C805" s="15" t="s">
        <v>11</v>
      </c>
      <c r="D805" s="15" t="s">
        <v>21</v>
      </c>
      <c r="E805" s="8">
        <v>45729</v>
      </c>
      <c r="F805" s="16" t="s">
        <v>12</v>
      </c>
      <c r="G805" s="16" t="s">
        <v>4</v>
      </c>
      <c r="H805" s="8"/>
      <c r="I805" s="16"/>
      <c r="J805" t="b">
        <v>0</v>
      </c>
      <c r="K805" s="15" t="s">
        <v>2053</v>
      </c>
      <c r="L805" s="15" t="str">
        <f>HYPERLINK("https://uk1.aconex.co.uk/hub/index.html?mainTarget=%2FSearchControlledDoc%3FSEARCH_ACTION%3D15%26tab%3D0%26searchMode%3D1%26searchQuery%3Ddocno:%22"&amp;RawData[[#This Row],[Document Number]]&amp;"%22%20%2Bcversion%253A1",RawData[[#This Row],[Document Number]])</f>
        <v>FS1018-ONE-ZZ-ZZ-M-L-0003</v>
      </c>
    </row>
    <row r="806" spans="1:12" x14ac:dyDescent="0.3">
      <c r="A806" s="15" t="s">
        <v>2054</v>
      </c>
      <c r="B806" s="15" t="s">
        <v>2055</v>
      </c>
      <c r="C806" s="15" t="s">
        <v>10</v>
      </c>
      <c r="D806" s="15" t="s">
        <v>21</v>
      </c>
      <c r="E806" s="8">
        <v>45729</v>
      </c>
      <c r="F806" s="16" t="s">
        <v>12</v>
      </c>
      <c r="G806" s="16" t="s">
        <v>4</v>
      </c>
      <c r="H806" s="8"/>
      <c r="I806" s="16"/>
      <c r="J806" t="b">
        <v>1</v>
      </c>
      <c r="K806" s="15" t="s">
        <v>2056</v>
      </c>
      <c r="L806" s="15" t="str">
        <f>HYPERLINK("https://uk1.aconex.co.uk/hub/index.html?mainTarget=%2FSearchControlledDoc%3FSEARCH_ACTION%3D15%26tab%3D0%26searchMode%3D1%26searchQuery%3Ddocno:%22"&amp;RawData[[#This Row],[Document Number]]&amp;"%22%20%2Bcversion%253A1",RawData[[#This Row],[Document Number]])</f>
        <v>FS1018-PIN-XX-XX-L-O-0003</v>
      </c>
    </row>
    <row r="807" spans="1:12" ht="43.2" x14ac:dyDescent="0.3">
      <c r="A807" s="15" t="s">
        <v>2057</v>
      </c>
      <c r="B807" s="15" t="s">
        <v>2058</v>
      </c>
      <c r="C807" s="15" t="s">
        <v>14</v>
      </c>
      <c r="D807" s="15" t="s">
        <v>20</v>
      </c>
      <c r="E807" s="8">
        <v>45175</v>
      </c>
      <c r="F807" s="16" t="s">
        <v>2059</v>
      </c>
      <c r="G807" s="16" t="s">
        <v>40</v>
      </c>
      <c r="H807" s="8">
        <v>45190</v>
      </c>
      <c r="I807" s="16" t="s">
        <v>1907</v>
      </c>
      <c r="J807" t="b">
        <v>0</v>
      </c>
      <c r="K807" s="15" t="s">
        <v>2060</v>
      </c>
      <c r="L807" s="15" t="str">
        <f>HYPERLINK("https://uk1.aconex.co.uk/hub/index.html?mainTarget=%2FSearchControlledDoc%3FSEARCH_ACTION%3D15%26tab%3D0%26searchMode%3D1%26searchQuery%3Ddocno:%22"&amp;RawData[[#This Row],[Document Number]]&amp;"%22%20%2Bcversion%253A1",RawData[[#This Row],[Document Number]])</f>
        <v>FS1018-PIN-ZZ-00-D-O-0001</v>
      </c>
    </row>
    <row r="808" spans="1:12" ht="43.2" x14ac:dyDescent="0.3">
      <c r="A808" s="15" t="s">
        <v>2057</v>
      </c>
      <c r="B808" s="15" t="s">
        <v>2061</v>
      </c>
      <c r="C808" s="15" t="s">
        <v>10</v>
      </c>
      <c r="D808" s="15" t="s">
        <v>20</v>
      </c>
      <c r="E808" s="8">
        <v>45533</v>
      </c>
      <c r="F808" s="16" t="s">
        <v>2059</v>
      </c>
      <c r="G808" s="16" t="s">
        <v>40</v>
      </c>
      <c r="H808" s="8">
        <v>45669</v>
      </c>
      <c r="I808" s="16" t="s">
        <v>71</v>
      </c>
      <c r="J808" t="b">
        <v>1</v>
      </c>
      <c r="K808" s="15" t="s">
        <v>2062</v>
      </c>
      <c r="L808" s="15" t="str">
        <f>HYPERLINK("https://uk1.aconex.co.uk/hub/index.html?mainTarget=%2FSearchControlledDoc%3FSEARCH_ACTION%3D15%26tab%3D0%26searchMode%3D1%26searchQuery%3Ddocno:%22"&amp;RawData[[#This Row],[Document Number]]&amp;"%22%20%2Bcversion%253A1",RawData[[#This Row],[Document Number]])</f>
        <v>FS1018-PIN-ZZ-00-D-O-0001</v>
      </c>
    </row>
    <row r="809" spans="1:12" x14ac:dyDescent="0.3">
      <c r="A809" s="15" t="s">
        <v>2057</v>
      </c>
      <c r="B809" s="15" t="s">
        <v>2063</v>
      </c>
      <c r="C809" s="15" t="s">
        <v>1155</v>
      </c>
      <c r="D809" s="15" t="s">
        <v>21</v>
      </c>
      <c r="E809" s="8">
        <v>45729</v>
      </c>
      <c r="F809" s="16" t="s">
        <v>12</v>
      </c>
      <c r="G809" s="16" t="s">
        <v>4</v>
      </c>
      <c r="H809" s="8"/>
      <c r="I809" s="16"/>
      <c r="J809" t="b">
        <v>0</v>
      </c>
      <c r="K809" s="15" t="s">
        <v>2064</v>
      </c>
      <c r="L809" s="15" t="str">
        <f>HYPERLINK("https://uk1.aconex.co.uk/hub/index.html?mainTarget=%2FSearchControlledDoc%3FSEARCH_ACTION%3D15%26tab%3D0%26searchMode%3D1%26searchQuery%3Ddocno:%22"&amp;RawData[[#This Row],[Document Number]]&amp;"%22%20%2Bcversion%253A1",RawData[[#This Row],[Document Number]])</f>
        <v>FS1018-PIN-ZZ-00-D-O-0001</v>
      </c>
    </row>
    <row r="810" spans="1:12" ht="43.2" x14ac:dyDescent="0.3">
      <c r="A810" s="15" t="s">
        <v>2065</v>
      </c>
      <c r="B810" s="15" t="s">
        <v>2066</v>
      </c>
      <c r="C810" s="15" t="s">
        <v>14</v>
      </c>
      <c r="D810" s="15" t="s">
        <v>20</v>
      </c>
      <c r="E810" s="8">
        <v>45175</v>
      </c>
      <c r="F810" s="16" t="s">
        <v>2059</v>
      </c>
      <c r="G810" s="16" t="s">
        <v>40</v>
      </c>
      <c r="H810" s="8">
        <v>45190</v>
      </c>
      <c r="I810" s="16" t="s">
        <v>2067</v>
      </c>
      <c r="J810" t="b">
        <v>0</v>
      </c>
      <c r="K810" s="15" t="s">
        <v>2068</v>
      </c>
      <c r="L810" s="15" t="str">
        <f>HYPERLINK("https://uk1.aconex.co.uk/hub/index.html?mainTarget=%2FSearchControlledDoc%3FSEARCH_ACTION%3D15%26tab%3D0%26searchMode%3D1%26searchQuery%3Ddocno:%22"&amp;RawData[[#This Row],[Document Number]]&amp;"%22%20%2Bcversion%253A1",RawData[[#This Row],[Document Number]])</f>
        <v>FS1018-PIN-ZZ-00-D-O-0002</v>
      </c>
    </row>
    <row r="811" spans="1:12" ht="43.2" x14ac:dyDescent="0.3">
      <c r="A811" s="15" t="s">
        <v>2065</v>
      </c>
      <c r="B811" s="15" t="s">
        <v>2069</v>
      </c>
      <c r="C811" s="15" t="s">
        <v>10</v>
      </c>
      <c r="D811" s="15" t="s">
        <v>20</v>
      </c>
      <c r="E811" s="8">
        <v>45533</v>
      </c>
      <c r="F811" s="16" t="s">
        <v>2059</v>
      </c>
      <c r="G811" s="16" t="s">
        <v>40</v>
      </c>
      <c r="H811" s="8">
        <v>45669</v>
      </c>
      <c r="I811" s="16" t="s">
        <v>71</v>
      </c>
      <c r="J811" t="b">
        <v>1</v>
      </c>
      <c r="K811" s="15" t="s">
        <v>2070</v>
      </c>
      <c r="L811" s="15" t="str">
        <f>HYPERLINK("https://uk1.aconex.co.uk/hub/index.html?mainTarget=%2FSearchControlledDoc%3FSEARCH_ACTION%3D15%26tab%3D0%26searchMode%3D1%26searchQuery%3Ddocno:%22"&amp;RawData[[#This Row],[Document Number]]&amp;"%22%20%2Bcversion%253A1",RawData[[#This Row],[Document Number]])</f>
        <v>FS1018-PIN-ZZ-00-D-O-0002</v>
      </c>
    </row>
    <row r="812" spans="1:12" x14ac:dyDescent="0.3">
      <c r="A812" s="15" t="s">
        <v>2065</v>
      </c>
      <c r="B812" s="15" t="s">
        <v>2071</v>
      </c>
      <c r="C812" s="15" t="s">
        <v>1155</v>
      </c>
      <c r="D812" s="15" t="s">
        <v>21</v>
      </c>
      <c r="E812" s="8">
        <v>45729</v>
      </c>
      <c r="F812" s="16" t="s">
        <v>12</v>
      </c>
      <c r="G812" s="16" t="s">
        <v>4</v>
      </c>
      <c r="H812" s="8"/>
      <c r="I812" s="16"/>
      <c r="J812" t="b">
        <v>0</v>
      </c>
      <c r="K812" s="15" t="s">
        <v>2072</v>
      </c>
      <c r="L812" s="15" t="str">
        <f>HYPERLINK("https://uk1.aconex.co.uk/hub/index.html?mainTarget=%2FSearchControlledDoc%3FSEARCH_ACTION%3D15%26tab%3D0%26searchMode%3D1%26searchQuery%3Ddocno:%22"&amp;RawData[[#This Row],[Document Number]]&amp;"%22%20%2Bcversion%253A1",RawData[[#This Row],[Document Number]])</f>
        <v>FS1018-PIN-ZZ-00-D-O-0002</v>
      </c>
    </row>
    <row r="813" spans="1:12" ht="43.2" x14ac:dyDescent="0.3">
      <c r="A813" s="15" t="s">
        <v>2073</v>
      </c>
      <c r="B813" s="15" t="s">
        <v>2074</v>
      </c>
      <c r="C813" s="15" t="s">
        <v>14</v>
      </c>
      <c r="D813" s="15" t="s">
        <v>20</v>
      </c>
      <c r="E813" s="8">
        <v>45533</v>
      </c>
      <c r="F813" s="16" t="s">
        <v>2059</v>
      </c>
      <c r="G813" s="16" t="s">
        <v>40</v>
      </c>
      <c r="H813" s="8">
        <v>45669</v>
      </c>
      <c r="I813" s="16" t="s">
        <v>71</v>
      </c>
      <c r="J813" t="b">
        <v>0</v>
      </c>
      <c r="K813" s="15" t="s">
        <v>2075</v>
      </c>
      <c r="L813" s="15" t="str">
        <f>HYPERLINK("https://uk1.aconex.co.uk/hub/index.html?mainTarget=%2FSearchControlledDoc%3FSEARCH_ACTION%3D15%26tab%3D0%26searchMode%3D1%26searchQuery%3Ddocno:%22"&amp;RawData[[#This Row],[Document Number]]&amp;"%22%20%2Bcversion%253A1",RawData[[#This Row],[Document Number]])</f>
        <v>FS1018-PIN-ZZ-00-D-O-0006</v>
      </c>
    </row>
    <row r="814" spans="1:12" x14ac:dyDescent="0.3">
      <c r="A814" s="15" t="s">
        <v>2073</v>
      </c>
      <c r="B814" s="15" t="s">
        <v>2074</v>
      </c>
      <c r="C814" s="15" t="s">
        <v>11</v>
      </c>
      <c r="D814" s="15" t="s">
        <v>21</v>
      </c>
      <c r="E814" s="8">
        <v>45729</v>
      </c>
      <c r="F814" s="16" t="s">
        <v>12</v>
      </c>
      <c r="G814" s="16" t="s">
        <v>4</v>
      </c>
      <c r="H814" s="8"/>
      <c r="I814" s="16"/>
      <c r="J814" t="b">
        <v>0</v>
      </c>
      <c r="K814" s="15" t="s">
        <v>2075</v>
      </c>
      <c r="L814" s="15" t="str">
        <f>HYPERLINK("https://uk1.aconex.co.uk/hub/index.html?mainTarget=%2FSearchControlledDoc%3FSEARCH_ACTION%3D15%26tab%3D0%26searchMode%3D1%26searchQuery%3Ddocno:%22"&amp;RawData[[#This Row],[Document Number]]&amp;"%22%20%2Bcversion%253A1",RawData[[#This Row],[Document Number]])</f>
        <v>FS1018-PIN-ZZ-00-D-O-0006</v>
      </c>
    </row>
    <row r="815" spans="1:12" ht="43.2" x14ac:dyDescent="0.3">
      <c r="A815" s="15" t="s">
        <v>2076</v>
      </c>
      <c r="B815" s="15" t="s">
        <v>2077</v>
      </c>
      <c r="C815" s="15" t="s">
        <v>14</v>
      </c>
      <c r="D815" s="15" t="s">
        <v>20</v>
      </c>
      <c r="E815" s="8">
        <v>45533</v>
      </c>
      <c r="F815" s="16" t="s">
        <v>2059</v>
      </c>
      <c r="G815" s="16" t="s">
        <v>40</v>
      </c>
      <c r="H815" s="8">
        <v>45669</v>
      </c>
      <c r="I815" s="16" t="s">
        <v>71</v>
      </c>
      <c r="J815" t="b">
        <v>0</v>
      </c>
      <c r="K815" s="15" t="s">
        <v>2078</v>
      </c>
      <c r="L815" s="15" t="str">
        <f>HYPERLINK("https://uk1.aconex.co.uk/hub/index.html?mainTarget=%2FSearchControlledDoc%3FSEARCH_ACTION%3D15%26tab%3D0%26searchMode%3D1%26searchQuery%3Ddocno:%22"&amp;RawData[[#This Row],[Document Number]]&amp;"%22%20%2Bcversion%253A1",RawData[[#This Row],[Document Number]])</f>
        <v>FS1018-PIN-ZZ-00-D-O-0601</v>
      </c>
    </row>
    <row r="816" spans="1:12" x14ac:dyDescent="0.3">
      <c r="A816" s="15" t="s">
        <v>2076</v>
      </c>
      <c r="B816" s="15" t="s">
        <v>2079</v>
      </c>
      <c r="C816" s="15" t="s">
        <v>583</v>
      </c>
      <c r="D816" s="15" t="s">
        <v>21</v>
      </c>
      <c r="E816" s="8">
        <v>45729</v>
      </c>
      <c r="F816" s="16" t="s">
        <v>12</v>
      </c>
      <c r="G816" s="16" t="s">
        <v>4</v>
      </c>
      <c r="H816" s="8"/>
      <c r="I816" s="16"/>
      <c r="J816" t="b">
        <v>0</v>
      </c>
      <c r="K816" s="15" t="s">
        <v>2080</v>
      </c>
      <c r="L816" s="15" t="str">
        <f>HYPERLINK("https://uk1.aconex.co.uk/hub/index.html?mainTarget=%2FSearchControlledDoc%3FSEARCH_ACTION%3D15%26tab%3D0%26searchMode%3D1%26searchQuery%3Ddocno:%22"&amp;RawData[[#This Row],[Document Number]]&amp;"%22%20%2Bcversion%253A1",RawData[[#This Row],[Document Number]])</f>
        <v>FS1018-PIN-ZZ-00-D-O-0601</v>
      </c>
    </row>
    <row r="817" spans="1:12" ht="43.2" x14ac:dyDescent="0.3">
      <c r="A817" s="15" t="s">
        <v>2081</v>
      </c>
      <c r="B817" s="15" t="s">
        <v>2082</v>
      </c>
      <c r="C817" s="15" t="s">
        <v>14</v>
      </c>
      <c r="D817" s="15" t="s">
        <v>20</v>
      </c>
      <c r="E817" s="8">
        <v>45175</v>
      </c>
      <c r="F817" s="16" t="s">
        <v>2059</v>
      </c>
      <c r="G817" s="16" t="s">
        <v>40</v>
      </c>
      <c r="H817" s="8">
        <v>45190</v>
      </c>
      <c r="I817" s="16" t="s">
        <v>2067</v>
      </c>
      <c r="J817" t="b">
        <v>0</v>
      </c>
      <c r="K817" s="15" t="s">
        <v>2083</v>
      </c>
      <c r="L817" s="15" t="str">
        <f>HYPERLINK("https://uk1.aconex.co.uk/hub/index.html?mainTarget=%2FSearchControlledDoc%3FSEARCH_ACTION%3D15%26tab%3D0%26searchMode%3D1%26searchQuery%3Ddocno:%22"&amp;RawData[[#This Row],[Document Number]]&amp;"%22%20%2Bcversion%253A1",RawData[[#This Row],[Document Number]])</f>
        <v>FS1018-PIN-ZZ-00-D-O-1109</v>
      </c>
    </row>
    <row r="818" spans="1:12" ht="43.2" x14ac:dyDescent="0.3">
      <c r="A818" s="15" t="s">
        <v>2081</v>
      </c>
      <c r="B818" s="15" t="s">
        <v>2084</v>
      </c>
      <c r="C818" s="15" t="s">
        <v>10</v>
      </c>
      <c r="D818" s="15" t="s">
        <v>20</v>
      </c>
      <c r="E818" s="8">
        <v>45533</v>
      </c>
      <c r="F818" s="16" t="s">
        <v>2059</v>
      </c>
      <c r="G818" s="16" t="s">
        <v>40</v>
      </c>
      <c r="H818" s="8">
        <v>45669</v>
      </c>
      <c r="I818" s="16" t="s">
        <v>71</v>
      </c>
      <c r="J818" t="b">
        <v>1</v>
      </c>
      <c r="K818" s="15" t="s">
        <v>2085</v>
      </c>
      <c r="L818" s="15" t="str">
        <f>HYPERLINK("https://uk1.aconex.co.uk/hub/index.html?mainTarget=%2FSearchControlledDoc%3FSEARCH_ACTION%3D15%26tab%3D0%26searchMode%3D1%26searchQuery%3Ddocno:%22"&amp;RawData[[#This Row],[Document Number]]&amp;"%22%20%2Bcversion%253A1",RawData[[#This Row],[Document Number]])</f>
        <v>FS1018-PIN-ZZ-00-D-O-1109</v>
      </c>
    </row>
    <row r="819" spans="1:12" x14ac:dyDescent="0.3">
      <c r="A819" s="15" t="s">
        <v>2081</v>
      </c>
      <c r="B819" s="15" t="s">
        <v>2084</v>
      </c>
      <c r="C819" s="15" t="s">
        <v>583</v>
      </c>
      <c r="D819" s="15" t="s">
        <v>21</v>
      </c>
      <c r="E819" s="8">
        <v>45729</v>
      </c>
      <c r="F819" s="16" t="s">
        <v>12</v>
      </c>
      <c r="G819" s="16" t="s">
        <v>4</v>
      </c>
      <c r="H819" s="8"/>
      <c r="I819" s="16"/>
      <c r="J819" t="b">
        <v>0</v>
      </c>
      <c r="K819" s="15" t="s">
        <v>2085</v>
      </c>
      <c r="L819" s="15" t="str">
        <f>HYPERLINK("https://uk1.aconex.co.uk/hub/index.html?mainTarget=%2FSearchControlledDoc%3FSEARCH_ACTION%3D15%26tab%3D0%26searchMode%3D1%26searchQuery%3Ddocno:%22"&amp;RawData[[#This Row],[Document Number]]&amp;"%22%20%2Bcversion%253A1",RawData[[#This Row],[Document Number]])</f>
        <v>FS1018-PIN-ZZ-00-D-O-1109</v>
      </c>
    </row>
    <row r="820" spans="1:12" ht="43.2" x14ac:dyDescent="0.3">
      <c r="A820" s="15" t="s">
        <v>2086</v>
      </c>
      <c r="B820" s="15" t="s">
        <v>2087</v>
      </c>
      <c r="C820" s="15" t="s">
        <v>14</v>
      </c>
      <c r="D820" s="15" t="s">
        <v>20</v>
      </c>
      <c r="E820" s="8">
        <v>45175</v>
      </c>
      <c r="F820" s="16" t="s">
        <v>2059</v>
      </c>
      <c r="G820" s="16" t="s">
        <v>40</v>
      </c>
      <c r="H820" s="8">
        <v>45190</v>
      </c>
      <c r="I820" s="16" t="s">
        <v>2067</v>
      </c>
      <c r="J820" t="b">
        <v>0</v>
      </c>
      <c r="K820" s="15" t="s">
        <v>2088</v>
      </c>
      <c r="L820" s="15" t="str">
        <f>HYPERLINK("https://uk1.aconex.co.uk/hub/index.html?mainTarget=%2FSearchControlledDoc%3FSEARCH_ACTION%3D15%26tab%3D0%26searchMode%3D1%26searchQuery%3Ddocno:%22"&amp;RawData[[#This Row],[Document Number]]&amp;"%22%20%2Bcversion%253A1",RawData[[#This Row],[Document Number]])</f>
        <v>FS1018-PIN-ZZ-00-D-O-1110</v>
      </c>
    </row>
    <row r="821" spans="1:12" ht="43.2" x14ac:dyDescent="0.3">
      <c r="A821" s="15" t="s">
        <v>2086</v>
      </c>
      <c r="B821" s="15" t="s">
        <v>2087</v>
      </c>
      <c r="C821" s="15" t="s">
        <v>11</v>
      </c>
      <c r="D821" s="15" t="s">
        <v>20</v>
      </c>
      <c r="E821" s="8">
        <v>45533</v>
      </c>
      <c r="F821" s="16" t="s">
        <v>2059</v>
      </c>
      <c r="G821" s="16" t="s">
        <v>40</v>
      </c>
      <c r="H821" s="8">
        <v>45669</v>
      </c>
      <c r="I821" s="16" t="s">
        <v>71</v>
      </c>
      <c r="J821" t="b">
        <v>0</v>
      </c>
      <c r="K821" s="15" t="s">
        <v>2088</v>
      </c>
      <c r="L821" s="15" t="str">
        <f>HYPERLINK("https://uk1.aconex.co.uk/hub/index.html?mainTarget=%2FSearchControlledDoc%3FSEARCH_ACTION%3D15%26tab%3D0%26searchMode%3D1%26searchQuery%3Ddocno:%22"&amp;RawData[[#This Row],[Document Number]]&amp;"%22%20%2Bcversion%253A1",RawData[[#This Row],[Document Number]])</f>
        <v>FS1018-PIN-ZZ-00-D-O-1110</v>
      </c>
    </row>
    <row r="822" spans="1:12" x14ac:dyDescent="0.3">
      <c r="A822" s="15" t="s">
        <v>2086</v>
      </c>
      <c r="B822" s="15" t="s">
        <v>2089</v>
      </c>
      <c r="C822" s="15" t="s">
        <v>1155</v>
      </c>
      <c r="D822" s="15" t="s">
        <v>21</v>
      </c>
      <c r="E822" s="8">
        <v>45729</v>
      </c>
      <c r="F822" s="16" t="s">
        <v>12</v>
      </c>
      <c r="G822" s="16" t="s">
        <v>4</v>
      </c>
      <c r="H822" s="8"/>
      <c r="I822" s="16"/>
      <c r="J822" t="b">
        <v>0</v>
      </c>
      <c r="K822" s="15" t="s">
        <v>2090</v>
      </c>
      <c r="L822" s="15" t="str">
        <f>HYPERLINK("https://uk1.aconex.co.uk/hub/index.html?mainTarget=%2FSearchControlledDoc%3FSEARCH_ACTION%3D15%26tab%3D0%26searchMode%3D1%26searchQuery%3Ddocno:%22"&amp;RawData[[#This Row],[Document Number]]&amp;"%22%20%2Bcversion%253A1",RawData[[#This Row],[Document Number]])</f>
        <v>FS1018-PIN-ZZ-00-D-O-1110</v>
      </c>
    </row>
    <row r="823" spans="1:12" ht="43.2" x14ac:dyDescent="0.3">
      <c r="A823" s="15" t="s">
        <v>2091</v>
      </c>
      <c r="B823" s="15" t="s">
        <v>2092</v>
      </c>
      <c r="C823" s="15" t="s">
        <v>2093</v>
      </c>
      <c r="D823" s="15" t="s">
        <v>20</v>
      </c>
      <c r="E823" s="8">
        <v>45175</v>
      </c>
      <c r="F823" s="16" t="s">
        <v>2059</v>
      </c>
      <c r="G823" s="16" t="s">
        <v>40</v>
      </c>
      <c r="H823" s="8">
        <v>45190</v>
      </c>
      <c r="I823" s="16" t="s">
        <v>2067</v>
      </c>
      <c r="J823" t="b">
        <v>0</v>
      </c>
      <c r="K823" s="15" t="s">
        <v>2094</v>
      </c>
      <c r="L823" s="15" t="str">
        <f>HYPERLINK("https://uk1.aconex.co.uk/hub/index.html?mainTarget=%2FSearchControlledDoc%3FSEARCH_ACTION%3D15%26tab%3D0%26searchMode%3D1%26searchQuery%3Ddocno:%22"&amp;RawData[[#This Row],[Document Number]]&amp;"%22%20%2Bcversion%253A1",RawData[[#This Row],[Document Number]])</f>
        <v>FS1018-PIN-ZZ-00-D-O-1111</v>
      </c>
    </row>
    <row r="824" spans="1:12" ht="43.2" x14ac:dyDescent="0.3">
      <c r="A824" s="15" t="s">
        <v>2091</v>
      </c>
      <c r="B824" s="15" t="s">
        <v>2095</v>
      </c>
      <c r="C824" s="15" t="s">
        <v>10</v>
      </c>
      <c r="D824" s="15" t="s">
        <v>20</v>
      </c>
      <c r="E824" s="8">
        <v>45533</v>
      </c>
      <c r="F824" s="16" t="s">
        <v>2059</v>
      </c>
      <c r="G824" s="16" t="s">
        <v>40</v>
      </c>
      <c r="H824" s="8">
        <v>45669</v>
      </c>
      <c r="I824" s="16" t="s">
        <v>71</v>
      </c>
      <c r="J824" t="b">
        <v>1</v>
      </c>
      <c r="K824" s="15" t="s">
        <v>2096</v>
      </c>
      <c r="L824" s="15" t="str">
        <f>HYPERLINK("https://uk1.aconex.co.uk/hub/index.html?mainTarget=%2FSearchControlledDoc%3FSEARCH_ACTION%3D15%26tab%3D0%26searchMode%3D1%26searchQuery%3Ddocno:%22"&amp;RawData[[#This Row],[Document Number]]&amp;"%22%20%2Bcversion%253A1",RawData[[#This Row],[Document Number]])</f>
        <v>FS1018-PIN-ZZ-00-D-O-1111</v>
      </c>
    </row>
    <row r="825" spans="1:12" x14ac:dyDescent="0.3">
      <c r="A825" s="15" t="s">
        <v>2091</v>
      </c>
      <c r="B825" s="15" t="s">
        <v>2095</v>
      </c>
      <c r="C825" s="15" t="s">
        <v>11</v>
      </c>
      <c r="D825" s="15" t="s">
        <v>21</v>
      </c>
      <c r="E825" s="8">
        <v>45729</v>
      </c>
      <c r="F825" s="16" t="s">
        <v>12</v>
      </c>
      <c r="G825" s="16" t="s">
        <v>4</v>
      </c>
      <c r="H825" s="8"/>
      <c r="I825" s="16"/>
      <c r="J825" t="b">
        <v>0</v>
      </c>
      <c r="K825" s="15" t="s">
        <v>2096</v>
      </c>
      <c r="L825" s="15" t="str">
        <f>HYPERLINK("https://uk1.aconex.co.uk/hub/index.html?mainTarget=%2FSearchControlledDoc%3FSEARCH_ACTION%3D15%26tab%3D0%26searchMode%3D1%26searchQuery%3Ddocno:%22"&amp;RawData[[#This Row],[Document Number]]&amp;"%22%20%2Bcversion%253A1",RawData[[#This Row],[Document Number]])</f>
        <v>FS1018-PIN-ZZ-00-D-O-1111</v>
      </c>
    </row>
    <row r="826" spans="1:12" ht="43.2" x14ac:dyDescent="0.3">
      <c r="A826" s="15" t="s">
        <v>2097</v>
      </c>
      <c r="B826" s="15" t="s">
        <v>2098</v>
      </c>
      <c r="C826" s="15" t="s">
        <v>14</v>
      </c>
      <c r="D826" s="15" t="s">
        <v>20</v>
      </c>
      <c r="E826" s="8">
        <v>45175</v>
      </c>
      <c r="F826" s="16" t="s">
        <v>2059</v>
      </c>
      <c r="G826" s="16" t="s">
        <v>40</v>
      </c>
      <c r="H826" s="8">
        <v>45190</v>
      </c>
      <c r="I826" s="16" t="s">
        <v>2067</v>
      </c>
      <c r="J826" t="b">
        <v>0</v>
      </c>
      <c r="K826" s="15" t="s">
        <v>2099</v>
      </c>
      <c r="L826" s="15" t="str">
        <f>HYPERLINK("https://uk1.aconex.co.uk/hub/index.html?mainTarget=%2FSearchControlledDoc%3FSEARCH_ACTION%3D15%26tab%3D0%26searchMode%3D1%26searchQuery%3Ddocno:%22"&amp;RawData[[#This Row],[Document Number]]&amp;"%22%20%2Bcversion%253A1",RawData[[#This Row],[Document Number]])</f>
        <v>FS1018-PIN-ZZ-00-D-O-1112</v>
      </c>
    </row>
    <row r="827" spans="1:12" ht="43.2" x14ac:dyDescent="0.3">
      <c r="A827" s="15" t="s">
        <v>2097</v>
      </c>
      <c r="B827" s="15" t="s">
        <v>2098</v>
      </c>
      <c r="C827" s="15" t="s">
        <v>11</v>
      </c>
      <c r="D827" s="15" t="s">
        <v>20</v>
      </c>
      <c r="E827" s="8">
        <v>45533</v>
      </c>
      <c r="F827" s="16" t="s">
        <v>2059</v>
      </c>
      <c r="G827" s="16" t="s">
        <v>40</v>
      </c>
      <c r="H827" s="8">
        <v>45669</v>
      </c>
      <c r="I827" s="16" t="s">
        <v>71</v>
      </c>
      <c r="J827" t="b">
        <v>0</v>
      </c>
      <c r="K827" s="15" t="s">
        <v>2099</v>
      </c>
      <c r="L827" s="15" t="str">
        <f>HYPERLINK("https://uk1.aconex.co.uk/hub/index.html?mainTarget=%2FSearchControlledDoc%3FSEARCH_ACTION%3D15%26tab%3D0%26searchMode%3D1%26searchQuery%3Ddocno:%22"&amp;RawData[[#This Row],[Document Number]]&amp;"%22%20%2Bcversion%253A1",RawData[[#This Row],[Document Number]])</f>
        <v>FS1018-PIN-ZZ-00-D-O-1112</v>
      </c>
    </row>
    <row r="828" spans="1:12" x14ac:dyDescent="0.3">
      <c r="A828" s="15" t="s">
        <v>2097</v>
      </c>
      <c r="B828" s="15" t="s">
        <v>2100</v>
      </c>
      <c r="C828" s="15" t="s">
        <v>1102</v>
      </c>
      <c r="D828" s="15" t="s">
        <v>21</v>
      </c>
      <c r="E828" s="8">
        <v>45729</v>
      </c>
      <c r="F828" s="16" t="s">
        <v>12</v>
      </c>
      <c r="G828" s="16" t="s">
        <v>4</v>
      </c>
      <c r="H828" s="8"/>
      <c r="I828" s="16"/>
      <c r="J828" t="b">
        <v>0</v>
      </c>
      <c r="K828" s="15" t="s">
        <v>2101</v>
      </c>
      <c r="L828" s="15" t="str">
        <f>HYPERLINK("https://uk1.aconex.co.uk/hub/index.html?mainTarget=%2FSearchControlledDoc%3FSEARCH_ACTION%3D15%26tab%3D0%26searchMode%3D1%26searchQuery%3Ddocno:%22"&amp;RawData[[#This Row],[Document Number]]&amp;"%22%20%2Bcversion%253A1",RawData[[#This Row],[Document Number]])</f>
        <v>FS1018-PIN-ZZ-00-D-O-1112</v>
      </c>
    </row>
    <row r="829" spans="1:12" ht="43.2" x14ac:dyDescent="0.3">
      <c r="A829" s="15" t="s">
        <v>2102</v>
      </c>
      <c r="B829" s="15" t="s">
        <v>2103</v>
      </c>
      <c r="C829" s="15" t="s">
        <v>14</v>
      </c>
      <c r="D829" s="15" t="s">
        <v>20</v>
      </c>
      <c r="E829" s="8">
        <v>45175</v>
      </c>
      <c r="F829" s="16" t="s">
        <v>2059</v>
      </c>
      <c r="G829" s="16" t="s">
        <v>40</v>
      </c>
      <c r="H829" s="8">
        <v>45190</v>
      </c>
      <c r="I829" s="16" t="s">
        <v>2067</v>
      </c>
      <c r="J829" t="b">
        <v>0</v>
      </c>
      <c r="K829" s="15" t="s">
        <v>2104</v>
      </c>
      <c r="L829" s="15" t="str">
        <f>HYPERLINK("https://uk1.aconex.co.uk/hub/index.html?mainTarget=%2FSearchControlledDoc%3FSEARCH_ACTION%3D15%26tab%3D0%26searchMode%3D1%26searchQuery%3Ddocno:%22"&amp;RawData[[#This Row],[Document Number]]&amp;"%22%20%2Bcversion%253A1",RawData[[#This Row],[Document Number]])</f>
        <v>FS1018-PIN-ZZ-00-D-O-1113</v>
      </c>
    </row>
    <row r="830" spans="1:12" ht="43.2" x14ac:dyDescent="0.3">
      <c r="A830" s="15" t="s">
        <v>2102</v>
      </c>
      <c r="B830" s="15" t="s">
        <v>2103</v>
      </c>
      <c r="C830" s="15" t="s">
        <v>11</v>
      </c>
      <c r="D830" s="15" t="s">
        <v>20</v>
      </c>
      <c r="E830" s="8">
        <v>45533</v>
      </c>
      <c r="F830" s="16" t="s">
        <v>2059</v>
      </c>
      <c r="G830" s="16" t="s">
        <v>40</v>
      </c>
      <c r="H830" s="8">
        <v>45669</v>
      </c>
      <c r="I830" s="16" t="s">
        <v>71</v>
      </c>
      <c r="J830" t="b">
        <v>0</v>
      </c>
      <c r="K830" s="15" t="s">
        <v>2104</v>
      </c>
      <c r="L830" s="15" t="str">
        <f>HYPERLINK("https://uk1.aconex.co.uk/hub/index.html?mainTarget=%2FSearchControlledDoc%3FSEARCH_ACTION%3D15%26tab%3D0%26searchMode%3D1%26searchQuery%3Ddocno:%22"&amp;RawData[[#This Row],[Document Number]]&amp;"%22%20%2Bcversion%253A1",RawData[[#This Row],[Document Number]])</f>
        <v>FS1018-PIN-ZZ-00-D-O-1113</v>
      </c>
    </row>
    <row r="831" spans="1:12" x14ac:dyDescent="0.3">
      <c r="A831" s="15" t="s">
        <v>2102</v>
      </c>
      <c r="B831" s="15" t="s">
        <v>2105</v>
      </c>
      <c r="C831" s="15" t="s">
        <v>1102</v>
      </c>
      <c r="D831" s="15" t="s">
        <v>21</v>
      </c>
      <c r="E831" s="8">
        <v>45729</v>
      </c>
      <c r="F831" s="16" t="s">
        <v>12</v>
      </c>
      <c r="G831" s="16" t="s">
        <v>4</v>
      </c>
      <c r="H831" s="8"/>
      <c r="I831" s="16"/>
      <c r="J831" t="b">
        <v>0</v>
      </c>
      <c r="K831" s="15" t="s">
        <v>2106</v>
      </c>
      <c r="L831" s="15" t="str">
        <f>HYPERLINK("https://uk1.aconex.co.uk/hub/index.html?mainTarget=%2FSearchControlledDoc%3FSEARCH_ACTION%3D15%26tab%3D0%26searchMode%3D1%26searchQuery%3Ddocno:%22"&amp;RawData[[#This Row],[Document Number]]&amp;"%22%20%2Bcversion%253A1",RawData[[#This Row],[Document Number]])</f>
        <v>FS1018-PIN-ZZ-00-D-O-1113</v>
      </c>
    </row>
    <row r="832" spans="1:12" ht="43.2" x14ac:dyDescent="0.3">
      <c r="A832" s="15" t="s">
        <v>2107</v>
      </c>
      <c r="B832" s="15" t="s">
        <v>2092</v>
      </c>
      <c r="C832" s="15" t="s">
        <v>2093</v>
      </c>
      <c r="D832" s="15" t="s">
        <v>20</v>
      </c>
      <c r="E832" s="8">
        <v>45175</v>
      </c>
      <c r="F832" s="16" t="s">
        <v>2059</v>
      </c>
      <c r="G832" s="16" t="s">
        <v>40</v>
      </c>
      <c r="H832" s="8">
        <v>45190</v>
      </c>
      <c r="I832" s="16" t="s">
        <v>2067</v>
      </c>
      <c r="J832" t="b">
        <v>0</v>
      </c>
      <c r="K832" s="15" t="s">
        <v>2108</v>
      </c>
      <c r="L832" s="15" t="str">
        <f>HYPERLINK("https://uk1.aconex.co.uk/hub/index.html?mainTarget=%2FSearchControlledDoc%3FSEARCH_ACTION%3D15%26tab%3D0%26searchMode%3D1%26searchQuery%3Ddocno:%22"&amp;RawData[[#This Row],[Document Number]]&amp;"%22%20%2Bcversion%253A1",RawData[[#This Row],[Document Number]])</f>
        <v>FS1018-PIN-ZZ-00-D-O-1211</v>
      </c>
    </row>
    <row r="833" spans="1:12" x14ac:dyDescent="0.3">
      <c r="A833" s="15" t="s">
        <v>2107</v>
      </c>
      <c r="B833" s="15" t="s">
        <v>2109</v>
      </c>
      <c r="C833" s="15" t="s">
        <v>1155</v>
      </c>
      <c r="D833" s="15" t="s">
        <v>21</v>
      </c>
      <c r="E833" s="8">
        <v>45729</v>
      </c>
      <c r="F833" s="16" t="s">
        <v>12</v>
      </c>
      <c r="G833" s="16" t="s">
        <v>4</v>
      </c>
      <c r="H833" s="8"/>
      <c r="I833" s="16"/>
      <c r="J833" t="b">
        <v>0</v>
      </c>
      <c r="K833" s="15" t="s">
        <v>2110</v>
      </c>
      <c r="L833" s="15" t="str">
        <f>HYPERLINK("https://uk1.aconex.co.uk/hub/index.html?mainTarget=%2FSearchControlledDoc%3FSEARCH_ACTION%3D15%26tab%3D0%26searchMode%3D1%26searchQuery%3Ddocno:%22"&amp;RawData[[#This Row],[Document Number]]&amp;"%22%20%2Bcversion%253A1",RawData[[#This Row],[Document Number]])</f>
        <v>FS1018-PIN-ZZ-00-D-O-1211</v>
      </c>
    </row>
    <row r="834" spans="1:12" ht="43.2" x14ac:dyDescent="0.3">
      <c r="A834" s="15" t="s">
        <v>2111</v>
      </c>
      <c r="B834" s="15" t="s">
        <v>2112</v>
      </c>
      <c r="C834" s="15" t="s">
        <v>14</v>
      </c>
      <c r="D834" s="15" t="s">
        <v>20</v>
      </c>
      <c r="E834" s="8">
        <v>45175</v>
      </c>
      <c r="F834" s="16" t="s">
        <v>2059</v>
      </c>
      <c r="G834" s="16" t="s">
        <v>40</v>
      </c>
      <c r="H834" s="8">
        <v>45190</v>
      </c>
      <c r="I834" s="16" t="s">
        <v>2067</v>
      </c>
      <c r="J834" t="b">
        <v>0</v>
      </c>
      <c r="K834" s="15" t="s">
        <v>2113</v>
      </c>
      <c r="L834" s="15" t="str">
        <f>HYPERLINK("https://uk1.aconex.co.uk/hub/index.html?mainTarget=%2FSearchControlledDoc%3FSEARCH_ACTION%3D15%26tab%3D0%26searchMode%3D1%26searchQuery%3Ddocno:%22"&amp;RawData[[#This Row],[Document Number]]&amp;"%22%20%2Bcversion%253A1",RawData[[#This Row],[Document Number]])</f>
        <v>FS1018-PIN-ZZ-00-D-O-2001</v>
      </c>
    </row>
    <row r="835" spans="1:12" ht="43.2" x14ac:dyDescent="0.3">
      <c r="A835" s="15" t="s">
        <v>2111</v>
      </c>
      <c r="B835" s="15" t="s">
        <v>2112</v>
      </c>
      <c r="C835" s="15" t="s">
        <v>11</v>
      </c>
      <c r="D835" s="15" t="s">
        <v>20</v>
      </c>
      <c r="E835" s="8">
        <v>45533</v>
      </c>
      <c r="F835" s="16" t="s">
        <v>2059</v>
      </c>
      <c r="G835" s="16" t="s">
        <v>40</v>
      </c>
      <c r="H835" s="8">
        <v>45669</v>
      </c>
      <c r="I835" s="16" t="s">
        <v>71</v>
      </c>
      <c r="J835" t="b">
        <v>0</v>
      </c>
      <c r="K835" s="15" t="s">
        <v>2113</v>
      </c>
      <c r="L835" s="15" t="str">
        <f>HYPERLINK("https://uk1.aconex.co.uk/hub/index.html?mainTarget=%2FSearchControlledDoc%3FSEARCH_ACTION%3D15%26tab%3D0%26searchMode%3D1%26searchQuery%3Ddocno:%22"&amp;RawData[[#This Row],[Document Number]]&amp;"%22%20%2Bcversion%253A1",RawData[[#This Row],[Document Number]])</f>
        <v>FS1018-PIN-ZZ-00-D-O-2001</v>
      </c>
    </row>
    <row r="836" spans="1:12" x14ac:dyDescent="0.3">
      <c r="A836" s="15" t="s">
        <v>2111</v>
      </c>
      <c r="B836" s="15" t="s">
        <v>2114</v>
      </c>
      <c r="C836" s="15" t="s">
        <v>1102</v>
      </c>
      <c r="D836" s="15" t="s">
        <v>21</v>
      </c>
      <c r="E836" s="8">
        <v>45729</v>
      </c>
      <c r="F836" s="16" t="s">
        <v>12</v>
      </c>
      <c r="G836" s="16" t="s">
        <v>4</v>
      </c>
      <c r="H836" s="8"/>
      <c r="I836" s="16"/>
      <c r="J836" t="b">
        <v>0</v>
      </c>
      <c r="K836" s="15" t="s">
        <v>2115</v>
      </c>
      <c r="L836" s="15" t="str">
        <f>HYPERLINK("https://uk1.aconex.co.uk/hub/index.html?mainTarget=%2FSearchControlledDoc%3FSEARCH_ACTION%3D15%26tab%3D0%26searchMode%3D1%26searchQuery%3Ddocno:%22"&amp;RawData[[#This Row],[Document Number]]&amp;"%22%20%2Bcversion%253A1",RawData[[#This Row],[Document Number]])</f>
        <v>FS1018-PIN-ZZ-00-D-O-2001</v>
      </c>
    </row>
    <row r="837" spans="1:12" x14ac:dyDescent="0.3">
      <c r="A837" s="15" t="s">
        <v>2116</v>
      </c>
      <c r="B837" s="15" t="s">
        <v>2117</v>
      </c>
      <c r="C837" s="15" t="s">
        <v>14</v>
      </c>
      <c r="D837" s="15" t="s">
        <v>20</v>
      </c>
      <c r="E837" s="8">
        <v>45175</v>
      </c>
      <c r="F837" s="16" t="s">
        <v>2059</v>
      </c>
      <c r="G837" s="16" t="s">
        <v>34</v>
      </c>
      <c r="H837" s="8">
        <v>45190</v>
      </c>
      <c r="I837" s="16"/>
      <c r="J837" t="b">
        <v>0</v>
      </c>
      <c r="K837" s="15" t="s">
        <v>2118</v>
      </c>
      <c r="L837" s="15" t="str">
        <f>HYPERLINK("https://uk1.aconex.co.uk/hub/index.html?mainTarget=%2FSearchControlledDoc%3FSEARCH_ACTION%3D15%26tab%3D0%26searchMode%3D1%26searchQuery%3Ddocno:%22"&amp;RawData[[#This Row],[Document Number]]&amp;"%22%20%2Bcversion%253A1",RawData[[#This Row],[Document Number]])</f>
        <v>FS1018-PIN-ZZ-00-D-O-2002</v>
      </c>
    </row>
    <row r="838" spans="1:12" ht="43.2" x14ac:dyDescent="0.3">
      <c r="A838" s="15" t="s">
        <v>2116</v>
      </c>
      <c r="B838" s="15" t="s">
        <v>2119</v>
      </c>
      <c r="C838" s="15" t="s">
        <v>10</v>
      </c>
      <c r="D838" s="15" t="s">
        <v>20</v>
      </c>
      <c r="E838" s="8">
        <v>45533</v>
      </c>
      <c r="F838" s="16" t="s">
        <v>2059</v>
      </c>
      <c r="G838" s="16" t="s">
        <v>40</v>
      </c>
      <c r="H838" s="8">
        <v>45669</v>
      </c>
      <c r="I838" s="16" t="s">
        <v>71</v>
      </c>
      <c r="J838" t="b">
        <v>1</v>
      </c>
      <c r="K838" s="15" t="s">
        <v>2120</v>
      </c>
      <c r="L838" s="15" t="str">
        <f>HYPERLINK("https://uk1.aconex.co.uk/hub/index.html?mainTarget=%2FSearchControlledDoc%3FSEARCH_ACTION%3D15%26tab%3D0%26searchMode%3D1%26searchQuery%3Ddocno:%22"&amp;RawData[[#This Row],[Document Number]]&amp;"%22%20%2Bcversion%253A1",RawData[[#This Row],[Document Number]])</f>
        <v>FS1018-PIN-ZZ-00-D-O-2002</v>
      </c>
    </row>
    <row r="839" spans="1:12" x14ac:dyDescent="0.3">
      <c r="A839" s="15" t="s">
        <v>2116</v>
      </c>
      <c r="B839" s="15" t="s">
        <v>2121</v>
      </c>
      <c r="C839" s="15" t="s">
        <v>583</v>
      </c>
      <c r="D839" s="15" t="s">
        <v>21</v>
      </c>
      <c r="E839" s="8">
        <v>45729</v>
      </c>
      <c r="F839" s="16" t="s">
        <v>12</v>
      </c>
      <c r="G839" s="16" t="s">
        <v>4</v>
      </c>
      <c r="H839" s="8"/>
      <c r="I839" s="16"/>
      <c r="J839" t="b">
        <v>0</v>
      </c>
      <c r="K839" s="15" t="s">
        <v>2122</v>
      </c>
      <c r="L839" s="15" t="str">
        <f>HYPERLINK("https://uk1.aconex.co.uk/hub/index.html?mainTarget=%2FSearchControlledDoc%3FSEARCH_ACTION%3D15%26tab%3D0%26searchMode%3D1%26searchQuery%3Ddocno:%22"&amp;RawData[[#This Row],[Document Number]]&amp;"%22%20%2Bcversion%253A1",RawData[[#This Row],[Document Number]])</f>
        <v>FS1018-PIN-ZZ-00-D-O-2002</v>
      </c>
    </row>
    <row r="840" spans="1:12" ht="43.2" x14ac:dyDescent="0.3">
      <c r="A840" s="15" t="s">
        <v>2123</v>
      </c>
      <c r="B840" s="15" t="s">
        <v>2124</v>
      </c>
      <c r="C840" s="15" t="s">
        <v>14</v>
      </c>
      <c r="D840" s="15" t="s">
        <v>20</v>
      </c>
      <c r="E840" s="8">
        <v>45533</v>
      </c>
      <c r="F840" s="16" t="s">
        <v>2059</v>
      </c>
      <c r="G840" s="16" t="s">
        <v>40</v>
      </c>
      <c r="H840" s="8">
        <v>45669</v>
      </c>
      <c r="I840" s="16" t="s">
        <v>71</v>
      </c>
      <c r="J840" t="b">
        <v>0</v>
      </c>
      <c r="K840" s="15" t="s">
        <v>2125</v>
      </c>
      <c r="L840" s="15" t="str">
        <f>HYPERLINK("https://uk1.aconex.co.uk/hub/index.html?mainTarget=%2FSearchControlledDoc%3FSEARCH_ACTION%3D15%26tab%3D0%26searchMode%3D1%26searchQuery%3Ddocno:%22"&amp;RawData[[#This Row],[Document Number]]&amp;"%22%20%2Bcversion%253A1",RawData[[#This Row],[Document Number]])</f>
        <v>FS1018-PIN-ZZ-00-D-O-2003</v>
      </c>
    </row>
    <row r="841" spans="1:12" x14ac:dyDescent="0.3">
      <c r="A841" s="15" t="s">
        <v>2123</v>
      </c>
      <c r="B841" s="15" t="s">
        <v>2126</v>
      </c>
      <c r="C841" s="15" t="s">
        <v>583</v>
      </c>
      <c r="D841" s="15" t="s">
        <v>21</v>
      </c>
      <c r="E841" s="8">
        <v>45729</v>
      </c>
      <c r="F841" s="16" t="s">
        <v>12</v>
      </c>
      <c r="G841" s="16" t="s">
        <v>4</v>
      </c>
      <c r="H841" s="8"/>
      <c r="I841" s="16"/>
      <c r="J841" t="b">
        <v>0</v>
      </c>
      <c r="K841" s="15" t="s">
        <v>2127</v>
      </c>
      <c r="L841" s="15" t="str">
        <f>HYPERLINK("https://uk1.aconex.co.uk/hub/index.html?mainTarget=%2FSearchControlledDoc%3FSEARCH_ACTION%3D15%26tab%3D0%26searchMode%3D1%26searchQuery%3Ddocno:%22"&amp;RawData[[#This Row],[Document Number]]&amp;"%22%20%2Bcversion%253A1",RawData[[#This Row],[Document Number]])</f>
        <v>FS1018-PIN-ZZ-00-D-O-2003</v>
      </c>
    </row>
    <row r="842" spans="1:12" ht="43.2" x14ac:dyDescent="0.3">
      <c r="A842" s="15" t="s">
        <v>2128</v>
      </c>
      <c r="B842" s="15" t="s">
        <v>2129</v>
      </c>
      <c r="C842" s="15" t="s">
        <v>14</v>
      </c>
      <c r="D842" s="15" t="s">
        <v>20</v>
      </c>
      <c r="E842" s="8">
        <v>45175</v>
      </c>
      <c r="F842" s="16" t="s">
        <v>2059</v>
      </c>
      <c r="G842" s="16" t="s">
        <v>40</v>
      </c>
      <c r="H842" s="8">
        <v>45190</v>
      </c>
      <c r="I842" s="16" t="s">
        <v>2067</v>
      </c>
      <c r="J842" t="b">
        <v>0</v>
      </c>
      <c r="K842" s="15" t="s">
        <v>2130</v>
      </c>
      <c r="L842" s="15" t="str">
        <f>HYPERLINK("https://uk1.aconex.co.uk/hub/index.html?mainTarget=%2FSearchControlledDoc%3FSEARCH_ACTION%3D15%26tab%3D0%26searchMode%3D1%26searchQuery%3Ddocno:%22"&amp;RawData[[#This Row],[Document Number]]&amp;"%22%20%2Bcversion%253A1",RawData[[#This Row],[Document Number]])</f>
        <v>FS1018-PIN-ZZ-00-D-O-3001</v>
      </c>
    </row>
    <row r="843" spans="1:12" ht="43.2" x14ac:dyDescent="0.3">
      <c r="A843" s="15" t="s">
        <v>2128</v>
      </c>
      <c r="B843" s="15" t="s">
        <v>2131</v>
      </c>
      <c r="C843" s="15" t="s">
        <v>10</v>
      </c>
      <c r="D843" s="15" t="s">
        <v>20</v>
      </c>
      <c r="E843" s="8">
        <v>45533</v>
      </c>
      <c r="F843" s="16" t="s">
        <v>2059</v>
      </c>
      <c r="G843" s="16" t="s">
        <v>40</v>
      </c>
      <c r="H843" s="8">
        <v>45669</v>
      </c>
      <c r="I843" s="16" t="s">
        <v>71</v>
      </c>
      <c r="J843" t="b">
        <v>1</v>
      </c>
      <c r="K843" s="15" t="s">
        <v>2132</v>
      </c>
      <c r="L843" s="15" t="str">
        <f>HYPERLINK("https://uk1.aconex.co.uk/hub/index.html?mainTarget=%2FSearchControlledDoc%3FSEARCH_ACTION%3D15%26tab%3D0%26searchMode%3D1%26searchQuery%3Ddocno:%22"&amp;RawData[[#This Row],[Document Number]]&amp;"%22%20%2Bcversion%253A1",RawData[[#This Row],[Document Number]])</f>
        <v>FS1018-PIN-ZZ-00-D-O-3001</v>
      </c>
    </row>
    <row r="844" spans="1:12" ht="43.2" x14ac:dyDescent="0.3">
      <c r="A844" s="15" t="s">
        <v>2133</v>
      </c>
      <c r="B844" s="15" t="s">
        <v>2134</v>
      </c>
      <c r="C844" s="15" t="s">
        <v>14</v>
      </c>
      <c r="D844" s="15" t="s">
        <v>20</v>
      </c>
      <c r="E844" s="8">
        <v>45533</v>
      </c>
      <c r="F844" s="16" t="s">
        <v>2059</v>
      </c>
      <c r="G844" s="16" t="s">
        <v>40</v>
      </c>
      <c r="H844" s="8">
        <v>45669</v>
      </c>
      <c r="I844" s="16" t="s">
        <v>71</v>
      </c>
      <c r="J844" t="b">
        <v>0</v>
      </c>
      <c r="K844" s="15" t="s">
        <v>2135</v>
      </c>
      <c r="L844" s="15" t="str">
        <f>HYPERLINK("https://uk1.aconex.co.uk/hub/index.html?mainTarget=%2FSearchControlledDoc%3FSEARCH_ACTION%3D15%26tab%3D0%26searchMode%3D1%26searchQuery%3Ddocno:%22"&amp;RawData[[#This Row],[Document Number]]&amp;"%22%20%2Bcversion%253A1",RawData[[#This Row],[Document Number]])</f>
        <v>FS1018-PIN-ZZ-00-D-O-3002</v>
      </c>
    </row>
    <row r="845" spans="1:12" x14ac:dyDescent="0.3">
      <c r="A845" s="15" t="s">
        <v>2133</v>
      </c>
      <c r="B845" s="15" t="s">
        <v>2136</v>
      </c>
      <c r="C845" s="15" t="s">
        <v>1155</v>
      </c>
      <c r="D845" s="15" t="s">
        <v>21</v>
      </c>
      <c r="E845" s="8">
        <v>45729</v>
      </c>
      <c r="F845" s="16" t="s">
        <v>12</v>
      </c>
      <c r="G845" s="16" t="s">
        <v>4</v>
      </c>
      <c r="H845" s="8"/>
      <c r="I845" s="16"/>
      <c r="J845" t="b">
        <v>0</v>
      </c>
      <c r="K845" s="15" t="s">
        <v>2137</v>
      </c>
      <c r="L845" s="15" t="str">
        <f>HYPERLINK("https://uk1.aconex.co.uk/hub/index.html?mainTarget=%2FSearchControlledDoc%3FSEARCH_ACTION%3D15%26tab%3D0%26searchMode%3D1%26searchQuery%3Ddocno:%22"&amp;RawData[[#This Row],[Document Number]]&amp;"%22%20%2Bcversion%253A1",RawData[[#This Row],[Document Number]])</f>
        <v>FS1018-PIN-ZZ-00-D-O-3002</v>
      </c>
    </row>
    <row r="846" spans="1:12" x14ac:dyDescent="0.3">
      <c r="A846" s="15" t="s">
        <v>2138</v>
      </c>
      <c r="B846" s="15" t="s">
        <v>2139</v>
      </c>
      <c r="C846" s="15" t="s">
        <v>11</v>
      </c>
      <c r="D846" s="15" t="s">
        <v>21</v>
      </c>
      <c r="E846" s="8">
        <v>45729</v>
      </c>
      <c r="F846" s="16" t="s">
        <v>12</v>
      </c>
      <c r="G846" s="16" t="s">
        <v>4</v>
      </c>
      <c r="H846" s="8"/>
      <c r="I846" s="16"/>
      <c r="J846" t="b">
        <v>0</v>
      </c>
      <c r="K846" s="15" t="s">
        <v>2140</v>
      </c>
      <c r="L846" s="15" t="str">
        <f>HYPERLINK("https://uk1.aconex.co.uk/hub/index.html?mainTarget=%2FSearchControlledDoc%3FSEARCH_ACTION%3D15%26tab%3D0%26searchMode%3D1%26searchQuery%3Ddocno:%22"&amp;RawData[[#This Row],[Document Number]]&amp;"%22%20%2Bcversion%253A1",RawData[[#This Row],[Document Number]])</f>
        <v>FS1018-PIN-ZZ-00-D-O-3004</v>
      </c>
    </row>
    <row r="847" spans="1:12" ht="43.2" x14ac:dyDescent="0.3">
      <c r="A847" s="15" t="s">
        <v>2141</v>
      </c>
      <c r="B847" s="15" t="s">
        <v>2142</v>
      </c>
      <c r="C847" s="15" t="s">
        <v>14</v>
      </c>
      <c r="D847" s="15" t="s">
        <v>20</v>
      </c>
      <c r="E847" s="8">
        <v>45533</v>
      </c>
      <c r="F847" s="16" t="s">
        <v>2059</v>
      </c>
      <c r="G847" s="16" t="s">
        <v>40</v>
      </c>
      <c r="H847" s="8">
        <v>45669</v>
      </c>
      <c r="I847" s="16" t="s">
        <v>71</v>
      </c>
      <c r="J847" t="b">
        <v>0</v>
      </c>
      <c r="K847" s="15" t="s">
        <v>2143</v>
      </c>
      <c r="L847" s="15" t="str">
        <f>HYPERLINK("https://uk1.aconex.co.uk/hub/index.html?mainTarget=%2FSearchControlledDoc%3FSEARCH_ACTION%3D15%26tab%3D0%26searchMode%3D1%26searchQuery%3Ddocno:%22"&amp;RawData[[#This Row],[Document Number]]&amp;"%22%20%2Bcversion%253A1",RawData[[#This Row],[Document Number]])</f>
        <v>FS1018-PIN-ZZ-00-D-O-4003</v>
      </c>
    </row>
    <row r="848" spans="1:12" x14ac:dyDescent="0.3">
      <c r="A848" s="15" t="s">
        <v>2141</v>
      </c>
      <c r="B848" s="15" t="s">
        <v>2144</v>
      </c>
      <c r="C848" s="15" t="s">
        <v>10</v>
      </c>
      <c r="D848" s="15" t="s">
        <v>21</v>
      </c>
      <c r="E848" s="8">
        <v>45729</v>
      </c>
      <c r="F848" s="16" t="s">
        <v>12</v>
      </c>
      <c r="G848" s="16" t="s">
        <v>4</v>
      </c>
      <c r="H848" s="8"/>
      <c r="I848" s="16"/>
      <c r="J848" t="b">
        <v>1</v>
      </c>
      <c r="K848" s="15" t="s">
        <v>2145</v>
      </c>
      <c r="L848" s="15" t="str">
        <f>HYPERLINK("https://uk1.aconex.co.uk/hub/index.html?mainTarget=%2FSearchControlledDoc%3FSEARCH_ACTION%3D15%26tab%3D0%26searchMode%3D1%26searchQuery%3Ddocno:%22"&amp;RawData[[#This Row],[Document Number]]&amp;"%22%20%2Bcversion%253A1",RawData[[#This Row],[Document Number]])</f>
        <v>FS1018-PIN-ZZ-00-D-O-4003</v>
      </c>
    </row>
    <row r="849" spans="1:12" ht="43.2" x14ac:dyDescent="0.3">
      <c r="A849" s="15" t="s">
        <v>2146</v>
      </c>
      <c r="B849" s="15" t="s">
        <v>2147</v>
      </c>
      <c r="C849" s="15" t="s">
        <v>14</v>
      </c>
      <c r="D849" s="15" t="s">
        <v>20</v>
      </c>
      <c r="E849" s="8">
        <v>45533</v>
      </c>
      <c r="F849" s="16" t="s">
        <v>2059</v>
      </c>
      <c r="G849" s="16" t="s">
        <v>40</v>
      </c>
      <c r="H849" s="8">
        <v>45669</v>
      </c>
      <c r="I849" s="16" t="s">
        <v>71</v>
      </c>
      <c r="J849" t="b">
        <v>0</v>
      </c>
      <c r="K849" s="15" t="s">
        <v>2148</v>
      </c>
      <c r="L849" s="15" t="str">
        <f>HYPERLINK("https://uk1.aconex.co.uk/hub/index.html?mainTarget=%2FSearchControlledDoc%3FSEARCH_ACTION%3D15%26tab%3D0%26searchMode%3D1%26searchQuery%3Ddocno:%22"&amp;RawData[[#This Row],[Document Number]]&amp;"%22%20%2Bcversion%253A1",RawData[[#This Row],[Document Number]])</f>
        <v>FS1018-PIN-ZZ-00-D-O-4004</v>
      </c>
    </row>
    <row r="850" spans="1:12" x14ac:dyDescent="0.3">
      <c r="A850" s="15" t="s">
        <v>2146</v>
      </c>
      <c r="B850" s="15" t="s">
        <v>2149</v>
      </c>
      <c r="C850" s="15" t="s">
        <v>10</v>
      </c>
      <c r="D850" s="15" t="s">
        <v>21</v>
      </c>
      <c r="E850" s="8">
        <v>45729</v>
      </c>
      <c r="F850" s="16" t="s">
        <v>12</v>
      </c>
      <c r="G850" s="16" t="s">
        <v>4</v>
      </c>
      <c r="H850" s="8"/>
      <c r="I850" s="16"/>
      <c r="J850" t="b">
        <v>1</v>
      </c>
      <c r="K850" s="15" t="s">
        <v>2150</v>
      </c>
      <c r="L850" s="15" t="str">
        <f>HYPERLINK("https://uk1.aconex.co.uk/hub/index.html?mainTarget=%2FSearchControlledDoc%3FSEARCH_ACTION%3D15%26tab%3D0%26searchMode%3D1%26searchQuery%3Ddocno:%22"&amp;RawData[[#This Row],[Document Number]]&amp;"%22%20%2Bcversion%253A1",RawData[[#This Row],[Document Number]])</f>
        <v>FS1018-PIN-ZZ-00-D-O-4004</v>
      </c>
    </row>
    <row r="851" spans="1:12" ht="43.2" x14ac:dyDescent="0.3">
      <c r="A851" s="15" t="s">
        <v>2151</v>
      </c>
      <c r="B851" s="15" t="s">
        <v>2152</v>
      </c>
      <c r="C851" s="15" t="s">
        <v>14</v>
      </c>
      <c r="D851" s="15" t="s">
        <v>20</v>
      </c>
      <c r="E851" s="8">
        <v>45533</v>
      </c>
      <c r="F851" s="16" t="s">
        <v>2059</v>
      </c>
      <c r="G851" s="16" t="s">
        <v>40</v>
      </c>
      <c r="H851" s="8">
        <v>45669</v>
      </c>
      <c r="I851" s="16" t="s">
        <v>71</v>
      </c>
      <c r="J851" t="b">
        <v>0</v>
      </c>
      <c r="K851" s="15" t="s">
        <v>2153</v>
      </c>
      <c r="L851" s="15" t="str">
        <f>HYPERLINK("https://uk1.aconex.co.uk/hub/index.html?mainTarget=%2FSearchControlledDoc%3FSEARCH_ACTION%3D15%26tab%3D0%26searchMode%3D1%26searchQuery%3Ddocno:%22"&amp;RawData[[#This Row],[Document Number]]&amp;"%22%20%2Bcversion%253A1",RawData[[#This Row],[Document Number]])</f>
        <v>FS1018-PIN-ZZ-00-D-O-4005</v>
      </c>
    </row>
    <row r="852" spans="1:12" x14ac:dyDescent="0.3">
      <c r="A852" s="15" t="s">
        <v>2151</v>
      </c>
      <c r="B852" s="15" t="s">
        <v>2152</v>
      </c>
      <c r="C852" s="15" t="s">
        <v>10</v>
      </c>
      <c r="D852" s="15" t="s">
        <v>21</v>
      </c>
      <c r="E852" s="8">
        <v>45729</v>
      </c>
      <c r="F852" s="16" t="s">
        <v>12</v>
      </c>
      <c r="G852" s="16" t="s">
        <v>4</v>
      </c>
      <c r="H852" s="8"/>
      <c r="I852" s="16"/>
      <c r="J852" t="b">
        <v>1</v>
      </c>
      <c r="K852" s="15" t="s">
        <v>2153</v>
      </c>
      <c r="L852" s="15" t="str">
        <f>HYPERLINK("https://uk1.aconex.co.uk/hub/index.html?mainTarget=%2FSearchControlledDoc%3FSEARCH_ACTION%3D15%26tab%3D0%26searchMode%3D1%26searchQuery%3Ddocno:%22"&amp;RawData[[#This Row],[Document Number]]&amp;"%22%20%2Bcversion%253A1",RawData[[#This Row],[Document Number]])</f>
        <v>FS1018-PIN-ZZ-00-D-O-4005</v>
      </c>
    </row>
    <row r="853" spans="1:12" ht="43.2" x14ac:dyDescent="0.3">
      <c r="A853" s="15" t="s">
        <v>2154</v>
      </c>
      <c r="B853" s="15" t="s">
        <v>2155</v>
      </c>
      <c r="C853" s="15" t="s">
        <v>14</v>
      </c>
      <c r="D853" s="15" t="s">
        <v>20</v>
      </c>
      <c r="E853" s="8">
        <v>45533</v>
      </c>
      <c r="F853" s="16" t="s">
        <v>2059</v>
      </c>
      <c r="G853" s="16" t="s">
        <v>40</v>
      </c>
      <c r="H853" s="8">
        <v>45669</v>
      </c>
      <c r="I853" s="16" t="s">
        <v>71</v>
      </c>
      <c r="J853" t="b">
        <v>0</v>
      </c>
      <c r="K853" s="15" t="s">
        <v>2156</v>
      </c>
      <c r="L853" s="15" t="str">
        <f>HYPERLINK("https://uk1.aconex.co.uk/hub/index.html?mainTarget=%2FSearchControlledDoc%3FSEARCH_ACTION%3D15%26tab%3D0%26searchMode%3D1%26searchQuery%3Ddocno:%22"&amp;RawData[[#This Row],[Document Number]]&amp;"%22%20%2Bcversion%253A1",RawData[[#This Row],[Document Number]])</f>
        <v>FS1018-PIN-ZZ-00-D-O-4006</v>
      </c>
    </row>
    <row r="854" spans="1:12" x14ac:dyDescent="0.3">
      <c r="A854" s="15" t="s">
        <v>2154</v>
      </c>
      <c r="B854" s="15" t="s">
        <v>2157</v>
      </c>
      <c r="C854" s="15" t="s">
        <v>10</v>
      </c>
      <c r="D854" s="15" t="s">
        <v>21</v>
      </c>
      <c r="E854" s="8">
        <v>45729</v>
      </c>
      <c r="F854" s="16" t="s">
        <v>12</v>
      </c>
      <c r="G854" s="16" t="s">
        <v>4</v>
      </c>
      <c r="H854" s="8"/>
      <c r="I854" s="16"/>
      <c r="J854" t="b">
        <v>1</v>
      </c>
      <c r="K854" s="15" t="s">
        <v>2158</v>
      </c>
      <c r="L854" s="15" t="str">
        <f>HYPERLINK("https://uk1.aconex.co.uk/hub/index.html?mainTarget=%2FSearchControlledDoc%3FSEARCH_ACTION%3D15%26tab%3D0%26searchMode%3D1%26searchQuery%3Ddocno:%22"&amp;RawData[[#This Row],[Document Number]]&amp;"%22%20%2Bcversion%253A1",RawData[[#This Row],[Document Number]])</f>
        <v>FS1018-PIN-ZZ-00-D-O-4006</v>
      </c>
    </row>
    <row r="855" spans="1:12" ht="43.2" x14ac:dyDescent="0.3">
      <c r="A855" s="15" t="s">
        <v>2159</v>
      </c>
      <c r="B855" s="15" t="s">
        <v>2160</v>
      </c>
      <c r="C855" s="15" t="s">
        <v>14</v>
      </c>
      <c r="D855" s="15" t="s">
        <v>20</v>
      </c>
      <c r="E855" s="8">
        <v>45533</v>
      </c>
      <c r="F855" s="16" t="s">
        <v>2059</v>
      </c>
      <c r="G855" s="16" t="s">
        <v>40</v>
      </c>
      <c r="H855" s="8">
        <v>45669</v>
      </c>
      <c r="I855" s="16" t="s">
        <v>71</v>
      </c>
      <c r="J855" t="b">
        <v>0</v>
      </c>
      <c r="K855" s="15" t="s">
        <v>2161</v>
      </c>
      <c r="L855" s="15" t="str">
        <f>HYPERLINK("https://uk1.aconex.co.uk/hub/index.html?mainTarget=%2FSearchControlledDoc%3FSEARCH_ACTION%3D15%26tab%3D0%26searchMode%3D1%26searchQuery%3Ddocno:%22"&amp;RawData[[#This Row],[Document Number]]&amp;"%22%20%2Bcversion%253A1",RawData[[#This Row],[Document Number]])</f>
        <v>FS1018-PIN-ZZ-00-D-O-4008</v>
      </c>
    </row>
    <row r="856" spans="1:12" x14ac:dyDescent="0.3">
      <c r="A856" s="15" t="s">
        <v>2159</v>
      </c>
      <c r="B856" s="15" t="s">
        <v>2162</v>
      </c>
      <c r="C856" s="15" t="s">
        <v>11</v>
      </c>
      <c r="D856" s="15" t="s">
        <v>21</v>
      </c>
      <c r="E856" s="8">
        <v>45729</v>
      </c>
      <c r="F856" s="16" t="s">
        <v>12</v>
      </c>
      <c r="G856" s="16" t="s">
        <v>4</v>
      </c>
      <c r="H856" s="8"/>
      <c r="I856" s="16"/>
      <c r="J856" t="b">
        <v>0</v>
      </c>
      <c r="K856" s="15" t="s">
        <v>2163</v>
      </c>
      <c r="L856" s="15" t="str">
        <f>HYPERLINK("https://uk1.aconex.co.uk/hub/index.html?mainTarget=%2FSearchControlledDoc%3FSEARCH_ACTION%3D15%26tab%3D0%26searchMode%3D1%26searchQuery%3Ddocno:%22"&amp;RawData[[#This Row],[Document Number]]&amp;"%22%20%2Bcversion%253A1",RawData[[#This Row],[Document Number]])</f>
        <v>FS1018-PIN-ZZ-00-D-O-4008</v>
      </c>
    </row>
    <row r="857" spans="1:12" ht="43.2" x14ac:dyDescent="0.3">
      <c r="A857" s="15" t="s">
        <v>2164</v>
      </c>
      <c r="B857" s="15" t="s">
        <v>2165</v>
      </c>
      <c r="C857" s="15" t="s">
        <v>14</v>
      </c>
      <c r="D857" s="15" t="s">
        <v>20</v>
      </c>
      <c r="E857" s="8">
        <v>45533</v>
      </c>
      <c r="F857" s="16" t="s">
        <v>2059</v>
      </c>
      <c r="G857" s="16" t="s">
        <v>40</v>
      </c>
      <c r="H857" s="8">
        <v>45669</v>
      </c>
      <c r="I857" s="16" t="s">
        <v>71</v>
      </c>
      <c r="J857" t="b">
        <v>0</v>
      </c>
      <c r="K857" s="15" t="s">
        <v>2166</v>
      </c>
      <c r="L857" s="15" t="str">
        <f>HYPERLINK("https://uk1.aconex.co.uk/hub/index.html?mainTarget=%2FSearchControlledDoc%3FSEARCH_ACTION%3D15%26tab%3D0%26searchMode%3D1%26searchQuery%3Ddocno:%22"&amp;RawData[[#This Row],[Document Number]]&amp;"%22%20%2Bcversion%253A1",RawData[[#This Row],[Document Number]])</f>
        <v>FS1018-PIN-ZZ-00-D-O-4009</v>
      </c>
    </row>
    <row r="858" spans="1:12" x14ac:dyDescent="0.3">
      <c r="A858" s="15" t="s">
        <v>2164</v>
      </c>
      <c r="B858" s="15" t="s">
        <v>2167</v>
      </c>
      <c r="C858" s="15" t="s">
        <v>11</v>
      </c>
      <c r="D858" s="15" t="s">
        <v>21</v>
      </c>
      <c r="E858" s="8">
        <v>45729</v>
      </c>
      <c r="F858" s="16" t="s">
        <v>12</v>
      </c>
      <c r="G858" s="16" t="s">
        <v>4</v>
      </c>
      <c r="H858" s="8"/>
      <c r="I858" s="16"/>
      <c r="J858" t="b">
        <v>0</v>
      </c>
      <c r="K858" s="15" t="s">
        <v>2168</v>
      </c>
      <c r="L858" s="15" t="str">
        <f>HYPERLINK("https://uk1.aconex.co.uk/hub/index.html?mainTarget=%2FSearchControlledDoc%3FSEARCH_ACTION%3D15%26tab%3D0%26searchMode%3D1%26searchQuery%3Ddocno:%22"&amp;RawData[[#This Row],[Document Number]]&amp;"%22%20%2Bcversion%253A1",RawData[[#This Row],[Document Number]])</f>
        <v>FS1018-PIN-ZZ-00-D-O-4009</v>
      </c>
    </row>
    <row r="859" spans="1:12" ht="43.2" x14ac:dyDescent="0.3">
      <c r="A859" s="15" t="s">
        <v>2169</v>
      </c>
      <c r="B859" s="15" t="s">
        <v>2170</v>
      </c>
      <c r="C859" s="15" t="s">
        <v>14</v>
      </c>
      <c r="D859" s="15" t="s">
        <v>20</v>
      </c>
      <c r="E859" s="8">
        <v>45533</v>
      </c>
      <c r="F859" s="16" t="s">
        <v>2059</v>
      </c>
      <c r="G859" s="16" t="s">
        <v>40</v>
      </c>
      <c r="H859" s="8">
        <v>45669</v>
      </c>
      <c r="I859" s="16" t="s">
        <v>71</v>
      </c>
      <c r="J859" t="b">
        <v>0</v>
      </c>
      <c r="K859" s="15" t="s">
        <v>2171</v>
      </c>
      <c r="L859" s="15" t="str">
        <f>HYPERLINK("https://uk1.aconex.co.uk/hub/index.html?mainTarget=%2FSearchControlledDoc%3FSEARCH_ACTION%3D15%26tab%3D0%26searchMode%3D1%26searchQuery%3Ddocno:%22"&amp;RawData[[#This Row],[Document Number]]&amp;"%22%20%2Bcversion%253A1",RawData[[#This Row],[Document Number]])</f>
        <v>FS1018-PIN-ZZ-00-D-O-4015</v>
      </c>
    </row>
    <row r="860" spans="1:12" x14ac:dyDescent="0.3">
      <c r="A860" s="15" t="s">
        <v>2169</v>
      </c>
      <c r="B860" s="15" t="s">
        <v>2172</v>
      </c>
      <c r="C860" s="15" t="s">
        <v>10</v>
      </c>
      <c r="D860" s="15" t="s">
        <v>21</v>
      </c>
      <c r="E860" s="8">
        <v>45729</v>
      </c>
      <c r="F860" s="16" t="s">
        <v>12</v>
      </c>
      <c r="G860" s="16" t="s">
        <v>4</v>
      </c>
      <c r="H860" s="8"/>
      <c r="I860" s="16"/>
      <c r="J860" t="b">
        <v>1</v>
      </c>
      <c r="K860" s="15" t="s">
        <v>2173</v>
      </c>
      <c r="L860" s="15" t="str">
        <f>HYPERLINK("https://uk1.aconex.co.uk/hub/index.html?mainTarget=%2FSearchControlledDoc%3FSEARCH_ACTION%3D15%26tab%3D0%26searchMode%3D1%26searchQuery%3Ddocno:%22"&amp;RawData[[#This Row],[Document Number]]&amp;"%22%20%2Bcversion%253A1",RawData[[#This Row],[Document Number]])</f>
        <v>FS1018-PIN-ZZ-00-D-O-4015</v>
      </c>
    </row>
    <row r="861" spans="1:12" ht="43.2" x14ac:dyDescent="0.3">
      <c r="A861" s="15" t="s">
        <v>2174</v>
      </c>
      <c r="B861" s="15" t="s">
        <v>2175</v>
      </c>
      <c r="C861" s="15" t="s">
        <v>14</v>
      </c>
      <c r="D861" s="15" t="s">
        <v>20</v>
      </c>
      <c r="E861" s="8">
        <v>45533</v>
      </c>
      <c r="F861" s="16" t="s">
        <v>2059</v>
      </c>
      <c r="G861" s="16" t="s">
        <v>40</v>
      </c>
      <c r="H861" s="8">
        <v>45669</v>
      </c>
      <c r="I861" s="16" t="s">
        <v>71</v>
      </c>
      <c r="J861" t="b">
        <v>0</v>
      </c>
      <c r="K861" s="15" t="s">
        <v>2176</v>
      </c>
      <c r="L861" s="15" t="str">
        <f>HYPERLINK("https://uk1.aconex.co.uk/hub/index.html?mainTarget=%2FSearchControlledDoc%3FSEARCH_ACTION%3D15%26tab%3D0%26searchMode%3D1%26searchQuery%3Ddocno:%22"&amp;RawData[[#This Row],[Document Number]]&amp;"%22%20%2Bcversion%253A1",RawData[[#This Row],[Document Number]])</f>
        <v>FS1018-PIN-ZZ-00-D-O-4018</v>
      </c>
    </row>
    <row r="862" spans="1:12" x14ac:dyDescent="0.3">
      <c r="A862" s="15" t="s">
        <v>2174</v>
      </c>
      <c r="B862" s="15" t="s">
        <v>2177</v>
      </c>
      <c r="C862" s="15" t="s">
        <v>10</v>
      </c>
      <c r="D862" s="15" t="s">
        <v>21</v>
      </c>
      <c r="E862" s="8">
        <v>45729</v>
      </c>
      <c r="F862" s="16" t="s">
        <v>12</v>
      </c>
      <c r="G862" s="16" t="s">
        <v>4</v>
      </c>
      <c r="H862" s="8"/>
      <c r="I862" s="16"/>
      <c r="J862" t="b">
        <v>1</v>
      </c>
      <c r="K862" s="15" t="s">
        <v>2178</v>
      </c>
      <c r="L862" s="15" t="str">
        <f>HYPERLINK("https://uk1.aconex.co.uk/hub/index.html?mainTarget=%2FSearchControlledDoc%3FSEARCH_ACTION%3D15%26tab%3D0%26searchMode%3D1%26searchQuery%3Ddocno:%22"&amp;RawData[[#This Row],[Document Number]]&amp;"%22%20%2Bcversion%253A1",RawData[[#This Row],[Document Number]])</f>
        <v>FS1018-PIN-ZZ-00-D-O-4018</v>
      </c>
    </row>
    <row r="863" spans="1:12" ht="43.2" x14ac:dyDescent="0.3">
      <c r="A863" s="15" t="s">
        <v>2179</v>
      </c>
      <c r="B863" s="15" t="s">
        <v>2180</v>
      </c>
      <c r="C863" s="15" t="s">
        <v>14</v>
      </c>
      <c r="D863" s="15" t="s">
        <v>20</v>
      </c>
      <c r="E863" s="8">
        <v>45533</v>
      </c>
      <c r="F863" s="16" t="s">
        <v>2059</v>
      </c>
      <c r="G863" s="16" t="s">
        <v>40</v>
      </c>
      <c r="H863" s="8">
        <v>45669</v>
      </c>
      <c r="I863" s="16" t="s">
        <v>71</v>
      </c>
      <c r="J863" t="b">
        <v>0</v>
      </c>
      <c r="K863" s="15" t="s">
        <v>2181</v>
      </c>
      <c r="L863" s="15" t="str">
        <f>HYPERLINK("https://uk1.aconex.co.uk/hub/index.html?mainTarget=%2FSearchControlledDoc%3FSEARCH_ACTION%3D15%26tab%3D0%26searchMode%3D1%26searchQuery%3Ddocno:%22"&amp;RawData[[#This Row],[Document Number]]&amp;"%22%20%2Bcversion%253A1",RawData[[#This Row],[Document Number]])</f>
        <v>FS1018-PIN-ZZ-00-D-O-5001</v>
      </c>
    </row>
    <row r="864" spans="1:12" ht="43.2" x14ac:dyDescent="0.3">
      <c r="A864" s="15" t="s">
        <v>2182</v>
      </c>
      <c r="B864" s="15" t="s">
        <v>2165</v>
      </c>
      <c r="C864" s="15" t="s">
        <v>14</v>
      </c>
      <c r="D864" s="15" t="s">
        <v>20</v>
      </c>
      <c r="E864" s="8">
        <v>45533</v>
      </c>
      <c r="F864" s="16" t="s">
        <v>2059</v>
      </c>
      <c r="G864" s="16" t="s">
        <v>40</v>
      </c>
      <c r="H864" s="8">
        <v>45669</v>
      </c>
      <c r="I864" s="16" t="s">
        <v>71</v>
      </c>
      <c r="J864" t="b">
        <v>0</v>
      </c>
      <c r="K864" s="15" t="s">
        <v>2183</v>
      </c>
      <c r="L864" s="15" t="str">
        <f>HYPERLINK("https://uk1.aconex.co.uk/hub/index.html?mainTarget=%2FSearchControlledDoc%3FSEARCH_ACTION%3D15%26tab%3D0%26searchMode%3D1%26searchQuery%3Ddocno:%22"&amp;RawData[[#This Row],[Document Number]]&amp;"%22%20%2Bcversion%253A1",RawData[[#This Row],[Document Number]])</f>
        <v>FS1018-PIN-ZZ-00-D-O-5003</v>
      </c>
    </row>
    <row r="865" spans="1:12" x14ac:dyDescent="0.3">
      <c r="A865" s="15" t="s">
        <v>2182</v>
      </c>
      <c r="B865" s="15" t="s">
        <v>2167</v>
      </c>
      <c r="C865" s="15" t="s">
        <v>11</v>
      </c>
      <c r="D865" s="15" t="s">
        <v>21</v>
      </c>
      <c r="E865" s="8">
        <v>45729</v>
      </c>
      <c r="F865" s="16" t="s">
        <v>12</v>
      </c>
      <c r="G865" s="16" t="s">
        <v>4</v>
      </c>
      <c r="H865" s="8"/>
      <c r="I865" s="16"/>
      <c r="J865" t="b">
        <v>0</v>
      </c>
      <c r="K865" s="15" t="s">
        <v>2184</v>
      </c>
      <c r="L865" s="15" t="str">
        <f>HYPERLINK("https://uk1.aconex.co.uk/hub/index.html?mainTarget=%2FSearchControlledDoc%3FSEARCH_ACTION%3D15%26tab%3D0%26searchMode%3D1%26searchQuery%3Ddocno:%22"&amp;RawData[[#This Row],[Document Number]]&amp;"%22%20%2Bcversion%253A1",RawData[[#This Row],[Document Number]])</f>
        <v>FS1018-PIN-ZZ-00-D-O-5003</v>
      </c>
    </row>
    <row r="866" spans="1:12" ht="43.2" x14ac:dyDescent="0.3">
      <c r="A866" s="15" t="s">
        <v>2185</v>
      </c>
      <c r="B866" s="15" t="s">
        <v>2186</v>
      </c>
      <c r="C866" s="15" t="s">
        <v>14</v>
      </c>
      <c r="D866" s="15" t="s">
        <v>20</v>
      </c>
      <c r="E866" s="8">
        <v>45533</v>
      </c>
      <c r="F866" s="16" t="s">
        <v>2059</v>
      </c>
      <c r="G866" s="16" t="s">
        <v>40</v>
      </c>
      <c r="H866" s="8">
        <v>45669</v>
      </c>
      <c r="I866" s="16" t="s">
        <v>71</v>
      </c>
      <c r="J866" t="b">
        <v>0</v>
      </c>
      <c r="K866" s="15" t="s">
        <v>2187</v>
      </c>
      <c r="L866" s="15" t="str">
        <f>HYPERLINK("https://uk1.aconex.co.uk/hub/index.html?mainTarget=%2FSearchControlledDoc%3FSEARCH_ACTION%3D15%26tab%3D0%26searchMode%3D1%26searchQuery%3Ddocno:%22"&amp;RawData[[#This Row],[Document Number]]&amp;"%22%20%2Bcversion%253A1",RawData[[#This Row],[Document Number]])</f>
        <v>FS1018-PIN-ZZ-00-D-O-5007</v>
      </c>
    </row>
    <row r="867" spans="1:12" x14ac:dyDescent="0.3">
      <c r="A867" s="15" t="s">
        <v>2185</v>
      </c>
      <c r="B867" s="15" t="s">
        <v>2188</v>
      </c>
      <c r="C867" s="15" t="s">
        <v>10</v>
      </c>
      <c r="D867" s="15" t="s">
        <v>21</v>
      </c>
      <c r="E867" s="8">
        <v>45729</v>
      </c>
      <c r="F867" s="16" t="s">
        <v>12</v>
      </c>
      <c r="G867" s="16" t="s">
        <v>4</v>
      </c>
      <c r="H867" s="8"/>
      <c r="I867" s="16"/>
      <c r="J867" t="b">
        <v>1</v>
      </c>
      <c r="K867" s="15" t="s">
        <v>2189</v>
      </c>
      <c r="L867" s="15" t="str">
        <f>HYPERLINK("https://uk1.aconex.co.uk/hub/index.html?mainTarget=%2FSearchControlledDoc%3FSEARCH_ACTION%3D15%26tab%3D0%26searchMode%3D1%26searchQuery%3Ddocno:%22"&amp;RawData[[#This Row],[Document Number]]&amp;"%22%20%2Bcversion%253A1",RawData[[#This Row],[Document Number]])</f>
        <v>FS1018-PIN-ZZ-00-D-O-5007</v>
      </c>
    </row>
    <row r="868" spans="1:12" ht="43.2" x14ac:dyDescent="0.3">
      <c r="A868" s="15" t="s">
        <v>2190</v>
      </c>
      <c r="B868" s="15" t="s">
        <v>2191</v>
      </c>
      <c r="C868" s="15" t="s">
        <v>14</v>
      </c>
      <c r="D868" s="15" t="s">
        <v>20</v>
      </c>
      <c r="E868" s="8">
        <v>45533</v>
      </c>
      <c r="F868" s="16" t="s">
        <v>2059</v>
      </c>
      <c r="G868" s="16" t="s">
        <v>40</v>
      </c>
      <c r="H868" s="8">
        <v>45669</v>
      </c>
      <c r="I868" s="16" t="s">
        <v>71</v>
      </c>
      <c r="J868" t="b">
        <v>0</v>
      </c>
      <c r="K868" s="15" t="s">
        <v>2192</v>
      </c>
      <c r="L868" s="15" t="str">
        <f>HYPERLINK("https://uk1.aconex.co.uk/hub/index.html?mainTarget=%2FSearchControlledDoc%3FSEARCH_ACTION%3D15%26tab%3D0%26searchMode%3D1%26searchQuery%3Ddocno:%22"&amp;RawData[[#This Row],[Document Number]]&amp;"%22%20%2Bcversion%253A1",RawData[[#This Row],[Document Number]])</f>
        <v>FS1018-PIN-ZZ-00-D-O-5008</v>
      </c>
    </row>
    <row r="869" spans="1:12" x14ac:dyDescent="0.3">
      <c r="A869" s="15" t="s">
        <v>2190</v>
      </c>
      <c r="B869" s="15" t="s">
        <v>2191</v>
      </c>
      <c r="C869" s="15" t="s">
        <v>10</v>
      </c>
      <c r="D869" s="15" t="s">
        <v>21</v>
      </c>
      <c r="E869" s="8">
        <v>45729</v>
      </c>
      <c r="F869" s="16" t="s">
        <v>12</v>
      </c>
      <c r="G869" s="16" t="s">
        <v>4</v>
      </c>
      <c r="H869" s="8"/>
      <c r="I869" s="16"/>
      <c r="J869" t="b">
        <v>1</v>
      </c>
      <c r="K869" s="15" t="s">
        <v>2192</v>
      </c>
      <c r="L869" s="15" t="str">
        <f>HYPERLINK("https://uk1.aconex.co.uk/hub/index.html?mainTarget=%2FSearchControlledDoc%3FSEARCH_ACTION%3D15%26tab%3D0%26searchMode%3D1%26searchQuery%3Ddocno:%22"&amp;RawData[[#This Row],[Document Number]]&amp;"%22%20%2Bcversion%253A1",RawData[[#This Row],[Document Number]])</f>
        <v>FS1018-PIN-ZZ-00-D-O-5008</v>
      </c>
    </row>
    <row r="870" spans="1:12" ht="43.2" x14ac:dyDescent="0.3">
      <c r="A870" s="15" t="s">
        <v>2193</v>
      </c>
      <c r="B870" s="15" t="s">
        <v>2194</v>
      </c>
      <c r="C870" s="15" t="s">
        <v>14</v>
      </c>
      <c r="D870" s="15" t="s">
        <v>20</v>
      </c>
      <c r="E870" s="8">
        <v>45533</v>
      </c>
      <c r="F870" s="16" t="s">
        <v>2059</v>
      </c>
      <c r="G870" s="16" t="s">
        <v>40</v>
      </c>
      <c r="H870" s="8">
        <v>45669</v>
      </c>
      <c r="I870" s="16" t="s">
        <v>71</v>
      </c>
      <c r="J870" t="b">
        <v>0</v>
      </c>
      <c r="K870" s="15" t="s">
        <v>2195</v>
      </c>
      <c r="L870" s="15" t="str">
        <f>HYPERLINK("https://uk1.aconex.co.uk/hub/index.html?mainTarget=%2FSearchControlledDoc%3FSEARCH_ACTION%3D15%26tab%3D0%26searchMode%3D1%26searchQuery%3Ddocno:%22"&amp;RawData[[#This Row],[Document Number]]&amp;"%22%20%2Bcversion%253A1",RawData[[#This Row],[Document Number]])</f>
        <v>FS1018-PIN-ZZ-00-D-O-5009</v>
      </c>
    </row>
    <row r="871" spans="1:12" x14ac:dyDescent="0.3">
      <c r="A871" s="15" t="s">
        <v>2193</v>
      </c>
      <c r="B871" s="15" t="s">
        <v>2196</v>
      </c>
      <c r="C871" s="15" t="s">
        <v>11</v>
      </c>
      <c r="D871" s="15" t="s">
        <v>21</v>
      </c>
      <c r="E871" s="8">
        <v>45729</v>
      </c>
      <c r="F871" s="16" t="s">
        <v>12</v>
      </c>
      <c r="G871" s="16" t="s">
        <v>4</v>
      </c>
      <c r="H871" s="8"/>
      <c r="I871" s="16"/>
      <c r="J871" t="b">
        <v>0</v>
      </c>
      <c r="K871" s="15" t="s">
        <v>2197</v>
      </c>
      <c r="L871" s="15" t="str">
        <f>HYPERLINK("https://uk1.aconex.co.uk/hub/index.html?mainTarget=%2FSearchControlledDoc%3FSEARCH_ACTION%3D15%26tab%3D0%26searchMode%3D1%26searchQuery%3Ddocno:%22"&amp;RawData[[#This Row],[Document Number]]&amp;"%22%20%2Bcversion%253A1",RawData[[#This Row],[Document Number]])</f>
        <v>FS1018-PIN-ZZ-00-D-O-5009</v>
      </c>
    </row>
    <row r="872" spans="1:12" ht="43.2" x14ac:dyDescent="0.3">
      <c r="A872" s="15" t="s">
        <v>2198</v>
      </c>
      <c r="B872" s="15" t="s">
        <v>2194</v>
      </c>
      <c r="C872" s="15" t="s">
        <v>14</v>
      </c>
      <c r="D872" s="15" t="s">
        <v>20</v>
      </c>
      <c r="E872" s="8">
        <v>45533</v>
      </c>
      <c r="F872" s="16" t="s">
        <v>2059</v>
      </c>
      <c r="G872" s="16" t="s">
        <v>40</v>
      </c>
      <c r="H872" s="8">
        <v>45669</v>
      </c>
      <c r="I872" s="16" t="s">
        <v>71</v>
      </c>
      <c r="J872" t="b">
        <v>0</v>
      </c>
      <c r="K872" s="15" t="s">
        <v>2199</v>
      </c>
      <c r="L872" s="15" t="str">
        <f>HYPERLINK("https://uk1.aconex.co.uk/hub/index.html?mainTarget=%2FSearchControlledDoc%3FSEARCH_ACTION%3D15%26tab%3D0%26searchMode%3D1%26searchQuery%3Ddocno:%22"&amp;RawData[[#This Row],[Document Number]]&amp;"%22%20%2Bcversion%253A1",RawData[[#This Row],[Document Number]])</f>
        <v>FS1018-PIN-ZZ-00-D-O-5011</v>
      </c>
    </row>
    <row r="873" spans="1:12" x14ac:dyDescent="0.3">
      <c r="A873" s="15" t="s">
        <v>2198</v>
      </c>
      <c r="B873" s="15" t="s">
        <v>2196</v>
      </c>
      <c r="C873" s="15" t="s">
        <v>11</v>
      </c>
      <c r="D873" s="15" t="s">
        <v>21</v>
      </c>
      <c r="E873" s="8">
        <v>45729</v>
      </c>
      <c r="F873" s="16" t="s">
        <v>12</v>
      </c>
      <c r="G873" s="16" t="s">
        <v>4</v>
      </c>
      <c r="H873" s="8"/>
      <c r="I873" s="16"/>
      <c r="J873" t="b">
        <v>0</v>
      </c>
      <c r="K873" s="15" t="s">
        <v>2200</v>
      </c>
      <c r="L873" s="15" t="str">
        <f>HYPERLINK("https://uk1.aconex.co.uk/hub/index.html?mainTarget=%2FSearchControlledDoc%3FSEARCH_ACTION%3D15%26tab%3D0%26searchMode%3D1%26searchQuery%3Ddocno:%22"&amp;RawData[[#This Row],[Document Number]]&amp;"%22%20%2Bcversion%253A1",RawData[[#This Row],[Document Number]])</f>
        <v>FS1018-PIN-ZZ-00-D-O-5011</v>
      </c>
    </row>
    <row r="874" spans="1:12" ht="43.2" x14ac:dyDescent="0.3">
      <c r="A874" s="15" t="s">
        <v>2201</v>
      </c>
      <c r="B874" s="15" t="s">
        <v>2202</v>
      </c>
      <c r="C874" s="15" t="s">
        <v>14</v>
      </c>
      <c r="D874" s="15" t="s">
        <v>20</v>
      </c>
      <c r="E874" s="8">
        <v>45533</v>
      </c>
      <c r="F874" s="16" t="s">
        <v>2059</v>
      </c>
      <c r="G874" s="16" t="s">
        <v>40</v>
      </c>
      <c r="H874" s="8">
        <v>45669</v>
      </c>
      <c r="I874" s="16" t="s">
        <v>71</v>
      </c>
      <c r="J874" t="b">
        <v>0</v>
      </c>
      <c r="K874" s="15" t="s">
        <v>2203</v>
      </c>
      <c r="L874" s="15" t="str">
        <f>HYPERLINK("https://uk1.aconex.co.uk/hub/index.html?mainTarget=%2FSearchControlledDoc%3FSEARCH_ACTION%3D15%26tab%3D0%26searchMode%3D1%26searchQuery%3Ddocno:%22"&amp;RawData[[#This Row],[Document Number]]&amp;"%22%20%2Bcversion%253A1",RawData[[#This Row],[Document Number]])</f>
        <v>FS1018-PIN-ZZ-00-D-O-5013</v>
      </c>
    </row>
    <row r="875" spans="1:12" x14ac:dyDescent="0.3">
      <c r="A875" s="15" t="s">
        <v>2201</v>
      </c>
      <c r="B875" s="15" t="s">
        <v>2204</v>
      </c>
      <c r="C875" s="15" t="s">
        <v>11</v>
      </c>
      <c r="D875" s="15" t="s">
        <v>21</v>
      </c>
      <c r="E875" s="8">
        <v>45729</v>
      </c>
      <c r="F875" s="16" t="s">
        <v>12</v>
      </c>
      <c r="G875" s="16" t="s">
        <v>4</v>
      </c>
      <c r="H875" s="8"/>
      <c r="I875" s="16"/>
      <c r="J875" t="b">
        <v>0</v>
      </c>
      <c r="K875" s="15" t="s">
        <v>2205</v>
      </c>
      <c r="L875" s="15" t="str">
        <f>HYPERLINK("https://uk1.aconex.co.uk/hub/index.html?mainTarget=%2FSearchControlledDoc%3FSEARCH_ACTION%3D15%26tab%3D0%26searchMode%3D1%26searchQuery%3Ddocno:%22"&amp;RawData[[#This Row],[Document Number]]&amp;"%22%20%2Bcversion%253A1",RawData[[#This Row],[Document Number]])</f>
        <v>FS1018-PIN-ZZ-00-D-O-5013</v>
      </c>
    </row>
    <row r="876" spans="1:12" ht="43.2" x14ac:dyDescent="0.3">
      <c r="A876" s="15" t="s">
        <v>2206</v>
      </c>
      <c r="B876" s="15" t="s">
        <v>2207</v>
      </c>
      <c r="C876" s="15" t="s">
        <v>14</v>
      </c>
      <c r="D876" s="15" t="s">
        <v>20</v>
      </c>
      <c r="E876" s="8">
        <v>45533</v>
      </c>
      <c r="F876" s="16" t="s">
        <v>2059</v>
      </c>
      <c r="G876" s="16" t="s">
        <v>40</v>
      </c>
      <c r="H876" s="8">
        <v>45669</v>
      </c>
      <c r="I876" s="16" t="s">
        <v>71</v>
      </c>
      <c r="J876" t="b">
        <v>0</v>
      </c>
      <c r="K876" s="15" t="s">
        <v>2208</v>
      </c>
      <c r="L876" s="15" t="str">
        <f>HYPERLINK("https://uk1.aconex.co.uk/hub/index.html?mainTarget=%2FSearchControlledDoc%3FSEARCH_ACTION%3D15%26tab%3D0%26searchMode%3D1%26searchQuery%3Ddocno:%22"&amp;RawData[[#This Row],[Document Number]]&amp;"%22%20%2Bcversion%253A1",RawData[[#This Row],[Document Number]])</f>
        <v>FS1018-PIN-ZZ-00-D-O-5018</v>
      </c>
    </row>
    <row r="877" spans="1:12" x14ac:dyDescent="0.3">
      <c r="A877" s="15" t="s">
        <v>2206</v>
      </c>
      <c r="B877" s="15" t="s">
        <v>2209</v>
      </c>
      <c r="C877" s="15" t="s">
        <v>10</v>
      </c>
      <c r="D877" s="15" t="s">
        <v>21</v>
      </c>
      <c r="E877" s="8">
        <v>45729</v>
      </c>
      <c r="F877" s="16" t="s">
        <v>12</v>
      </c>
      <c r="G877" s="16" t="s">
        <v>4</v>
      </c>
      <c r="H877" s="8"/>
      <c r="I877" s="16"/>
      <c r="J877" t="b">
        <v>1</v>
      </c>
      <c r="K877" s="15" t="s">
        <v>2210</v>
      </c>
      <c r="L877" s="15" t="str">
        <f>HYPERLINK("https://uk1.aconex.co.uk/hub/index.html?mainTarget=%2FSearchControlledDoc%3FSEARCH_ACTION%3D15%26tab%3D0%26searchMode%3D1%26searchQuery%3Ddocno:%22"&amp;RawData[[#This Row],[Document Number]]&amp;"%22%20%2Bcversion%253A1",RawData[[#This Row],[Document Number]])</f>
        <v>FS1018-PIN-ZZ-00-D-O-5018</v>
      </c>
    </row>
    <row r="878" spans="1:12" ht="43.2" x14ac:dyDescent="0.3">
      <c r="A878" s="15" t="s">
        <v>2211</v>
      </c>
      <c r="B878" s="15" t="s">
        <v>2212</v>
      </c>
      <c r="C878" s="15" t="s">
        <v>14</v>
      </c>
      <c r="D878" s="15" t="s">
        <v>20</v>
      </c>
      <c r="E878" s="8">
        <v>45533</v>
      </c>
      <c r="F878" s="16" t="s">
        <v>2059</v>
      </c>
      <c r="G878" s="16" t="s">
        <v>40</v>
      </c>
      <c r="H878" s="8">
        <v>45669</v>
      </c>
      <c r="I878" s="16" t="s">
        <v>71</v>
      </c>
      <c r="J878" t="b">
        <v>0</v>
      </c>
      <c r="K878" s="15" t="s">
        <v>2213</v>
      </c>
      <c r="L878" s="15" t="str">
        <f>HYPERLINK("https://uk1.aconex.co.uk/hub/index.html?mainTarget=%2FSearchControlledDoc%3FSEARCH_ACTION%3D15%26tab%3D0%26searchMode%3D1%26searchQuery%3Ddocno:%22"&amp;RawData[[#This Row],[Document Number]]&amp;"%22%20%2Bcversion%253A1",RawData[[#This Row],[Document Number]])</f>
        <v>FS1018-PIN-ZZ-00-D-O-5019</v>
      </c>
    </row>
    <row r="879" spans="1:12" x14ac:dyDescent="0.3">
      <c r="A879" s="15" t="s">
        <v>2211</v>
      </c>
      <c r="B879" s="15" t="s">
        <v>2212</v>
      </c>
      <c r="C879" s="15" t="s">
        <v>10</v>
      </c>
      <c r="D879" s="15" t="s">
        <v>21</v>
      </c>
      <c r="E879" s="8">
        <v>45729</v>
      </c>
      <c r="F879" s="16" t="s">
        <v>12</v>
      </c>
      <c r="G879" s="16" t="s">
        <v>4</v>
      </c>
      <c r="H879" s="8"/>
      <c r="I879" s="16"/>
      <c r="J879" t="b">
        <v>1</v>
      </c>
      <c r="K879" s="15" t="s">
        <v>2213</v>
      </c>
      <c r="L879" s="15" t="str">
        <f>HYPERLINK("https://uk1.aconex.co.uk/hub/index.html?mainTarget=%2FSearchControlledDoc%3FSEARCH_ACTION%3D15%26tab%3D0%26searchMode%3D1%26searchQuery%3Ddocno:%22"&amp;RawData[[#This Row],[Document Number]]&amp;"%22%20%2Bcversion%253A1",RawData[[#This Row],[Document Number]])</f>
        <v>FS1018-PIN-ZZ-00-D-O-5019</v>
      </c>
    </row>
    <row r="880" spans="1:12" ht="43.2" x14ac:dyDescent="0.3">
      <c r="A880" s="15" t="s">
        <v>2214</v>
      </c>
      <c r="B880" s="15" t="s">
        <v>2215</v>
      </c>
      <c r="C880" s="15" t="s">
        <v>14</v>
      </c>
      <c r="D880" s="15" t="s">
        <v>20</v>
      </c>
      <c r="E880" s="8">
        <v>45533</v>
      </c>
      <c r="F880" s="16" t="s">
        <v>2059</v>
      </c>
      <c r="G880" s="16" t="s">
        <v>40</v>
      </c>
      <c r="H880" s="8">
        <v>45669</v>
      </c>
      <c r="I880" s="16" t="s">
        <v>71</v>
      </c>
      <c r="J880" t="b">
        <v>0</v>
      </c>
      <c r="K880" s="15" t="s">
        <v>2216</v>
      </c>
      <c r="L880" s="15" t="str">
        <f>HYPERLINK("https://uk1.aconex.co.uk/hub/index.html?mainTarget=%2FSearchControlledDoc%3FSEARCH_ACTION%3D15%26tab%3D0%26searchMode%3D1%26searchQuery%3Ddocno:%22"&amp;RawData[[#This Row],[Document Number]]&amp;"%22%20%2Bcversion%253A1",RawData[[#This Row],[Document Number]])</f>
        <v>FS1018-PIN-ZZ-00-D-O-5021</v>
      </c>
    </row>
    <row r="881" spans="1:12" ht="43.2" x14ac:dyDescent="0.3">
      <c r="A881" s="15" t="s">
        <v>2217</v>
      </c>
      <c r="B881" s="15" t="s">
        <v>2218</v>
      </c>
      <c r="C881" s="15" t="s">
        <v>14</v>
      </c>
      <c r="D881" s="15" t="s">
        <v>20</v>
      </c>
      <c r="E881" s="8">
        <v>45533</v>
      </c>
      <c r="F881" s="16" t="s">
        <v>2059</v>
      </c>
      <c r="G881" s="16" t="s">
        <v>40</v>
      </c>
      <c r="H881" s="8">
        <v>45669</v>
      </c>
      <c r="I881" s="16" t="s">
        <v>71</v>
      </c>
      <c r="J881" t="b">
        <v>0</v>
      </c>
      <c r="K881" s="15" t="s">
        <v>2219</v>
      </c>
      <c r="L881" s="15" t="str">
        <f>HYPERLINK("https://uk1.aconex.co.uk/hub/index.html?mainTarget=%2FSearchControlledDoc%3FSEARCH_ACTION%3D15%26tab%3D0%26searchMode%3D1%26searchQuery%3Ddocno:%22"&amp;RawData[[#This Row],[Document Number]]&amp;"%22%20%2Bcversion%253A1",RawData[[#This Row],[Document Number]])</f>
        <v>FS1018-PIN-ZZ-00-D-O-5103</v>
      </c>
    </row>
    <row r="882" spans="1:12" x14ac:dyDescent="0.3">
      <c r="A882" s="15" t="s">
        <v>2217</v>
      </c>
      <c r="B882" s="15" t="s">
        <v>2218</v>
      </c>
      <c r="C882" s="15" t="s">
        <v>10</v>
      </c>
      <c r="D882" s="15" t="s">
        <v>21</v>
      </c>
      <c r="E882" s="8">
        <v>45729</v>
      </c>
      <c r="F882" s="16" t="s">
        <v>12</v>
      </c>
      <c r="G882" s="16" t="s">
        <v>4</v>
      </c>
      <c r="H882" s="8"/>
      <c r="I882" s="16"/>
      <c r="J882" t="b">
        <v>1</v>
      </c>
      <c r="K882" s="15" t="s">
        <v>2219</v>
      </c>
      <c r="L882" s="15" t="str">
        <f>HYPERLINK("https://uk1.aconex.co.uk/hub/index.html?mainTarget=%2FSearchControlledDoc%3FSEARCH_ACTION%3D15%26tab%3D0%26searchMode%3D1%26searchQuery%3Ddocno:%22"&amp;RawData[[#This Row],[Document Number]]&amp;"%22%20%2Bcversion%253A1",RawData[[#This Row],[Document Number]])</f>
        <v>FS1018-PIN-ZZ-00-D-O-5103</v>
      </c>
    </row>
    <row r="883" spans="1:12" ht="43.2" x14ac:dyDescent="0.3">
      <c r="A883" s="15" t="s">
        <v>2220</v>
      </c>
      <c r="B883" s="15" t="s">
        <v>2221</v>
      </c>
      <c r="C883" s="15" t="s">
        <v>14</v>
      </c>
      <c r="D883" s="15" t="s">
        <v>20</v>
      </c>
      <c r="E883" s="8">
        <v>45533</v>
      </c>
      <c r="F883" s="16" t="s">
        <v>2059</v>
      </c>
      <c r="G883" s="16" t="s">
        <v>40</v>
      </c>
      <c r="H883" s="8">
        <v>45669</v>
      </c>
      <c r="I883" s="16" t="s">
        <v>71</v>
      </c>
      <c r="J883" t="b">
        <v>0</v>
      </c>
      <c r="K883" s="15" t="s">
        <v>2222</v>
      </c>
      <c r="L883" s="15" t="str">
        <f>HYPERLINK("https://uk1.aconex.co.uk/hub/index.html?mainTarget=%2FSearchControlledDoc%3FSEARCH_ACTION%3D15%26tab%3D0%26searchMode%3D1%26searchQuery%3Ddocno:%22"&amp;RawData[[#This Row],[Document Number]]&amp;"%22%20%2Bcversion%253A1",RawData[[#This Row],[Document Number]])</f>
        <v>FS1018-PIN-ZZ-00-D-O-5109</v>
      </c>
    </row>
    <row r="884" spans="1:12" x14ac:dyDescent="0.3">
      <c r="A884" s="15" t="s">
        <v>2220</v>
      </c>
      <c r="B884" s="15" t="s">
        <v>2223</v>
      </c>
      <c r="C884" s="15" t="s">
        <v>11</v>
      </c>
      <c r="D884" s="15" t="s">
        <v>21</v>
      </c>
      <c r="E884" s="8">
        <v>45729</v>
      </c>
      <c r="F884" s="16" t="s">
        <v>12</v>
      </c>
      <c r="G884" s="16" t="s">
        <v>4</v>
      </c>
      <c r="H884" s="8"/>
      <c r="I884" s="16"/>
      <c r="J884" t="b">
        <v>0</v>
      </c>
      <c r="K884" s="15" t="s">
        <v>2224</v>
      </c>
      <c r="L884" s="15" t="str">
        <f>HYPERLINK("https://uk1.aconex.co.uk/hub/index.html?mainTarget=%2FSearchControlledDoc%3FSEARCH_ACTION%3D15%26tab%3D0%26searchMode%3D1%26searchQuery%3Ddocno:%22"&amp;RawData[[#This Row],[Document Number]]&amp;"%22%20%2Bcversion%253A1",RawData[[#This Row],[Document Number]])</f>
        <v>FS1018-PIN-ZZ-00-D-O-5109</v>
      </c>
    </row>
    <row r="885" spans="1:12" x14ac:dyDescent="0.3">
      <c r="A885" s="15" t="s">
        <v>2225</v>
      </c>
      <c r="B885" s="15" t="s">
        <v>2226</v>
      </c>
      <c r="C885" s="15" t="s">
        <v>11</v>
      </c>
      <c r="D885" s="15" t="s">
        <v>21</v>
      </c>
      <c r="E885" s="8">
        <v>45729</v>
      </c>
      <c r="F885" s="16" t="s">
        <v>12</v>
      </c>
      <c r="G885" s="16" t="s">
        <v>4</v>
      </c>
      <c r="H885" s="8"/>
      <c r="I885" s="16"/>
      <c r="J885" t="b">
        <v>0</v>
      </c>
      <c r="K885" s="15" t="s">
        <v>2227</v>
      </c>
      <c r="L885" s="15" t="str">
        <f>HYPERLINK("https://uk1.aconex.co.uk/hub/index.html?mainTarget=%2FSearchControlledDoc%3FSEARCH_ACTION%3D15%26tab%3D0%26searchMode%3D1%26searchQuery%3Ddocno:%22"&amp;RawData[[#This Row],[Document Number]]&amp;"%22%20%2Bcversion%253A1",RawData[[#This Row],[Document Number]])</f>
        <v>FS1018-PIN-ZZ-00-D-O-5114</v>
      </c>
    </row>
    <row r="886" spans="1:12" x14ac:dyDescent="0.3">
      <c r="A886" s="15" t="s">
        <v>2228</v>
      </c>
      <c r="B886" s="15" t="s">
        <v>2226</v>
      </c>
      <c r="C886" s="15" t="s">
        <v>11</v>
      </c>
      <c r="D886" s="15" t="s">
        <v>21</v>
      </c>
      <c r="E886" s="8">
        <v>45729</v>
      </c>
      <c r="F886" s="16" t="s">
        <v>12</v>
      </c>
      <c r="G886" s="16" t="s">
        <v>4</v>
      </c>
      <c r="H886" s="8"/>
      <c r="I886" s="16"/>
      <c r="J886" t="b">
        <v>0</v>
      </c>
      <c r="K886" s="15" t="s">
        <v>2229</v>
      </c>
      <c r="L886" s="15" t="str">
        <f>HYPERLINK("https://uk1.aconex.co.uk/hub/index.html?mainTarget=%2FSearchControlledDoc%3FSEARCH_ACTION%3D15%26tab%3D0%26searchMode%3D1%26searchQuery%3Ddocno:%22"&amp;RawData[[#This Row],[Document Number]]&amp;"%22%20%2Bcversion%253A1",RawData[[#This Row],[Document Number]])</f>
        <v>FS1018-PIN-ZZ-00-D-O-5117</v>
      </c>
    </row>
    <row r="887" spans="1:12" ht="259.2" x14ac:dyDescent="0.3">
      <c r="A887" s="15" t="s">
        <v>2230</v>
      </c>
      <c r="B887" s="15" t="s">
        <v>2231</v>
      </c>
      <c r="C887" s="15" t="s">
        <v>14</v>
      </c>
      <c r="D887" s="15" t="s">
        <v>20</v>
      </c>
      <c r="E887" s="8">
        <v>45175</v>
      </c>
      <c r="F887" s="16" t="s">
        <v>2059</v>
      </c>
      <c r="G887" s="16" t="s">
        <v>40</v>
      </c>
      <c r="H887" s="8">
        <v>45190</v>
      </c>
      <c r="I887" s="16" t="s">
        <v>2232</v>
      </c>
      <c r="J887" t="b">
        <v>0</v>
      </c>
      <c r="K887" s="15" t="s">
        <v>2233</v>
      </c>
      <c r="L887" s="15" t="str">
        <f>HYPERLINK("https://uk1.aconex.co.uk/hub/index.html?mainTarget=%2FSearchControlledDoc%3FSEARCH_ACTION%3D15%26tab%3D0%26searchMode%3D1%26searchQuery%3Ddocno:%22"&amp;RawData[[#This Row],[Document Number]]&amp;"%22%20%2Bcversion%253A1",RawData[[#This Row],[Document Number]])</f>
        <v>FS1018-PIN-ZZ-00-D-O-6001</v>
      </c>
    </row>
    <row r="888" spans="1:12" ht="43.2" x14ac:dyDescent="0.3">
      <c r="A888" s="15" t="s">
        <v>2230</v>
      </c>
      <c r="B888" s="15" t="s">
        <v>2234</v>
      </c>
      <c r="C888" s="15" t="s">
        <v>10</v>
      </c>
      <c r="D888" s="15" t="s">
        <v>20</v>
      </c>
      <c r="E888" s="8">
        <v>45533</v>
      </c>
      <c r="F888" s="16" t="s">
        <v>2059</v>
      </c>
      <c r="G888" s="16" t="s">
        <v>40</v>
      </c>
      <c r="H888" s="8">
        <v>45669</v>
      </c>
      <c r="I888" s="16" t="s">
        <v>71</v>
      </c>
      <c r="J888" t="b">
        <v>1</v>
      </c>
      <c r="K888" s="15" t="s">
        <v>2235</v>
      </c>
      <c r="L888" s="15" t="str">
        <f>HYPERLINK("https://uk1.aconex.co.uk/hub/index.html?mainTarget=%2FSearchControlledDoc%3FSEARCH_ACTION%3D15%26tab%3D0%26searchMode%3D1%26searchQuery%3Ddocno:%22"&amp;RawData[[#This Row],[Document Number]]&amp;"%22%20%2Bcversion%253A1",RawData[[#This Row],[Document Number]])</f>
        <v>FS1018-PIN-ZZ-00-D-O-6001</v>
      </c>
    </row>
    <row r="889" spans="1:12" x14ac:dyDescent="0.3">
      <c r="A889" s="15" t="s">
        <v>2230</v>
      </c>
      <c r="B889" s="15" t="s">
        <v>2234</v>
      </c>
      <c r="C889" s="15" t="s">
        <v>11</v>
      </c>
      <c r="D889" s="15" t="s">
        <v>21</v>
      </c>
      <c r="E889" s="8">
        <v>45729</v>
      </c>
      <c r="F889" s="16" t="s">
        <v>12</v>
      </c>
      <c r="G889" s="16" t="s">
        <v>4</v>
      </c>
      <c r="H889" s="8"/>
      <c r="I889" s="16"/>
      <c r="J889" t="b">
        <v>0</v>
      </c>
      <c r="K889" s="15" t="s">
        <v>2235</v>
      </c>
      <c r="L889" s="15" t="str">
        <f>HYPERLINK("https://uk1.aconex.co.uk/hub/index.html?mainTarget=%2FSearchControlledDoc%3FSEARCH_ACTION%3D15%26tab%3D0%26searchMode%3D1%26searchQuery%3Ddocno:%22"&amp;RawData[[#This Row],[Document Number]]&amp;"%22%20%2Bcversion%253A1",RawData[[#This Row],[Document Number]])</f>
        <v>FS1018-PIN-ZZ-00-D-O-6001</v>
      </c>
    </row>
    <row r="890" spans="1:12" ht="43.2" x14ac:dyDescent="0.3">
      <c r="A890" s="15" t="s">
        <v>2236</v>
      </c>
      <c r="B890" s="15" t="s">
        <v>2237</v>
      </c>
      <c r="C890" s="15" t="s">
        <v>14</v>
      </c>
      <c r="D890" s="15" t="s">
        <v>20</v>
      </c>
      <c r="E890" s="8">
        <v>45533</v>
      </c>
      <c r="F890" s="16" t="s">
        <v>2059</v>
      </c>
      <c r="G890" s="16" t="s">
        <v>40</v>
      </c>
      <c r="H890" s="8">
        <v>45669</v>
      </c>
      <c r="I890" s="16" t="s">
        <v>71</v>
      </c>
      <c r="J890" t="b">
        <v>0</v>
      </c>
      <c r="K890" s="15" t="s">
        <v>2238</v>
      </c>
      <c r="L890" s="15" t="str">
        <f>HYPERLINK("https://uk1.aconex.co.uk/hub/index.html?mainTarget=%2FSearchControlledDoc%3FSEARCH_ACTION%3D15%26tab%3D0%26searchMode%3D1%26searchQuery%3Ddocno:%22"&amp;RawData[[#This Row],[Document Number]]&amp;"%22%20%2Bcversion%253A1",RawData[[#This Row],[Document Number]])</f>
        <v>FS1018-PIN-ZZ-00-D-O-6002</v>
      </c>
    </row>
    <row r="891" spans="1:12" x14ac:dyDescent="0.3">
      <c r="A891" s="15" t="s">
        <v>2236</v>
      </c>
      <c r="B891" s="15" t="s">
        <v>2237</v>
      </c>
      <c r="C891" s="15" t="s">
        <v>10</v>
      </c>
      <c r="D891" s="15" t="s">
        <v>21</v>
      </c>
      <c r="E891" s="8">
        <v>45729</v>
      </c>
      <c r="F891" s="16" t="s">
        <v>12</v>
      </c>
      <c r="G891" s="16" t="s">
        <v>4</v>
      </c>
      <c r="H891" s="8"/>
      <c r="I891" s="16"/>
      <c r="J891" t="b">
        <v>1</v>
      </c>
      <c r="K891" s="15" t="s">
        <v>2238</v>
      </c>
      <c r="L891" s="15" t="str">
        <f>HYPERLINK("https://uk1.aconex.co.uk/hub/index.html?mainTarget=%2FSearchControlledDoc%3FSEARCH_ACTION%3D15%26tab%3D0%26searchMode%3D1%26searchQuery%3Ddocno:%22"&amp;RawData[[#This Row],[Document Number]]&amp;"%22%20%2Bcversion%253A1",RawData[[#This Row],[Document Number]])</f>
        <v>FS1018-PIN-ZZ-00-D-O-6002</v>
      </c>
    </row>
    <row r="892" spans="1:12" ht="43.2" x14ac:dyDescent="0.3">
      <c r="A892" s="15" t="s">
        <v>2239</v>
      </c>
      <c r="B892" s="15" t="s">
        <v>2240</v>
      </c>
      <c r="C892" s="15" t="s">
        <v>14</v>
      </c>
      <c r="D892" s="15" t="s">
        <v>20</v>
      </c>
      <c r="E892" s="8">
        <v>45533</v>
      </c>
      <c r="F892" s="16" t="s">
        <v>2059</v>
      </c>
      <c r="G892" s="16" t="s">
        <v>40</v>
      </c>
      <c r="H892" s="8">
        <v>45669</v>
      </c>
      <c r="I892" s="16" t="s">
        <v>71</v>
      </c>
      <c r="J892" t="b">
        <v>0</v>
      </c>
      <c r="K892" s="15" t="s">
        <v>2241</v>
      </c>
      <c r="L892" s="15" t="str">
        <f>HYPERLINK("https://uk1.aconex.co.uk/hub/index.html?mainTarget=%2FSearchControlledDoc%3FSEARCH_ACTION%3D15%26tab%3D0%26searchMode%3D1%26searchQuery%3Ddocno:%22"&amp;RawData[[#This Row],[Document Number]]&amp;"%22%20%2Bcversion%253A1",RawData[[#This Row],[Document Number]])</f>
        <v>FS1018-PIN-ZZ-00-D-O-6003</v>
      </c>
    </row>
    <row r="893" spans="1:12" x14ac:dyDescent="0.3">
      <c r="A893" s="15" t="s">
        <v>2239</v>
      </c>
      <c r="B893" s="15" t="s">
        <v>2242</v>
      </c>
      <c r="C893" s="15" t="s">
        <v>10</v>
      </c>
      <c r="D893" s="15" t="s">
        <v>21</v>
      </c>
      <c r="E893" s="8">
        <v>45729</v>
      </c>
      <c r="F893" s="16" t="s">
        <v>12</v>
      </c>
      <c r="G893" s="16" t="s">
        <v>4</v>
      </c>
      <c r="H893" s="8"/>
      <c r="I893" s="16"/>
      <c r="J893" t="b">
        <v>1</v>
      </c>
      <c r="K893" s="15" t="s">
        <v>2243</v>
      </c>
      <c r="L893" s="15" t="str">
        <f>HYPERLINK("https://uk1.aconex.co.uk/hub/index.html?mainTarget=%2FSearchControlledDoc%3FSEARCH_ACTION%3D15%26tab%3D0%26searchMode%3D1%26searchQuery%3Ddocno:%22"&amp;RawData[[#This Row],[Document Number]]&amp;"%22%20%2Bcversion%253A1",RawData[[#This Row],[Document Number]])</f>
        <v>FS1018-PIN-ZZ-00-D-O-6003</v>
      </c>
    </row>
    <row r="894" spans="1:12" ht="43.2" x14ac:dyDescent="0.3">
      <c r="A894" s="15" t="s">
        <v>2244</v>
      </c>
      <c r="B894" s="15" t="s">
        <v>2245</v>
      </c>
      <c r="C894" s="15" t="s">
        <v>14</v>
      </c>
      <c r="D894" s="15" t="s">
        <v>20</v>
      </c>
      <c r="E894" s="8">
        <v>45533</v>
      </c>
      <c r="F894" s="16" t="s">
        <v>2059</v>
      </c>
      <c r="G894" s="16" t="s">
        <v>40</v>
      </c>
      <c r="H894" s="8">
        <v>45669</v>
      </c>
      <c r="I894" s="16" t="s">
        <v>71</v>
      </c>
      <c r="J894" t="b">
        <v>0</v>
      </c>
      <c r="K894" s="15" t="s">
        <v>2246</v>
      </c>
      <c r="L894" s="15" t="str">
        <f>HYPERLINK("https://uk1.aconex.co.uk/hub/index.html?mainTarget=%2FSearchControlledDoc%3FSEARCH_ACTION%3D15%26tab%3D0%26searchMode%3D1%26searchQuery%3Ddocno:%22"&amp;RawData[[#This Row],[Document Number]]&amp;"%22%20%2Bcversion%253A1",RawData[[#This Row],[Document Number]])</f>
        <v>FS1018-PIN-ZZ-00-D-O-6004</v>
      </c>
    </row>
    <row r="895" spans="1:12" x14ac:dyDescent="0.3">
      <c r="A895" s="15" t="s">
        <v>2244</v>
      </c>
      <c r="B895" s="15" t="s">
        <v>2245</v>
      </c>
      <c r="C895" s="15" t="s">
        <v>10</v>
      </c>
      <c r="D895" s="15" t="s">
        <v>21</v>
      </c>
      <c r="E895" s="8">
        <v>45729</v>
      </c>
      <c r="F895" s="16" t="s">
        <v>12</v>
      </c>
      <c r="G895" s="16" t="s">
        <v>4</v>
      </c>
      <c r="H895" s="8"/>
      <c r="I895" s="16"/>
      <c r="J895" t="b">
        <v>1</v>
      </c>
      <c r="K895" s="15" t="s">
        <v>2246</v>
      </c>
      <c r="L895" s="15" t="str">
        <f>HYPERLINK("https://uk1.aconex.co.uk/hub/index.html?mainTarget=%2FSearchControlledDoc%3FSEARCH_ACTION%3D15%26tab%3D0%26searchMode%3D1%26searchQuery%3Ddocno:%22"&amp;RawData[[#This Row],[Document Number]]&amp;"%22%20%2Bcversion%253A1",RawData[[#This Row],[Document Number]])</f>
        <v>FS1018-PIN-ZZ-00-D-O-6004</v>
      </c>
    </row>
    <row r="896" spans="1:12" ht="43.2" x14ac:dyDescent="0.3">
      <c r="A896" s="15" t="s">
        <v>2247</v>
      </c>
      <c r="B896" s="15" t="s">
        <v>2248</v>
      </c>
      <c r="C896" s="15" t="s">
        <v>14</v>
      </c>
      <c r="D896" s="15" t="s">
        <v>20</v>
      </c>
      <c r="E896" s="8">
        <v>45533</v>
      </c>
      <c r="F896" s="16" t="s">
        <v>2059</v>
      </c>
      <c r="G896" s="16" t="s">
        <v>40</v>
      </c>
      <c r="H896" s="8">
        <v>45669</v>
      </c>
      <c r="I896" s="16" t="s">
        <v>71</v>
      </c>
      <c r="J896" t="b">
        <v>0</v>
      </c>
      <c r="K896" s="15" t="s">
        <v>2249</v>
      </c>
      <c r="L896" s="15" t="str">
        <f>HYPERLINK("https://uk1.aconex.co.uk/hub/index.html?mainTarget=%2FSearchControlledDoc%3FSEARCH_ACTION%3D15%26tab%3D0%26searchMode%3D1%26searchQuery%3Ddocno:%22"&amp;RawData[[#This Row],[Document Number]]&amp;"%22%20%2Bcversion%253A1",RawData[[#This Row],[Document Number]])</f>
        <v>FS1018-PIN-ZZ-00-D-O-6005</v>
      </c>
    </row>
    <row r="897" spans="1:12" x14ac:dyDescent="0.3">
      <c r="A897" s="15" t="s">
        <v>2247</v>
      </c>
      <c r="B897" s="15" t="s">
        <v>2250</v>
      </c>
      <c r="C897" s="15" t="s">
        <v>11</v>
      </c>
      <c r="D897" s="15" t="s">
        <v>21</v>
      </c>
      <c r="E897" s="8">
        <v>45729</v>
      </c>
      <c r="F897" s="16" t="s">
        <v>12</v>
      </c>
      <c r="G897" s="16" t="s">
        <v>4</v>
      </c>
      <c r="H897" s="8"/>
      <c r="I897" s="16"/>
      <c r="J897" t="b">
        <v>0</v>
      </c>
      <c r="K897" s="15" t="s">
        <v>2251</v>
      </c>
      <c r="L897" s="15" t="str">
        <f>HYPERLINK("https://uk1.aconex.co.uk/hub/index.html?mainTarget=%2FSearchControlledDoc%3FSEARCH_ACTION%3D15%26tab%3D0%26searchMode%3D1%26searchQuery%3Ddocno:%22"&amp;RawData[[#This Row],[Document Number]]&amp;"%22%20%2Bcversion%253A1",RawData[[#This Row],[Document Number]])</f>
        <v>FS1018-PIN-ZZ-00-D-O-6005</v>
      </c>
    </row>
    <row r="898" spans="1:12" ht="43.2" x14ac:dyDescent="0.3">
      <c r="A898" s="15" t="s">
        <v>2252</v>
      </c>
      <c r="B898" s="15" t="s">
        <v>2253</v>
      </c>
      <c r="C898" s="15" t="s">
        <v>14</v>
      </c>
      <c r="D898" s="15" t="s">
        <v>20</v>
      </c>
      <c r="E898" s="8">
        <v>45533</v>
      </c>
      <c r="F898" s="16" t="s">
        <v>2059</v>
      </c>
      <c r="G898" s="16" t="s">
        <v>40</v>
      </c>
      <c r="H898" s="8">
        <v>45669</v>
      </c>
      <c r="I898" s="16" t="s">
        <v>71</v>
      </c>
      <c r="J898" t="b">
        <v>0</v>
      </c>
      <c r="K898" s="15" t="s">
        <v>2254</v>
      </c>
      <c r="L898" s="15" t="str">
        <f>HYPERLINK("https://uk1.aconex.co.uk/hub/index.html?mainTarget=%2FSearchControlledDoc%3FSEARCH_ACTION%3D15%26tab%3D0%26searchMode%3D1%26searchQuery%3Ddocno:%22"&amp;RawData[[#This Row],[Document Number]]&amp;"%22%20%2Bcversion%253A1",RawData[[#This Row],[Document Number]])</f>
        <v>FS1018-PIN-ZZ-00-D-O-6006</v>
      </c>
    </row>
    <row r="899" spans="1:12" x14ac:dyDescent="0.3">
      <c r="A899" s="15" t="s">
        <v>2252</v>
      </c>
      <c r="B899" s="15" t="s">
        <v>2255</v>
      </c>
      <c r="C899" s="15" t="s">
        <v>10</v>
      </c>
      <c r="D899" s="15" t="s">
        <v>21</v>
      </c>
      <c r="E899" s="8">
        <v>45729</v>
      </c>
      <c r="F899" s="16" t="s">
        <v>12</v>
      </c>
      <c r="G899" s="16" t="s">
        <v>4</v>
      </c>
      <c r="H899" s="8"/>
      <c r="I899" s="16"/>
      <c r="J899" t="b">
        <v>1</v>
      </c>
      <c r="K899" s="15" t="s">
        <v>2256</v>
      </c>
      <c r="L899" s="15" t="str">
        <f>HYPERLINK("https://uk1.aconex.co.uk/hub/index.html?mainTarget=%2FSearchControlledDoc%3FSEARCH_ACTION%3D15%26tab%3D0%26searchMode%3D1%26searchQuery%3Ddocno:%22"&amp;RawData[[#This Row],[Document Number]]&amp;"%22%20%2Bcversion%253A1",RawData[[#This Row],[Document Number]])</f>
        <v>FS1018-PIN-ZZ-00-D-O-6006</v>
      </c>
    </row>
    <row r="900" spans="1:12" ht="43.2" x14ac:dyDescent="0.3">
      <c r="A900" s="15" t="s">
        <v>2257</v>
      </c>
      <c r="B900" s="15" t="s">
        <v>2258</v>
      </c>
      <c r="C900" s="15" t="s">
        <v>14</v>
      </c>
      <c r="D900" s="15" t="s">
        <v>20</v>
      </c>
      <c r="E900" s="8">
        <v>45533</v>
      </c>
      <c r="F900" s="16" t="s">
        <v>2059</v>
      </c>
      <c r="G900" s="16" t="s">
        <v>40</v>
      </c>
      <c r="H900" s="8">
        <v>45669</v>
      </c>
      <c r="I900" s="16" t="s">
        <v>71</v>
      </c>
      <c r="J900" t="b">
        <v>0</v>
      </c>
      <c r="K900" s="15" t="s">
        <v>2259</v>
      </c>
      <c r="L900" s="15" t="str">
        <f>HYPERLINK("https://uk1.aconex.co.uk/hub/index.html?mainTarget=%2FSearchControlledDoc%3FSEARCH_ACTION%3D15%26tab%3D0%26searchMode%3D1%26searchQuery%3Ddocno:%22"&amp;RawData[[#This Row],[Document Number]]&amp;"%22%20%2Bcversion%253A1",RawData[[#This Row],[Document Number]])</f>
        <v>FS1018-PIN-ZZ-00-D-O-6007</v>
      </c>
    </row>
    <row r="901" spans="1:12" x14ac:dyDescent="0.3">
      <c r="A901" s="15" t="s">
        <v>2257</v>
      </c>
      <c r="B901" s="15" t="s">
        <v>2260</v>
      </c>
      <c r="C901" s="15" t="s">
        <v>583</v>
      </c>
      <c r="D901" s="15" t="s">
        <v>21</v>
      </c>
      <c r="E901" s="8">
        <v>45729</v>
      </c>
      <c r="F901" s="16" t="s">
        <v>12</v>
      </c>
      <c r="G901" s="16" t="s">
        <v>4</v>
      </c>
      <c r="H901" s="8"/>
      <c r="I901" s="16"/>
      <c r="J901" t="b">
        <v>0</v>
      </c>
      <c r="K901" s="15" t="s">
        <v>2261</v>
      </c>
      <c r="L901" s="15" t="str">
        <f>HYPERLINK("https://uk1.aconex.co.uk/hub/index.html?mainTarget=%2FSearchControlledDoc%3FSEARCH_ACTION%3D15%26tab%3D0%26searchMode%3D1%26searchQuery%3Ddocno:%22"&amp;RawData[[#This Row],[Document Number]]&amp;"%22%20%2Bcversion%253A1",RawData[[#This Row],[Document Number]])</f>
        <v>FS1018-PIN-ZZ-00-D-O-6007</v>
      </c>
    </row>
    <row r="902" spans="1:12" ht="43.2" x14ac:dyDescent="0.3">
      <c r="A902" s="15" t="s">
        <v>2262</v>
      </c>
      <c r="B902" s="15" t="s">
        <v>2263</v>
      </c>
      <c r="C902" s="15" t="s">
        <v>14</v>
      </c>
      <c r="D902" s="15" t="s">
        <v>20</v>
      </c>
      <c r="E902" s="8">
        <v>45533</v>
      </c>
      <c r="F902" s="16" t="s">
        <v>2059</v>
      </c>
      <c r="G902" s="16" t="s">
        <v>40</v>
      </c>
      <c r="H902" s="8">
        <v>45669</v>
      </c>
      <c r="I902" s="16" t="s">
        <v>71</v>
      </c>
      <c r="J902" t="b">
        <v>0</v>
      </c>
      <c r="K902" s="15" t="s">
        <v>2264</v>
      </c>
      <c r="L902" s="15" t="str">
        <f>HYPERLINK("https://uk1.aconex.co.uk/hub/index.html?mainTarget=%2FSearchControlledDoc%3FSEARCH_ACTION%3D15%26tab%3D0%26searchMode%3D1%26searchQuery%3Ddocno:%22"&amp;RawData[[#This Row],[Document Number]]&amp;"%22%20%2Bcversion%253A1",RawData[[#This Row],[Document Number]])</f>
        <v>FS1018-PIN-ZZ-00-D-O-6008</v>
      </c>
    </row>
    <row r="903" spans="1:12" x14ac:dyDescent="0.3">
      <c r="A903" s="15" t="s">
        <v>2262</v>
      </c>
      <c r="B903" s="15" t="s">
        <v>2265</v>
      </c>
      <c r="C903" s="15" t="s">
        <v>11</v>
      </c>
      <c r="D903" s="15" t="s">
        <v>21</v>
      </c>
      <c r="E903" s="8">
        <v>45729</v>
      </c>
      <c r="F903" s="16" t="s">
        <v>12</v>
      </c>
      <c r="G903" s="16" t="s">
        <v>4</v>
      </c>
      <c r="H903" s="8"/>
      <c r="I903" s="16"/>
      <c r="J903" t="b">
        <v>0</v>
      </c>
      <c r="K903" s="15" t="s">
        <v>2266</v>
      </c>
      <c r="L903" s="15" t="str">
        <f>HYPERLINK("https://uk1.aconex.co.uk/hub/index.html?mainTarget=%2FSearchControlledDoc%3FSEARCH_ACTION%3D15%26tab%3D0%26searchMode%3D1%26searchQuery%3Ddocno:%22"&amp;RawData[[#This Row],[Document Number]]&amp;"%22%20%2Bcversion%253A1",RawData[[#This Row],[Document Number]])</f>
        <v>FS1018-PIN-ZZ-00-D-O-6008</v>
      </c>
    </row>
    <row r="904" spans="1:12" ht="43.2" x14ac:dyDescent="0.3">
      <c r="A904" s="15" t="s">
        <v>2267</v>
      </c>
      <c r="B904" s="15" t="s">
        <v>2268</v>
      </c>
      <c r="C904" s="15" t="s">
        <v>14</v>
      </c>
      <c r="D904" s="15" t="s">
        <v>20</v>
      </c>
      <c r="E904" s="8">
        <v>45533</v>
      </c>
      <c r="F904" s="16" t="s">
        <v>2059</v>
      </c>
      <c r="G904" s="16" t="s">
        <v>40</v>
      </c>
      <c r="H904" s="8">
        <v>45669</v>
      </c>
      <c r="I904" s="16" t="s">
        <v>71</v>
      </c>
      <c r="J904" t="b">
        <v>0</v>
      </c>
      <c r="K904" s="15" t="s">
        <v>2269</v>
      </c>
      <c r="L904" s="15" t="str">
        <f>HYPERLINK("https://uk1.aconex.co.uk/hub/index.html?mainTarget=%2FSearchControlledDoc%3FSEARCH_ACTION%3D15%26tab%3D0%26searchMode%3D1%26searchQuery%3Ddocno:%22"&amp;RawData[[#This Row],[Document Number]]&amp;"%22%20%2Bcversion%253A1",RawData[[#This Row],[Document Number]])</f>
        <v>FS1018-PIN-ZZ-00-D-O-6009</v>
      </c>
    </row>
    <row r="905" spans="1:12" x14ac:dyDescent="0.3">
      <c r="A905" s="15" t="s">
        <v>2267</v>
      </c>
      <c r="B905" s="15" t="s">
        <v>2268</v>
      </c>
      <c r="C905" s="15" t="s">
        <v>583</v>
      </c>
      <c r="D905" s="15" t="s">
        <v>21</v>
      </c>
      <c r="E905" s="8">
        <v>45729</v>
      </c>
      <c r="F905" s="16" t="s">
        <v>12</v>
      </c>
      <c r="G905" s="16" t="s">
        <v>4</v>
      </c>
      <c r="H905" s="8"/>
      <c r="I905" s="16"/>
      <c r="J905" t="b">
        <v>0</v>
      </c>
      <c r="K905" s="15" t="s">
        <v>2269</v>
      </c>
      <c r="L905" s="15" t="str">
        <f>HYPERLINK("https://uk1.aconex.co.uk/hub/index.html?mainTarget=%2FSearchControlledDoc%3FSEARCH_ACTION%3D15%26tab%3D0%26searchMode%3D1%26searchQuery%3Ddocno:%22"&amp;RawData[[#This Row],[Document Number]]&amp;"%22%20%2Bcversion%253A1",RawData[[#This Row],[Document Number]])</f>
        <v>FS1018-PIN-ZZ-00-D-O-6009</v>
      </c>
    </row>
    <row r="906" spans="1:12" x14ac:dyDescent="0.3">
      <c r="A906" s="15" t="s">
        <v>2270</v>
      </c>
      <c r="B906" s="15" t="s">
        <v>2271</v>
      </c>
      <c r="C906" s="15" t="s">
        <v>10</v>
      </c>
      <c r="D906" s="15" t="s">
        <v>21</v>
      </c>
      <c r="E906" s="8">
        <v>45729</v>
      </c>
      <c r="F906" s="16" t="s">
        <v>12</v>
      </c>
      <c r="G906" s="16" t="s">
        <v>4</v>
      </c>
      <c r="H906" s="8"/>
      <c r="I906" s="16"/>
      <c r="J906" t="b">
        <v>1</v>
      </c>
      <c r="K906" s="15" t="s">
        <v>2272</v>
      </c>
      <c r="L906" s="15" t="str">
        <f>HYPERLINK("https://uk1.aconex.co.uk/hub/index.html?mainTarget=%2FSearchControlledDoc%3FSEARCH_ACTION%3D15%26tab%3D0%26searchMode%3D1%26searchQuery%3Ddocno:%22"&amp;RawData[[#This Row],[Document Number]]&amp;"%22%20%2Bcversion%253A1",RawData[[#This Row],[Document Number]])</f>
        <v>FS1018-PIN-ZZ-00-D-O-6011</v>
      </c>
    </row>
    <row r="907" spans="1:12" ht="43.2" x14ac:dyDescent="0.3">
      <c r="A907" s="15" t="s">
        <v>2273</v>
      </c>
      <c r="B907" s="15" t="s">
        <v>2274</v>
      </c>
      <c r="C907" s="15" t="s">
        <v>14</v>
      </c>
      <c r="D907" s="15" t="s">
        <v>20</v>
      </c>
      <c r="E907" s="8">
        <v>45533</v>
      </c>
      <c r="F907" s="16" t="s">
        <v>2059</v>
      </c>
      <c r="G907" s="16" t="s">
        <v>40</v>
      </c>
      <c r="H907" s="8">
        <v>45669</v>
      </c>
      <c r="I907" s="16" t="s">
        <v>71</v>
      </c>
      <c r="J907" t="b">
        <v>0</v>
      </c>
      <c r="K907" s="15" t="s">
        <v>2275</v>
      </c>
      <c r="L907" s="15" t="str">
        <f>HYPERLINK("https://uk1.aconex.co.uk/hub/index.html?mainTarget=%2FSearchControlledDoc%3FSEARCH_ACTION%3D15%26tab%3D0%26searchMode%3D1%26searchQuery%3Ddocno:%22"&amp;RawData[[#This Row],[Document Number]]&amp;"%22%20%2Bcversion%253A1",RawData[[#This Row],[Document Number]])</f>
        <v>FS1018-PIN-ZZ-00-D-O-6042</v>
      </c>
    </row>
    <row r="908" spans="1:12" x14ac:dyDescent="0.3">
      <c r="A908" s="15" t="s">
        <v>2273</v>
      </c>
      <c r="B908" s="15" t="s">
        <v>2276</v>
      </c>
      <c r="C908" s="15" t="s">
        <v>10</v>
      </c>
      <c r="D908" s="15" t="s">
        <v>21</v>
      </c>
      <c r="E908" s="8">
        <v>45729</v>
      </c>
      <c r="F908" s="16" t="s">
        <v>12</v>
      </c>
      <c r="G908" s="16" t="s">
        <v>4</v>
      </c>
      <c r="H908" s="8"/>
      <c r="I908" s="16"/>
      <c r="J908" t="b">
        <v>1</v>
      </c>
      <c r="K908" s="15" t="s">
        <v>2277</v>
      </c>
      <c r="L908" s="15" t="str">
        <f>HYPERLINK("https://uk1.aconex.co.uk/hub/index.html?mainTarget=%2FSearchControlledDoc%3FSEARCH_ACTION%3D15%26tab%3D0%26searchMode%3D1%26searchQuery%3Ddocno:%22"&amp;RawData[[#This Row],[Document Number]]&amp;"%22%20%2Bcversion%253A1",RawData[[#This Row],[Document Number]])</f>
        <v>FS1018-PIN-ZZ-00-D-O-6042</v>
      </c>
    </row>
    <row r="909" spans="1:12" ht="43.2" x14ac:dyDescent="0.3">
      <c r="A909" s="15" t="s">
        <v>2278</v>
      </c>
      <c r="B909" s="15" t="s">
        <v>2279</v>
      </c>
      <c r="C909" s="15" t="s">
        <v>14</v>
      </c>
      <c r="D909" s="15" t="s">
        <v>20</v>
      </c>
      <c r="E909" s="8">
        <v>45533</v>
      </c>
      <c r="F909" s="16" t="s">
        <v>2059</v>
      </c>
      <c r="G909" s="16" t="s">
        <v>40</v>
      </c>
      <c r="H909" s="8">
        <v>45669</v>
      </c>
      <c r="I909" s="16" t="s">
        <v>71</v>
      </c>
      <c r="J909" t="b">
        <v>0</v>
      </c>
      <c r="K909" s="15" t="s">
        <v>2280</v>
      </c>
      <c r="L909" s="15" t="str">
        <f>HYPERLINK("https://uk1.aconex.co.uk/hub/index.html?mainTarget=%2FSearchControlledDoc%3FSEARCH_ACTION%3D15%26tab%3D0%26searchMode%3D1%26searchQuery%3Ddocno:%22"&amp;RawData[[#This Row],[Document Number]]&amp;"%22%20%2Bcversion%253A1",RawData[[#This Row],[Document Number]])</f>
        <v>FS1018-PIN-ZZ-00-D-O-6069</v>
      </c>
    </row>
    <row r="910" spans="1:12" x14ac:dyDescent="0.3">
      <c r="A910" s="15" t="s">
        <v>2278</v>
      </c>
      <c r="B910" s="15" t="s">
        <v>2281</v>
      </c>
      <c r="C910" s="15" t="s">
        <v>10</v>
      </c>
      <c r="D910" s="15" t="s">
        <v>21</v>
      </c>
      <c r="E910" s="8">
        <v>45729</v>
      </c>
      <c r="F910" s="16" t="s">
        <v>12</v>
      </c>
      <c r="G910" s="16" t="s">
        <v>4</v>
      </c>
      <c r="H910" s="8"/>
      <c r="I910" s="16"/>
      <c r="J910" t="b">
        <v>1</v>
      </c>
      <c r="K910" s="15" t="s">
        <v>2282</v>
      </c>
      <c r="L910" s="15" t="str">
        <f>HYPERLINK("https://uk1.aconex.co.uk/hub/index.html?mainTarget=%2FSearchControlledDoc%3FSEARCH_ACTION%3D15%26tab%3D0%26searchMode%3D1%26searchQuery%3Ddocno:%22"&amp;RawData[[#This Row],[Document Number]]&amp;"%22%20%2Bcversion%253A1",RawData[[#This Row],[Document Number]])</f>
        <v>FS1018-PIN-ZZ-00-D-O-6069</v>
      </c>
    </row>
    <row r="911" spans="1:12" ht="43.2" x14ac:dyDescent="0.3">
      <c r="A911" s="15" t="s">
        <v>2283</v>
      </c>
      <c r="B911" s="15" t="s">
        <v>2284</v>
      </c>
      <c r="C911" s="15" t="s">
        <v>14</v>
      </c>
      <c r="D911" s="15" t="s">
        <v>20</v>
      </c>
      <c r="E911" s="8">
        <v>45175</v>
      </c>
      <c r="F911" s="16" t="s">
        <v>2059</v>
      </c>
      <c r="G911" s="16" t="s">
        <v>40</v>
      </c>
      <c r="H911" s="8">
        <v>45190</v>
      </c>
      <c r="I911" s="16" t="s">
        <v>2067</v>
      </c>
      <c r="J911" t="b">
        <v>0</v>
      </c>
      <c r="K911" s="15" t="s">
        <v>2285</v>
      </c>
      <c r="L911" s="15" t="str">
        <f>HYPERLINK("https://uk1.aconex.co.uk/hub/index.html?mainTarget=%2FSearchControlledDoc%3FSEARCH_ACTION%3D15%26tab%3D0%26searchMode%3D1%26searchQuery%3Ddocno:%22"&amp;RawData[[#This Row],[Document Number]]&amp;"%22%20%2Bcversion%253A1",RawData[[#This Row],[Document Number]])</f>
        <v>FS1018-PIN-ZZ-00-D-O-7001</v>
      </c>
    </row>
    <row r="912" spans="1:12" ht="43.2" x14ac:dyDescent="0.3">
      <c r="A912" s="15" t="s">
        <v>2283</v>
      </c>
      <c r="B912" s="15" t="s">
        <v>2286</v>
      </c>
      <c r="C912" s="15" t="s">
        <v>10</v>
      </c>
      <c r="D912" s="15" t="s">
        <v>20</v>
      </c>
      <c r="E912" s="8">
        <v>45533</v>
      </c>
      <c r="F912" s="16" t="s">
        <v>2059</v>
      </c>
      <c r="G912" s="16" t="s">
        <v>40</v>
      </c>
      <c r="H912" s="8">
        <v>45669</v>
      </c>
      <c r="I912" s="16" t="s">
        <v>71</v>
      </c>
      <c r="J912" t="b">
        <v>1</v>
      </c>
      <c r="K912" s="15" t="s">
        <v>2287</v>
      </c>
      <c r="L912" s="15" t="str">
        <f>HYPERLINK("https://uk1.aconex.co.uk/hub/index.html?mainTarget=%2FSearchControlledDoc%3FSEARCH_ACTION%3D15%26tab%3D0%26searchMode%3D1%26searchQuery%3Ddocno:%22"&amp;RawData[[#This Row],[Document Number]]&amp;"%22%20%2Bcversion%253A1",RawData[[#This Row],[Document Number]])</f>
        <v>FS1018-PIN-ZZ-00-D-O-7001</v>
      </c>
    </row>
    <row r="913" spans="1:12" x14ac:dyDescent="0.3">
      <c r="A913" s="15" t="s">
        <v>2283</v>
      </c>
      <c r="B913" s="15" t="s">
        <v>2286</v>
      </c>
      <c r="C913" s="15" t="s">
        <v>583</v>
      </c>
      <c r="D913" s="15" t="s">
        <v>21</v>
      </c>
      <c r="E913" s="8">
        <v>45729</v>
      </c>
      <c r="F913" s="16" t="s">
        <v>12</v>
      </c>
      <c r="G913" s="16" t="s">
        <v>4</v>
      </c>
      <c r="H913" s="8"/>
      <c r="I913" s="16"/>
      <c r="J913" t="b">
        <v>0</v>
      </c>
      <c r="K913" s="15" t="s">
        <v>2287</v>
      </c>
      <c r="L913" s="15" t="str">
        <f>HYPERLINK("https://uk1.aconex.co.uk/hub/index.html?mainTarget=%2FSearchControlledDoc%3FSEARCH_ACTION%3D15%26tab%3D0%26searchMode%3D1%26searchQuery%3Ddocno:%22"&amp;RawData[[#This Row],[Document Number]]&amp;"%22%20%2Bcversion%253A1",RawData[[#This Row],[Document Number]])</f>
        <v>FS1018-PIN-ZZ-00-D-O-7001</v>
      </c>
    </row>
    <row r="914" spans="1:12" ht="43.2" x14ac:dyDescent="0.3">
      <c r="A914" s="15" t="s">
        <v>2288</v>
      </c>
      <c r="B914" s="15" t="s">
        <v>2289</v>
      </c>
      <c r="C914" s="15" t="s">
        <v>14</v>
      </c>
      <c r="D914" s="15" t="s">
        <v>20</v>
      </c>
      <c r="E914" s="8">
        <v>45533</v>
      </c>
      <c r="F914" s="16" t="s">
        <v>2059</v>
      </c>
      <c r="G914" s="16" t="s">
        <v>40</v>
      </c>
      <c r="H914" s="8">
        <v>45669</v>
      </c>
      <c r="I914" s="16" t="s">
        <v>71</v>
      </c>
      <c r="J914" t="b">
        <v>0</v>
      </c>
      <c r="K914" s="15" t="s">
        <v>2290</v>
      </c>
      <c r="L914" s="15" t="str">
        <f>HYPERLINK("https://uk1.aconex.co.uk/hub/index.html?mainTarget=%2FSearchControlledDoc%3FSEARCH_ACTION%3D15%26tab%3D0%26searchMode%3D1%26searchQuery%3Ddocno:%22"&amp;RawData[[#This Row],[Document Number]]&amp;"%22%20%2Bcversion%253A1",RawData[[#This Row],[Document Number]])</f>
        <v>FS1018-PIN-ZZ-00-D-O-7003</v>
      </c>
    </row>
    <row r="915" spans="1:12" x14ac:dyDescent="0.3">
      <c r="A915" s="15" t="s">
        <v>2288</v>
      </c>
      <c r="B915" s="15" t="s">
        <v>2289</v>
      </c>
      <c r="C915" s="15" t="s">
        <v>583</v>
      </c>
      <c r="D915" s="15" t="s">
        <v>21</v>
      </c>
      <c r="E915" s="8">
        <v>45729</v>
      </c>
      <c r="F915" s="16" t="s">
        <v>12</v>
      </c>
      <c r="G915" s="16" t="s">
        <v>4</v>
      </c>
      <c r="H915" s="8"/>
      <c r="I915" s="16"/>
      <c r="J915" t="b">
        <v>0</v>
      </c>
      <c r="K915" s="15" t="s">
        <v>2290</v>
      </c>
      <c r="L915" s="15" t="str">
        <f>HYPERLINK("https://uk1.aconex.co.uk/hub/index.html?mainTarget=%2FSearchControlledDoc%3FSEARCH_ACTION%3D15%26tab%3D0%26searchMode%3D1%26searchQuery%3Ddocno:%22"&amp;RawData[[#This Row],[Document Number]]&amp;"%22%20%2Bcversion%253A1",RawData[[#This Row],[Document Number]])</f>
        <v>FS1018-PIN-ZZ-00-D-O-7003</v>
      </c>
    </row>
    <row r="916" spans="1:12" x14ac:dyDescent="0.3">
      <c r="A916" s="15" t="s">
        <v>2291</v>
      </c>
      <c r="B916" s="15" t="s">
        <v>2292</v>
      </c>
      <c r="C916" s="15" t="s">
        <v>11</v>
      </c>
      <c r="D916" s="15" t="s">
        <v>21</v>
      </c>
      <c r="E916" s="8">
        <v>45729</v>
      </c>
      <c r="F916" s="16" t="s">
        <v>12</v>
      </c>
      <c r="G916" s="16" t="s">
        <v>4</v>
      </c>
      <c r="H916" s="8"/>
      <c r="I916" s="16"/>
      <c r="J916" t="b">
        <v>0</v>
      </c>
      <c r="K916" s="15" t="s">
        <v>2293</v>
      </c>
      <c r="L916" s="15" t="str">
        <f>HYPERLINK("https://uk1.aconex.co.uk/hub/index.html?mainTarget=%2FSearchControlledDoc%3FSEARCH_ACTION%3D15%26tab%3D0%26searchMode%3D1%26searchQuery%3Ddocno:%22"&amp;RawData[[#This Row],[Document Number]]&amp;"%22%20%2Bcversion%253A1",RawData[[#This Row],[Document Number]])</f>
        <v>FS1018-PIN-ZZ-00-D-O-7101</v>
      </c>
    </row>
    <row r="917" spans="1:12" x14ac:dyDescent="0.3">
      <c r="A917" s="15" t="s">
        <v>2294</v>
      </c>
      <c r="B917" s="15" t="s">
        <v>2295</v>
      </c>
      <c r="C917" s="15" t="s">
        <v>11</v>
      </c>
      <c r="D917" s="15" t="s">
        <v>21</v>
      </c>
      <c r="E917" s="8">
        <v>45729</v>
      </c>
      <c r="F917" s="16" t="s">
        <v>12</v>
      </c>
      <c r="G917" s="16" t="s">
        <v>4</v>
      </c>
      <c r="H917" s="8"/>
      <c r="I917" s="16"/>
      <c r="J917" t="b">
        <v>0</v>
      </c>
      <c r="K917" s="15" t="s">
        <v>2296</v>
      </c>
      <c r="L917" s="15" t="str">
        <f>HYPERLINK("https://uk1.aconex.co.uk/hub/index.html?mainTarget=%2FSearchControlledDoc%3FSEARCH_ACTION%3D15%26tab%3D0%26searchMode%3D1%26searchQuery%3Ddocno:%22"&amp;RawData[[#This Row],[Document Number]]&amp;"%22%20%2Bcversion%253A1",RawData[[#This Row],[Document Number]])</f>
        <v>FS1018-PIN-ZZ-00-D-O-7201</v>
      </c>
    </row>
    <row r="918" spans="1:12" x14ac:dyDescent="0.3">
      <c r="A918" s="15" t="s">
        <v>2297</v>
      </c>
      <c r="B918" s="15" t="s">
        <v>2298</v>
      </c>
      <c r="C918" s="15" t="s">
        <v>11</v>
      </c>
      <c r="D918" s="15" t="s">
        <v>21</v>
      </c>
      <c r="E918" s="8">
        <v>45729</v>
      </c>
      <c r="F918" s="16" t="s">
        <v>12</v>
      </c>
      <c r="G918" s="16" t="s">
        <v>4</v>
      </c>
      <c r="H918" s="8"/>
      <c r="I918" s="16"/>
      <c r="J918" t="b">
        <v>0</v>
      </c>
      <c r="K918" s="15" t="s">
        <v>2299</v>
      </c>
      <c r="L918" s="15" t="str">
        <f>HYPERLINK("https://uk1.aconex.co.uk/hub/index.html?mainTarget=%2FSearchControlledDoc%3FSEARCH_ACTION%3D15%26tab%3D0%26searchMode%3D1%26searchQuery%3Ddocno:%22"&amp;RawData[[#This Row],[Document Number]]&amp;"%22%20%2Bcversion%253A1",RawData[[#This Row],[Document Number]])</f>
        <v>FS1018-PIN-ZZ-00-D-O-7301</v>
      </c>
    </row>
    <row r="919" spans="1:12" x14ac:dyDescent="0.3">
      <c r="A919" s="15" t="s">
        <v>2300</v>
      </c>
      <c r="B919" s="15" t="s">
        <v>2301</v>
      </c>
      <c r="C919" s="15" t="s">
        <v>11</v>
      </c>
      <c r="D919" s="15" t="s">
        <v>21</v>
      </c>
      <c r="E919" s="8">
        <v>45729</v>
      </c>
      <c r="F919" s="16" t="s">
        <v>12</v>
      </c>
      <c r="G919" s="16" t="s">
        <v>4</v>
      </c>
      <c r="H919" s="8"/>
      <c r="I919" s="16"/>
      <c r="J919" t="b">
        <v>0</v>
      </c>
      <c r="K919" s="15" t="s">
        <v>2302</v>
      </c>
      <c r="L919" s="15" t="str">
        <f>HYPERLINK("https://uk1.aconex.co.uk/hub/index.html?mainTarget=%2FSearchControlledDoc%3FSEARCH_ACTION%3D15%26tab%3D0%26searchMode%3D1%26searchQuery%3Ddocno:%22"&amp;RawData[[#This Row],[Document Number]]&amp;"%22%20%2Bcversion%253A1",RawData[[#This Row],[Document Number]])</f>
        <v>FS1018-PIN-ZZ-00-D-O-7401</v>
      </c>
    </row>
    <row r="920" spans="1:12" x14ac:dyDescent="0.3">
      <c r="A920" s="15" t="s">
        <v>2303</v>
      </c>
      <c r="B920" s="15" t="s">
        <v>2304</v>
      </c>
      <c r="C920" s="15" t="s">
        <v>11</v>
      </c>
      <c r="D920" s="15" t="s">
        <v>21</v>
      </c>
      <c r="E920" s="8">
        <v>45729</v>
      </c>
      <c r="F920" s="16" t="s">
        <v>12</v>
      </c>
      <c r="G920" s="16" t="s">
        <v>4</v>
      </c>
      <c r="H920" s="8"/>
      <c r="I920" s="16"/>
      <c r="J920" t="b">
        <v>0</v>
      </c>
      <c r="K920" s="15" t="s">
        <v>2305</v>
      </c>
      <c r="L920" s="15" t="str">
        <f>HYPERLINK("https://uk1.aconex.co.uk/hub/index.html?mainTarget=%2FSearchControlledDoc%3FSEARCH_ACTION%3D15%26tab%3D0%26searchMode%3D1%26searchQuery%3Ddocno:%22"&amp;RawData[[#This Row],[Document Number]]&amp;"%22%20%2Bcversion%253A1",RawData[[#This Row],[Document Number]])</f>
        <v>FS1018-PIN-ZZ-00-D-O-7501</v>
      </c>
    </row>
    <row r="921" spans="1:12" ht="43.2" x14ac:dyDescent="0.3">
      <c r="A921" s="15" t="s">
        <v>2306</v>
      </c>
      <c r="B921" s="15" t="s">
        <v>2307</v>
      </c>
      <c r="C921" s="15" t="s">
        <v>14</v>
      </c>
      <c r="D921" s="15" t="s">
        <v>20</v>
      </c>
      <c r="E921" s="8">
        <v>45533</v>
      </c>
      <c r="F921" s="16" t="s">
        <v>2059</v>
      </c>
      <c r="G921" s="16" t="s">
        <v>40</v>
      </c>
      <c r="H921" s="8">
        <v>45669</v>
      </c>
      <c r="I921" s="16" t="s">
        <v>71</v>
      </c>
      <c r="J921" t="b">
        <v>0</v>
      </c>
      <c r="K921" s="15" t="s">
        <v>2308</v>
      </c>
      <c r="L921" s="15" t="str">
        <f>HYPERLINK("https://uk1.aconex.co.uk/hub/index.html?mainTarget=%2FSearchControlledDoc%3FSEARCH_ACTION%3D15%26tab%3D0%26searchMode%3D1%26searchQuery%3Ddocno:%22"&amp;RawData[[#This Row],[Document Number]]&amp;"%22%20%2Bcversion%253A1",RawData[[#This Row],[Document Number]])</f>
        <v>FS1018-PIN-ZZ-00-D-O-8001</v>
      </c>
    </row>
    <row r="922" spans="1:12" x14ac:dyDescent="0.3">
      <c r="A922" s="15" t="s">
        <v>2306</v>
      </c>
      <c r="B922" s="15" t="s">
        <v>2307</v>
      </c>
      <c r="C922" s="15" t="s">
        <v>583</v>
      </c>
      <c r="D922" s="15" t="s">
        <v>21</v>
      </c>
      <c r="E922" s="8">
        <v>45729</v>
      </c>
      <c r="F922" s="16" t="s">
        <v>12</v>
      </c>
      <c r="G922" s="16" t="s">
        <v>4</v>
      </c>
      <c r="H922" s="8"/>
      <c r="I922" s="16"/>
      <c r="J922" t="b">
        <v>0</v>
      </c>
      <c r="K922" s="15" t="s">
        <v>2308</v>
      </c>
      <c r="L922" s="15" t="str">
        <f>HYPERLINK("https://uk1.aconex.co.uk/hub/index.html?mainTarget=%2FSearchControlledDoc%3FSEARCH_ACTION%3D15%26tab%3D0%26searchMode%3D1%26searchQuery%3Ddocno:%22"&amp;RawData[[#This Row],[Document Number]]&amp;"%22%20%2Bcversion%253A1",RawData[[#This Row],[Document Number]])</f>
        <v>FS1018-PIN-ZZ-00-D-O-8001</v>
      </c>
    </row>
    <row r="923" spans="1:12" ht="43.2" x14ac:dyDescent="0.3">
      <c r="A923" s="15" t="s">
        <v>2309</v>
      </c>
      <c r="B923" s="15" t="s">
        <v>2310</v>
      </c>
      <c r="C923" s="15" t="s">
        <v>14</v>
      </c>
      <c r="D923" s="15" t="s">
        <v>20</v>
      </c>
      <c r="E923" s="8">
        <v>45533</v>
      </c>
      <c r="F923" s="16" t="s">
        <v>2059</v>
      </c>
      <c r="G923" s="16" t="s">
        <v>40</v>
      </c>
      <c r="H923" s="8">
        <v>45669</v>
      </c>
      <c r="I923" s="16" t="s">
        <v>71</v>
      </c>
      <c r="J923" t="b">
        <v>0</v>
      </c>
      <c r="K923" s="15" t="s">
        <v>2311</v>
      </c>
      <c r="L923" s="15" t="str">
        <f>HYPERLINK("https://uk1.aconex.co.uk/hub/index.html?mainTarget=%2FSearchControlledDoc%3FSEARCH_ACTION%3D15%26tab%3D0%26searchMode%3D1%26searchQuery%3Ddocno:%22"&amp;RawData[[#This Row],[Document Number]]&amp;"%22%20%2Bcversion%253A1",RawData[[#This Row],[Document Number]])</f>
        <v>FS1018-PIN-ZZ-00-D-O-8003</v>
      </c>
    </row>
    <row r="924" spans="1:12" x14ac:dyDescent="0.3">
      <c r="A924" s="15" t="s">
        <v>2309</v>
      </c>
      <c r="B924" s="15" t="s">
        <v>2312</v>
      </c>
      <c r="C924" s="15" t="s">
        <v>583</v>
      </c>
      <c r="D924" s="15" t="s">
        <v>21</v>
      </c>
      <c r="E924" s="8">
        <v>45729</v>
      </c>
      <c r="F924" s="16" t="s">
        <v>12</v>
      </c>
      <c r="G924" s="16" t="s">
        <v>4</v>
      </c>
      <c r="H924" s="8"/>
      <c r="I924" s="16"/>
      <c r="J924" t="b">
        <v>0</v>
      </c>
      <c r="K924" s="15" t="s">
        <v>2313</v>
      </c>
      <c r="L924" s="15" t="str">
        <f>HYPERLINK("https://uk1.aconex.co.uk/hub/index.html?mainTarget=%2FSearchControlledDoc%3FSEARCH_ACTION%3D15%26tab%3D0%26searchMode%3D1%26searchQuery%3Ddocno:%22"&amp;RawData[[#This Row],[Document Number]]&amp;"%22%20%2Bcversion%253A1",RawData[[#This Row],[Document Number]])</f>
        <v>FS1018-PIN-ZZ-00-D-O-8003</v>
      </c>
    </row>
    <row r="925" spans="1:12" ht="43.2" x14ac:dyDescent="0.3">
      <c r="A925" s="15" t="s">
        <v>2314</v>
      </c>
      <c r="B925" s="15" t="s">
        <v>2315</v>
      </c>
      <c r="C925" s="15" t="s">
        <v>14</v>
      </c>
      <c r="D925" s="15" t="s">
        <v>20</v>
      </c>
      <c r="E925" s="8">
        <v>45533</v>
      </c>
      <c r="F925" s="16" t="s">
        <v>2059</v>
      </c>
      <c r="G925" s="16" t="s">
        <v>40</v>
      </c>
      <c r="H925" s="8">
        <v>45669</v>
      </c>
      <c r="I925" s="16" t="s">
        <v>71</v>
      </c>
      <c r="J925" t="b">
        <v>0</v>
      </c>
      <c r="K925" s="15" t="s">
        <v>2316</v>
      </c>
      <c r="L925" s="15" t="str">
        <f>HYPERLINK("https://uk1.aconex.co.uk/hub/index.html?mainTarget=%2FSearchControlledDoc%3FSEARCH_ACTION%3D15%26tab%3D0%26searchMode%3D1%26searchQuery%3Ddocno:%22"&amp;RawData[[#This Row],[Document Number]]&amp;"%22%20%2Bcversion%253A1",RawData[[#This Row],[Document Number]])</f>
        <v>FS1018-PIN-ZZ-00-D-O-9001</v>
      </c>
    </row>
    <row r="926" spans="1:12" x14ac:dyDescent="0.3">
      <c r="A926" s="15" t="s">
        <v>2314</v>
      </c>
      <c r="B926" s="15" t="s">
        <v>2317</v>
      </c>
      <c r="C926" s="15" t="s">
        <v>11</v>
      </c>
      <c r="D926" s="15" t="s">
        <v>21</v>
      </c>
      <c r="E926" s="8">
        <v>45729</v>
      </c>
      <c r="F926" s="16" t="s">
        <v>12</v>
      </c>
      <c r="G926" s="16" t="s">
        <v>4</v>
      </c>
      <c r="H926" s="8"/>
      <c r="I926" s="16"/>
      <c r="J926" t="b">
        <v>0</v>
      </c>
      <c r="K926" s="15" t="s">
        <v>2318</v>
      </c>
      <c r="L926" s="15" t="str">
        <f>HYPERLINK("https://uk1.aconex.co.uk/hub/index.html?mainTarget=%2FSearchControlledDoc%3FSEARCH_ACTION%3D15%26tab%3D0%26searchMode%3D1%26searchQuery%3Ddocno:%22"&amp;RawData[[#This Row],[Document Number]]&amp;"%22%20%2Bcversion%253A1",RawData[[#This Row],[Document Number]])</f>
        <v>FS1018-PIN-ZZ-00-D-O-9001</v>
      </c>
    </row>
    <row r="927" spans="1:12" ht="43.2" x14ac:dyDescent="0.3">
      <c r="A927" s="15" t="s">
        <v>2319</v>
      </c>
      <c r="B927" s="15" t="s">
        <v>2320</v>
      </c>
      <c r="C927" s="15" t="s">
        <v>14</v>
      </c>
      <c r="D927" s="15" t="s">
        <v>20</v>
      </c>
      <c r="E927" s="8">
        <v>45533</v>
      </c>
      <c r="F927" s="16" t="s">
        <v>2059</v>
      </c>
      <c r="G927" s="16" t="s">
        <v>40</v>
      </c>
      <c r="H927" s="8">
        <v>45669</v>
      </c>
      <c r="I927" s="16" t="s">
        <v>71</v>
      </c>
      <c r="J927" t="b">
        <v>0</v>
      </c>
      <c r="K927" s="15" t="s">
        <v>2321</v>
      </c>
      <c r="L927" s="15" t="str">
        <f>HYPERLINK("https://uk1.aconex.co.uk/hub/index.html?mainTarget=%2FSearchControlledDoc%3FSEARCH_ACTION%3D15%26tab%3D0%26searchMode%3D1%26searchQuery%3Ddocno:%22"&amp;RawData[[#This Row],[Document Number]]&amp;"%22%20%2Bcversion%253A1",RawData[[#This Row],[Document Number]])</f>
        <v>FS1018-PIN-ZZ-00-D-O-9003</v>
      </c>
    </row>
    <row r="928" spans="1:12" x14ac:dyDescent="0.3">
      <c r="A928" s="15" t="s">
        <v>2319</v>
      </c>
      <c r="B928" s="15" t="s">
        <v>2322</v>
      </c>
      <c r="C928" s="15" t="s">
        <v>11</v>
      </c>
      <c r="D928" s="15" t="s">
        <v>21</v>
      </c>
      <c r="E928" s="8">
        <v>45729</v>
      </c>
      <c r="F928" s="16" t="s">
        <v>12</v>
      </c>
      <c r="G928" s="16" t="s">
        <v>4</v>
      </c>
      <c r="H928" s="8"/>
      <c r="I928" s="16"/>
      <c r="J928" t="b">
        <v>0</v>
      </c>
      <c r="K928" s="15" t="s">
        <v>2323</v>
      </c>
      <c r="L928" s="15" t="str">
        <f>HYPERLINK("https://uk1.aconex.co.uk/hub/index.html?mainTarget=%2FSearchControlledDoc%3FSEARCH_ACTION%3D15%26tab%3D0%26searchMode%3D1%26searchQuery%3Ddocno:%22"&amp;RawData[[#This Row],[Document Number]]&amp;"%22%20%2Bcversion%253A1",RawData[[#This Row],[Document Number]])</f>
        <v>FS1018-PIN-ZZ-00-D-O-9003</v>
      </c>
    </row>
    <row r="929" spans="1:12" ht="43.2" x14ac:dyDescent="0.3">
      <c r="A929" s="15" t="s">
        <v>2324</v>
      </c>
      <c r="B929" s="15" t="s">
        <v>2325</v>
      </c>
      <c r="C929" s="15" t="s">
        <v>14</v>
      </c>
      <c r="D929" s="15" t="s">
        <v>20</v>
      </c>
      <c r="E929" s="8">
        <v>45175</v>
      </c>
      <c r="F929" s="16" t="s">
        <v>2059</v>
      </c>
      <c r="G929" s="16" t="s">
        <v>40</v>
      </c>
      <c r="H929" s="8">
        <v>45190</v>
      </c>
      <c r="I929" s="16" t="s">
        <v>2067</v>
      </c>
      <c r="J929" t="b">
        <v>0</v>
      </c>
      <c r="K929" s="15" t="s">
        <v>2326</v>
      </c>
      <c r="L929" s="15" t="str">
        <f>HYPERLINK("https://uk1.aconex.co.uk/hub/index.html?mainTarget=%2FSearchControlledDoc%3FSEARCH_ACTION%3D15%26tab%3D0%26searchMode%3D1%26searchQuery%3Ddocno:%22"&amp;RawData[[#This Row],[Document Number]]&amp;"%22%20%2Bcversion%253A1",RawData[[#This Row],[Document Number]])</f>
        <v>FS1018-PIN-ZZ-01-D-O-1000</v>
      </c>
    </row>
    <row r="930" spans="1:12" ht="43.2" x14ac:dyDescent="0.3">
      <c r="A930" s="15" t="s">
        <v>2324</v>
      </c>
      <c r="B930" s="15" t="s">
        <v>2327</v>
      </c>
      <c r="C930" s="15" t="s">
        <v>10</v>
      </c>
      <c r="D930" s="15" t="s">
        <v>20</v>
      </c>
      <c r="E930" s="8">
        <v>45533</v>
      </c>
      <c r="F930" s="16" t="s">
        <v>2059</v>
      </c>
      <c r="G930" s="16" t="s">
        <v>40</v>
      </c>
      <c r="H930" s="8">
        <v>45669</v>
      </c>
      <c r="I930" s="16" t="s">
        <v>71</v>
      </c>
      <c r="J930" t="b">
        <v>1</v>
      </c>
      <c r="K930" s="15" t="s">
        <v>2328</v>
      </c>
      <c r="L930" s="15" t="str">
        <f>HYPERLINK("https://uk1.aconex.co.uk/hub/index.html?mainTarget=%2FSearchControlledDoc%3FSEARCH_ACTION%3D15%26tab%3D0%26searchMode%3D1%26searchQuery%3Ddocno:%22"&amp;RawData[[#This Row],[Document Number]]&amp;"%22%20%2Bcversion%253A1",RawData[[#This Row],[Document Number]])</f>
        <v>FS1018-PIN-ZZ-01-D-O-1000</v>
      </c>
    </row>
    <row r="931" spans="1:12" x14ac:dyDescent="0.3">
      <c r="A931" s="15" t="s">
        <v>2324</v>
      </c>
      <c r="B931" s="15" t="s">
        <v>2329</v>
      </c>
      <c r="C931" s="15" t="s">
        <v>1155</v>
      </c>
      <c r="D931" s="15" t="s">
        <v>21</v>
      </c>
      <c r="E931" s="8">
        <v>45729</v>
      </c>
      <c r="F931" s="16" t="s">
        <v>12</v>
      </c>
      <c r="G931" s="16" t="s">
        <v>4</v>
      </c>
      <c r="H931" s="8"/>
      <c r="I931" s="16"/>
      <c r="J931" t="b">
        <v>0</v>
      </c>
      <c r="K931" s="15" t="s">
        <v>2330</v>
      </c>
      <c r="L931" s="15" t="str">
        <f>HYPERLINK("https://uk1.aconex.co.uk/hub/index.html?mainTarget=%2FSearchControlledDoc%3FSEARCH_ACTION%3D15%26tab%3D0%26searchMode%3D1%26searchQuery%3Ddocno:%22"&amp;RawData[[#This Row],[Document Number]]&amp;"%22%20%2Bcversion%253A1",RawData[[#This Row],[Document Number]])</f>
        <v>FS1018-PIN-ZZ-01-D-O-1000</v>
      </c>
    </row>
    <row r="932" spans="1:12" ht="43.2" x14ac:dyDescent="0.3">
      <c r="A932" s="15" t="s">
        <v>2331</v>
      </c>
      <c r="B932" s="15" t="s">
        <v>2332</v>
      </c>
      <c r="C932" s="15" t="s">
        <v>14</v>
      </c>
      <c r="D932" s="15" t="s">
        <v>20</v>
      </c>
      <c r="E932" s="8">
        <v>45175</v>
      </c>
      <c r="F932" s="16" t="s">
        <v>2059</v>
      </c>
      <c r="G932" s="16" t="s">
        <v>40</v>
      </c>
      <c r="H932" s="8">
        <v>45190</v>
      </c>
      <c r="I932" s="16" t="s">
        <v>2067</v>
      </c>
      <c r="J932" t="b">
        <v>0</v>
      </c>
      <c r="K932" s="15" t="s">
        <v>2333</v>
      </c>
      <c r="L932" s="15" t="str">
        <f>HYPERLINK("https://uk1.aconex.co.uk/hub/index.html?mainTarget=%2FSearchControlledDoc%3FSEARCH_ACTION%3D15%26tab%3D0%26searchMode%3D1%26searchQuery%3Ddocno:%22"&amp;RawData[[#This Row],[Document Number]]&amp;"%22%20%2Bcversion%253A1",RawData[[#This Row],[Document Number]])</f>
        <v>FS1018-PIN-ZZ-01-D-O-1001</v>
      </c>
    </row>
    <row r="933" spans="1:12" ht="43.2" x14ac:dyDescent="0.3">
      <c r="A933" s="15" t="s">
        <v>2331</v>
      </c>
      <c r="B933" s="15" t="s">
        <v>2334</v>
      </c>
      <c r="C933" s="15" t="s">
        <v>10</v>
      </c>
      <c r="D933" s="15" t="s">
        <v>20</v>
      </c>
      <c r="E933" s="8">
        <v>45533</v>
      </c>
      <c r="F933" s="16" t="s">
        <v>2059</v>
      </c>
      <c r="G933" s="16" t="s">
        <v>40</v>
      </c>
      <c r="H933" s="8">
        <v>45669</v>
      </c>
      <c r="I933" s="16" t="s">
        <v>71</v>
      </c>
      <c r="J933" t="b">
        <v>1</v>
      </c>
      <c r="K933" s="15" t="s">
        <v>2335</v>
      </c>
      <c r="L933" s="15" t="str">
        <f>HYPERLINK("https://uk1.aconex.co.uk/hub/index.html?mainTarget=%2FSearchControlledDoc%3FSEARCH_ACTION%3D15%26tab%3D0%26searchMode%3D1%26searchQuery%3Ddocno:%22"&amp;RawData[[#This Row],[Document Number]]&amp;"%22%20%2Bcversion%253A1",RawData[[#This Row],[Document Number]])</f>
        <v>FS1018-PIN-ZZ-01-D-O-1001</v>
      </c>
    </row>
    <row r="934" spans="1:12" x14ac:dyDescent="0.3">
      <c r="A934" s="15" t="s">
        <v>2331</v>
      </c>
      <c r="B934" s="15" t="s">
        <v>2336</v>
      </c>
      <c r="C934" s="15" t="s">
        <v>1155</v>
      </c>
      <c r="D934" s="15" t="s">
        <v>21</v>
      </c>
      <c r="E934" s="8">
        <v>45729</v>
      </c>
      <c r="F934" s="16" t="s">
        <v>12</v>
      </c>
      <c r="G934" s="16" t="s">
        <v>4</v>
      </c>
      <c r="H934" s="8"/>
      <c r="I934" s="16"/>
      <c r="J934" t="b">
        <v>0</v>
      </c>
      <c r="K934" s="15" t="s">
        <v>2337</v>
      </c>
      <c r="L934" s="15" t="str">
        <f>HYPERLINK("https://uk1.aconex.co.uk/hub/index.html?mainTarget=%2FSearchControlledDoc%3FSEARCH_ACTION%3D15%26tab%3D0%26searchMode%3D1%26searchQuery%3Ddocno:%22"&amp;RawData[[#This Row],[Document Number]]&amp;"%22%20%2Bcversion%253A1",RawData[[#This Row],[Document Number]])</f>
        <v>FS1018-PIN-ZZ-01-D-O-1001</v>
      </c>
    </row>
    <row r="935" spans="1:12" ht="43.2" x14ac:dyDescent="0.3">
      <c r="A935" s="15" t="s">
        <v>2338</v>
      </c>
      <c r="B935" s="15" t="s">
        <v>2339</v>
      </c>
      <c r="C935" s="15" t="s">
        <v>14</v>
      </c>
      <c r="D935" s="15" t="s">
        <v>20</v>
      </c>
      <c r="E935" s="8">
        <v>45533</v>
      </c>
      <c r="F935" s="16" t="s">
        <v>2059</v>
      </c>
      <c r="G935" s="16" t="s">
        <v>40</v>
      </c>
      <c r="H935" s="8">
        <v>45669</v>
      </c>
      <c r="I935" s="16" t="s">
        <v>71</v>
      </c>
      <c r="J935" t="b">
        <v>0</v>
      </c>
      <c r="K935" s="15" t="s">
        <v>2340</v>
      </c>
      <c r="L935" s="15" t="str">
        <f>HYPERLINK("https://uk1.aconex.co.uk/hub/index.html?mainTarget=%2FSearchControlledDoc%3FSEARCH_ACTION%3D15%26tab%3D0%26searchMode%3D1%26searchQuery%3Ddocno:%22"&amp;RawData[[#This Row],[Document Number]]&amp;"%22%20%2Bcversion%253A1",RawData[[#This Row],[Document Number]])</f>
        <v>FS1018-PIN-ZZ-01-D-O-1002</v>
      </c>
    </row>
    <row r="936" spans="1:12" x14ac:dyDescent="0.3">
      <c r="A936" s="15" t="s">
        <v>2338</v>
      </c>
      <c r="B936" s="15" t="s">
        <v>2341</v>
      </c>
      <c r="C936" s="15" t="s">
        <v>583</v>
      </c>
      <c r="D936" s="15" t="s">
        <v>21</v>
      </c>
      <c r="E936" s="8">
        <v>45729</v>
      </c>
      <c r="F936" s="16" t="s">
        <v>12</v>
      </c>
      <c r="G936" s="16" t="s">
        <v>4</v>
      </c>
      <c r="H936" s="8"/>
      <c r="I936" s="16"/>
      <c r="J936" t="b">
        <v>0</v>
      </c>
      <c r="K936" s="15" t="s">
        <v>2342</v>
      </c>
      <c r="L936" s="15" t="str">
        <f>HYPERLINK("https://uk1.aconex.co.uk/hub/index.html?mainTarget=%2FSearchControlledDoc%3FSEARCH_ACTION%3D15%26tab%3D0%26searchMode%3D1%26searchQuery%3Ddocno:%22"&amp;RawData[[#This Row],[Document Number]]&amp;"%22%20%2Bcversion%253A1",RawData[[#This Row],[Document Number]])</f>
        <v>FS1018-PIN-ZZ-01-D-O-1002</v>
      </c>
    </row>
    <row r="937" spans="1:12" ht="43.2" x14ac:dyDescent="0.3">
      <c r="A937" s="15" t="s">
        <v>2343</v>
      </c>
      <c r="B937" s="15" t="s">
        <v>2344</v>
      </c>
      <c r="C937" s="15" t="s">
        <v>14</v>
      </c>
      <c r="D937" s="15" t="s">
        <v>20</v>
      </c>
      <c r="E937" s="8">
        <v>45533</v>
      </c>
      <c r="F937" s="16" t="s">
        <v>2059</v>
      </c>
      <c r="G937" s="16" t="s">
        <v>40</v>
      </c>
      <c r="H937" s="8">
        <v>45669</v>
      </c>
      <c r="I937" s="16" t="s">
        <v>71</v>
      </c>
      <c r="J937" t="b">
        <v>0</v>
      </c>
      <c r="K937" s="15" t="s">
        <v>2345</v>
      </c>
      <c r="L937" s="15" t="str">
        <f>HYPERLINK("https://uk1.aconex.co.uk/hub/index.html?mainTarget=%2FSearchControlledDoc%3FSEARCH_ACTION%3D15%26tab%3D0%26searchMode%3D1%26searchQuery%3Ddocno:%22"&amp;RawData[[#This Row],[Document Number]]&amp;"%22%20%2Bcversion%253A1",RawData[[#This Row],[Document Number]])</f>
        <v>FS1018-PIN-ZZ-01-D-O-1003</v>
      </c>
    </row>
    <row r="938" spans="1:12" x14ac:dyDescent="0.3">
      <c r="A938" s="15" t="s">
        <v>2343</v>
      </c>
      <c r="B938" s="15" t="s">
        <v>2346</v>
      </c>
      <c r="C938" s="15" t="s">
        <v>11</v>
      </c>
      <c r="D938" s="15" t="s">
        <v>21</v>
      </c>
      <c r="E938" s="8">
        <v>45729</v>
      </c>
      <c r="F938" s="16" t="s">
        <v>12</v>
      </c>
      <c r="G938" s="16" t="s">
        <v>4</v>
      </c>
      <c r="H938" s="8"/>
      <c r="I938" s="16"/>
      <c r="J938" t="b">
        <v>0</v>
      </c>
      <c r="K938" s="15" t="s">
        <v>2347</v>
      </c>
      <c r="L938" s="15" t="str">
        <f>HYPERLINK("https://uk1.aconex.co.uk/hub/index.html?mainTarget=%2FSearchControlledDoc%3FSEARCH_ACTION%3D15%26tab%3D0%26searchMode%3D1%26searchQuery%3Ddocno:%22"&amp;RawData[[#This Row],[Document Number]]&amp;"%22%20%2Bcversion%253A1",RawData[[#This Row],[Document Number]])</f>
        <v>FS1018-PIN-ZZ-01-D-O-1003</v>
      </c>
    </row>
    <row r="939" spans="1:12" ht="43.2" x14ac:dyDescent="0.3">
      <c r="A939" s="15" t="s">
        <v>2348</v>
      </c>
      <c r="B939" s="15" t="s">
        <v>2349</v>
      </c>
      <c r="C939" s="15" t="s">
        <v>14</v>
      </c>
      <c r="D939" s="15" t="s">
        <v>20</v>
      </c>
      <c r="E939" s="8">
        <v>45533</v>
      </c>
      <c r="F939" s="16" t="s">
        <v>2059</v>
      </c>
      <c r="G939" s="16" t="s">
        <v>40</v>
      </c>
      <c r="H939" s="8">
        <v>45669</v>
      </c>
      <c r="I939" s="16" t="s">
        <v>71</v>
      </c>
      <c r="J939" t="b">
        <v>0</v>
      </c>
      <c r="K939" s="15" t="s">
        <v>2350</v>
      </c>
      <c r="L939" s="15" t="str">
        <f>HYPERLINK("https://uk1.aconex.co.uk/hub/index.html?mainTarget=%2FSearchControlledDoc%3FSEARCH_ACTION%3D15%26tab%3D0%26searchMode%3D1%26searchQuery%3Ddocno:%22"&amp;RawData[[#This Row],[Document Number]]&amp;"%22%20%2Bcversion%253A1",RawData[[#This Row],[Document Number]])</f>
        <v>FS1018-PIN-ZZ-01-D-O-1004</v>
      </c>
    </row>
    <row r="940" spans="1:12" x14ac:dyDescent="0.3">
      <c r="A940" s="15" t="s">
        <v>2348</v>
      </c>
      <c r="B940" s="15" t="s">
        <v>2351</v>
      </c>
      <c r="C940" s="15" t="s">
        <v>11</v>
      </c>
      <c r="D940" s="15" t="s">
        <v>21</v>
      </c>
      <c r="E940" s="8">
        <v>45729</v>
      </c>
      <c r="F940" s="16" t="s">
        <v>12</v>
      </c>
      <c r="G940" s="16" t="s">
        <v>4</v>
      </c>
      <c r="H940" s="8"/>
      <c r="I940" s="16"/>
      <c r="J940" t="b">
        <v>0</v>
      </c>
      <c r="K940" s="15" t="s">
        <v>2352</v>
      </c>
      <c r="L940" s="15" t="str">
        <f>HYPERLINK("https://uk1.aconex.co.uk/hub/index.html?mainTarget=%2FSearchControlledDoc%3FSEARCH_ACTION%3D15%26tab%3D0%26searchMode%3D1%26searchQuery%3Ddocno:%22"&amp;RawData[[#This Row],[Document Number]]&amp;"%22%20%2Bcversion%253A1",RawData[[#This Row],[Document Number]])</f>
        <v>FS1018-PIN-ZZ-01-D-O-1004</v>
      </c>
    </row>
    <row r="941" spans="1:12" ht="43.2" x14ac:dyDescent="0.3">
      <c r="A941" s="15" t="s">
        <v>2353</v>
      </c>
      <c r="B941" s="15" t="s">
        <v>2354</v>
      </c>
      <c r="C941" s="15" t="s">
        <v>14</v>
      </c>
      <c r="D941" s="15" t="s">
        <v>20</v>
      </c>
      <c r="E941" s="8">
        <v>45533</v>
      </c>
      <c r="F941" s="16" t="s">
        <v>2059</v>
      </c>
      <c r="G941" s="16" t="s">
        <v>40</v>
      </c>
      <c r="H941" s="8">
        <v>45669</v>
      </c>
      <c r="I941" s="16" t="s">
        <v>71</v>
      </c>
      <c r="J941" t="b">
        <v>0</v>
      </c>
      <c r="K941" s="15" t="s">
        <v>2355</v>
      </c>
      <c r="L941" s="15" t="str">
        <f>HYPERLINK("https://uk1.aconex.co.uk/hub/index.html?mainTarget=%2FSearchControlledDoc%3FSEARCH_ACTION%3D15%26tab%3D0%26searchMode%3D1%26searchQuery%3Ddocno:%22"&amp;RawData[[#This Row],[Document Number]]&amp;"%22%20%2Bcversion%253A1",RawData[[#This Row],[Document Number]])</f>
        <v>FS1018-PIN-ZZ-01-D-O-1005</v>
      </c>
    </row>
    <row r="942" spans="1:12" x14ac:dyDescent="0.3">
      <c r="A942" s="15" t="s">
        <v>2353</v>
      </c>
      <c r="B942" s="15" t="s">
        <v>2356</v>
      </c>
      <c r="C942" s="15" t="s">
        <v>11</v>
      </c>
      <c r="D942" s="15" t="s">
        <v>21</v>
      </c>
      <c r="E942" s="8">
        <v>45729</v>
      </c>
      <c r="F942" s="16" t="s">
        <v>12</v>
      </c>
      <c r="G942" s="16" t="s">
        <v>4</v>
      </c>
      <c r="H942" s="8"/>
      <c r="I942" s="16"/>
      <c r="J942" t="b">
        <v>0</v>
      </c>
      <c r="K942" s="15" t="s">
        <v>2357</v>
      </c>
      <c r="L942" s="15" t="str">
        <f>HYPERLINK("https://uk1.aconex.co.uk/hub/index.html?mainTarget=%2FSearchControlledDoc%3FSEARCH_ACTION%3D15%26tab%3D0%26searchMode%3D1%26searchQuery%3Ddocno:%22"&amp;RawData[[#This Row],[Document Number]]&amp;"%22%20%2Bcversion%253A1",RawData[[#This Row],[Document Number]])</f>
        <v>FS1018-PIN-ZZ-01-D-O-1005</v>
      </c>
    </row>
    <row r="943" spans="1:12" ht="43.2" x14ac:dyDescent="0.3">
      <c r="A943" s="15" t="s">
        <v>2358</v>
      </c>
      <c r="B943" s="15" t="s">
        <v>2359</v>
      </c>
      <c r="C943" s="15" t="s">
        <v>14</v>
      </c>
      <c r="D943" s="15" t="s">
        <v>20</v>
      </c>
      <c r="E943" s="8">
        <v>45533</v>
      </c>
      <c r="F943" s="16" t="s">
        <v>2059</v>
      </c>
      <c r="G943" s="16" t="s">
        <v>40</v>
      </c>
      <c r="H943" s="8">
        <v>45669</v>
      </c>
      <c r="I943" s="16" t="s">
        <v>71</v>
      </c>
      <c r="J943" t="b">
        <v>0</v>
      </c>
      <c r="K943" s="15" t="s">
        <v>2360</v>
      </c>
      <c r="L943" s="15" t="str">
        <f>HYPERLINK("https://uk1.aconex.co.uk/hub/index.html?mainTarget=%2FSearchControlledDoc%3FSEARCH_ACTION%3D15%26tab%3D0%26searchMode%3D1%26searchQuery%3Ddocno:%22"&amp;RawData[[#This Row],[Document Number]]&amp;"%22%20%2Bcversion%253A1",RawData[[#This Row],[Document Number]])</f>
        <v>FS1018-PIN-ZZ-01-D-O-1006</v>
      </c>
    </row>
    <row r="944" spans="1:12" x14ac:dyDescent="0.3">
      <c r="A944" s="15" t="s">
        <v>2358</v>
      </c>
      <c r="B944" s="15" t="s">
        <v>2361</v>
      </c>
      <c r="C944" s="15" t="s">
        <v>11</v>
      </c>
      <c r="D944" s="15" t="s">
        <v>21</v>
      </c>
      <c r="E944" s="8">
        <v>45729</v>
      </c>
      <c r="F944" s="16" t="s">
        <v>12</v>
      </c>
      <c r="G944" s="16" t="s">
        <v>4</v>
      </c>
      <c r="H944" s="8"/>
      <c r="I944" s="16"/>
      <c r="J944" t="b">
        <v>0</v>
      </c>
      <c r="K944" s="15" t="s">
        <v>2362</v>
      </c>
      <c r="L944" s="15" t="str">
        <f>HYPERLINK("https://uk1.aconex.co.uk/hub/index.html?mainTarget=%2FSearchControlledDoc%3FSEARCH_ACTION%3D15%26tab%3D0%26searchMode%3D1%26searchQuery%3Ddocno:%22"&amp;RawData[[#This Row],[Document Number]]&amp;"%22%20%2Bcversion%253A1",RawData[[#This Row],[Document Number]])</f>
        <v>FS1018-PIN-ZZ-01-D-O-1006</v>
      </c>
    </row>
    <row r="945" spans="1:12" ht="43.2" x14ac:dyDescent="0.3">
      <c r="A945" s="15" t="s">
        <v>2363</v>
      </c>
      <c r="B945" s="15" t="s">
        <v>2364</v>
      </c>
      <c r="C945" s="15" t="s">
        <v>14</v>
      </c>
      <c r="D945" s="15" t="s">
        <v>20</v>
      </c>
      <c r="E945" s="8">
        <v>45175</v>
      </c>
      <c r="F945" s="16" t="s">
        <v>2059</v>
      </c>
      <c r="G945" s="16" t="s">
        <v>40</v>
      </c>
      <c r="H945" s="8">
        <v>45190</v>
      </c>
      <c r="I945" s="16" t="s">
        <v>2067</v>
      </c>
      <c r="J945" t="b">
        <v>0</v>
      </c>
      <c r="K945" s="15" t="s">
        <v>2365</v>
      </c>
      <c r="L945" s="15" t="str">
        <f>HYPERLINK("https://uk1.aconex.co.uk/hub/index.html?mainTarget=%2FSearchControlledDoc%3FSEARCH_ACTION%3D15%26tab%3D0%26searchMode%3D1%26searchQuery%3Ddocno:%22"&amp;RawData[[#This Row],[Document Number]]&amp;"%22%20%2Bcversion%253A1",RawData[[#This Row],[Document Number]])</f>
        <v>FS1018-PIN-ZZ-01-D-O-1007</v>
      </c>
    </row>
    <row r="946" spans="1:12" ht="43.2" x14ac:dyDescent="0.3">
      <c r="A946" s="15" t="s">
        <v>2363</v>
      </c>
      <c r="B946" s="15" t="s">
        <v>2366</v>
      </c>
      <c r="C946" s="15" t="s">
        <v>10</v>
      </c>
      <c r="D946" s="15" t="s">
        <v>20</v>
      </c>
      <c r="E946" s="8">
        <v>45533</v>
      </c>
      <c r="F946" s="16" t="s">
        <v>2059</v>
      </c>
      <c r="G946" s="16" t="s">
        <v>40</v>
      </c>
      <c r="H946" s="8">
        <v>45669</v>
      </c>
      <c r="I946" s="16" t="s">
        <v>71</v>
      </c>
      <c r="J946" t="b">
        <v>1</v>
      </c>
      <c r="K946" s="15" t="s">
        <v>2367</v>
      </c>
      <c r="L946" s="15" t="str">
        <f>HYPERLINK("https://uk1.aconex.co.uk/hub/index.html?mainTarget=%2FSearchControlledDoc%3FSEARCH_ACTION%3D15%26tab%3D0%26searchMode%3D1%26searchQuery%3Ddocno:%22"&amp;RawData[[#This Row],[Document Number]]&amp;"%22%20%2Bcversion%253A1",RawData[[#This Row],[Document Number]])</f>
        <v>FS1018-PIN-ZZ-01-D-O-1007</v>
      </c>
    </row>
    <row r="947" spans="1:12" x14ac:dyDescent="0.3">
      <c r="A947" s="15" t="s">
        <v>2363</v>
      </c>
      <c r="B947" s="15" t="s">
        <v>2368</v>
      </c>
      <c r="C947" s="15" t="s">
        <v>1155</v>
      </c>
      <c r="D947" s="15" t="s">
        <v>21</v>
      </c>
      <c r="E947" s="8">
        <v>45729</v>
      </c>
      <c r="F947" s="16" t="s">
        <v>12</v>
      </c>
      <c r="G947" s="16" t="s">
        <v>4</v>
      </c>
      <c r="H947" s="8"/>
      <c r="I947" s="16"/>
      <c r="J947" t="b">
        <v>0</v>
      </c>
      <c r="K947" s="15" t="s">
        <v>2369</v>
      </c>
      <c r="L947" s="15" t="str">
        <f>HYPERLINK("https://uk1.aconex.co.uk/hub/index.html?mainTarget=%2FSearchControlledDoc%3FSEARCH_ACTION%3D15%26tab%3D0%26searchMode%3D1%26searchQuery%3Ddocno:%22"&amp;RawData[[#This Row],[Document Number]]&amp;"%22%20%2Bcversion%253A1",RawData[[#This Row],[Document Number]])</f>
        <v>FS1018-PIN-ZZ-01-D-O-1007</v>
      </c>
    </row>
    <row r="948" spans="1:12" ht="43.2" x14ac:dyDescent="0.3">
      <c r="A948" s="15" t="s">
        <v>2370</v>
      </c>
      <c r="B948" s="15" t="s">
        <v>2371</v>
      </c>
      <c r="C948" s="15" t="s">
        <v>14</v>
      </c>
      <c r="D948" s="15" t="s">
        <v>20</v>
      </c>
      <c r="E948" s="8">
        <v>45533</v>
      </c>
      <c r="F948" s="16" t="s">
        <v>2059</v>
      </c>
      <c r="G948" s="16" t="s">
        <v>40</v>
      </c>
      <c r="H948" s="8">
        <v>45669</v>
      </c>
      <c r="I948" s="16" t="s">
        <v>71</v>
      </c>
      <c r="J948" t="b">
        <v>0</v>
      </c>
      <c r="K948" s="15" t="s">
        <v>2372</v>
      </c>
      <c r="L948" s="15" t="str">
        <f>HYPERLINK("https://uk1.aconex.co.uk/hub/index.html?mainTarget=%2FSearchControlledDoc%3FSEARCH_ACTION%3D15%26tab%3D0%26searchMode%3D1%26searchQuery%3Ddocno:%22"&amp;RawData[[#This Row],[Document Number]]&amp;"%22%20%2Bcversion%253A1",RawData[[#This Row],[Document Number]])</f>
        <v>FS1018-PIN-ZZ-01-D-O-1008</v>
      </c>
    </row>
    <row r="949" spans="1:12" x14ac:dyDescent="0.3">
      <c r="A949" s="15" t="s">
        <v>2370</v>
      </c>
      <c r="B949" s="15" t="s">
        <v>2373</v>
      </c>
      <c r="C949" s="15" t="s">
        <v>583</v>
      </c>
      <c r="D949" s="15" t="s">
        <v>21</v>
      </c>
      <c r="E949" s="8">
        <v>45729</v>
      </c>
      <c r="F949" s="16" t="s">
        <v>12</v>
      </c>
      <c r="G949" s="16" t="s">
        <v>4</v>
      </c>
      <c r="H949" s="8"/>
      <c r="I949" s="16"/>
      <c r="J949" t="b">
        <v>0</v>
      </c>
      <c r="K949" s="15" t="s">
        <v>2374</v>
      </c>
      <c r="L949" s="15" t="str">
        <f>HYPERLINK("https://uk1.aconex.co.uk/hub/index.html?mainTarget=%2FSearchControlledDoc%3FSEARCH_ACTION%3D15%26tab%3D0%26searchMode%3D1%26searchQuery%3Ddocno:%22"&amp;RawData[[#This Row],[Document Number]]&amp;"%22%20%2Bcversion%253A1",RawData[[#This Row],[Document Number]])</f>
        <v>FS1018-PIN-ZZ-01-D-O-1008</v>
      </c>
    </row>
    <row r="950" spans="1:12" ht="43.2" x14ac:dyDescent="0.3">
      <c r="A950" s="15" t="s">
        <v>2375</v>
      </c>
      <c r="B950" s="15" t="s">
        <v>2376</v>
      </c>
      <c r="C950" s="15" t="s">
        <v>14</v>
      </c>
      <c r="D950" s="15" t="s">
        <v>20</v>
      </c>
      <c r="E950" s="8">
        <v>45533</v>
      </c>
      <c r="F950" s="16" t="s">
        <v>2059</v>
      </c>
      <c r="G950" s="16" t="s">
        <v>40</v>
      </c>
      <c r="H950" s="8">
        <v>45669</v>
      </c>
      <c r="I950" s="16" t="s">
        <v>71</v>
      </c>
      <c r="J950" t="b">
        <v>0</v>
      </c>
      <c r="K950" s="15" t="s">
        <v>2377</v>
      </c>
      <c r="L950" s="15" t="str">
        <f>HYPERLINK("https://uk1.aconex.co.uk/hub/index.html?mainTarget=%2FSearchControlledDoc%3FSEARCH_ACTION%3D15%26tab%3D0%26searchMode%3D1%26searchQuery%3Ddocno:%22"&amp;RawData[[#This Row],[Document Number]]&amp;"%22%20%2Bcversion%253A1",RawData[[#This Row],[Document Number]])</f>
        <v>FS1018-PIN-ZZ-01-D-O-1009</v>
      </c>
    </row>
    <row r="951" spans="1:12" x14ac:dyDescent="0.3">
      <c r="A951" s="15" t="s">
        <v>2375</v>
      </c>
      <c r="B951" s="15" t="s">
        <v>2378</v>
      </c>
      <c r="C951" s="15" t="s">
        <v>11</v>
      </c>
      <c r="D951" s="15" t="s">
        <v>21</v>
      </c>
      <c r="E951" s="8">
        <v>45729</v>
      </c>
      <c r="F951" s="16" t="s">
        <v>12</v>
      </c>
      <c r="G951" s="16" t="s">
        <v>4</v>
      </c>
      <c r="H951" s="8"/>
      <c r="I951" s="16"/>
      <c r="J951" t="b">
        <v>0</v>
      </c>
      <c r="K951" s="15" t="s">
        <v>2379</v>
      </c>
      <c r="L951" s="15" t="str">
        <f>HYPERLINK("https://uk1.aconex.co.uk/hub/index.html?mainTarget=%2FSearchControlledDoc%3FSEARCH_ACTION%3D15%26tab%3D0%26searchMode%3D1%26searchQuery%3Ddocno:%22"&amp;RawData[[#This Row],[Document Number]]&amp;"%22%20%2Bcversion%253A1",RawData[[#This Row],[Document Number]])</f>
        <v>FS1018-PIN-ZZ-01-D-O-1009</v>
      </c>
    </row>
    <row r="952" spans="1:12" ht="43.2" x14ac:dyDescent="0.3">
      <c r="A952" s="15" t="s">
        <v>2380</v>
      </c>
      <c r="B952" s="15" t="s">
        <v>2381</v>
      </c>
      <c r="C952" s="15" t="s">
        <v>10</v>
      </c>
      <c r="D952" s="15" t="s">
        <v>20</v>
      </c>
      <c r="E952" s="8">
        <v>45533</v>
      </c>
      <c r="F952" s="16" t="s">
        <v>2059</v>
      </c>
      <c r="G952" s="16" t="s">
        <v>40</v>
      </c>
      <c r="H952" s="8">
        <v>45669</v>
      </c>
      <c r="I952" s="16" t="s">
        <v>71</v>
      </c>
      <c r="J952" t="b">
        <v>1</v>
      </c>
      <c r="K952" s="15" t="s">
        <v>2382</v>
      </c>
      <c r="L952" s="15" t="str">
        <f>HYPERLINK("https://uk1.aconex.co.uk/hub/index.html?mainTarget=%2FSearchControlledDoc%3FSEARCH_ACTION%3D15%26tab%3D0%26searchMode%3D1%26searchQuery%3Ddocno:%22"&amp;RawData[[#This Row],[Document Number]]&amp;"%22%20%2Bcversion%253A1",RawData[[#This Row],[Document Number]])</f>
        <v>FS1018-PIN-ZZ-01-D-O-1021</v>
      </c>
    </row>
    <row r="953" spans="1:12" x14ac:dyDescent="0.3">
      <c r="A953" s="15" t="s">
        <v>2380</v>
      </c>
      <c r="B953" s="15" t="s">
        <v>2383</v>
      </c>
      <c r="C953" s="15" t="s">
        <v>1155</v>
      </c>
      <c r="D953" s="15" t="s">
        <v>21</v>
      </c>
      <c r="E953" s="8">
        <v>45729</v>
      </c>
      <c r="F953" s="16" t="s">
        <v>12</v>
      </c>
      <c r="G953" s="16" t="s">
        <v>4</v>
      </c>
      <c r="H953" s="8"/>
      <c r="I953" s="16"/>
      <c r="J953" t="b">
        <v>0</v>
      </c>
      <c r="K953" s="15" t="s">
        <v>2384</v>
      </c>
      <c r="L953" s="15" t="str">
        <f>HYPERLINK("https://uk1.aconex.co.uk/hub/index.html?mainTarget=%2FSearchControlledDoc%3FSEARCH_ACTION%3D15%26tab%3D0%26searchMode%3D1%26searchQuery%3Ddocno:%22"&amp;RawData[[#This Row],[Document Number]]&amp;"%22%20%2Bcversion%253A1",RawData[[#This Row],[Document Number]])</f>
        <v>FS1018-PIN-ZZ-01-D-O-1021</v>
      </c>
    </row>
    <row r="954" spans="1:12" ht="43.2" x14ac:dyDescent="0.3">
      <c r="A954" s="15" t="s">
        <v>2385</v>
      </c>
      <c r="B954" s="15" t="s">
        <v>2386</v>
      </c>
      <c r="C954" s="15" t="s">
        <v>14</v>
      </c>
      <c r="D954" s="15" t="s">
        <v>20</v>
      </c>
      <c r="E954" s="8">
        <v>45175</v>
      </c>
      <c r="F954" s="16" t="s">
        <v>2059</v>
      </c>
      <c r="G954" s="16" t="s">
        <v>40</v>
      </c>
      <c r="H954" s="8">
        <v>45190</v>
      </c>
      <c r="I954" s="16" t="s">
        <v>2067</v>
      </c>
      <c r="J954" t="b">
        <v>0</v>
      </c>
      <c r="K954" s="15" t="s">
        <v>2387</v>
      </c>
      <c r="L954" s="15" t="str">
        <f>HYPERLINK("https://uk1.aconex.co.uk/hub/index.html?mainTarget=%2FSearchControlledDoc%3FSEARCH_ACTION%3D15%26tab%3D0%26searchMode%3D1%26searchQuery%3Ddocno:%22"&amp;RawData[[#This Row],[Document Number]]&amp;"%22%20%2Bcversion%253A1",RawData[[#This Row],[Document Number]])</f>
        <v>FS1018-PIN-ZZ-01-D-O-1101</v>
      </c>
    </row>
    <row r="955" spans="1:12" ht="43.2" x14ac:dyDescent="0.3">
      <c r="A955" s="15" t="s">
        <v>2385</v>
      </c>
      <c r="B955" s="15" t="s">
        <v>2388</v>
      </c>
      <c r="C955" s="15" t="s">
        <v>10</v>
      </c>
      <c r="D955" s="15" t="s">
        <v>20</v>
      </c>
      <c r="E955" s="8">
        <v>45533</v>
      </c>
      <c r="F955" s="16" t="s">
        <v>2059</v>
      </c>
      <c r="G955" s="16" t="s">
        <v>40</v>
      </c>
      <c r="H955" s="8">
        <v>45669</v>
      </c>
      <c r="I955" s="16" t="s">
        <v>71</v>
      </c>
      <c r="J955" t="b">
        <v>1</v>
      </c>
      <c r="K955" s="15" t="s">
        <v>2389</v>
      </c>
      <c r="L955" s="15" t="str">
        <f>HYPERLINK("https://uk1.aconex.co.uk/hub/index.html?mainTarget=%2FSearchControlledDoc%3FSEARCH_ACTION%3D15%26tab%3D0%26searchMode%3D1%26searchQuery%3Ddocno:%22"&amp;RawData[[#This Row],[Document Number]]&amp;"%22%20%2Bcversion%253A1",RawData[[#This Row],[Document Number]])</f>
        <v>FS1018-PIN-ZZ-01-D-O-1101</v>
      </c>
    </row>
    <row r="956" spans="1:12" x14ac:dyDescent="0.3">
      <c r="A956" s="15" t="s">
        <v>2385</v>
      </c>
      <c r="B956" s="15" t="s">
        <v>2390</v>
      </c>
      <c r="C956" s="15" t="s">
        <v>960</v>
      </c>
      <c r="D956" s="15" t="s">
        <v>21</v>
      </c>
      <c r="E956" s="8">
        <v>45729</v>
      </c>
      <c r="F956" s="16" t="s">
        <v>12</v>
      </c>
      <c r="G956" s="16" t="s">
        <v>4</v>
      </c>
      <c r="H956" s="8"/>
      <c r="I956" s="16"/>
      <c r="J956" t="b">
        <v>0</v>
      </c>
      <c r="K956" s="15" t="s">
        <v>2391</v>
      </c>
      <c r="L956" s="15" t="str">
        <f>HYPERLINK("https://uk1.aconex.co.uk/hub/index.html?mainTarget=%2FSearchControlledDoc%3FSEARCH_ACTION%3D15%26tab%3D0%26searchMode%3D1%26searchQuery%3Ddocno:%22"&amp;RawData[[#This Row],[Document Number]]&amp;"%22%20%2Bcversion%253A1",RawData[[#This Row],[Document Number]])</f>
        <v>FS1018-PIN-ZZ-01-D-O-1101</v>
      </c>
    </row>
    <row r="957" spans="1:12" ht="43.2" x14ac:dyDescent="0.3">
      <c r="A957" s="15" t="s">
        <v>2392</v>
      </c>
      <c r="B957" s="15" t="s">
        <v>2393</v>
      </c>
      <c r="C957" s="15" t="s">
        <v>14</v>
      </c>
      <c r="D957" s="15" t="s">
        <v>20</v>
      </c>
      <c r="E957" s="8">
        <v>45175</v>
      </c>
      <c r="F957" s="16" t="s">
        <v>2059</v>
      </c>
      <c r="G957" s="16" t="s">
        <v>40</v>
      </c>
      <c r="H957" s="8">
        <v>45190</v>
      </c>
      <c r="I957" s="16" t="s">
        <v>2067</v>
      </c>
      <c r="J957" t="b">
        <v>0</v>
      </c>
      <c r="K957" s="15" t="s">
        <v>2394</v>
      </c>
      <c r="L957" s="15" t="str">
        <f>HYPERLINK("https://uk1.aconex.co.uk/hub/index.html?mainTarget=%2FSearchControlledDoc%3FSEARCH_ACTION%3D15%26tab%3D0%26searchMode%3D1%26searchQuery%3Ddocno:%22"&amp;RawData[[#This Row],[Document Number]]&amp;"%22%20%2Bcversion%253A1",RawData[[#This Row],[Document Number]])</f>
        <v>FS1018-PIN-ZZ-01-D-O-1102</v>
      </c>
    </row>
    <row r="958" spans="1:12" ht="43.2" x14ac:dyDescent="0.3">
      <c r="A958" s="15" t="s">
        <v>2392</v>
      </c>
      <c r="B958" s="15" t="s">
        <v>2395</v>
      </c>
      <c r="C958" s="15" t="s">
        <v>10</v>
      </c>
      <c r="D958" s="15" t="s">
        <v>20</v>
      </c>
      <c r="E958" s="8">
        <v>45533</v>
      </c>
      <c r="F958" s="16" t="s">
        <v>2059</v>
      </c>
      <c r="G958" s="16" t="s">
        <v>40</v>
      </c>
      <c r="H958" s="8">
        <v>45669</v>
      </c>
      <c r="I958" s="16" t="s">
        <v>71</v>
      </c>
      <c r="J958" t="b">
        <v>1</v>
      </c>
      <c r="K958" s="15" t="s">
        <v>2396</v>
      </c>
      <c r="L958" s="15" t="str">
        <f>HYPERLINK("https://uk1.aconex.co.uk/hub/index.html?mainTarget=%2FSearchControlledDoc%3FSEARCH_ACTION%3D15%26tab%3D0%26searchMode%3D1%26searchQuery%3Ddocno:%22"&amp;RawData[[#This Row],[Document Number]]&amp;"%22%20%2Bcversion%253A1",RawData[[#This Row],[Document Number]])</f>
        <v>FS1018-PIN-ZZ-01-D-O-1102</v>
      </c>
    </row>
    <row r="959" spans="1:12" x14ac:dyDescent="0.3">
      <c r="A959" s="15" t="s">
        <v>2392</v>
      </c>
      <c r="B959" s="15" t="s">
        <v>2397</v>
      </c>
      <c r="C959" s="15" t="s">
        <v>583</v>
      </c>
      <c r="D959" s="15" t="s">
        <v>21</v>
      </c>
      <c r="E959" s="8">
        <v>45729</v>
      </c>
      <c r="F959" s="16" t="s">
        <v>12</v>
      </c>
      <c r="G959" s="16" t="s">
        <v>4</v>
      </c>
      <c r="H959" s="8"/>
      <c r="I959" s="16"/>
      <c r="J959" t="b">
        <v>0</v>
      </c>
      <c r="K959" s="15" t="s">
        <v>2398</v>
      </c>
      <c r="L959" s="15" t="str">
        <f>HYPERLINK("https://uk1.aconex.co.uk/hub/index.html?mainTarget=%2FSearchControlledDoc%3FSEARCH_ACTION%3D15%26tab%3D0%26searchMode%3D1%26searchQuery%3Ddocno:%22"&amp;RawData[[#This Row],[Document Number]]&amp;"%22%20%2Bcversion%253A1",RawData[[#This Row],[Document Number]])</f>
        <v>FS1018-PIN-ZZ-01-D-O-1102</v>
      </c>
    </row>
    <row r="960" spans="1:12" ht="43.2" x14ac:dyDescent="0.3">
      <c r="A960" s="15" t="s">
        <v>2399</v>
      </c>
      <c r="B960" s="15" t="s">
        <v>2400</v>
      </c>
      <c r="C960" s="15" t="s">
        <v>14</v>
      </c>
      <c r="D960" s="15" t="s">
        <v>20</v>
      </c>
      <c r="E960" s="8">
        <v>45175</v>
      </c>
      <c r="F960" s="16" t="s">
        <v>2059</v>
      </c>
      <c r="G960" s="16" t="s">
        <v>40</v>
      </c>
      <c r="H960" s="8">
        <v>45190</v>
      </c>
      <c r="I960" s="16" t="s">
        <v>2067</v>
      </c>
      <c r="J960" t="b">
        <v>0</v>
      </c>
      <c r="K960" s="15" t="s">
        <v>2401</v>
      </c>
      <c r="L960" s="15" t="str">
        <f>HYPERLINK("https://uk1.aconex.co.uk/hub/index.html?mainTarget=%2FSearchControlledDoc%3FSEARCH_ACTION%3D15%26tab%3D0%26searchMode%3D1%26searchQuery%3Ddocno:%22"&amp;RawData[[#This Row],[Document Number]]&amp;"%22%20%2Bcversion%253A1",RawData[[#This Row],[Document Number]])</f>
        <v>FS1018-PIN-ZZ-01-D-O-1108</v>
      </c>
    </row>
    <row r="961" spans="1:12" ht="43.2" x14ac:dyDescent="0.3">
      <c r="A961" s="15" t="s">
        <v>2399</v>
      </c>
      <c r="B961" s="15" t="s">
        <v>2402</v>
      </c>
      <c r="C961" s="15" t="s">
        <v>10</v>
      </c>
      <c r="D961" s="15" t="s">
        <v>20</v>
      </c>
      <c r="E961" s="8">
        <v>45533</v>
      </c>
      <c r="F961" s="16" t="s">
        <v>2059</v>
      </c>
      <c r="G961" s="16" t="s">
        <v>40</v>
      </c>
      <c r="H961" s="8">
        <v>45669</v>
      </c>
      <c r="I961" s="16" t="s">
        <v>71</v>
      </c>
      <c r="J961" t="b">
        <v>1</v>
      </c>
      <c r="K961" s="15" t="s">
        <v>2403</v>
      </c>
      <c r="L961" s="15" t="str">
        <f>HYPERLINK("https://uk1.aconex.co.uk/hub/index.html?mainTarget=%2FSearchControlledDoc%3FSEARCH_ACTION%3D15%26tab%3D0%26searchMode%3D1%26searchQuery%3Ddocno:%22"&amp;RawData[[#This Row],[Document Number]]&amp;"%22%20%2Bcversion%253A1",RawData[[#This Row],[Document Number]])</f>
        <v>FS1018-PIN-ZZ-01-D-O-1108</v>
      </c>
    </row>
    <row r="962" spans="1:12" x14ac:dyDescent="0.3">
      <c r="A962" s="15" t="s">
        <v>2399</v>
      </c>
      <c r="B962" s="15" t="s">
        <v>2404</v>
      </c>
      <c r="C962" s="15" t="s">
        <v>1155</v>
      </c>
      <c r="D962" s="15" t="s">
        <v>21</v>
      </c>
      <c r="E962" s="8">
        <v>45729</v>
      </c>
      <c r="F962" s="16" t="s">
        <v>12</v>
      </c>
      <c r="G962" s="16" t="s">
        <v>4</v>
      </c>
      <c r="H962" s="8"/>
      <c r="I962" s="16"/>
      <c r="J962" t="b">
        <v>0</v>
      </c>
      <c r="K962" s="15" t="s">
        <v>2405</v>
      </c>
      <c r="L962" s="15" t="str">
        <f>HYPERLINK("https://uk1.aconex.co.uk/hub/index.html?mainTarget=%2FSearchControlledDoc%3FSEARCH_ACTION%3D15%26tab%3D0%26searchMode%3D1%26searchQuery%3Ddocno:%22"&amp;RawData[[#This Row],[Document Number]]&amp;"%22%20%2Bcversion%253A1",RawData[[#This Row],[Document Number]])</f>
        <v>FS1018-PIN-ZZ-01-D-O-1108</v>
      </c>
    </row>
    <row r="963" spans="1:12" ht="43.2" x14ac:dyDescent="0.3">
      <c r="A963" s="15" t="s">
        <v>2406</v>
      </c>
      <c r="B963" s="15" t="s">
        <v>2407</v>
      </c>
      <c r="C963" s="15" t="s">
        <v>14</v>
      </c>
      <c r="D963" s="15" t="s">
        <v>20</v>
      </c>
      <c r="E963" s="8">
        <v>45533</v>
      </c>
      <c r="F963" s="16" t="s">
        <v>2059</v>
      </c>
      <c r="G963" s="16" t="s">
        <v>40</v>
      </c>
      <c r="H963" s="8">
        <v>45669</v>
      </c>
      <c r="I963" s="16" t="s">
        <v>71</v>
      </c>
      <c r="J963" t="b">
        <v>0</v>
      </c>
      <c r="K963" s="15" t="s">
        <v>2408</v>
      </c>
      <c r="L963" s="15" t="str">
        <f>HYPERLINK("https://uk1.aconex.co.uk/hub/index.html?mainTarget=%2FSearchControlledDoc%3FSEARCH_ACTION%3D15%26tab%3D0%26searchMode%3D1%26searchQuery%3Ddocno:%22"&amp;RawData[[#This Row],[Document Number]]&amp;"%22%20%2Bcversion%253A1",RawData[[#This Row],[Document Number]])</f>
        <v>FS1018-PIN-ZZ-01-D-O-3006</v>
      </c>
    </row>
    <row r="964" spans="1:12" x14ac:dyDescent="0.3">
      <c r="A964" s="15" t="s">
        <v>2406</v>
      </c>
      <c r="B964" s="15" t="s">
        <v>2409</v>
      </c>
      <c r="C964" s="15" t="s">
        <v>583</v>
      </c>
      <c r="D964" s="15" t="s">
        <v>21</v>
      </c>
      <c r="E964" s="8">
        <v>45729</v>
      </c>
      <c r="F964" s="16" t="s">
        <v>12</v>
      </c>
      <c r="G964" s="16" t="s">
        <v>4</v>
      </c>
      <c r="H964" s="8"/>
      <c r="I964" s="16"/>
      <c r="J964" t="b">
        <v>0</v>
      </c>
      <c r="K964" s="15" t="s">
        <v>2410</v>
      </c>
      <c r="L964" s="15" t="str">
        <f>HYPERLINK("https://uk1.aconex.co.uk/hub/index.html?mainTarget=%2FSearchControlledDoc%3FSEARCH_ACTION%3D15%26tab%3D0%26searchMode%3D1%26searchQuery%3Ddocno:%22"&amp;RawData[[#This Row],[Document Number]]&amp;"%22%20%2Bcversion%253A1",RawData[[#This Row],[Document Number]])</f>
        <v>FS1018-PIN-ZZ-01-D-O-3006</v>
      </c>
    </row>
    <row r="965" spans="1:12" ht="43.2" x14ac:dyDescent="0.3">
      <c r="A965" s="15" t="s">
        <v>2411</v>
      </c>
      <c r="B965" s="15" t="s">
        <v>2412</v>
      </c>
      <c r="C965" s="15" t="s">
        <v>14</v>
      </c>
      <c r="D965" s="15" t="s">
        <v>20</v>
      </c>
      <c r="E965" s="8">
        <v>45533</v>
      </c>
      <c r="F965" s="16" t="s">
        <v>2059</v>
      </c>
      <c r="G965" s="16" t="s">
        <v>40</v>
      </c>
      <c r="H965" s="8">
        <v>45669</v>
      </c>
      <c r="I965" s="16" t="s">
        <v>71</v>
      </c>
      <c r="J965" t="b">
        <v>0</v>
      </c>
      <c r="K965" s="15" t="s">
        <v>2413</v>
      </c>
      <c r="L965" s="15" t="str">
        <f>HYPERLINK("https://uk1.aconex.co.uk/hub/index.html?mainTarget=%2FSearchControlledDoc%3FSEARCH_ACTION%3D15%26tab%3D0%26searchMode%3D1%26searchQuery%3Ddocno:%22"&amp;RawData[[#This Row],[Document Number]]&amp;"%22%20%2Bcversion%253A1",RawData[[#This Row],[Document Number]])</f>
        <v>FS1018-PIN-ZZ-01-D-O-3009</v>
      </c>
    </row>
    <row r="966" spans="1:12" x14ac:dyDescent="0.3">
      <c r="A966" s="15" t="s">
        <v>2411</v>
      </c>
      <c r="B966" s="15" t="s">
        <v>2414</v>
      </c>
      <c r="C966" s="15" t="s">
        <v>11</v>
      </c>
      <c r="D966" s="15" t="s">
        <v>21</v>
      </c>
      <c r="E966" s="8">
        <v>45729</v>
      </c>
      <c r="F966" s="16" t="s">
        <v>12</v>
      </c>
      <c r="G966" s="16" t="s">
        <v>4</v>
      </c>
      <c r="H966" s="8"/>
      <c r="I966" s="16"/>
      <c r="J966" t="b">
        <v>0</v>
      </c>
      <c r="K966" s="15" t="s">
        <v>2415</v>
      </c>
      <c r="L966" s="15" t="str">
        <f>HYPERLINK("https://uk1.aconex.co.uk/hub/index.html?mainTarget=%2FSearchControlledDoc%3FSEARCH_ACTION%3D15%26tab%3D0%26searchMode%3D1%26searchQuery%3Ddocno:%22"&amp;RawData[[#This Row],[Document Number]]&amp;"%22%20%2Bcversion%253A1",RawData[[#This Row],[Document Number]])</f>
        <v>FS1018-PIN-ZZ-01-D-O-3009</v>
      </c>
    </row>
    <row r="967" spans="1:12" ht="43.2" x14ac:dyDescent="0.3">
      <c r="A967" s="15" t="s">
        <v>2416</v>
      </c>
      <c r="B967" s="15" t="s">
        <v>2417</v>
      </c>
      <c r="C967" s="15" t="s">
        <v>14</v>
      </c>
      <c r="D967" s="15" t="s">
        <v>20</v>
      </c>
      <c r="E967" s="8">
        <v>45533</v>
      </c>
      <c r="F967" s="16" t="s">
        <v>2059</v>
      </c>
      <c r="G967" s="16" t="s">
        <v>40</v>
      </c>
      <c r="H967" s="8">
        <v>45669</v>
      </c>
      <c r="I967" s="16" t="s">
        <v>71</v>
      </c>
      <c r="J967" t="b">
        <v>0</v>
      </c>
      <c r="K967" s="15" t="s">
        <v>2418</v>
      </c>
      <c r="L967" s="15" t="str">
        <f>HYPERLINK("https://uk1.aconex.co.uk/hub/index.html?mainTarget=%2FSearchControlledDoc%3FSEARCH_ACTION%3D15%26tab%3D0%26searchMode%3D1%26searchQuery%3Ddocno:%22"&amp;RawData[[#This Row],[Document Number]]&amp;"%22%20%2Bcversion%253A1",RawData[[#This Row],[Document Number]])</f>
        <v>FS1018-PIN-ZZ-01-D-O-4002</v>
      </c>
    </row>
    <row r="968" spans="1:12" x14ac:dyDescent="0.3">
      <c r="A968" s="15" t="s">
        <v>2416</v>
      </c>
      <c r="B968" s="15" t="s">
        <v>2419</v>
      </c>
      <c r="C968" s="15" t="s">
        <v>11</v>
      </c>
      <c r="D968" s="15" t="s">
        <v>21</v>
      </c>
      <c r="E968" s="8">
        <v>45729</v>
      </c>
      <c r="F968" s="16" t="s">
        <v>12</v>
      </c>
      <c r="G968" s="16" t="s">
        <v>4</v>
      </c>
      <c r="H968" s="8"/>
      <c r="I968" s="16"/>
      <c r="J968" t="b">
        <v>0</v>
      </c>
      <c r="K968" s="15" t="s">
        <v>2420</v>
      </c>
      <c r="L968" s="15" t="str">
        <f>HYPERLINK("https://uk1.aconex.co.uk/hub/index.html?mainTarget=%2FSearchControlledDoc%3FSEARCH_ACTION%3D15%26tab%3D0%26searchMode%3D1%26searchQuery%3Ddocno:%22"&amp;RawData[[#This Row],[Document Number]]&amp;"%22%20%2Bcversion%253A1",RawData[[#This Row],[Document Number]])</f>
        <v>FS1018-PIN-ZZ-01-D-O-4002</v>
      </c>
    </row>
    <row r="969" spans="1:12" ht="43.2" x14ac:dyDescent="0.3">
      <c r="A969" s="15" t="s">
        <v>2421</v>
      </c>
      <c r="B969" s="15" t="s">
        <v>2422</v>
      </c>
      <c r="C969" s="15" t="s">
        <v>14</v>
      </c>
      <c r="D969" s="15" t="s">
        <v>20</v>
      </c>
      <c r="E969" s="8">
        <v>45533</v>
      </c>
      <c r="F969" s="16" t="s">
        <v>2059</v>
      </c>
      <c r="G969" s="16" t="s">
        <v>40</v>
      </c>
      <c r="H969" s="8">
        <v>45669</v>
      </c>
      <c r="I969" s="16" t="s">
        <v>71</v>
      </c>
      <c r="J969" t="b">
        <v>0</v>
      </c>
      <c r="K969" s="15" t="s">
        <v>2423</v>
      </c>
      <c r="L969" s="15" t="str">
        <f>HYPERLINK("https://uk1.aconex.co.uk/hub/index.html?mainTarget=%2FSearchControlledDoc%3FSEARCH_ACTION%3D15%26tab%3D0%26searchMode%3D1%26searchQuery%3Ddocno:%22"&amp;RawData[[#This Row],[Document Number]]&amp;"%22%20%2Bcversion%253A1",RawData[[#This Row],[Document Number]])</f>
        <v>FS1018-PIN-ZZ-01-D-O-4007</v>
      </c>
    </row>
    <row r="970" spans="1:12" x14ac:dyDescent="0.3">
      <c r="A970" s="15" t="s">
        <v>2421</v>
      </c>
      <c r="B970" s="15" t="s">
        <v>2424</v>
      </c>
      <c r="C970" s="15" t="s">
        <v>11</v>
      </c>
      <c r="D970" s="15" t="s">
        <v>21</v>
      </c>
      <c r="E970" s="8">
        <v>45729</v>
      </c>
      <c r="F970" s="16" t="s">
        <v>12</v>
      </c>
      <c r="G970" s="16" t="s">
        <v>4</v>
      </c>
      <c r="H970" s="8"/>
      <c r="I970" s="16"/>
      <c r="J970" t="b">
        <v>0</v>
      </c>
      <c r="K970" s="15" t="s">
        <v>2425</v>
      </c>
      <c r="L970" s="15" t="str">
        <f>HYPERLINK("https://uk1.aconex.co.uk/hub/index.html?mainTarget=%2FSearchControlledDoc%3FSEARCH_ACTION%3D15%26tab%3D0%26searchMode%3D1%26searchQuery%3Ddocno:%22"&amp;RawData[[#This Row],[Document Number]]&amp;"%22%20%2Bcversion%253A1",RawData[[#This Row],[Document Number]])</f>
        <v>FS1018-PIN-ZZ-01-D-O-4007</v>
      </c>
    </row>
    <row r="971" spans="1:12" ht="43.2" x14ac:dyDescent="0.3">
      <c r="A971" s="15" t="s">
        <v>2426</v>
      </c>
      <c r="B971" s="15" t="s">
        <v>2427</v>
      </c>
      <c r="C971" s="15" t="s">
        <v>14</v>
      </c>
      <c r="D971" s="15" t="s">
        <v>20</v>
      </c>
      <c r="E971" s="8">
        <v>45533</v>
      </c>
      <c r="F971" s="16" t="s">
        <v>2059</v>
      </c>
      <c r="G971" s="16" t="s">
        <v>40</v>
      </c>
      <c r="H971" s="8">
        <v>45669</v>
      </c>
      <c r="I971" s="16" t="s">
        <v>71</v>
      </c>
      <c r="J971" t="b">
        <v>0</v>
      </c>
      <c r="K971" s="15" t="s">
        <v>2428</v>
      </c>
      <c r="L971" s="15" t="str">
        <f>HYPERLINK("https://uk1.aconex.co.uk/hub/index.html?mainTarget=%2FSearchControlledDoc%3FSEARCH_ACTION%3D15%26tab%3D0%26searchMode%3D1%26searchQuery%3Ddocno:%22"&amp;RawData[[#This Row],[Document Number]]&amp;"%22%20%2Bcversion%253A1",RawData[[#This Row],[Document Number]])</f>
        <v>FS1018-PIN-ZZ-01-D-O-4012</v>
      </c>
    </row>
    <row r="972" spans="1:12" x14ac:dyDescent="0.3">
      <c r="A972" s="15" t="s">
        <v>2426</v>
      </c>
      <c r="B972" s="15" t="s">
        <v>2429</v>
      </c>
      <c r="C972" s="15" t="s">
        <v>583</v>
      </c>
      <c r="D972" s="15" t="s">
        <v>21</v>
      </c>
      <c r="E972" s="8">
        <v>45729</v>
      </c>
      <c r="F972" s="16" t="s">
        <v>12</v>
      </c>
      <c r="G972" s="16" t="s">
        <v>4</v>
      </c>
      <c r="H972" s="8"/>
      <c r="I972" s="16"/>
      <c r="J972" t="b">
        <v>0</v>
      </c>
      <c r="K972" s="15" t="s">
        <v>2430</v>
      </c>
      <c r="L972" s="15" t="str">
        <f>HYPERLINK("https://uk1.aconex.co.uk/hub/index.html?mainTarget=%2FSearchControlledDoc%3FSEARCH_ACTION%3D15%26tab%3D0%26searchMode%3D1%26searchQuery%3Ddocno:%22"&amp;RawData[[#This Row],[Document Number]]&amp;"%22%20%2Bcversion%253A1",RawData[[#This Row],[Document Number]])</f>
        <v>FS1018-PIN-ZZ-01-D-O-4012</v>
      </c>
    </row>
    <row r="973" spans="1:12" ht="43.2" x14ac:dyDescent="0.3">
      <c r="A973" s="15" t="s">
        <v>2431</v>
      </c>
      <c r="B973" s="15" t="s">
        <v>2432</v>
      </c>
      <c r="C973" s="15" t="s">
        <v>14</v>
      </c>
      <c r="D973" s="15" t="s">
        <v>20</v>
      </c>
      <c r="E973" s="8">
        <v>45533</v>
      </c>
      <c r="F973" s="16" t="s">
        <v>2059</v>
      </c>
      <c r="G973" s="16" t="s">
        <v>40</v>
      </c>
      <c r="H973" s="8">
        <v>45669</v>
      </c>
      <c r="I973" s="16" t="s">
        <v>71</v>
      </c>
      <c r="J973" t="b">
        <v>0</v>
      </c>
      <c r="K973" s="15" t="s">
        <v>2433</v>
      </c>
      <c r="L973" s="15" t="str">
        <f>HYPERLINK("https://uk1.aconex.co.uk/hub/index.html?mainTarget=%2FSearchControlledDoc%3FSEARCH_ACTION%3D15%26tab%3D0%26searchMode%3D1%26searchQuery%3Ddocno:%22"&amp;RawData[[#This Row],[Document Number]]&amp;"%22%20%2Bcversion%253A1",RawData[[#This Row],[Document Number]])</f>
        <v>FS1018-PIN-ZZ-01-D-O-4013</v>
      </c>
    </row>
    <row r="974" spans="1:12" x14ac:dyDescent="0.3">
      <c r="A974" s="15" t="s">
        <v>2431</v>
      </c>
      <c r="B974" s="15" t="s">
        <v>2434</v>
      </c>
      <c r="C974" s="15" t="s">
        <v>583</v>
      </c>
      <c r="D974" s="15" t="s">
        <v>21</v>
      </c>
      <c r="E974" s="8">
        <v>45729</v>
      </c>
      <c r="F974" s="16" t="s">
        <v>12</v>
      </c>
      <c r="G974" s="16" t="s">
        <v>4</v>
      </c>
      <c r="H974" s="8"/>
      <c r="I974" s="16"/>
      <c r="J974" t="b">
        <v>0</v>
      </c>
      <c r="K974" s="15" t="s">
        <v>2435</v>
      </c>
      <c r="L974" s="15" t="str">
        <f>HYPERLINK("https://uk1.aconex.co.uk/hub/index.html?mainTarget=%2FSearchControlledDoc%3FSEARCH_ACTION%3D15%26tab%3D0%26searchMode%3D1%26searchQuery%3Ddocno:%22"&amp;RawData[[#This Row],[Document Number]]&amp;"%22%20%2Bcversion%253A1",RawData[[#This Row],[Document Number]])</f>
        <v>FS1018-PIN-ZZ-01-D-O-4013</v>
      </c>
    </row>
    <row r="975" spans="1:12" ht="43.2" x14ac:dyDescent="0.3">
      <c r="A975" s="15" t="s">
        <v>2436</v>
      </c>
      <c r="B975" s="15" t="s">
        <v>2437</v>
      </c>
      <c r="C975" s="15" t="s">
        <v>14</v>
      </c>
      <c r="D975" s="15" t="s">
        <v>20</v>
      </c>
      <c r="E975" s="8">
        <v>45533</v>
      </c>
      <c r="F975" s="16" t="s">
        <v>2059</v>
      </c>
      <c r="G975" s="16" t="s">
        <v>40</v>
      </c>
      <c r="H975" s="8">
        <v>45669</v>
      </c>
      <c r="I975" s="16" t="s">
        <v>71</v>
      </c>
      <c r="J975" t="b">
        <v>0</v>
      </c>
      <c r="K975" s="15" t="s">
        <v>2438</v>
      </c>
      <c r="L975" s="15" t="str">
        <f>HYPERLINK("https://uk1.aconex.co.uk/hub/index.html?mainTarget=%2FSearchControlledDoc%3FSEARCH_ACTION%3D15%26tab%3D0%26searchMode%3D1%26searchQuery%3Ddocno:%22"&amp;RawData[[#This Row],[Document Number]]&amp;"%22%20%2Bcversion%253A1",RawData[[#This Row],[Document Number]])</f>
        <v>FS1018-PIN-ZZ-01-D-O-4016</v>
      </c>
    </row>
    <row r="976" spans="1:12" x14ac:dyDescent="0.3">
      <c r="A976" s="15" t="s">
        <v>2436</v>
      </c>
      <c r="B976" s="15" t="s">
        <v>2439</v>
      </c>
      <c r="C976" s="15" t="s">
        <v>11</v>
      </c>
      <c r="D976" s="15" t="s">
        <v>21</v>
      </c>
      <c r="E976" s="8">
        <v>45729</v>
      </c>
      <c r="F976" s="16" t="s">
        <v>12</v>
      </c>
      <c r="G976" s="16" t="s">
        <v>4</v>
      </c>
      <c r="H976" s="8"/>
      <c r="I976" s="16"/>
      <c r="J976" t="b">
        <v>0</v>
      </c>
      <c r="K976" s="15" t="s">
        <v>2440</v>
      </c>
      <c r="L976" s="15" t="str">
        <f>HYPERLINK("https://uk1.aconex.co.uk/hub/index.html?mainTarget=%2FSearchControlledDoc%3FSEARCH_ACTION%3D15%26tab%3D0%26searchMode%3D1%26searchQuery%3Ddocno:%22"&amp;RawData[[#This Row],[Document Number]]&amp;"%22%20%2Bcversion%253A1",RawData[[#This Row],[Document Number]])</f>
        <v>FS1018-PIN-ZZ-01-D-O-4016</v>
      </c>
    </row>
    <row r="977" spans="1:12" ht="43.2" x14ac:dyDescent="0.3">
      <c r="A977" s="15" t="s">
        <v>2441</v>
      </c>
      <c r="B977" s="15" t="s">
        <v>2442</v>
      </c>
      <c r="C977" s="15" t="s">
        <v>14</v>
      </c>
      <c r="D977" s="15" t="s">
        <v>20</v>
      </c>
      <c r="E977" s="8">
        <v>45533</v>
      </c>
      <c r="F977" s="16" t="s">
        <v>2059</v>
      </c>
      <c r="G977" s="16" t="s">
        <v>40</v>
      </c>
      <c r="H977" s="8">
        <v>45669</v>
      </c>
      <c r="I977" s="16" t="s">
        <v>71</v>
      </c>
      <c r="J977" t="b">
        <v>0</v>
      </c>
      <c r="K977" s="15" t="s">
        <v>2443</v>
      </c>
      <c r="L977" s="15" t="str">
        <f>HYPERLINK("https://uk1.aconex.co.uk/hub/index.html?mainTarget=%2FSearchControlledDoc%3FSEARCH_ACTION%3D15%26tab%3D0%26searchMode%3D1%26searchQuery%3Ddocno:%22"&amp;RawData[[#This Row],[Document Number]]&amp;"%22%20%2Bcversion%253A1",RawData[[#This Row],[Document Number]])</f>
        <v>FS1018-PIN-ZZ-01-D-O-4017</v>
      </c>
    </row>
    <row r="978" spans="1:12" x14ac:dyDescent="0.3">
      <c r="A978" s="15" t="s">
        <v>2441</v>
      </c>
      <c r="B978" s="15" t="s">
        <v>2444</v>
      </c>
      <c r="C978" s="15" t="s">
        <v>10</v>
      </c>
      <c r="D978" s="15" t="s">
        <v>21</v>
      </c>
      <c r="E978" s="8">
        <v>45729</v>
      </c>
      <c r="F978" s="16" t="s">
        <v>12</v>
      </c>
      <c r="G978" s="16" t="s">
        <v>4</v>
      </c>
      <c r="H978" s="8"/>
      <c r="I978" s="16"/>
      <c r="J978" t="b">
        <v>1</v>
      </c>
      <c r="K978" s="15" t="s">
        <v>2445</v>
      </c>
      <c r="L978" s="15" t="str">
        <f>HYPERLINK("https://uk1.aconex.co.uk/hub/index.html?mainTarget=%2FSearchControlledDoc%3FSEARCH_ACTION%3D15%26tab%3D0%26searchMode%3D1%26searchQuery%3Ddocno:%22"&amp;RawData[[#This Row],[Document Number]]&amp;"%22%20%2Bcversion%253A1",RawData[[#This Row],[Document Number]])</f>
        <v>FS1018-PIN-ZZ-01-D-O-4017</v>
      </c>
    </row>
    <row r="979" spans="1:12" ht="43.2" x14ac:dyDescent="0.3">
      <c r="A979" s="15" t="s">
        <v>2446</v>
      </c>
      <c r="B979" s="15" t="s">
        <v>2447</v>
      </c>
      <c r="C979" s="15" t="s">
        <v>14</v>
      </c>
      <c r="D979" s="15" t="s">
        <v>20</v>
      </c>
      <c r="E979" s="8">
        <v>45533</v>
      </c>
      <c r="F979" s="16" t="s">
        <v>2059</v>
      </c>
      <c r="G979" s="16" t="s">
        <v>40</v>
      </c>
      <c r="H979" s="8">
        <v>45669</v>
      </c>
      <c r="I979" s="16" t="s">
        <v>71</v>
      </c>
      <c r="J979" t="b">
        <v>0</v>
      </c>
      <c r="K979" s="15" t="s">
        <v>2448</v>
      </c>
      <c r="L979" s="15" t="str">
        <f>HYPERLINK("https://uk1.aconex.co.uk/hub/index.html?mainTarget=%2FSearchControlledDoc%3FSEARCH_ACTION%3D15%26tab%3D0%26searchMode%3D1%26searchQuery%3Ddocno:%22"&amp;RawData[[#This Row],[Document Number]]&amp;"%22%20%2Bcversion%253A1",RawData[[#This Row],[Document Number]])</f>
        <v>FS1018-PIN-ZZ-01-D-O-5006</v>
      </c>
    </row>
    <row r="980" spans="1:12" x14ac:dyDescent="0.3">
      <c r="A980" s="15" t="s">
        <v>2446</v>
      </c>
      <c r="B980" s="15" t="s">
        <v>2449</v>
      </c>
      <c r="C980" s="15" t="s">
        <v>10</v>
      </c>
      <c r="D980" s="15" t="s">
        <v>21</v>
      </c>
      <c r="E980" s="8">
        <v>45729</v>
      </c>
      <c r="F980" s="16" t="s">
        <v>12</v>
      </c>
      <c r="G980" s="16" t="s">
        <v>4</v>
      </c>
      <c r="H980" s="8"/>
      <c r="I980" s="16"/>
      <c r="J980" t="b">
        <v>1</v>
      </c>
      <c r="K980" s="15" t="s">
        <v>2450</v>
      </c>
      <c r="L980" s="15" t="str">
        <f>HYPERLINK("https://uk1.aconex.co.uk/hub/index.html?mainTarget=%2FSearchControlledDoc%3FSEARCH_ACTION%3D15%26tab%3D0%26searchMode%3D1%26searchQuery%3Ddocno:%22"&amp;RawData[[#This Row],[Document Number]]&amp;"%22%20%2Bcversion%253A1",RawData[[#This Row],[Document Number]])</f>
        <v>FS1018-PIN-ZZ-01-D-O-5006</v>
      </c>
    </row>
    <row r="981" spans="1:12" ht="43.2" x14ac:dyDescent="0.3">
      <c r="A981" s="15" t="s">
        <v>2451</v>
      </c>
      <c r="B981" s="15" t="s">
        <v>2315</v>
      </c>
      <c r="C981" s="15" t="s">
        <v>14</v>
      </c>
      <c r="D981" s="15" t="s">
        <v>20</v>
      </c>
      <c r="E981" s="8">
        <v>45533</v>
      </c>
      <c r="F981" s="16" t="s">
        <v>2059</v>
      </c>
      <c r="G981" s="16" t="s">
        <v>40</v>
      </c>
      <c r="H981" s="8">
        <v>45669</v>
      </c>
      <c r="I981" s="16" t="s">
        <v>71</v>
      </c>
      <c r="J981" t="b">
        <v>0</v>
      </c>
      <c r="K981" s="15" t="s">
        <v>2452</v>
      </c>
      <c r="L981" s="15" t="str">
        <f>HYPERLINK("https://uk1.aconex.co.uk/hub/index.html?mainTarget=%2FSearchControlledDoc%3FSEARCH_ACTION%3D15%26tab%3D0%26searchMode%3D1%26searchQuery%3Ddocno:%22"&amp;RawData[[#This Row],[Document Number]]&amp;"%22%20%2Bcversion%253A1",RawData[[#This Row],[Document Number]])</f>
        <v>FS1018-PIN-ZZ-01-D-O-5017</v>
      </c>
    </row>
    <row r="982" spans="1:12" x14ac:dyDescent="0.3">
      <c r="A982" s="15" t="s">
        <v>2451</v>
      </c>
      <c r="B982" s="15" t="s">
        <v>2317</v>
      </c>
      <c r="C982" s="15" t="s">
        <v>11</v>
      </c>
      <c r="D982" s="15" t="s">
        <v>21</v>
      </c>
      <c r="E982" s="8">
        <v>45729</v>
      </c>
      <c r="F982" s="16" t="s">
        <v>12</v>
      </c>
      <c r="G982" s="16" t="s">
        <v>4</v>
      </c>
      <c r="H982" s="8"/>
      <c r="I982" s="16"/>
      <c r="J982" t="b">
        <v>0</v>
      </c>
      <c r="K982" s="15" t="s">
        <v>2453</v>
      </c>
      <c r="L982" s="15" t="str">
        <f>HYPERLINK("https://uk1.aconex.co.uk/hub/index.html?mainTarget=%2FSearchControlledDoc%3FSEARCH_ACTION%3D15%26tab%3D0%26searchMode%3D1%26searchQuery%3Ddocno:%22"&amp;RawData[[#This Row],[Document Number]]&amp;"%22%20%2Bcversion%253A1",RawData[[#This Row],[Document Number]])</f>
        <v>FS1018-PIN-ZZ-01-D-O-5017</v>
      </c>
    </row>
    <row r="983" spans="1:12" ht="43.2" x14ac:dyDescent="0.3">
      <c r="A983" s="15" t="s">
        <v>2454</v>
      </c>
      <c r="B983" s="15" t="s">
        <v>2455</v>
      </c>
      <c r="C983" s="15" t="s">
        <v>14</v>
      </c>
      <c r="D983" s="15" t="s">
        <v>20</v>
      </c>
      <c r="E983" s="8">
        <v>45533</v>
      </c>
      <c r="F983" s="16" t="s">
        <v>2059</v>
      </c>
      <c r="G983" s="16" t="s">
        <v>40</v>
      </c>
      <c r="H983" s="8">
        <v>45669</v>
      </c>
      <c r="I983" s="16" t="s">
        <v>71</v>
      </c>
      <c r="J983" t="b">
        <v>0</v>
      </c>
      <c r="K983" s="15" t="s">
        <v>2456</v>
      </c>
      <c r="L983" s="15" t="str">
        <f>HYPERLINK("https://uk1.aconex.co.uk/hub/index.html?mainTarget=%2FSearchControlledDoc%3FSEARCH_ACTION%3D15%26tab%3D0%26searchMode%3D1%26searchQuery%3Ddocno:%22"&amp;RawData[[#This Row],[Document Number]]&amp;"%22%20%2Bcversion%253A1",RawData[[#This Row],[Document Number]])</f>
        <v>FS1018-PIN-ZZ-01-D-O-5042</v>
      </c>
    </row>
    <row r="984" spans="1:12" ht="43.2" x14ac:dyDescent="0.3">
      <c r="A984" s="15" t="s">
        <v>2457</v>
      </c>
      <c r="B984" s="15" t="s">
        <v>2458</v>
      </c>
      <c r="C984" s="15" t="s">
        <v>14</v>
      </c>
      <c r="D984" s="15" t="s">
        <v>20</v>
      </c>
      <c r="E984" s="8">
        <v>45533</v>
      </c>
      <c r="F984" s="16" t="s">
        <v>2059</v>
      </c>
      <c r="G984" s="16" t="s">
        <v>40</v>
      </c>
      <c r="H984" s="8">
        <v>45669</v>
      </c>
      <c r="I984" s="16" t="s">
        <v>71</v>
      </c>
      <c r="J984" t="b">
        <v>0</v>
      </c>
      <c r="K984" s="15" t="s">
        <v>2459</v>
      </c>
      <c r="L984" s="15" t="str">
        <f>HYPERLINK("https://uk1.aconex.co.uk/hub/index.html?mainTarget=%2FSearchControlledDoc%3FSEARCH_ACTION%3D15%26tab%3D0%26searchMode%3D1%26searchQuery%3Ddocno:%22"&amp;RawData[[#This Row],[Document Number]]&amp;"%22%20%2Bcversion%253A1",RawData[[#This Row],[Document Number]])</f>
        <v>FS1018-PIN-ZZ-01-D-O-5104</v>
      </c>
    </row>
    <row r="985" spans="1:12" x14ac:dyDescent="0.3">
      <c r="A985" s="15" t="s">
        <v>2457</v>
      </c>
      <c r="B985" s="15" t="s">
        <v>2458</v>
      </c>
      <c r="C985" s="15" t="s">
        <v>11</v>
      </c>
      <c r="D985" s="15" t="s">
        <v>21</v>
      </c>
      <c r="E985" s="8">
        <v>45729</v>
      </c>
      <c r="F985" s="16" t="s">
        <v>12</v>
      </c>
      <c r="G985" s="16" t="s">
        <v>4</v>
      </c>
      <c r="H985" s="8"/>
      <c r="I985" s="16"/>
      <c r="J985" t="b">
        <v>0</v>
      </c>
      <c r="K985" s="15" t="s">
        <v>2459</v>
      </c>
      <c r="L985" s="15" t="str">
        <f>HYPERLINK("https://uk1.aconex.co.uk/hub/index.html?mainTarget=%2FSearchControlledDoc%3FSEARCH_ACTION%3D15%26tab%3D0%26searchMode%3D1%26searchQuery%3Ddocno:%22"&amp;RawData[[#This Row],[Document Number]]&amp;"%22%20%2Bcversion%253A1",RawData[[#This Row],[Document Number]])</f>
        <v>FS1018-PIN-ZZ-01-D-O-5104</v>
      </c>
    </row>
    <row r="986" spans="1:12" ht="43.2" x14ac:dyDescent="0.3">
      <c r="A986" s="15" t="s">
        <v>2460</v>
      </c>
      <c r="B986" s="15" t="s">
        <v>2461</v>
      </c>
      <c r="C986" s="15" t="s">
        <v>14</v>
      </c>
      <c r="D986" s="15" t="s">
        <v>20</v>
      </c>
      <c r="E986" s="8">
        <v>45533</v>
      </c>
      <c r="F986" s="16" t="s">
        <v>2059</v>
      </c>
      <c r="G986" s="16" t="s">
        <v>40</v>
      </c>
      <c r="H986" s="8">
        <v>45669</v>
      </c>
      <c r="I986" s="16" t="s">
        <v>71</v>
      </c>
      <c r="J986" t="b">
        <v>0</v>
      </c>
      <c r="K986" s="15" t="s">
        <v>2462</v>
      </c>
      <c r="L986" s="15" t="str">
        <f>HYPERLINK("https://uk1.aconex.co.uk/hub/index.html?mainTarget=%2FSearchControlledDoc%3FSEARCH_ACTION%3D15%26tab%3D0%26searchMode%3D1%26searchQuery%3Ddocno:%22"&amp;RawData[[#This Row],[Document Number]]&amp;"%22%20%2Bcversion%253A1",RawData[[#This Row],[Document Number]])</f>
        <v>FS1018-PIN-ZZ-01-D-O-5110</v>
      </c>
    </row>
    <row r="987" spans="1:12" x14ac:dyDescent="0.3">
      <c r="A987" s="15" t="s">
        <v>2460</v>
      </c>
      <c r="B987" s="15" t="s">
        <v>2463</v>
      </c>
      <c r="C987" s="15" t="s">
        <v>11</v>
      </c>
      <c r="D987" s="15" t="s">
        <v>21</v>
      </c>
      <c r="E987" s="8">
        <v>45729</v>
      </c>
      <c r="F987" s="16" t="s">
        <v>12</v>
      </c>
      <c r="G987" s="16" t="s">
        <v>4</v>
      </c>
      <c r="H987" s="8"/>
      <c r="I987" s="16"/>
      <c r="J987" t="b">
        <v>0</v>
      </c>
      <c r="K987" s="15" t="s">
        <v>2464</v>
      </c>
      <c r="L987" s="15" t="str">
        <f>HYPERLINK("https://uk1.aconex.co.uk/hub/index.html?mainTarget=%2FSearchControlledDoc%3FSEARCH_ACTION%3D15%26tab%3D0%26searchMode%3D1%26searchQuery%3Ddocno:%22"&amp;RawData[[#This Row],[Document Number]]&amp;"%22%20%2Bcversion%253A1",RawData[[#This Row],[Document Number]])</f>
        <v>FS1018-PIN-ZZ-01-D-O-5110</v>
      </c>
    </row>
    <row r="988" spans="1:12" ht="43.2" x14ac:dyDescent="0.3">
      <c r="A988" s="15" t="s">
        <v>2465</v>
      </c>
      <c r="B988" s="15" t="s">
        <v>2466</v>
      </c>
      <c r="C988" s="15" t="s">
        <v>14</v>
      </c>
      <c r="D988" s="15" t="s">
        <v>20</v>
      </c>
      <c r="E988" s="8">
        <v>45533</v>
      </c>
      <c r="F988" s="16" t="s">
        <v>2059</v>
      </c>
      <c r="G988" s="16" t="s">
        <v>40</v>
      </c>
      <c r="H988" s="8">
        <v>45669</v>
      </c>
      <c r="I988" s="16" t="s">
        <v>71</v>
      </c>
      <c r="J988" t="b">
        <v>0</v>
      </c>
      <c r="K988" s="15" t="s">
        <v>2467</v>
      </c>
      <c r="L988" s="15" t="str">
        <f>HYPERLINK("https://uk1.aconex.co.uk/hub/index.html?mainTarget=%2FSearchControlledDoc%3FSEARCH_ACTION%3D15%26tab%3D0%26searchMode%3D1%26searchQuery%3Ddocno:%22"&amp;RawData[[#This Row],[Document Number]]&amp;"%22%20%2Bcversion%253A1",RawData[[#This Row],[Document Number]])</f>
        <v>FS1018-PIN-ZZ-01-D-O-5111</v>
      </c>
    </row>
    <row r="989" spans="1:12" x14ac:dyDescent="0.3">
      <c r="A989" s="15" t="s">
        <v>2465</v>
      </c>
      <c r="B989" s="15" t="s">
        <v>2468</v>
      </c>
      <c r="C989" s="15" t="s">
        <v>11</v>
      </c>
      <c r="D989" s="15" t="s">
        <v>21</v>
      </c>
      <c r="E989" s="8">
        <v>45729</v>
      </c>
      <c r="F989" s="16" t="s">
        <v>12</v>
      </c>
      <c r="G989" s="16" t="s">
        <v>4</v>
      </c>
      <c r="H989" s="8"/>
      <c r="I989" s="16"/>
      <c r="J989" t="b">
        <v>0</v>
      </c>
      <c r="K989" s="15" t="s">
        <v>2469</v>
      </c>
      <c r="L989" s="15" t="str">
        <f>HYPERLINK("https://uk1.aconex.co.uk/hub/index.html?mainTarget=%2FSearchControlledDoc%3FSEARCH_ACTION%3D15%26tab%3D0%26searchMode%3D1%26searchQuery%3Ddocno:%22"&amp;RawData[[#This Row],[Document Number]]&amp;"%22%20%2Bcversion%253A1",RawData[[#This Row],[Document Number]])</f>
        <v>FS1018-PIN-ZZ-01-D-O-5111</v>
      </c>
    </row>
    <row r="990" spans="1:12" ht="43.2" x14ac:dyDescent="0.3">
      <c r="A990" s="15" t="s">
        <v>2470</v>
      </c>
      <c r="B990" s="15" t="s">
        <v>2471</v>
      </c>
      <c r="C990" s="15" t="s">
        <v>14</v>
      </c>
      <c r="D990" s="15" t="s">
        <v>20</v>
      </c>
      <c r="E990" s="8">
        <v>45533</v>
      </c>
      <c r="F990" s="16" t="s">
        <v>2059</v>
      </c>
      <c r="G990" s="16" t="s">
        <v>40</v>
      </c>
      <c r="H990" s="8">
        <v>45669</v>
      </c>
      <c r="I990" s="16" t="s">
        <v>71</v>
      </c>
      <c r="J990" t="b">
        <v>0</v>
      </c>
      <c r="K990" s="15" t="s">
        <v>2472</v>
      </c>
      <c r="L990" s="15" t="str">
        <f>HYPERLINK("https://uk1.aconex.co.uk/hub/index.html?mainTarget=%2FSearchControlledDoc%3FSEARCH_ACTION%3D15%26tab%3D0%26searchMode%3D1%26searchQuery%3Ddocno:%22"&amp;RawData[[#This Row],[Document Number]]&amp;"%22%20%2Bcversion%253A1",RawData[[#This Row],[Document Number]])</f>
        <v>FS1018-PIN-ZZ-01-D-O-5112</v>
      </c>
    </row>
    <row r="991" spans="1:12" x14ac:dyDescent="0.3">
      <c r="A991" s="15" t="s">
        <v>2470</v>
      </c>
      <c r="B991" s="15" t="s">
        <v>2473</v>
      </c>
      <c r="C991" s="15" t="s">
        <v>11</v>
      </c>
      <c r="D991" s="15" t="s">
        <v>21</v>
      </c>
      <c r="E991" s="8">
        <v>45729</v>
      </c>
      <c r="F991" s="16" t="s">
        <v>12</v>
      </c>
      <c r="G991" s="16" t="s">
        <v>4</v>
      </c>
      <c r="H991" s="8"/>
      <c r="I991" s="16"/>
      <c r="J991" t="b">
        <v>0</v>
      </c>
      <c r="K991" s="15" t="s">
        <v>2474</v>
      </c>
      <c r="L991" s="15" t="str">
        <f>HYPERLINK("https://uk1.aconex.co.uk/hub/index.html?mainTarget=%2FSearchControlledDoc%3FSEARCH_ACTION%3D15%26tab%3D0%26searchMode%3D1%26searchQuery%3Ddocno:%22"&amp;RawData[[#This Row],[Document Number]]&amp;"%22%20%2Bcversion%253A1",RawData[[#This Row],[Document Number]])</f>
        <v>FS1018-PIN-ZZ-01-D-O-5112</v>
      </c>
    </row>
    <row r="992" spans="1:12" ht="43.2" x14ac:dyDescent="0.3">
      <c r="A992" s="15" t="s">
        <v>2475</v>
      </c>
      <c r="B992" s="15" t="s">
        <v>2476</v>
      </c>
      <c r="C992" s="15" t="s">
        <v>14</v>
      </c>
      <c r="D992" s="15" t="s">
        <v>20</v>
      </c>
      <c r="E992" s="8">
        <v>45533</v>
      </c>
      <c r="F992" s="16" t="s">
        <v>2059</v>
      </c>
      <c r="G992" s="16" t="s">
        <v>40</v>
      </c>
      <c r="H992" s="8">
        <v>45669</v>
      </c>
      <c r="I992" s="16" t="s">
        <v>71</v>
      </c>
      <c r="J992" t="b">
        <v>0</v>
      </c>
      <c r="K992" s="15" t="s">
        <v>2477</v>
      </c>
      <c r="L992" s="15" t="str">
        <f>HYPERLINK("https://uk1.aconex.co.uk/hub/index.html?mainTarget=%2FSearchControlledDoc%3FSEARCH_ACTION%3D15%26tab%3D0%26searchMode%3D1%26searchQuery%3Ddocno:%22"&amp;RawData[[#This Row],[Document Number]]&amp;"%22%20%2Bcversion%253A1",RawData[[#This Row],[Document Number]])</f>
        <v>FS1018-PIN-ZZ-01-D-O-5113</v>
      </c>
    </row>
    <row r="993" spans="1:12" x14ac:dyDescent="0.3">
      <c r="A993" s="15" t="s">
        <v>2475</v>
      </c>
      <c r="B993" s="15" t="s">
        <v>2478</v>
      </c>
      <c r="C993" s="15" t="s">
        <v>11</v>
      </c>
      <c r="D993" s="15" t="s">
        <v>21</v>
      </c>
      <c r="E993" s="8">
        <v>45729</v>
      </c>
      <c r="F993" s="16" t="s">
        <v>12</v>
      </c>
      <c r="G993" s="16" t="s">
        <v>4</v>
      </c>
      <c r="H993" s="8"/>
      <c r="I993" s="16"/>
      <c r="J993" t="b">
        <v>0</v>
      </c>
      <c r="K993" s="15" t="s">
        <v>2479</v>
      </c>
      <c r="L993" s="15" t="str">
        <f>HYPERLINK("https://uk1.aconex.co.uk/hub/index.html?mainTarget=%2FSearchControlledDoc%3FSEARCH_ACTION%3D15%26tab%3D0%26searchMode%3D1%26searchQuery%3Ddocno:%22"&amp;RawData[[#This Row],[Document Number]]&amp;"%22%20%2Bcversion%253A1",RawData[[#This Row],[Document Number]])</f>
        <v>FS1018-PIN-ZZ-01-D-O-5113</v>
      </c>
    </row>
    <row r="994" spans="1:12" x14ac:dyDescent="0.3">
      <c r="A994" s="15" t="s">
        <v>2480</v>
      </c>
      <c r="B994" s="15" t="s">
        <v>2481</v>
      </c>
      <c r="C994" s="15" t="s">
        <v>10</v>
      </c>
      <c r="D994" s="15" t="s">
        <v>21</v>
      </c>
      <c r="E994" s="8">
        <v>45729</v>
      </c>
      <c r="F994" s="16" t="s">
        <v>12</v>
      </c>
      <c r="G994" s="16" t="s">
        <v>4</v>
      </c>
      <c r="H994" s="8"/>
      <c r="I994" s="16"/>
      <c r="J994" t="b">
        <v>1</v>
      </c>
      <c r="K994" s="15" t="s">
        <v>2482</v>
      </c>
      <c r="L994" s="15" t="str">
        <f>HYPERLINK("https://uk1.aconex.co.uk/hub/index.html?mainTarget=%2FSearchControlledDoc%3FSEARCH_ACTION%3D15%26tab%3D0%26searchMode%3D1%26searchQuery%3Ddocno:%22"&amp;RawData[[#This Row],[Document Number]]&amp;"%22%20%2Bcversion%253A1",RawData[[#This Row],[Document Number]])</f>
        <v>FS1018-PIN-ZZ-01-D-O-5116</v>
      </c>
    </row>
    <row r="995" spans="1:12" ht="43.2" x14ac:dyDescent="0.3">
      <c r="A995" s="15" t="s">
        <v>2483</v>
      </c>
      <c r="B995" s="15" t="s">
        <v>2484</v>
      </c>
      <c r="C995" s="15" t="s">
        <v>14</v>
      </c>
      <c r="D995" s="15" t="s">
        <v>20</v>
      </c>
      <c r="E995" s="8">
        <v>45533</v>
      </c>
      <c r="F995" s="16" t="s">
        <v>2059</v>
      </c>
      <c r="G995" s="16" t="s">
        <v>40</v>
      </c>
      <c r="H995" s="8">
        <v>45669</v>
      </c>
      <c r="I995" s="16" t="s">
        <v>71</v>
      </c>
      <c r="J995" t="b">
        <v>0</v>
      </c>
      <c r="K995" s="15" t="s">
        <v>2485</v>
      </c>
      <c r="L995" s="15" t="str">
        <f>HYPERLINK("https://uk1.aconex.co.uk/hub/index.html?mainTarget=%2FSearchControlledDoc%3FSEARCH_ACTION%3D15%26tab%3D0%26searchMode%3D1%26searchQuery%3Ddocno:%22"&amp;RawData[[#This Row],[Document Number]]&amp;"%22%20%2Bcversion%253A1",RawData[[#This Row],[Document Number]])</f>
        <v>FS1018-PIN-ZZ-01-D-O-7042</v>
      </c>
    </row>
    <row r="996" spans="1:12" ht="43.2" x14ac:dyDescent="0.3">
      <c r="A996" s="15" t="s">
        <v>2486</v>
      </c>
      <c r="B996" s="15" t="s">
        <v>2487</v>
      </c>
      <c r="C996" s="15" t="s">
        <v>14</v>
      </c>
      <c r="D996" s="15" t="s">
        <v>20</v>
      </c>
      <c r="E996" s="8">
        <v>45533</v>
      </c>
      <c r="F996" s="16" t="s">
        <v>2059</v>
      </c>
      <c r="G996" s="16" t="s">
        <v>40</v>
      </c>
      <c r="H996" s="8">
        <v>45669</v>
      </c>
      <c r="I996" s="16" t="s">
        <v>71</v>
      </c>
      <c r="J996" t="b">
        <v>0</v>
      </c>
      <c r="K996" s="15" t="s">
        <v>2488</v>
      </c>
      <c r="L996" s="15" t="str">
        <f>HYPERLINK("https://uk1.aconex.co.uk/hub/index.html?mainTarget=%2FSearchControlledDoc%3FSEARCH_ACTION%3D15%26tab%3D0%26searchMode%3D1%26searchQuery%3Ddocno:%22"&amp;RawData[[#This Row],[Document Number]]&amp;"%22%20%2Bcversion%253A1",RawData[[#This Row],[Document Number]])</f>
        <v>FS1018-PIN-ZZ-01-D-O-8042</v>
      </c>
    </row>
    <row r="997" spans="1:12" ht="43.2" x14ac:dyDescent="0.3">
      <c r="A997" s="15" t="s">
        <v>2489</v>
      </c>
      <c r="B997" s="15" t="s">
        <v>2490</v>
      </c>
      <c r="C997" s="15" t="s">
        <v>14</v>
      </c>
      <c r="D997" s="15" t="s">
        <v>20</v>
      </c>
      <c r="E997" s="8">
        <v>45533</v>
      </c>
      <c r="F997" s="16" t="s">
        <v>2059</v>
      </c>
      <c r="G997" s="16" t="s">
        <v>40</v>
      </c>
      <c r="H997" s="8">
        <v>45669</v>
      </c>
      <c r="I997" s="16" t="s">
        <v>71</v>
      </c>
      <c r="J997" t="b">
        <v>0</v>
      </c>
      <c r="K997" s="15" t="s">
        <v>2491</v>
      </c>
      <c r="L997" s="15" t="str">
        <f>HYPERLINK("https://uk1.aconex.co.uk/hub/index.html?mainTarget=%2FSearchControlledDoc%3FSEARCH_ACTION%3D15%26tab%3D0%26searchMode%3D1%26searchQuery%3Ddocno:%22"&amp;RawData[[#This Row],[Document Number]]&amp;"%22%20%2Bcversion%253A1",RawData[[#This Row],[Document Number]])</f>
        <v>FS1018-PIN-ZZ-01-D-O-9042</v>
      </c>
    </row>
    <row r="998" spans="1:12" ht="43.2" x14ac:dyDescent="0.3">
      <c r="A998" s="15" t="s">
        <v>2492</v>
      </c>
      <c r="B998" s="15" t="s">
        <v>2493</v>
      </c>
      <c r="C998" s="15" t="s">
        <v>14</v>
      </c>
      <c r="D998" s="15" t="s">
        <v>20</v>
      </c>
      <c r="E998" s="8">
        <v>45533</v>
      </c>
      <c r="F998" s="16" t="s">
        <v>2059</v>
      </c>
      <c r="G998" s="16" t="s">
        <v>40</v>
      </c>
      <c r="H998" s="8">
        <v>45669</v>
      </c>
      <c r="I998" s="16" t="s">
        <v>71</v>
      </c>
      <c r="J998" t="b">
        <v>0</v>
      </c>
      <c r="K998" s="15" t="s">
        <v>2494</v>
      </c>
      <c r="L998" s="15" t="str">
        <f>HYPERLINK("https://uk1.aconex.co.uk/hub/index.html?mainTarget=%2FSearchControlledDoc%3FSEARCH_ACTION%3D15%26tab%3D0%26searchMode%3D1%26searchQuery%3Ddocno:%22"&amp;RawData[[#This Row],[Document Number]]&amp;"%22%20%2Bcversion%253A1",RawData[[#This Row],[Document Number]])</f>
        <v>FS1018-PIN-ZZ-02-D-O-1010</v>
      </c>
    </row>
    <row r="999" spans="1:12" x14ac:dyDescent="0.3">
      <c r="A999" s="15" t="s">
        <v>2492</v>
      </c>
      <c r="B999" s="15" t="s">
        <v>2495</v>
      </c>
      <c r="C999" s="15" t="s">
        <v>11</v>
      </c>
      <c r="D999" s="15" t="s">
        <v>21</v>
      </c>
      <c r="E999" s="8">
        <v>45729</v>
      </c>
      <c r="F999" s="16" t="s">
        <v>12</v>
      </c>
      <c r="G999" s="16" t="s">
        <v>4</v>
      </c>
      <c r="H999" s="8"/>
      <c r="I999" s="16"/>
      <c r="J999" t="b">
        <v>0</v>
      </c>
      <c r="K999" s="15" t="s">
        <v>2496</v>
      </c>
      <c r="L999" s="15" t="str">
        <f>HYPERLINK("https://uk1.aconex.co.uk/hub/index.html?mainTarget=%2FSearchControlledDoc%3FSEARCH_ACTION%3D15%26tab%3D0%26searchMode%3D1%26searchQuery%3Ddocno:%22"&amp;RawData[[#This Row],[Document Number]]&amp;"%22%20%2Bcversion%253A1",RawData[[#This Row],[Document Number]])</f>
        <v>FS1018-PIN-ZZ-02-D-O-1010</v>
      </c>
    </row>
    <row r="1000" spans="1:12" ht="43.2" x14ac:dyDescent="0.3">
      <c r="A1000" s="15" t="s">
        <v>2497</v>
      </c>
      <c r="B1000" s="15" t="s">
        <v>2498</v>
      </c>
      <c r="C1000" s="15" t="s">
        <v>14</v>
      </c>
      <c r="D1000" s="15" t="s">
        <v>20</v>
      </c>
      <c r="E1000" s="8">
        <v>45533</v>
      </c>
      <c r="F1000" s="16" t="s">
        <v>2059</v>
      </c>
      <c r="G1000" s="16" t="s">
        <v>40</v>
      </c>
      <c r="H1000" s="8">
        <v>45669</v>
      </c>
      <c r="I1000" s="16" t="s">
        <v>71</v>
      </c>
      <c r="J1000" t="b">
        <v>0</v>
      </c>
      <c r="K1000" s="15" t="s">
        <v>2499</v>
      </c>
      <c r="L1000" s="15" t="str">
        <f>HYPERLINK("https://uk1.aconex.co.uk/hub/index.html?mainTarget=%2FSearchControlledDoc%3FSEARCH_ACTION%3D15%26tab%3D0%26searchMode%3D1%26searchQuery%3Ddocno:%22"&amp;RawData[[#This Row],[Document Number]]&amp;"%22%20%2Bcversion%253A1",RawData[[#This Row],[Document Number]])</f>
        <v>FS1018-PIN-ZZ-02-D-O-1011</v>
      </c>
    </row>
    <row r="1001" spans="1:12" x14ac:dyDescent="0.3">
      <c r="A1001" s="15" t="s">
        <v>2497</v>
      </c>
      <c r="B1001" s="15" t="s">
        <v>2500</v>
      </c>
      <c r="C1001" s="15" t="s">
        <v>11</v>
      </c>
      <c r="D1001" s="15" t="s">
        <v>21</v>
      </c>
      <c r="E1001" s="8">
        <v>45729</v>
      </c>
      <c r="F1001" s="16" t="s">
        <v>12</v>
      </c>
      <c r="G1001" s="16" t="s">
        <v>4</v>
      </c>
      <c r="H1001" s="8"/>
      <c r="I1001" s="16"/>
      <c r="J1001" t="b">
        <v>0</v>
      </c>
      <c r="K1001" s="15" t="s">
        <v>2501</v>
      </c>
      <c r="L1001" s="15" t="str">
        <f>HYPERLINK("https://uk1.aconex.co.uk/hub/index.html?mainTarget=%2FSearchControlledDoc%3FSEARCH_ACTION%3D15%26tab%3D0%26searchMode%3D1%26searchQuery%3Ddocno:%22"&amp;RawData[[#This Row],[Document Number]]&amp;"%22%20%2Bcversion%253A1",RawData[[#This Row],[Document Number]])</f>
        <v>FS1018-PIN-ZZ-02-D-O-1011</v>
      </c>
    </row>
    <row r="1002" spans="1:12" ht="43.2" x14ac:dyDescent="0.3">
      <c r="A1002" s="15" t="s">
        <v>2502</v>
      </c>
      <c r="B1002" s="15" t="s">
        <v>2503</v>
      </c>
      <c r="C1002" s="15" t="s">
        <v>14</v>
      </c>
      <c r="D1002" s="15" t="s">
        <v>20</v>
      </c>
      <c r="E1002" s="8">
        <v>45533</v>
      </c>
      <c r="F1002" s="16" t="s">
        <v>2059</v>
      </c>
      <c r="G1002" s="16" t="s">
        <v>40</v>
      </c>
      <c r="H1002" s="8">
        <v>45669</v>
      </c>
      <c r="I1002" s="16" t="s">
        <v>71</v>
      </c>
      <c r="J1002" t="b">
        <v>0</v>
      </c>
      <c r="K1002" s="15" t="s">
        <v>2504</v>
      </c>
      <c r="L1002" s="15" t="str">
        <f>HYPERLINK("https://uk1.aconex.co.uk/hub/index.html?mainTarget=%2FSearchControlledDoc%3FSEARCH_ACTION%3D15%26tab%3D0%26searchMode%3D1%26searchQuery%3Ddocno:%22"&amp;RawData[[#This Row],[Document Number]]&amp;"%22%20%2Bcversion%253A1",RawData[[#This Row],[Document Number]])</f>
        <v>FS1018-PIN-ZZ-02-D-O-1012</v>
      </c>
    </row>
    <row r="1003" spans="1:12" x14ac:dyDescent="0.3">
      <c r="A1003" s="15" t="s">
        <v>2502</v>
      </c>
      <c r="B1003" s="15" t="s">
        <v>2505</v>
      </c>
      <c r="C1003" s="15" t="s">
        <v>11</v>
      </c>
      <c r="D1003" s="15" t="s">
        <v>21</v>
      </c>
      <c r="E1003" s="8">
        <v>45729</v>
      </c>
      <c r="F1003" s="16" t="s">
        <v>12</v>
      </c>
      <c r="G1003" s="16" t="s">
        <v>4</v>
      </c>
      <c r="H1003" s="8"/>
      <c r="I1003" s="16"/>
      <c r="J1003" t="b">
        <v>0</v>
      </c>
      <c r="K1003" s="15" t="s">
        <v>2506</v>
      </c>
      <c r="L1003" s="15" t="str">
        <f>HYPERLINK("https://uk1.aconex.co.uk/hub/index.html?mainTarget=%2FSearchControlledDoc%3FSEARCH_ACTION%3D15%26tab%3D0%26searchMode%3D1%26searchQuery%3Ddocno:%22"&amp;RawData[[#This Row],[Document Number]]&amp;"%22%20%2Bcversion%253A1",RawData[[#This Row],[Document Number]])</f>
        <v>FS1018-PIN-ZZ-02-D-O-1012</v>
      </c>
    </row>
    <row r="1004" spans="1:12" ht="43.2" x14ac:dyDescent="0.3">
      <c r="A1004" s="15" t="s">
        <v>2507</v>
      </c>
      <c r="B1004" s="15" t="s">
        <v>2508</v>
      </c>
      <c r="C1004" s="15" t="s">
        <v>14</v>
      </c>
      <c r="D1004" s="15" t="s">
        <v>20</v>
      </c>
      <c r="E1004" s="8">
        <v>45533</v>
      </c>
      <c r="F1004" s="16" t="s">
        <v>2059</v>
      </c>
      <c r="G1004" s="16" t="s">
        <v>40</v>
      </c>
      <c r="H1004" s="8">
        <v>45669</v>
      </c>
      <c r="I1004" s="16" t="s">
        <v>71</v>
      </c>
      <c r="J1004" t="b">
        <v>0</v>
      </c>
      <c r="K1004" s="15" t="s">
        <v>2509</v>
      </c>
      <c r="L1004" s="15" t="str">
        <f>HYPERLINK("https://uk1.aconex.co.uk/hub/index.html?mainTarget=%2FSearchControlledDoc%3FSEARCH_ACTION%3D15%26tab%3D0%26searchMode%3D1%26searchQuery%3Ddocno:%22"&amp;RawData[[#This Row],[Document Number]]&amp;"%22%20%2Bcversion%253A1",RawData[[#This Row],[Document Number]])</f>
        <v>FS1018-PIN-ZZ-02-D-O-1013</v>
      </c>
    </row>
    <row r="1005" spans="1:12" x14ac:dyDescent="0.3">
      <c r="A1005" s="15" t="s">
        <v>2507</v>
      </c>
      <c r="B1005" s="15" t="s">
        <v>2510</v>
      </c>
      <c r="C1005" s="15" t="s">
        <v>583</v>
      </c>
      <c r="D1005" s="15" t="s">
        <v>21</v>
      </c>
      <c r="E1005" s="8">
        <v>45729</v>
      </c>
      <c r="F1005" s="16" t="s">
        <v>12</v>
      </c>
      <c r="G1005" s="16" t="s">
        <v>4</v>
      </c>
      <c r="H1005" s="8"/>
      <c r="I1005" s="16"/>
      <c r="J1005" t="b">
        <v>0</v>
      </c>
      <c r="K1005" s="15" t="s">
        <v>2511</v>
      </c>
      <c r="L1005" s="15" t="str">
        <f>HYPERLINK("https://uk1.aconex.co.uk/hub/index.html?mainTarget=%2FSearchControlledDoc%3FSEARCH_ACTION%3D15%26tab%3D0%26searchMode%3D1%26searchQuery%3Ddocno:%22"&amp;RawData[[#This Row],[Document Number]]&amp;"%22%20%2Bcversion%253A1",RawData[[#This Row],[Document Number]])</f>
        <v>FS1018-PIN-ZZ-02-D-O-1013</v>
      </c>
    </row>
    <row r="1006" spans="1:12" ht="43.2" x14ac:dyDescent="0.3">
      <c r="A1006" s="15" t="s">
        <v>2512</v>
      </c>
      <c r="B1006" s="15" t="s">
        <v>2513</v>
      </c>
      <c r="C1006" s="15" t="s">
        <v>14</v>
      </c>
      <c r="D1006" s="15" t="s">
        <v>20</v>
      </c>
      <c r="E1006" s="8">
        <v>45533</v>
      </c>
      <c r="F1006" s="16" t="s">
        <v>2059</v>
      </c>
      <c r="G1006" s="16" t="s">
        <v>40</v>
      </c>
      <c r="H1006" s="8">
        <v>45669</v>
      </c>
      <c r="I1006" s="16" t="s">
        <v>71</v>
      </c>
      <c r="J1006" t="b">
        <v>0</v>
      </c>
      <c r="K1006" s="15" t="s">
        <v>2514</v>
      </c>
      <c r="L1006" s="15" t="str">
        <f>HYPERLINK("https://uk1.aconex.co.uk/hub/index.html?mainTarget=%2FSearchControlledDoc%3FSEARCH_ACTION%3D15%26tab%3D0%26searchMode%3D1%26searchQuery%3Ddocno:%22"&amp;RawData[[#This Row],[Document Number]]&amp;"%22%20%2Bcversion%253A1",RawData[[#This Row],[Document Number]])</f>
        <v>FS1018-PIN-ZZ-02-D-O-1014</v>
      </c>
    </row>
    <row r="1007" spans="1:12" x14ac:dyDescent="0.3">
      <c r="A1007" s="15" t="s">
        <v>2512</v>
      </c>
      <c r="B1007" s="15" t="s">
        <v>2515</v>
      </c>
      <c r="C1007" s="15" t="s">
        <v>11</v>
      </c>
      <c r="D1007" s="15" t="s">
        <v>21</v>
      </c>
      <c r="E1007" s="8">
        <v>45729</v>
      </c>
      <c r="F1007" s="16" t="s">
        <v>12</v>
      </c>
      <c r="G1007" s="16" t="s">
        <v>4</v>
      </c>
      <c r="H1007" s="8"/>
      <c r="I1007" s="16"/>
      <c r="J1007" t="b">
        <v>0</v>
      </c>
      <c r="K1007" s="15" t="s">
        <v>2516</v>
      </c>
      <c r="L1007" s="15" t="str">
        <f>HYPERLINK("https://uk1.aconex.co.uk/hub/index.html?mainTarget=%2FSearchControlledDoc%3FSEARCH_ACTION%3D15%26tab%3D0%26searchMode%3D1%26searchQuery%3Ddocno:%22"&amp;RawData[[#This Row],[Document Number]]&amp;"%22%20%2Bcversion%253A1",RawData[[#This Row],[Document Number]])</f>
        <v>FS1018-PIN-ZZ-02-D-O-1014</v>
      </c>
    </row>
    <row r="1008" spans="1:12" ht="43.2" x14ac:dyDescent="0.3">
      <c r="A1008" s="15" t="s">
        <v>2517</v>
      </c>
      <c r="B1008" s="15" t="s">
        <v>2518</v>
      </c>
      <c r="C1008" s="15" t="s">
        <v>14</v>
      </c>
      <c r="D1008" s="15" t="s">
        <v>20</v>
      </c>
      <c r="E1008" s="8">
        <v>45533</v>
      </c>
      <c r="F1008" s="16" t="s">
        <v>2059</v>
      </c>
      <c r="G1008" s="16" t="s">
        <v>40</v>
      </c>
      <c r="H1008" s="8">
        <v>45669</v>
      </c>
      <c r="I1008" s="16" t="s">
        <v>71</v>
      </c>
      <c r="J1008" t="b">
        <v>0</v>
      </c>
      <c r="K1008" s="15" t="s">
        <v>2519</v>
      </c>
      <c r="L1008" s="15" t="str">
        <f>HYPERLINK("https://uk1.aconex.co.uk/hub/index.html?mainTarget=%2FSearchControlledDoc%3FSEARCH_ACTION%3D15%26tab%3D0%26searchMode%3D1%26searchQuery%3Ddocno:%22"&amp;RawData[[#This Row],[Document Number]]&amp;"%22%20%2Bcversion%253A1",RawData[[#This Row],[Document Number]])</f>
        <v>FS1018-PIN-ZZ-02-D-O-1015</v>
      </c>
    </row>
    <row r="1009" spans="1:12" x14ac:dyDescent="0.3">
      <c r="A1009" s="15" t="s">
        <v>2517</v>
      </c>
      <c r="B1009" s="15" t="s">
        <v>2520</v>
      </c>
      <c r="C1009" s="15" t="s">
        <v>11</v>
      </c>
      <c r="D1009" s="15" t="s">
        <v>21</v>
      </c>
      <c r="E1009" s="8">
        <v>45729</v>
      </c>
      <c r="F1009" s="16" t="s">
        <v>12</v>
      </c>
      <c r="G1009" s="16" t="s">
        <v>4</v>
      </c>
      <c r="H1009" s="8"/>
      <c r="I1009" s="16"/>
      <c r="J1009" t="b">
        <v>0</v>
      </c>
      <c r="K1009" s="15" t="s">
        <v>2521</v>
      </c>
      <c r="L1009" s="15" t="str">
        <f>HYPERLINK("https://uk1.aconex.co.uk/hub/index.html?mainTarget=%2FSearchControlledDoc%3FSEARCH_ACTION%3D15%26tab%3D0%26searchMode%3D1%26searchQuery%3Ddocno:%22"&amp;RawData[[#This Row],[Document Number]]&amp;"%22%20%2Bcversion%253A1",RawData[[#This Row],[Document Number]])</f>
        <v>FS1018-PIN-ZZ-02-D-O-1015</v>
      </c>
    </row>
    <row r="1010" spans="1:12" ht="43.2" x14ac:dyDescent="0.3">
      <c r="A1010" s="15" t="s">
        <v>2522</v>
      </c>
      <c r="B1010" s="15" t="s">
        <v>2523</v>
      </c>
      <c r="C1010" s="15" t="s">
        <v>14</v>
      </c>
      <c r="D1010" s="15" t="s">
        <v>20</v>
      </c>
      <c r="E1010" s="8">
        <v>45533</v>
      </c>
      <c r="F1010" s="16" t="s">
        <v>2059</v>
      </c>
      <c r="G1010" s="16" t="s">
        <v>40</v>
      </c>
      <c r="H1010" s="8">
        <v>45669</v>
      </c>
      <c r="I1010" s="16" t="s">
        <v>71</v>
      </c>
      <c r="J1010" t="b">
        <v>0</v>
      </c>
      <c r="K1010" s="15" t="s">
        <v>2524</v>
      </c>
      <c r="L1010" s="15" t="str">
        <f>HYPERLINK("https://uk1.aconex.co.uk/hub/index.html?mainTarget=%2FSearchControlledDoc%3FSEARCH_ACTION%3D15%26tab%3D0%26searchMode%3D1%26searchQuery%3Ddocno:%22"&amp;RawData[[#This Row],[Document Number]]&amp;"%22%20%2Bcversion%253A1",RawData[[#This Row],[Document Number]])</f>
        <v>FS1018-PIN-ZZ-02-D-O-1016</v>
      </c>
    </row>
    <row r="1011" spans="1:12" x14ac:dyDescent="0.3">
      <c r="A1011" s="15" t="s">
        <v>2522</v>
      </c>
      <c r="B1011" s="15" t="s">
        <v>2525</v>
      </c>
      <c r="C1011" s="15" t="s">
        <v>583</v>
      </c>
      <c r="D1011" s="15" t="s">
        <v>21</v>
      </c>
      <c r="E1011" s="8">
        <v>45729</v>
      </c>
      <c r="F1011" s="16" t="s">
        <v>12</v>
      </c>
      <c r="G1011" s="16" t="s">
        <v>4</v>
      </c>
      <c r="H1011" s="8"/>
      <c r="I1011" s="16"/>
      <c r="J1011" t="b">
        <v>0</v>
      </c>
      <c r="K1011" s="15" t="s">
        <v>2526</v>
      </c>
      <c r="L1011" s="15" t="str">
        <f>HYPERLINK("https://uk1.aconex.co.uk/hub/index.html?mainTarget=%2FSearchControlledDoc%3FSEARCH_ACTION%3D15%26tab%3D0%26searchMode%3D1%26searchQuery%3Ddocno:%22"&amp;RawData[[#This Row],[Document Number]]&amp;"%22%20%2Bcversion%253A1",RawData[[#This Row],[Document Number]])</f>
        <v>FS1018-PIN-ZZ-02-D-O-1016</v>
      </c>
    </row>
    <row r="1012" spans="1:12" ht="43.2" x14ac:dyDescent="0.3">
      <c r="A1012" s="15" t="s">
        <v>2527</v>
      </c>
      <c r="B1012" s="15" t="s">
        <v>2528</v>
      </c>
      <c r="C1012" s="15" t="s">
        <v>14</v>
      </c>
      <c r="D1012" s="15" t="s">
        <v>20</v>
      </c>
      <c r="E1012" s="8">
        <v>45533</v>
      </c>
      <c r="F1012" s="16" t="s">
        <v>2059</v>
      </c>
      <c r="G1012" s="16" t="s">
        <v>40</v>
      </c>
      <c r="H1012" s="8">
        <v>45669</v>
      </c>
      <c r="I1012" s="16" t="s">
        <v>71</v>
      </c>
      <c r="J1012" t="b">
        <v>0</v>
      </c>
      <c r="K1012" s="15" t="s">
        <v>2529</v>
      </c>
      <c r="L1012" s="15" t="str">
        <f>HYPERLINK("https://uk1.aconex.co.uk/hub/index.html?mainTarget=%2FSearchControlledDoc%3FSEARCH_ACTION%3D15%26tab%3D0%26searchMode%3D1%26searchQuery%3Ddocno:%22"&amp;RawData[[#This Row],[Document Number]]&amp;"%22%20%2Bcversion%253A1",RawData[[#This Row],[Document Number]])</f>
        <v>FS1018-PIN-ZZ-02-D-O-1042</v>
      </c>
    </row>
    <row r="1013" spans="1:12" x14ac:dyDescent="0.3">
      <c r="A1013" s="15" t="s">
        <v>2527</v>
      </c>
      <c r="B1013" s="15" t="s">
        <v>2530</v>
      </c>
      <c r="C1013" s="15" t="s">
        <v>11</v>
      </c>
      <c r="D1013" s="15" t="s">
        <v>21</v>
      </c>
      <c r="E1013" s="8">
        <v>45729</v>
      </c>
      <c r="F1013" s="16" t="s">
        <v>12</v>
      </c>
      <c r="G1013" s="16" t="s">
        <v>4</v>
      </c>
      <c r="H1013" s="8"/>
      <c r="I1013" s="16"/>
      <c r="J1013" t="b">
        <v>0</v>
      </c>
      <c r="K1013" s="15" t="s">
        <v>2531</v>
      </c>
      <c r="L1013" s="15" t="str">
        <f>HYPERLINK("https://uk1.aconex.co.uk/hub/index.html?mainTarget=%2FSearchControlledDoc%3FSEARCH_ACTION%3D15%26tab%3D0%26searchMode%3D1%26searchQuery%3Ddocno:%22"&amp;RawData[[#This Row],[Document Number]]&amp;"%22%20%2Bcversion%253A1",RawData[[#This Row],[Document Number]])</f>
        <v>FS1018-PIN-ZZ-02-D-O-1042</v>
      </c>
    </row>
    <row r="1014" spans="1:12" ht="43.2" x14ac:dyDescent="0.3">
      <c r="A1014" s="15" t="s">
        <v>2532</v>
      </c>
      <c r="B1014" s="15" t="s">
        <v>2533</v>
      </c>
      <c r="C1014" s="15" t="s">
        <v>11</v>
      </c>
      <c r="D1014" s="15" t="s">
        <v>20</v>
      </c>
      <c r="E1014" s="8">
        <v>45533</v>
      </c>
      <c r="F1014" s="16" t="s">
        <v>2059</v>
      </c>
      <c r="G1014" s="16" t="s">
        <v>40</v>
      </c>
      <c r="H1014" s="8">
        <v>45669</v>
      </c>
      <c r="I1014" s="16" t="s">
        <v>71</v>
      </c>
      <c r="J1014" t="b">
        <v>0</v>
      </c>
      <c r="K1014" s="15" t="s">
        <v>2534</v>
      </c>
      <c r="L1014" s="15" t="str">
        <f>HYPERLINK("https://uk1.aconex.co.uk/hub/index.html?mainTarget=%2FSearchControlledDoc%3FSEARCH_ACTION%3D15%26tab%3D0%26searchMode%3D1%26searchQuery%3Ddocno:%22"&amp;RawData[[#This Row],[Document Number]]&amp;"%22%20%2Bcversion%253A1",RawData[[#This Row],[Document Number]])</f>
        <v>FS1018-PIN-ZZ-02-D-O-1103</v>
      </c>
    </row>
    <row r="1015" spans="1:12" x14ac:dyDescent="0.3">
      <c r="A1015" s="15" t="s">
        <v>2532</v>
      </c>
      <c r="B1015" s="15" t="s">
        <v>2535</v>
      </c>
      <c r="C1015" s="15" t="s">
        <v>1155</v>
      </c>
      <c r="D1015" s="15" t="s">
        <v>21</v>
      </c>
      <c r="E1015" s="8">
        <v>45729</v>
      </c>
      <c r="F1015" s="16" t="s">
        <v>12</v>
      </c>
      <c r="G1015" s="16" t="s">
        <v>4</v>
      </c>
      <c r="H1015" s="8"/>
      <c r="I1015" s="16"/>
      <c r="J1015" t="b">
        <v>0</v>
      </c>
      <c r="K1015" s="15" t="s">
        <v>2536</v>
      </c>
      <c r="L1015" s="15" t="str">
        <f>HYPERLINK("https://uk1.aconex.co.uk/hub/index.html?mainTarget=%2FSearchControlledDoc%3FSEARCH_ACTION%3D15%26tab%3D0%26searchMode%3D1%26searchQuery%3Ddocno:%22"&amp;RawData[[#This Row],[Document Number]]&amp;"%22%20%2Bcversion%253A1",RawData[[#This Row],[Document Number]])</f>
        <v>FS1018-PIN-ZZ-02-D-O-1103</v>
      </c>
    </row>
    <row r="1016" spans="1:12" ht="43.2" x14ac:dyDescent="0.3">
      <c r="A1016" s="15" t="s">
        <v>2537</v>
      </c>
      <c r="B1016" s="15" t="s">
        <v>2538</v>
      </c>
      <c r="C1016" s="15" t="s">
        <v>14</v>
      </c>
      <c r="D1016" s="15" t="s">
        <v>20</v>
      </c>
      <c r="E1016" s="8">
        <v>45533</v>
      </c>
      <c r="F1016" s="16" t="s">
        <v>2059</v>
      </c>
      <c r="G1016" s="16" t="s">
        <v>40</v>
      </c>
      <c r="H1016" s="8">
        <v>45669</v>
      </c>
      <c r="I1016" s="16" t="s">
        <v>71</v>
      </c>
      <c r="J1016" t="b">
        <v>0</v>
      </c>
      <c r="K1016" s="15" t="s">
        <v>2539</v>
      </c>
      <c r="L1016" s="15" t="str">
        <f>HYPERLINK("https://uk1.aconex.co.uk/hub/index.html?mainTarget=%2FSearchControlledDoc%3FSEARCH_ACTION%3D15%26tab%3D0%26searchMode%3D1%26searchQuery%3Ddocno:%22"&amp;RawData[[#This Row],[Document Number]]&amp;"%22%20%2Bcversion%253A1",RawData[[#This Row],[Document Number]])</f>
        <v>FS1018-PIN-ZZ-02-D-O-1104</v>
      </c>
    </row>
    <row r="1017" spans="1:12" x14ac:dyDescent="0.3">
      <c r="A1017" s="15" t="s">
        <v>2537</v>
      </c>
      <c r="B1017" s="15" t="s">
        <v>2540</v>
      </c>
      <c r="C1017" s="15" t="s">
        <v>11</v>
      </c>
      <c r="D1017" s="15" t="s">
        <v>21</v>
      </c>
      <c r="E1017" s="8">
        <v>45729</v>
      </c>
      <c r="F1017" s="16" t="s">
        <v>12</v>
      </c>
      <c r="G1017" s="16" t="s">
        <v>4</v>
      </c>
      <c r="H1017" s="8"/>
      <c r="I1017" s="16"/>
      <c r="J1017" t="b">
        <v>0</v>
      </c>
      <c r="K1017" s="15" t="s">
        <v>2541</v>
      </c>
      <c r="L1017" s="15" t="str">
        <f>HYPERLINK("https://uk1.aconex.co.uk/hub/index.html?mainTarget=%2FSearchControlledDoc%3FSEARCH_ACTION%3D15%26tab%3D0%26searchMode%3D1%26searchQuery%3Ddocno:%22"&amp;RawData[[#This Row],[Document Number]]&amp;"%22%20%2Bcversion%253A1",RawData[[#This Row],[Document Number]])</f>
        <v>FS1018-PIN-ZZ-02-D-O-1104</v>
      </c>
    </row>
    <row r="1018" spans="1:12" ht="43.2" x14ac:dyDescent="0.3">
      <c r="A1018" s="15" t="s">
        <v>2542</v>
      </c>
      <c r="B1018" s="15" t="s">
        <v>2543</v>
      </c>
      <c r="C1018" s="15" t="s">
        <v>14</v>
      </c>
      <c r="D1018" s="15" t="s">
        <v>20</v>
      </c>
      <c r="E1018" s="8">
        <v>45533</v>
      </c>
      <c r="F1018" s="16" t="s">
        <v>2059</v>
      </c>
      <c r="G1018" s="16" t="s">
        <v>40</v>
      </c>
      <c r="H1018" s="8">
        <v>45669</v>
      </c>
      <c r="I1018" s="16" t="s">
        <v>71</v>
      </c>
      <c r="J1018" t="b">
        <v>0</v>
      </c>
      <c r="K1018" s="15" t="s">
        <v>2544</v>
      </c>
      <c r="L1018" s="15" t="str">
        <f>HYPERLINK("https://uk1.aconex.co.uk/hub/index.html?mainTarget=%2FSearchControlledDoc%3FSEARCH_ACTION%3D15%26tab%3D0%26searchMode%3D1%26searchQuery%3Ddocno:%22"&amp;RawData[[#This Row],[Document Number]]&amp;"%22%20%2Bcversion%253A1",RawData[[#This Row],[Document Number]])</f>
        <v>FS1018-PIN-ZZ-02-D-O-1105</v>
      </c>
    </row>
    <row r="1019" spans="1:12" x14ac:dyDescent="0.3">
      <c r="A1019" s="15" t="s">
        <v>2542</v>
      </c>
      <c r="B1019" s="15" t="s">
        <v>2545</v>
      </c>
      <c r="C1019" s="15" t="s">
        <v>11</v>
      </c>
      <c r="D1019" s="15" t="s">
        <v>21</v>
      </c>
      <c r="E1019" s="8">
        <v>45729</v>
      </c>
      <c r="F1019" s="16" t="s">
        <v>12</v>
      </c>
      <c r="G1019" s="16" t="s">
        <v>4</v>
      </c>
      <c r="H1019" s="8"/>
      <c r="I1019" s="16"/>
      <c r="J1019" t="b">
        <v>0</v>
      </c>
      <c r="K1019" s="15" t="s">
        <v>2546</v>
      </c>
      <c r="L1019" s="15" t="str">
        <f>HYPERLINK("https://uk1.aconex.co.uk/hub/index.html?mainTarget=%2FSearchControlledDoc%3FSEARCH_ACTION%3D15%26tab%3D0%26searchMode%3D1%26searchQuery%3Ddocno:%22"&amp;RawData[[#This Row],[Document Number]]&amp;"%22%20%2Bcversion%253A1",RawData[[#This Row],[Document Number]])</f>
        <v>FS1018-PIN-ZZ-02-D-O-1105</v>
      </c>
    </row>
    <row r="1020" spans="1:12" ht="43.2" x14ac:dyDescent="0.3">
      <c r="A1020" s="15" t="s">
        <v>2547</v>
      </c>
      <c r="B1020" s="15" t="s">
        <v>2548</v>
      </c>
      <c r="C1020" s="15" t="s">
        <v>14</v>
      </c>
      <c r="D1020" s="15" t="s">
        <v>20</v>
      </c>
      <c r="E1020" s="8">
        <v>45175</v>
      </c>
      <c r="F1020" s="16" t="s">
        <v>2059</v>
      </c>
      <c r="G1020" s="16" t="s">
        <v>40</v>
      </c>
      <c r="H1020" s="8">
        <v>45190</v>
      </c>
      <c r="I1020" s="16" t="s">
        <v>2067</v>
      </c>
      <c r="J1020" t="b">
        <v>0</v>
      </c>
      <c r="K1020" s="15" t="s">
        <v>2549</v>
      </c>
      <c r="L1020" s="15" t="str">
        <f>HYPERLINK("https://uk1.aconex.co.uk/hub/index.html?mainTarget=%2FSearchControlledDoc%3FSEARCH_ACTION%3D15%26tab%3D0%26searchMode%3D1%26searchQuery%3Ddocno:%22"&amp;RawData[[#This Row],[Document Number]]&amp;"%22%20%2Bcversion%253A1",RawData[[#This Row],[Document Number]])</f>
        <v>FS1018-PIN-ZZ-02-D-O-1106</v>
      </c>
    </row>
    <row r="1021" spans="1:12" ht="43.2" x14ac:dyDescent="0.3">
      <c r="A1021" s="15" t="s">
        <v>2547</v>
      </c>
      <c r="B1021" s="15" t="s">
        <v>2550</v>
      </c>
      <c r="C1021" s="15" t="s">
        <v>10</v>
      </c>
      <c r="D1021" s="15" t="s">
        <v>20</v>
      </c>
      <c r="E1021" s="8">
        <v>45533</v>
      </c>
      <c r="F1021" s="16" t="s">
        <v>2059</v>
      </c>
      <c r="G1021" s="16" t="s">
        <v>40</v>
      </c>
      <c r="H1021" s="8">
        <v>45669</v>
      </c>
      <c r="I1021" s="16" t="s">
        <v>71</v>
      </c>
      <c r="J1021" t="b">
        <v>1</v>
      </c>
      <c r="K1021" s="15" t="s">
        <v>2551</v>
      </c>
      <c r="L1021" s="15" t="str">
        <f>HYPERLINK("https://uk1.aconex.co.uk/hub/index.html?mainTarget=%2FSearchControlledDoc%3FSEARCH_ACTION%3D15%26tab%3D0%26searchMode%3D1%26searchQuery%3Ddocno:%22"&amp;RawData[[#This Row],[Document Number]]&amp;"%22%20%2Bcversion%253A1",RawData[[#This Row],[Document Number]])</f>
        <v>FS1018-PIN-ZZ-02-D-O-1106</v>
      </c>
    </row>
    <row r="1022" spans="1:12" x14ac:dyDescent="0.3">
      <c r="A1022" s="15" t="s">
        <v>2547</v>
      </c>
      <c r="B1022" s="15" t="s">
        <v>2552</v>
      </c>
      <c r="C1022" s="15" t="s">
        <v>583</v>
      </c>
      <c r="D1022" s="15" t="s">
        <v>21</v>
      </c>
      <c r="E1022" s="8">
        <v>45729</v>
      </c>
      <c r="F1022" s="16" t="s">
        <v>12</v>
      </c>
      <c r="G1022" s="16" t="s">
        <v>4</v>
      </c>
      <c r="H1022" s="8"/>
      <c r="I1022" s="16"/>
      <c r="J1022" t="b">
        <v>0</v>
      </c>
      <c r="K1022" s="15" t="s">
        <v>2553</v>
      </c>
      <c r="L1022" s="15" t="str">
        <f>HYPERLINK("https://uk1.aconex.co.uk/hub/index.html?mainTarget=%2FSearchControlledDoc%3FSEARCH_ACTION%3D15%26tab%3D0%26searchMode%3D1%26searchQuery%3Ddocno:%22"&amp;RawData[[#This Row],[Document Number]]&amp;"%22%20%2Bcversion%253A1",RawData[[#This Row],[Document Number]])</f>
        <v>FS1018-PIN-ZZ-02-D-O-1106</v>
      </c>
    </row>
    <row r="1023" spans="1:12" ht="43.2" x14ac:dyDescent="0.3">
      <c r="A1023" s="15" t="s">
        <v>2554</v>
      </c>
      <c r="B1023" s="15" t="s">
        <v>2555</v>
      </c>
      <c r="C1023" s="15" t="s">
        <v>14</v>
      </c>
      <c r="D1023" s="15" t="s">
        <v>20</v>
      </c>
      <c r="E1023" s="8">
        <v>45533</v>
      </c>
      <c r="F1023" s="16" t="s">
        <v>2059</v>
      </c>
      <c r="G1023" s="16" t="s">
        <v>40</v>
      </c>
      <c r="H1023" s="8">
        <v>45669</v>
      </c>
      <c r="I1023" s="16" t="s">
        <v>71</v>
      </c>
      <c r="J1023" t="b">
        <v>0</v>
      </c>
      <c r="K1023" s="15" t="s">
        <v>2556</v>
      </c>
      <c r="L1023" s="15" t="str">
        <f>HYPERLINK("https://uk1.aconex.co.uk/hub/index.html?mainTarget=%2FSearchControlledDoc%3FSEARCH_ACTION%3D15%26tab%3D0%26searchMode%3D1%26searchQuery%3Ddocno:%22"&amp;RawData[[#This Row],[Document Number]]&amp;"%22%20%2Bcversion%253A1",RawData[[#This Row],[Document Number]])</f>
        <v>FS1018-PIN-ZZ-02-D-O-1107</v>
      </c>
    </row>
    <row r="1024" spans="1:12" x14ac:dyDescent="0.3">
      <c r="A1024" s="15" t="s">
        <v>2554</v>
      </c>
      <c r="B1024" s="15" t="s">
        <v>2557</v>
      </c>
      <c r="C1024" s="15" t="s">
        <v>11</v>
      </c>
      <c r="D1024" s="15" t="s">
        <v>21</v>
      </c>
      <c r="E1024" s="8">
        <v>45729</v>
      </c>
      <c r="F1024" s="16" t="s">
        <v>12</v>
      </c>
      <c r="G1024" s="16" t="s">
        <v>4</v>
      </c>
      <c r="H1024" s="8"/>
      <c r="I1024" s="16"/>
      <c r="J1024" t="b">
        <v>0</v>
      </c>
      <c r="K1024" s="15" t="s">
        <v>2558</v>
      </c>
      <c r="L1024" s="15" t="str">
        <f>HYPERLINK("https://uk1.aconex.co.uk/hub/index.html?mainTarget=%2FSearchControlledDoc%3FSEARCH_ACTION%3D15%26tab%3D0%26searchMode%3D1%26searchQuery%3Ddocno:%22"&amp;RawData[[#This Row],[Document Number]]&amp;"%22%20%2Bcversion%253A1",RawData[[#This Row],[Document Number]])</f>
        <v>FS1018-PIN-ZZ-02-D-O-1107</v>
      </c>
    </row>
    <row r="1025" spans="1:12" ht="43.2" x14ac:dyDescent="0.3">
      <c r="A1025" s="15" t="s">
        <v>2559</v>
      </c>
      <c r="B1025" s="15" t="s">
        <v>2560</v>
      </c>
      <c r="C1025" s="15" t="s">
        <v>14</v>
      </c>
      <c r="D1025" s="15" t="s">
        <v>20</v>
      </c>
      <c r="E1025" s="8">
        <v>45175</v>
      </c>
      <c r="F1025" s="16" t="s">
        <v>2059</v>
      </c>
      <c r="G1025" s="16" t="s">
        <v>40</v>
      </c>
      <c r="H1025" s="8">
        <v>45190</v>
      </c>
      <c r="I1025" s="16" t="s">
        <v>2067</v>
      </c>
      <c r="J1025" t="b">
        <v>0</v>
      </c>
      <c r="K1025" s="15" t="s">
        <v>2561</v>
      </c>
      <c r="L1025" s="15" t="str">
        <f>HYPERLINK("https://uk1.aconex.co.uk/hub/index.html?mainTarget=%2FSearchControlledDoc%3FSEARCH_ACTION%3D15%26tab%3D0%26searchMode%3D1%26searchQuery%3Ddocno:%22"&amp;RawData[[#This Row],[Document Number]]&amp;"%22%20%2Bcversion%253A1",RawData[[#This Row],[Document Number]])</f>
        <v>FS1018-PIN-ZZ-02-D-O-2000</v>
      </c>
    </row>
    <row r="1026" spans="1:12" ht="43.2" x14ac:dyDescent="0.3">
      <c r="A1026" s="15" t="s">
        <v>2559</v>
      </c>
      <c r="B1026" s="15" t="s">
        <v>2562</v>
      </c>
      <c r="C1026" s="15" t="s">
        <v>10</v>
      </c>
      <c r="D1026" s="15" t="s">
        <v>20</v>
      </c>
      <c r="E1026" s="8">
        <v>45533</v>
      </c>
      <c r="F1026" s="16" t="s">
        <v>2059</v>
      </c>
      <c r="G1026" s="16" t="s">
        <v>40</v>
      </c>
      <c r="H1026" s="8">
        <v>45669</v>
      </c>
      <c r="I1026" s="16" t="s">
        <v>71</v>
      </c>
      <c r="J1026" t="b">
        <v>1</v>
      </c>
      <c r="K1026" s="15" t="s">
        <v>2563</v>
      </c>
      <c r="L1026" s="15" t="str">
        <f>HYPERLINK("https://uk1.aconex.co.uk/hub/index.html?mainTarget=%2FSearchControlledDoc%3FSEARCH_ACTION%3D15%26tab%3D0%26searchMode%3D1%26searchQuery%3Ddocno:%22"&amp;RawData[[#This Row],[Document Number]]&amp;"%22%20%2Bcversion%253A1",RawData[[#This Row],[Document Number]])</f>
        <v>FS1018-PIN-ZZ-02-D-O-2000</v>
      </c>
    </row>
    <row r="1027" spans="1:12" x14ac:dyDescent="0.3">
      <c r="A1027" s="15" t="s">
        <v>2559</v>
      </c>
      <c r="B1027" s="15" t="s">
        <v>2562</v>
      </c>
      <c r="C1027" s="15" t="s">
        <v>1155</v>
      </c>
      <c r="D1027" s="15" t="s">
        <v>21</v>
      </c>
      <c r="E1027" s="8">
        <v>45729</v>
      </c>
      <c r="F1027" s="16" t="s">
        <v>12</v>
      </c>
      <c r="G1027" s="16" t="s">
        <v>4</v>
      </c>
      <c r="H1027" s="8"/>
      <c r="I1027" s="16"/>
      <c r="J1027" t="b">
        <v>0</v>
      </c>
      <c r="K1027" s="15" t="s">
        <v>2563</v>
      </c>
      <c r="L1027" s="15" t="str">
        <f>HYPERLINK("https://uk1.aconex.co.uk/hub/index.html?mainTarget=%2FSearchControlledDoc%3FSEARCH_ACTION%3D15%26tab%3D0%26searchMode%3D1%26searchQuery%3Ddocno:%22"&amp;RawData[[#This Row],[Document Number]]&amp;"%22%20%2Bcversion%253A1",RawData[[#This Row],[Document Number]])</f>
        <v>FS1018-PIN-ZZ-02-D-O-2000</v>
      </c>
    </row>
    <row r="1028" spans="1:12" ht="43.2" x14ac:dyDescent="0.3">
      <c r="A1028" s="15" t="s">
        <v>2564</v>
      </c>
      <c r="B1028" s="15" t="s">
        <v>2565</v>
      </c>
      <c r="C1028" s="15" t="s">
        <v>14</v>
      </c>
      <c r="D1028" s="15" t="s">
        <v>20</v>
      </c>
      <c r="E1028" s="8">
        <v>45533</v>
      </c>
      <c r="F1028" s="16" t="s">
        <v>2059</v>
      </c>
      <c r="G1028" s="16" t="s">
        <v>40</v>
      </c>
      <c r="H1028" s="8">
        <v>45669</v>
      </c>
      <c r="I1028" s="16" t="s">
        <v>71</v>
      </c>
      <c r="J1028" t="b">
        <v>0</v>
      </c>
      <c r="K1028" s="15" t="s">
        <v>2566</v>
      </c>
      <c r="L1028" s="15" t="str">
        <f>HYPERLINK("https://uk1.aconex.co.uk/hub/index.html?mainTarget=%2FSearchControlledDoc%3FSEARCH_ACTION%3D15%26tab%3D0%26searchMode%3D1%26searchQuery%3Ddocno:%22"&amp;RawData[[#This Row],[Document Number]]&amp;"%22%20%2Bcversion%253A1",RawData[[#This Row],[Document Number]])</f>
        <v>FS1018-PIN-ZZ-02-D-O-2042</v>
      </c>
    </row>
    <row r="1029" spans="1:12" x14ac:dyDescent="0.3">
      <c r="A1029" s="15" t="s">
        <v>2564</v>
      </c>
      <c r="B1029" s="15" t="s">
        <v>2567</v>
      </c>
      <c r="C1029" s="15" t="s">
        <v>11</v>
      </c>
      <c r="D1029" s="15" t="s">
        <v>21</v>
      </c>
      <c r="E1029" s="8">
        <v>45729</v>
      </c>
      <c r="F1029" s="16" t="s">
        <v>12</v>
      </c>
      <c r="G1029" s="16" t="s">
        <v>4</v>
      </c>
      <c r="H1029" s="8"/>
      <c r="I1029" s="16"/>
      <c r="J1029" t="b">
        <v>0</v>
      </c>
      <c r="K1029" s="15" t="s">
        <v>2568</v>
      </c>
      <c r="L1029" s="15" t="str">
        <f>HYPERLINK("https://uk1.aconex.co.uk/hub/index.html?mainTarget=%2FSearchControlledDoc%3FSEARCH_ACTION%3D15%26tab%3D0%26searchMode%3D1%26searchQuery%3Ddocno:%22"&amp;RawData[[#This Row],[Document Number]]&amp;"%22%20%2Bcversion%253A1",RawData[[#This Row],[Document Number]])</f>
        <v>FS1018-PIN-ZZ-02-D-O-2042</v>
      </c>
    </row>
    <row r="1030" spans="1:12" ht="43.2" x14ac:dyDescent="0.3">
      <c r="A1030" s="15" t="s">
        <v>2569</v>
      </c>
      <c r="B1030" s="15" t="s">
        <v>2570</v>
      </c>
      <c r="C1030" s="15" t="s">
        <v>14</v>
      </c>
      <c r="D1030" s="15" t="s">
        <v>20</v>
      </c>
      <c r="E1030" s="8">
        <v>45533</v>
      </c>
      <c r="F1030" s="16" t="s">
        <v>2059</v>
      </c>
      <c r="G1030" s="16" t="s">
        <v>40</v>
      </c>
      <c r="H1030" s="8">
        <v>45669</v>
      </c>
      <c r="I1030" s="16" t="s">
        <v>71</v>
      </c>
      <c r="J1030" t="b">
        <v>0</v>
      </c>
      <c r="K1030" s="15" t="s">
        <v>2571</v>
      </c>
      <c r="L1030" s="15" t="str">
        <f>HYPERLINK("https://uk1.aconex.co.uk/hub/index.html?mainTarget=%2FSearchControlledDoc%3FSEARCH_ACTION%3D15%26tab%3D0%26searchMode%3D1%26searchQuery%3Ddocno:%22"&amp;RawData[[#This Row],[Document Number]]&amp;"%22%20%2Bcversion%253A1",RawData[[#This Row],[Document Number]])</f>
        <v>FS1018-PIN-ZZ-02-D-O-3008</v>
      </c>
    </row>
    <row r="1031" spans="1:12" x14ac:dyDescent="0.3">
      <c r="A1031" s="15" t="s">
        <v>2569</v>
      </c>
      <c r="B1031" s="15" t="s">
        <v>2572</v>
      </c>
      <c r="C1031" s="15" t="s">
        <v>10</v>
      </c>
      <c r="D1031" s="15" t="s">
        <v>21</v>
      </c>
      <c r="E1031" s="8">
        <v>45729</v>
      </c>
      <c r="F1031" s="16" t="s">
        <v>12</v>
      </c>
      <c r="G1031" s="16" t="s">
        <v>4</v>
      </c>
      <c r="H1031" s="8"/>
      <c r="I1031" s="16"/>
      <c r="J1031" t="b">
        <v>1</v>
      </c>
      <c r="K1031" s="15" t="s">
        <v>2573</v>
      </c>
      <c r="L1031" s="15" t="str">
        <f>HYPERLINK("https://uk1.aconex.co.uk/hub/index.html?mainTarget=%2FSearchControlledDoc%3FSEARCH_ACTION%3D15%26tab%3D0%26searchMode%3D1%26searchQuery%3Ddocno:%22"&amp;RawData[[#This Row],[Document Number]]&amp;"%22%20%2Bcversion%253A1",RawData[[#This Row],[Document Number]])</f>
        <v>FS1018-PIN-ZZ-02-D-O-3008</v>
      </c>
    </row>
    <row r="1032" spans="1:12" ht="43.2" x14ac:dyDescent="0.3">
      <c r="A1032" s="15" t="s">
        <v>2574</v>
      </c>
      <c r="B1032" s="15" t="s">
        <v>2575</v>
      </c>
      <c r="C1032" s="15" t="s">
        <v>14</v>
      </c>
      <c r="D1032" s="15" t="s">
        <v>20</v>
      </c>
      <c r="E1032" s="8">
        <v>45533</v>
      </c>
      <c r="F1032" s="16" t="s">
        <v>2059</v>
      </c>
      <c r="G1032" s="16" t="s">
        <v>40</v>
      </c>
      <c r="H1032" s="8">
        <v>45669</v>
      </c>
      <c r="I1032" s="16" t="s">
        <v>71</v>
      </c>
      <c r="J1032" t="b">
        <v>0</v>
      </c>
      <c r="K1032" s="15" t="s">
        <v>2576</v>
      </c>
      <c r="L1032" s="15" t="str">
        <f>HYPERLINK("https://uk1.aconex.co.uk/hub/index.html?mainTarget=%2FSearchControlledDoc%3FSEARCH_ACTION%3D15%26tab%3D0%26searchMode%3D1%26searchQuery%3Ddocno:%22"&amp;RawData[[#This Row],[Document Number]]&amp;"%22%20%2Bcversion%253A1",RawData[[#This Row],[Document Number]])</f>
        <v>FS1018-PIN-ZZ-02-D-O-3042</v>
      </c>
    </row>
    <row r="1033" spans="1:12" x14ac:dyDescent="0.3">
      <c r="A1033" s="15" t="s">
        <v>2574</v>
      </c>
      <c r="B1033" s="15" t="s">
        <v>2577</v>
      </c>
      <c r="C1033" s="15" t="s">
        <v>11</v>
      </c>
      <c r="D1033" s="15" t="s">
        <v>21</v>
      </c>
      <c r="E1033" s="8">
        <v>45729</v>
      </c>
      <c r="F1033" s="16" t="s">
        <v>12</v>
      </c>
      <c r="G1033" s="16" t="s">
        <v>4</v>
      </c>
      <c r="H1033" s="8"/>
      <c r="I1033" s="16"/>
      <c r="J1033" t="b">
        <v>0</v>
      </c>
      <c r="K1033" s="15" t="s">
        <v>2578</v>
      </c>
      <c r="L1033" s="15" t="str">
        <f>HYPERLINK("https://uk1.aconex.co.uk/hub/index.html?mainTarget=%2FSearchControlledDoc%3FSEARCH_ACTION%3D15%26tab%3D0%26searchMode%3D1%26searchQuery%3Ddocno:%22"&amp;RawData[[#This Row],[Document Number]]&amp;"%22%20%2Bcversion%253A1",RawData[[#This Row],[Document Number]])</f>
        <v>FS1018-PIN-ZZ-02-D-O-3042</v>
      </c>
    </row>
    <row r="1034" spans="1:12" ht="43.2" x14ac:dyDescent="0.3">
      <c r="A1034" s="15" t="s">
        <v>2579</v>
      </c>
      <c r="B1034" s="15" t="s">
        <v>2580</v>
      </c>
      <c r="C1034" s="15" t="s">
        <v>14</v>
      </c>
      <c r="D1034" s="15" t="s">
        <v>20</v>
      </c>
      <c r="E1034" s="8">
        <v>45175</v>
      </c>
      <c r="F1034" s="16" t="s">
        <v>2059</v>
      </c>
      <c r="G1034" s="16" t="s">
        <v>40</v>
      </c>
      <c r="H1034" s="8">
        <v>45190</v>
      </c>
      <c r="I1034" s="16" t="s">
        <v>2067</v>
      </c>
      <c r="J1034" t="b">
        <v>0</v>
      </c>
      <c r="K1034" s="15" t="s">
        <v>2581</v>
      </c>
      <c r="L1034" s="15" t="str">
        <f>HYPERLINK("https://uk1.aconex.co.uk/hub/index.html?mainTarget=%2FSearchControlledDoc%3FSEARCH_ACTION%3D15%26tab%3D0%26searchMode%3D1%26searchQuery%3Ddocno:%22"&amp;RawData[[#This Row],[Document Number]]&amp;"%22%20%2Bcversion%253A1",RawData[[#This Row],[Document Number]])</f>
        <v>FS1018-PIN-ZZ-02-D-O-4001</v>
      </c>
    </row>
    <row r="1035" spans="1:12" ht="43.2" x14ac:dyDescent="0.3">
      <c r="A1035" s="15" t="s">
        <v>2579</v>
      </c>
      <c r="B1035" s="15" t="s">
        <v>2582</v>
      </c>
      <c r="C1035" s="15" t="s">
        <v>10</v>
      </c>
      <c r="D1035" s="15" t="s">
        <v>20</v>
      </c>
      <c r="E1035" s="8">
        <v>45533</v>
      </c>
      <c r="F1035" s="16" t="s">
        <v>2059</v>
      </c>
      <c r="G1035" s="16" t="s">
        <v>40</v>
      </c>
      <c r="H1035" s="8">
        <v>45669</v>
      </c>
      <c r="I1035" s="16" t="s">
        <v>71</v>
      </c>
      <c r="J1035" t="b">
        <v>1</v>
      </c>
      <c r="K1035" s="15" t="s">
        <v>2583</v>
      </c>
      <c r="L1035" s="15" t="str">
        <f>HYPERLINK("https://uk1.aconex.co.uk/hub/index.html?mainTarget=%2FSearchControlledDoc%3FSEARCH_ACTION%3D15%26tab%3D0%26searchMode%3D1%26searchQuery%3Ddocno:%22"&amp;RawData[[#This Row],[Document Number]]&amp;"%22%20%2Bcversion%253A1",RawData[[#This Row],[Document Number]])</f>
        <v>FS1018-PIN-ZZ-02-D-O-4001</v>
      </c>
    </row>
    <row r="1036" spans="1:12" x14ac:dyDescent="0.3">
      <c r="A1036" s="15" t="s">
        <v>2579</v>
      </c>
      <c r="B1036" s="15" t="s">
        <v>2584</v>
      </c>
      <c r="C1036" s="15" t="s">
        <v>1155</v>
      </c>
      <c r="D1036" s="15" t="s">
        <v>21</v>
      </c>
      <c r="E1036" s="8">
        <v>45729</v>
      </c>
      <c r="F1036" s="16" t="s">
        <v>12</v>
      </c>
      <c r="G1036" s="16" t="s">
        <v>4</v>
      </c>
      <c r="H1036" s="8"/>
      <c r="I1036" s="16"/>
      <c r="J1036" t="b">
        <v>0</v>
      </c>
      <c r="K1036" s="15" t="s">
        <v>2585</v>
      </c>
      <c r="L1036" s="15" t="str">
        <f>HYPERLINK("https://uk1.aconex.co.uk/hub/index.html?mainTarget=%2FSearchControlledDoc%3FSEARCH_ACTION%3D15%26tab%3D0%26searchMode%3D1%26searchQuery%3Ddocno:%22"&amp;RawData[[#This Row],[Document Number]]&amp;"%22%20%2Bcversion%253A1",RawData[[#This Row],[Document Number]])</f>
        <v>FS1018-PIN-ZZ-02-D-O-4001</v>
      </c>
    </row>
    <row r="1037" spans="1:12" ht="43.2" x14ac:dyDescent="0.3">
      <c r="A1037" s="15" t="s">
        <v>2586</v>
      </c>
      <c r="B1037" s="15" t="s">
        <v>2587</v>
      </c>
      <c r="C1037" s="15" t="s">
        <v>14</v>
      </c>
      <c r="D1037" s="15" t="s">
        <v>20</v>
      </c>
      <c r="E1037" s="8">
        <v>45533</v>
      </c>
      <c r="F1037" s="16" t="s">
        <v>2059</v>
      </c>
      <c r="G1037" s="16" t="s">
        <v>40</v>
      </c>
      <c r="H1037" s="8">
        <v>45669</v>
      </c>
      <c r="I1037" s="16" t="s">
        <v>71</v>
      </c>
      <c r="J1037" t="b">
        <v>0</v>
      </c>
      <c r="K1037" s="15" t="s">
        <v>2588</v>
      </c>
      <c r="L1037" s="15" t="str">
        <f>HYPERLINK("https://uk1.aconex.co.uk/hub/index.html?mainTarget=%2FSearchControlledDoc%3FSEARCH_ACTION%3D15%26tab%3D0%26searchMode%3D1%26searchQuery%3Ddocno:%22"&amp;RawData[[#This Row],[Document Number]]&amp;"%22%20%2Bcversion%253A1",RawData[[#This Row],[Document Number]])</f>
        <v>FS1018-PIN-ZZ-02-D-O-4011</v>
      </c>
    </row>
    <row r="1038" spans="1:12" ht="43.2" x14ac:dyDescent="0.3">
      <c r="A1038" s="15" t="s">
        <v>2589</v>
      </c>
      <c r="B1038" s="15" t="s">
        <v>2590</v>
      </c>
      <c r="C1038" s="15" t="s">
        <v>14</v>
      </c>
      <c r="D1038" s="15" t="s">
        <v>20</v>
      </c>
      <c r="E1038" s="8">
        <v>45533</v>
      </c>
      <c r="F1038" s="16" t="s">
        <v>2059</v>
      </c>
      <c r="G1038" s="16" t="s">
        <v>40</v>
      </c>
      <c r="H1038" s="8">
        <v>45669</v>
      </c>
      <c r="I1038" s="16" t="s">
        <v>71</v>
      </c>
      <c r="J1038" t="b">
        <v>0</v>
      </c>
      <c r="K1038" s="15" t="s">
        <v>2591</v>
      </c>
      <c r="L1038" s="15" t="str">
        <f>HYPERLINK("https://uk1.aconex.co.uk/hub/index.html?mainTarget=%2FSearchControlledDoc%3FSEARCH_ACTION%3D15%26tab%3D0%26searchMode%3D1%26searchQuery%3Ddocno:%22"&amp;RawData[[#This Row],[Document Number]]&amp;"%22%20%2Bcversion%253A1",RawData[[#This Row],[Document Number]])</f>
        <v>FS1018-PIN-ZZ-02-D-O-4014</v>
      </c>
    </row>
    <row r="1039" spans="1:12" x14ac:dyDescent="0.3">
      <c r="A1039" s="15" t="s">
        <v>2589</v>
      </c>
      <c r="B1039" s="15" t="s">
        <v>2592</v>
      </c>
      <c r="C1039" s="15" t="s">
        <v>10</v>
      </c>
      <c r="D1039" s="15" t="s">
        <v>21</v>
      </c>
      <c r="E1039" s="8">
        <v>45729</v>
      </c>
      <c r="F1039" s="16" t="s">
        <v>12</v>
      </c>
      <c r="G1039" s="16" t="s">
        <v>4</v>
      </c>
      <c r="H1039" s="8"/>
      <c r="I1039" s="16"/>
      <c r="J1039" t="b">
        <v>1</v>
      </c>
      <c r="K1039" s="15" t="s">
        <v>2593</v>
      </c>
      <c r="L1039" s="15" t="str">
        <f>HYPERLINK("https://uk1.aconex.co.uk/hub/index.html?mainTarget=%2FSearchControlledDoc%3FSEARCH_ACTION%3D15%26tab%3D0%26searchMode%3D1%26searchQuery%3Ddocno:%22"&amp;RawData[[#This Row],[Document Number]]&amp;"%22%20%2Bcversion%253A1",RawData[[#This Row],[Document Number]])</f>
        <v>FS1018-PIN-ZZ-02-D-O-4014</v>
      </c>
    </row>
    <row r="1040" spans="1:12" ht="43.2" x14ac:dyDescent="0.3">
      <c r="A1040" s="15" t="s">
        <v>2594</v>
      </c>
      <c r="B1040" s="15" t="s">
        <v>2595</v>
      </c>
      <c r="C1040" s="15" t="s">
        <v>14</v>
      </c>
      <c r="D1040" s="15" t="s">
        <v>20</v>
      </c>
      <c r="E1040" s="8">
        <v>45175</v>
      </c>
      <c r="F1040" s="16" t="s">
        <v>2059</v>
      </c>
      <c r="G1040" s="16" t="s">
        <v>40</v>
      </c>
      <c r="H1040" s="8">
        <v>45190</v>
      </c>
      <c r="I1040" s="16" t="s">
        <v>2067</v>
      </c>
      <c r="J1040" t="b">
        <v>0</v>
      </c>
      <c r="K1040" s="15" t="s">
        <v>2596</v>
      </c>
      <c r="L1040" s="15" t="str">
        <f>HYPERLINK("https://uk1.aconex.co.uk/hub/index.html?mainTarget=%2FSearchControlledDoc%3FSEARCH_ACTION%3D15%26tab%3D0%26searchMode%3D1%26searchQuery%3Ddocno:%22"&amp;RawData[[#This Row],[Document Number]]&amp;"%22%20%2Bcversion%253A1",RawData[[#This Row],[Document Number]])</f>
        <v>FS1018-PIN-ZZ-02-D-O-5004</v>
      </c>
    </row>
    <row r="1041" spans="1:12" ht="43.2" x14ac:dyDescent="0.3">
      <c r="A1041" s="15" t="s">
        <v>2594</v>
      </c>
      <c r="B1041" s="15" t="s">
        <v>2597</v>
      </c>
      <c r="C1041" s="15" t="s">
        <v>10</v>
      </c>
      <c r="D1041" s="15" t="s">
        <v>20</v>
      </c>
      <c r="E1041" s="8">
        <v>45533</v>
      </c>
      <c r="F1041" s="16" t="s">
        <v>2059</v>
      </c>
      <c r="G1041" s="16" t="s">
        <v>40</v>
      </c>
      <c r="H1041" s="8">
        <v>45669</v>
      </c>
      <c r="I1041" s="16" t="s">
        <v>71</v>
      </c>
      <c r="J1041" t="b">
        <v>1</v>
      </c>
      <c r="K1041" s="15" t="s">
        <v>2598</v>
      </c>
      <c r="L1041" s="15" t="str">
        <f>HYPERLINK("https://uk1.aconex.co.uk/hub/index.html?mainTarget=%2FSearchControlledDoc%3FSEARCH_ACTION%3D15%26tab%3D0%26searchMode%3D1%26searchQuery%3Ddocno:%22"&amp;RawData[[#This Row],[Document Number]]&amp;"%22%20%2Bcversion%253A1",RawData[[#This Row],[Document Number]])</f>
        <v>FS1018-PIN-ZZ-02-D-O-5004</v>
      </c>
    </row>
    <row r="1042" spans="1:12" x14ac:dyDescent="0.3">
      <c r="A1042" s="15" t="s">
        <v>2594</v>
      </c>
      <c r="B1042" s="15" t="s">
        <v>2597</v>
      </c>
      <c r="C1042" s="15" t="s">
        <v>11</v>
      </c>
      <c r="D1042" s="15" t="s">
        <v>21</v>
      </c>
      <c r="E1042" s="8">
        <v>45729</v>
      </c>
      <c r="F1042" s="16" t="s">
        <v>12</v>
      </c>
      <c r="G1042" s="16" t="s">
        <v>4</v>
      </c>
      <c r="H1042" s="8"/>
      <c r="I1042" s="16"/>
      <c r="J1042" t="b">
        <v>0</v>
      </c>
      <c r="K1042" s="15" t="s">
        <v>2598</v>
      </c>
      <c r="L1042" s="15" t="str">
        <f>HYPERLINK("https://uk1.aconex.co.uk/hub/index.html?mainTarget=%2FSearchControlledDoc%3FSEARCH_ACTION%3D15%26tab%3D0%26searchMode%3D1%26searchQuery%3Ddocno:%22"&amp;RawData[[#This Row],[Document Number]]&amp;"%22%20%2Bcversion%253A1",RawData[[#This Row],[Document Number]])</f>
        <v>FS1018-PIN-ZZ-02-D-O-5004</v>
      </c>
    </row>
    <row r="1043" spans="1:12" ht="43.2" x14ac:dyDescent="0.3">
      <c r="A1043" s="15" t="s">
        <v>2599</v>
      </c>
      <c r="B1043" s="15" t="s">
        <v>2600</v>
      </c>
      <c r="C1043" s="15" t="s">
        <v>14</v>
      </c>
      <c r="D1043" s="15" t="s">
        <v>20</v>
      </c>
      <c r="E1043" s="8">
        <v>45533</v>
      </c>
      <c r="F1043" s="16" t="s">
        <v>2059</v>
      </c>
      <c r="G1043" s="16" t="s">
        <v>40</v>
      </c>
      <c r="H1043" s="8">
        <v>45669</v>
      </c>
      <c r="I1043" s="16" t="s">
        <v>71</v>
      </c>
      <c r="J1043" t="b">
        <v>0</v>
      </c>
      <c r="K1043" s="15" t="s">
        <v>2601</v>
      </c>
      <c r="L1043" s="15" t="str">
        <f>HYPERLINK("https://uk1.aconex.co.uk/hub/index.html?mainTarget=%2FSearchControlledDoc%3FSEARCH_ACTION%3D15%26tab%3D0%26searchMode%3D1%26searchQuery%3Ddocno:%22"&amp;RawData[[#This Row],[Document Number]]&amp;"%22%20%2Bcversion%253A1",RawData[[#This Row],[Document Number]])</f>
        <v>FS1018-PIN-ZZ-02-D-O-5005</v>
      </c>
    </row>
    <row r="1044" spans="1:12" x14ac:dyDescent="0.3">
      <c r="A1044" s="15" t="s">
        <v>2599</v>
      </c>
      <c r="B1044" s="15" t="s">
        <v>2600</v>
      </c>
      <c r="C1044" s="15" t="s">
        <v>10</v>
      </c>
      <c r="D1044" s="15" t="s">
        <v>21</v>
      </c>
      <c r="E1044" s="8">
        <v>45729</v>
      </c>
      <c r="F1044" s="16" t="s">
        <v>12</v>
      </c>
      <c r="G1044" s="16" t="s">
        <v>4</v>
      </c>
      <c r="H1044" s="8"/>
      <c r="I1044" s="16"/>
      <c r="J1044" t="b">
        <v>1</v>
      </c>
      <c r="K1044" s="15" t="s">
        <v>2601</v>
      </c>
      <c r="L1044" s="15" t="str">
        <f>HYPERLINK("https://uk1.aconex.co.uk/hub/index.html?mainTarget=%2FSearchControlledDoc%3FSEARCH_ACTION%3D15%26tab%3D0%26searchMode%3D1%26searchQuery%3Ddocno:%22"&amp;RawData[[#This Row],[Document Number]]&amp;"%22%20%2Bcversion%253A1",RawData[[#This Row],[Document Number]])</f>
        <v>FS1018-PIN-ZZ-02-D-O-5005</v>
      </c>
    </row>
    <row r="1045" spans="1:12" ht="43.2" x14ac:dyDescent="0.3">
      <c r="A1045" s="15" t="s">
        <v>2602</v>
      </c>
      <c r="B1045" s="15" t="s">
        <v>2603</v>
      </c>
      <c r="C1045" s="15" t="s">
        <v>14</v>
      </c>
      <c r="D1045" s="15" t="s">
        <v>20</v>
      </c>
      <c r="E1045" s="8">
        <v>45533</v>
      </c>
      <c r="F1045" s="16" t="s">
        <v>2059</v>
      </c>
      <c r="G1045" s="16" t="s">
        <v>40</v>
      </c>
      <c r="H1045" s="8">
        <v>45669</v>
      </c>
      <c r="I1045" s="16" t="s">
        <v>71</v>
      </c>
      <c r="J1045" t="b">
        <v>0</v>
      </c>
      <c r="K1045" s="15" t="s">
        <v>2604</v>
      </c>
      <c r="L1045" s="15" t="str">
        <f>HYPERLINK("https://uk1.aconex.co.uk/hub/index.html?mainTarget=%2FSearchControlledDoc%3FSEARCH_ACTION%3D15%26tab%3D0%26searchMode%3D1%26searchQuery%3Ddocno:%22"&amp;RawData[[#This Row],[Document Number]]&amp;"%22%20%2Bcversion%253A1",RawData[[#This Row],[Document Number]])</f>
        <v>FS1018-PIN-ZZ-02-D-O-5020</v>
      </c>
    </row>
    <row r="1046" spans="1:12" x14ac:dyDescent="0.3">
      <c r="A1046" s="15" t="s">
        <v>2602</v>
      </c>
      <c r="B1046" s="15" t="s">
        <v>2605</v>
      </c>
      <c r="C1046" s="15" t="s">
        <v>11</v>
      </c>
      <c r="D1046" s="15" t="s">
        <v>21</v>
      </c>
      <c r="E1046" s="8">
        <v>45729</v>
      </c>
      <c r="F1046" s="16" t="s">
        <v>12</v>
      </c>
      <c r="G1046" s="16" t="s">
        <v>4</v>
      </c>
      <c r="H1046" s="8"/>
      <c r="I1046" s="16"/>
      <c r="J1046" t="b">
        <v>0</v>
      </c>
      <c r="K1046" s="15" t="s">
        <v>2606</v>
      </c>
      <c r="L1046" s="15" t="str">
        <f>HYPERLINK("https://uk1.aconex.co.uk/hub/index.html?mainTarget=%2FSearchControlledDoc%3FSEARCH_ACTION%3D15%26tab%3D0%26searchMode%3D1%26searchQuery%3Ddocno:%22"&amp;RawData[[#This Row],[Document Number]]&amp;"%22%20%2Bcversion%253A1",RawData[[#This Row],[Document Number]])</f>
        <v>FS1018-PIN-ZZ-02-D-O-5020</v>
      </c>
    </row>
    <row r="1047" spans="1:12" ht="43.2" x14ac:dyDescent="0.3">
      <c r="A1047" s="15" t="s">
        <v>2607</v>
      </c>
      <c r="B1047" s="15" t="s">
        <v>2608</v>
      </c>
      <c r="C1047" s="15" t="s">
        <v>14</v>
      </c>
      <c r="D1047" s="15" t="s">
        <v>20</v>
      </c>
      <c r="E1047" s="8">
        <v>45533</v>
      </c>
      <c r="F1047" s="16" t="s">
        <v>2059</v>
      </c>
      <c r="G1047" s="16" t="s">
        <v>40</v>
      </c>
      <c r="H1047" s="8">
        <v>45669</v>
      </c>
      <c r="I1047" s="16" t="s">
        <v>71</v>
      </c>
      <c r="J1047" t="b">
        <v>0</v>
      </c>
      <c r="K1047" s="15" t="s">
        <v>2609</v>
      </c>
      <c r="L1047" s="15" t="str">
        <f>HYPERLINK("https://uk1.aconex.co.uk/hub/index.html?mainTarget=%2FSearchControlledDoc%3FSEARCH_ACTION%3D15%26tab%3D0%26searchMode%3D1%26searchQuery%3Ddocno:%22"&amp;RawData[[#This Row],[Document Number]]&amp;"%22%20%2Bcversion%253A1",RawData[[#This Row],[Document Number]])</f>
        <v>FS1018-PIN-ZZ-02-D-O-5102</v>
      </c>
    </row>
    <row r="1048" spans="1:12" x14ac:dyDescent="0.3">
      <c r="A1048" s="15" t="s">
        <v>2607</v>
      </c>
      <c r="B1048" s="15" t="s">
        <v>2610</v>
      </c>
      <c r="C1048" s="15" t="s">
        <v>10</v>
      </c>
      <c r="D1048" s="15" t="s">
        <v>21</v>
      </c>
      <c r="E1048" s="8">
        <v>45729</v>
      </c>
      <c r="F1048" s="16" t="s">
        <v>12</v>
      </c>
      <c r="G1048" s="16" t="s">
        <v>4</v>
      </c>
      <c r="H1048" s="8"/>
      <c r="I1048" s="16"/>
      <c r="J1048" t="b">
        <v>1</v>
      </c>
      <c r="K1048" s="15" t="s">
        <v>2611</v>
      </c>
      <c r="L1048" s="15" t="str">
        <f>HYPERLINK("https://uk1.aconex.co.uk/hub/index.html?mainTarget=%2FSearchControlledDoc%3FSEARCH_ACTION%3D15%26tab%3D0%26searchMode%3D1%26searchQuery%3Ddocno:%22"&amp;RawData[[#This Row],[Document Number]]&amp;"%22%20%2Bcversion%253A1",RawData[[#This Row],[Document Number]])</f>
        <v>FS1018-PIN-ZZ-02-D-O-5102</v>
      </c>
    </row>
    <row r="1049" spans="1:12" x14ac:dyDescent="0.3">
      <c r="A1049" s="15" t="s">
        <v>2612</v>
      </c>
      <c r="B1049" s="15" t="s">
        <v>2613</v>
      </c>
      <c r="C1049" s="15" t="s">
        <v>10</v>
      </c>
      <c r="D1049" s="15" t="s">
        <v>21</v>
      </c>
      <c r="E1049" s="8">
        <v>45729</v>
      </c>
      <c r="F1049" s="16" t="s">
        <v>12</v>
      </c>
      <c r="G1049" s="16" t="s">
        <v>4</v>
      </c>
      <c r="H1049" s="8"/>
      <c r="I1049" s="16"/>
      <c r="J1049" t="b">
        <v>1</v>
      </c>
      <c r="K1049" s="15" t="s">
        <v>2614</v>
      </c>
      <c r="L1049" s="15" t="str">
        <f>HYPERLINK("https://uk1.aconex.co.uk/hub/index.html?mainTarget=%2FSearchControlledDoc%3FSEARCH_ACTION%3D15%26tab%3D0%26searchMode%3D1%26searchQuery%3Ddocno:%22"&amp;RawData[[#This Row],[Document Number]]&amp;"%22%20%2Bcversion%253A1",RawData[[#This Row],[Document Number]])</f>
        <v>FS1018-PIN-ZZ-02-D-O-5115</v>
      </c>
    </row>
    <row r="1050" spans="1:12" ht="43.2" x14ac:dyDescent="0.3">
      <c r="A1050" s="15" t="s">
        <v>2615</v>
      </c>
      <c r="B1050" s="15" t="s">
        <v>2616</v>
      </c>
      <c r="C1050" s="15" t="s">
        <v>14</v>
      </c>
      <c r="D1050" s="15" t="s">
        <v>20</v>
      </c>
      <c r="E1050" s="8">
        <v>45533</v>
      </c>
      <c r="F1050" s="16" t="s">
        <v>2059</v>
      </c>
      <c r="G1050" s="16" t="s">
        <v>40</v>
      </c>
      <c r="H1050" s="8">
        <v>45669</v>
      </c>
      <c r="I1050" s="16" t="s">
        <v>71</v>
      </c>
      <c r="J1050" t="b">
        <v>0</v>
      </c>
      <c r="K1050" s="15" t="s">
        <v>2617</v>
      </c>
      <c r="L1050" s="15" t="str">
        <f>HYPERLINK("https://uk1.aconex.co.uk/hub/index.html?mainTarget=%2FSearchControlledDoc%3FSEARCH_ACTION%3D15%26tab%3D0%26searchMode%3D1%26searchQuery%3Ddocno:%22"&amp;RawData[[#This Row],[Document Number]]&amp;"%22%20%2Bcversion%253A1",RawData[[#This Row],[Document Number]])</f>
        <v>FS1018-PIN-ZZ-02-D-O-6113</v>
      </c>
    </row>
    <row r="1051" spans="1:12" x14ac:dyDescent="0.3">
      <c r="A1051" s="15" t="s">
        <v>2615</v>
      </c>
      <c r="B1051" s="15" t="s">
        <v>2618</v>
      </c>
      <c r="C1051" s="15" t="s">
        <v>10</v>
      </c>
      <c r="D1051" s="15" t="s">
        <v>21</v>
      </c>
      <c r="E1051" s="8">
        <v>45729</v>
      </c>
      <c r="F1051" s="16" t="s">
        <v>12</v>
      </c>
      <c r="G1051" s="16" t="s">
        <v>4</v>
      </c>
      <c r="H1051" s="8"/>
      <c r="I1051" s="16"/>
      <c r="J1051" t="b">
        <v>1</v>
      </c>
      <c r="K1051" s="15" t="s">
        <v>2619</v>
      </c>
      <c r="L1051" s="15" t="str">
        <f>HYPERLINK("https://uk1.aconex.co.uk/hub/index.html?mainTarget=%2FSearchControlledDoc%3FSEARCH_ACTION%3D15%26tab%3D0%26searchMode%3D1%26searchQuery%3Ddocno:%22"&amp;RawData[[#This Row],[Document Number]]&amp;"%22%20%2Bcversion%253A1",RawData[[#This Row],[Document Number]])</f>
        <v>FS1018-PIN-ZZ-02-D-O-6113</v>
      </c>
    </row>
    <row r="1052" spans="1:12" ht="43.2" x14ac:dyDescent="0.3">
      <c r="A1052" s="15" t="s">
        <v>2620</v>
      </c>
      <c r="B1052" s="15" t="s">
        <v>2616</v>
      </c>
      <c r="C1052" s="15" t="s">
        <v>14</v>
      </c>
      <c r="D1052" s="15" t="s">
        <v>20</v>
      </c>
      <c r="E1052" s="8">
        <v>45533</v>
      </c>
      <c r="F1052" s="16" t="s">
        <v>2059</v>
      </c>
      <c r="G1052" s="16" t="s">
        <v>40</v>
      </c>
      <c r="H1052" s="8">
        <v>45669</v>
      </c>
      <c r="I1052" s="16" t="s">
        <v>71</v>
      </c>
      <c r="J1052" t="b">
        <v>0</v>
      </c>
      <c r="K1052" s="15" t="s">
        <v>2621</v>
      </c>
      <c r="L1052" s="15" t="str">
        <f>HYPERLINK("https://uk1.aconex.co.uk/hub/index.html?mainTarget=%2FSearchControlledDoc%3FSEARCH_ACTION%3D15%26tab%3D0%26searchMode%3D1%26searchQuery%3Ddocno:%22"&amp;RawData[[#This Row],[Document Number]]&amp;"%22%20%2Bcversion%253A1",RawData[[#This Row],[Document Number]])</f>
        <v>FS1018-PIN-ZZ-02-D-O-7113</v>
      </c>
    </row>
    <row r="1053" spans="1:12" x14ac:dyDescent="0.3">
      <c r="A1053" s="15" t="s">
        <v>2620</v>
      </c>
      <c r="B1053" s="15" t="s">
        <v>2618</v>
      </c>
      <c r="C1053" s="15" t="s">
        <v>10</v>
      </c>
      <c r="D1053" s="15" t="s">
        <v>21</v>
      </c>
      <c r="E1053" s="8">
        <v>45729</v>
      </c>
      <c r="F1053" s="16" t="s">
        <v>12</v>
      </c>
      <c r="G1053" s="16" t="s">
        <v>4</v>
      </c>
      <c r="H1053" s="8"/>
      <c r="I1053" s="16"/>
      <c r="J1053" t="b">
        <v>1</v>
      </c>
      <c r="K1053" s="15" t="s">
        <v>2622</v>
      </c>
      <c r="L1053" s="15" t="str">
        <f>HYPERLINK("https://uk1.aconex.co.uk/hub/index.html?mainTarget=%2FSearchControlledDoc%3FSEARCH_ACTION%3D15%26tab%3D0%26searchMode%3D1%26searchQuery%3Ddocno:%22"&amp;RawData[[#This Row],[Document Number]]&amp;"%22%20%2Bcversion%253A1",RawData[[#This Row],[Document Number]])</f>
        <v>FS1018-PIN-ZZ-02-D-O-7113</v>
      </c>
    </row>
    <row r="1054" spans="1:12" ht="43.2" x14ac:dyDescent="0.3">
      <c r="A1054" s="15" t="s">
        <v>2623</v>
      </c>
      <c r="B1054" s="15" t="s">
        <v>2616</v>
      </c>
      <c r="C1054" s="15" t="s">
        <v>14</v>
      </c>
      <c r="D1054" s="15" t="s">
        <v>20</v>
      </c>
      <c r="E1054" s="8">
        <v>45533</v>
      </c>
      <c r="F1054" s="16" t="s">
        <v>2059</v>
      </c>
      <c r="G1054" s="16" t="s">
        <v>40</v>
      </c>
      <c r="H1054" s="8">
        <v>45669</v>
      </c>
      <c r="I1054" s="16" t="s">
        <v>71</v>
      </c>
      <c r="J1054" t="b">
        <v>0</v>
      </c>
      <c r="K1054" s="15" t="s">
        <v>2624</v>
      </c>
      <c r="L1054" s="15" t="str">
        <f>HYPERLINK("https://uk1.aconex.co.uk/hub/index.html?mainTarget=%2FSearchControlledDoc%3FSEARCH_ACTION%3D15%26tab%3D0%26searchMode%3D1%26searchQuery%3Ddocno:%22"&amp;RawData[[#This Row],[Document Number]]&amp;"%22%20%2Bcversion%253A1",RawData[[#This Row],[Document Number]])</f>
        <v>FS1018-PIN-ZZ-02-D-O-8113</v>
      </c>
    </row>
    <row r="1055" spans="1:12" x14ac:dyDescent="0.3">
      <c r="A1055" s="15" t="s">
        <v>2623</v>
      </c>
      <c r="B1055" s="15" t="s">
        <v>2618</v>
      </c>
      <c r="C1055" s="15" t="s">
        <v>10</v>
      </c>
      <c r="D1055" s="15" t="s">
        <v>21</v>
      </c>
      <c r="E1055" s="8">
        <v>45729</v>
      </c>
      <c r="F1055" s="16" t="s">
        <v>12</v>
      </c>
      <c r="G1055" s="16" t="s">
        <v>4</v>
      </c>
      <c r="H1055" s="8"/>
      <c r="I1055" s="16"/>
      <c r="J1055" t="b">
        <v>1</v>
      </c>
      <c r="K1055" s="15" t="s">
        <v>2625</v>
      </c>
      <c r="L1055" s="15" t="str">
        <f>HYPERLINK("https://uk1.aconex.co.uk/hub/index.html?mainTarget=%2FSearchControlledDoc%3FSEARCH_ACTION%3D15%26tab%3D0%26searchMode%3D1%26searchQuery%3Ddocno:%22"&amp;RawData[[#This Row],[Document Number]]&amp;"%22%20%2Bcversion%253A1",RawData[[#This Row],[Document Number]])</f>
        <v>FS1018-PIN-ZZ-02-D-O-8113</v>
      </c>
    </row>
    <row r="1056" spans="1:12" ht="43.2" x14ac:dyDescent="0.3">
      <c r="A1056" s="15" t="s">
        <v>2626</v>
      </c>
      <c r="B1056" s="15" t="s">
        <v>2616</v>
      </c>
      <c r="C1056" s="15" t="s">
        <v>14</v>
      </c>
      <c r="D1056" s="15" t="s">
        <v>20</v>
      </c>
      <c r="E1056" s="8">
        <v>45533</v>
      </c>
      <c r="F1056" s="16" t="s">
        <v>2059</v>
      </c>
      <c r="G1056" s="16" t="s">
        <v>40</v>
      </c>
      <c r="H1056" s="8">
        <v>45669</v>
      </c>
      <c r="I1056" s="16" t="s">
        <v>71</v>
      </c>
      <c r="J1056" t="b">
        <v>0</v>
      </c>
      <c r="K1056" s="15" t="s">
        <v>2627</v>
      </c>
      <c r="L1056" s="15" t="str">
        <f>HYPERLINK("https://uk1.aconex.co.uk/hub/index.html?mainTarget=%2FSearchControlledDoc%3FSEARCH_ACTION%3D15%26tab%3D0%26searchMode%3D1%26searchQuery%3Ddocno:%22"&amp;RawData[[#This Row],[Document Number]]&amp;"%22%20%2Bcversion%253A1",RawData[[#This Row],[Document Number]])</f>
        <v>FS1018-PIN-ZZ-02-D-O-9113</v>
      </c>
    </row>
    <row r="1057" spans="1:12" x14ac:dyDescent="0.3">
      <c r="A1057" s="15" t="s">
        <v>2626</v>
      </c>
      <c r="B1057" s="15" t="s">
        <v>2618</v>
      </c>
      <c r="C1057" s="15" t="s">
        <v>10</v>
      </c>
      <c r="D1057" s="15" t="s">
        <v>21</v>
      </c>
      <c r="E1057" s="8">
        <v>45729</v>
      </c>
      <c r="F1057" s="16" t="s">
        <v>12</v>
      </c>
      <c r="G1057" s="16" t="s">
        <v>4</v>
      </c>
      <c r="H1057" s="8"/>
      <c r="I1057" s="16"/>
      <c r="J1057" t="b">
        <v>1</v>
      </c>
      <c r="K1057" s="15" t="s">
        <v>2628</v>
      </c>
      <c r="L1057" s="15" t="str">
        <f>HYPERLINK("https://uk1.aconex.co.uk/hub/index.html?mainTarget=%2FSearchControlledDoc%3FSEARCH_ACTION%3D15%26tab%3D0%26searchMode%3D1%26searchQuery%3Ddocno:%22"&amp;RawData[[#This Row],[Document Number]]&amp;"%22%20%2Bcversion%253A1",RawData[[#This Row],[Document Number]])</f>
        <v>FS1018-PIN-ZZ-02-D-O-9113</v>
      </c>
    </row>
    <row r="1058" spans="1:12" ht="43.2" x14ac:dyDescent="0.3">
      <c r="A1058" s="15" t="s">
        <v>2629</v>
      </c>
      <c r="B1058" s="15" t="s">
        <v>2630</v>
      </c>
      <c r="C1058" s="15" t="s">
        <v>14</v>
      </c>
      <c r="D1058" s="15" t="s">
        <v>20</v>
      </c>
      <c r="E1058" s="8">
        <v>45638</v>
      </c>
      <c r="F1058" s="16" t="s">
        <v>78</v>
      </c>
      <c r="G1058" s="16" t="s">
        <v>40</v>
      </c>
      <c r="H1058" s="8">
        <v>45669</v>
      </c>
      <c r="I1058" s="16" t="s">
        <v>71</v>
      </c>
      <c r="J1058" t="b">
        <v>0</v>
      </c>
      <c r="K1058" s="15" t="s">
        <v>2631</v>
      </c>
      <c r="L1058" s="15" t="str">
        <f>HYPERLINK("https://uk1.aconex.co.uk/hub/index.html?mainTarget=%2FSearchControlledDoc%3FSEARCH_ACTION%3D15%26tab%3D0%26searchMode%3D1%26searchQuery%3Ddocno:%22"&amp;RawData[[#This Row],[Document Number]]&amp;"%22%20%2Bcversion%253A1",RawData[[#This Row],[Document Number]])</f>
        <v>FS1018-PIN-ZZ-ZZ-L-O-0005</v>
      </c>
    </row>
    <row r="1059" spans="1:12" x14ac:dyDescent="0.3">
      <c r="A1059" s="15" t="s">
        <v>2629</v>
      </c>
      <c r="B1059" s="15" t="s">
        <v>2632</v>
      </c>
      <c r="C1059" s="15" t="s">
        <v>10</v>
      </c>
      <c r="D1059" s="15" t="s">
        <v>21</v>
      </c>
      <c r="E1059" s="8">
        <v>45729</v>
      </c>
      <c r="F1059" s="16" t="s">
        <v>12</v>
      </c>
      <c r="G1059" s="16" t="s">
        <v>4</v>
      </c>
      <c r="H1059" s="8"/>
      <c r="I1059" s="16"/>
      <c r="J1059" t="b">
        <v>1</v>
      </c>
      <c r="K1059" s="15" t="s">
        <v>2633</v>
      </c>
      <c r="L1059" s="15" t="str">
        <f>HYPERLINK("https://uk1.aconex.co.uk/hub/index.html?mainTarget=%2FSearchControlledDoc%3FSEARCH_ACTION%3D15%26tab%3D0%26searchMode%3D1%26searchQuery%3Ddocno:%22"&amp;RawData[[#This Row],[Document Number]]&amp;"%22%20%2Bcversion%253A1",RawData[[#This Row],[Document Number]])</f>
        <v>FS1018-PIN-ZZ-ZZ-L-O-0005</v>
      </c>
    </row>
    <row r="1060" spans="1:12" x14ac:dyDescent="0.3">
      <c r="A1060" s="15" t="s">
        <v>2634</v>
      </c>
      <c r="B1060" s="15" t="s">
        <v>2635</v>
      </c>
      <c r="C1060" s="15" t="s">
        <v>14</v>
      </c>
      <c r="D1060" s="15" t="s">
        <v>21</v>
      </c>
      <c r="E1060" s="8">
        <v>45729</v>
      </c>
      <c r="F1060" s="16" t="s">
        <v>12</v>
      </c>
      <c r="G1060" s="16" t="s">
        <v>4</v>
      </c>
      <c r="H1060" s="8"/>
      <c r="I1060" s="16"/>
      <c r="J1060" t="b">
        <v>0</v>
      </c>
      <c r="K1060" s="15" t="s">
        <v>2636</v>
      </c>
      <c r="L1060" s="15" t="str">
        <f>HYPERLINK("https://uk1.aconex.co.uk/hub/index.html?mainTarget=%2FSearchControlledDoc%3FSEARCH_ACTION%3D15%26tab%3D0%26searchMode%3D1%26searchQuery%3Ddocno:%22"&amp;RawData[[#This Row],[Document Number]]&amp;"%22%20%2Bcversion%253A1",RawData[[#This Row],[Document Number]])</f>
        <v>FS1018-PIN-ZZ-ZZ-L-O-0006</v>
      </c>
    </row>
    <row r="1061" spans="1:12" x14ac:dyDescent="0.3">
      <c r="A1061" s="15" t="s">
        <v>2637</v>
      </c>
      <c r="B1061" s="15" t="s">
        <v>2638</v>
      </c>
      <c r="C1061" s="15" t="s">
        <v>14</v>
      </c>
      <c r="D1061" s="15" t="s">
        <v>21</v>
      </c>
      <c r="E1061" s="8">
        <v>45729</v>
      </c>
      <c r="F1061" s="16" t="s">
        <v>12</v>
      </c>
      <c r="G1061" s="16" t="s">
        <v>4</v>
      </c>
      <c r="H1061" s="8"/>
      <c r="I1061" s="16"/>
      <c r="J1061" t="b">
        <v>0</v>
      </c>
      <c r="K1061" s="15" t="s">
        <v>2639</v>
      </c>
      <c r="L1061" s="15" t="str">
        <f>HYPERLINK("https://uk1.aconex.co.uk/hub/index.html?mainTarget=%2FSearchControlledDoc%3FSEARCH_ACTION%3D15%26tab%3D0%26searchMode%3D1%26searchQuery%3Ddocno:%22"&amp;RawData[[#This Row],[Document Number]]&amp;"%22%20%2Bcversion%253A1",RawData[[#This Row],[Document Number]])</f>
        <v>FS1018-PIN-ZZ-ZZ-L-O-0007</v>
      </c>
    </row>
    <row r="1062" spans="1:12" ht="129.6" x14ac:dyDescent="0.3">
      <c r="A1062" s="15" t="s">
        <v>2640</v>
      </c>
      <c r="B1062" s="15" t="s">
        <v>2641</v>
      </c>
      <c r="C1062" s="15" t="s">
        <v>11</v>
      </c>
      <c r="D1062" s="15" t="s">
        <v>20</v>
      </c>
      <c r="E1062" s="8">
        <v>45184</v>
      </c>
      <c r="F1062" s="16" t="s">
        <v>2059</v>
      </c>
      <c r="G1062" s="16" t="s">
        <v>22</v>
      </c>
      <c r="H1062" s="8">
        <v>45194</v>
      </c>
      <c r="I1062" s="16" t="s">
        <v>2642</v>
      </c>
      <c r="J1062" t="b">
        <v>0</v>
      </c>
      <c r="K1062" s="15" t="s">
        <v>2643</v>
      </c>
      <c r="L1062" s="15" t="str">
        <f>HYPERLINK("https://uk1.aconex.co.uk/hub/index.html?mainTarget=%2FSearchControlledDoc%3FSEARCH_ACTION%3D15%26tab%3D0%26searchMode%3D1%26searchQuery%3Ddocno:%22"&amp;RawData[[#This Row],[Document Number]]&amp;"%22%20%2Bcversion%253A1",RawData[[#This Row],[Document Number]])</f>
        <v>FS1018-PIN-ZZ-ZZ-M-O-0001</v>
      </c>
    </row>
    <row r="1063" spans="1:12" ht="43.2" x14ac:dyDescent="0.3">
      <c r="A1063" s="15" t="s">
        <v>2640</v>
      </c>
      <c r="B1063" s="15" t="s">
        <v>2641</v>
      </c>
      <c r="C1063" s="15" t="s">
        <v>583</v>
      </c>
      <c r="D1063" s="15" t="s">
        <v>20</v>
      </c>
      <c r="E1063" s="8">
        <v>45533</v>
      </c>
      <c r="F1063" s="16" t="s">
        <v>2059</v>
      </c>
      <c r="G1063" s="16" t="s">
        <v>40</v>
      </c>
      <c r="H1063" s="8">
        <v>45669</v>
      </c>
      <c r="I1063" s="16" t="s">
        <v>71</v>
      </c>
      <c r="J1063" t="b">
        <v>0</v>
      </c>
      <c r="K1063" s="15" t="s">
        <v>2643</v>
      </c>
      <c r="L1063" s="15" t="str">
        <f>HYPERLINK("https://uk1.aconex.co.uk/hub/index.html?mainTarget=%2FSearchControlledDoc%3FSEARCH_ACTION%3D15%26tab%3D0%26searchMode%3D1%26searchQuery%3Ddocno:%22"&amp;RawData[[#This Row],[Document Number]]&amp;"%22%20%2Bcversion%253A1",RawData[[#This Row],[Document Number]])</f>
        <v>FS1018-PIN-ZZ-ZZ-M-O-0001</v>
      </c>
    </row>
    <row r="1064" spans="1:12" x14ac:dyDescent="0.3">
      <c r="A1064" s="15" t="s">
        <v>2640</v>
      </c>
      <c r="B1064" s="15" t="s">
        <v>2644</v>
      </c>
      <c r="C1064" s="15" t="s">
        <v>1059</v>
      </c>
      <c r="D1064" s="15" t="s">
        <v>21</v>
      </c>
      <c r="E1064" s="8">
        <v>45729</v>
      </c>
      <c r="F1064" s="16" t="s">
        <v>12</v>
      </c>
      <c r="G1064" s="16" t="s">
        <v>4</v>
      </c>
      <c r="H1064" s="8"/>
      <c r="I1064" s="16"/>
      <c r="J1064" t="b">
        <v>0</v>
      </c>
      <c r="K1064" s="15" t="s">
        <v>2645</v>
      </c>
      <c r="L1064" s="15" t="str">
        <f>HYPERLINK("https://uk1.aconex.co.uk/hub/index.html?mainTarget=%2FSearchControlledDoc%3FSEARCH_ACTION%3D15%26tab%3D0%26searchMode%3D1%26searchQuery%3Ddocno:%22"&amp;RawData[[#This Row],[Document Number]]&amp;"%22%20%2Bcversion%253A1",RawData[[#This Row],[Document Number]])</f>
        <v>FS1018-PIN-ZZ-ZZ-M-O-0001</v>
      </c>
    </row>
    <row r="1065" spans="1:12" ht="144" x14ac:dyDescent="0.3">
      <c r="A1065" s="15" t="s">
        <v>2646</v>
      </c>
      <c r="B1065" s="15" t="s">
        <v>2647</v>
      </c>
      <c r="C1065" s="15" t="s">
        <v>11</v>
      </c>
      <c r="D1065" s="15" t="s">
        <v>20</v>
      </c>
      <c r="E1065" s="8">
        <v>45184</v>
      </c>
      <c r="F1065" s="16" t="s">
        <v>2059</v>
      </c>
      <c r="G1065" s="16" t="s">
        <v>22</v>
      </c>
      <c r="H1065" s="8">
        <v>45194</v>
      </c>
      <c r="I1065" s="16" t="s">
        <v>2648</v>
      </c>
      <c r="J1065" t="b">
        <v>0</v>
      </c>
      <c r="K1065" s="15" t="s">
        <v>2649</v>
      </c>
      <c r="L1065" s="15" t="str">
        <f>HYPERLINK("https://uk1.aconex.co.uk/hub/index.html?mainTarget=%2FSearchControlledDoc%3FSEARCH_ACTION%3D15%26tab%3D0%26searchMode%3D1%26searchQuery%3Ddocno:%22"&amp;RawData[[#This Row],[Document Number]]&amp;"%22%20%2Bcversion%253A1",RawData[[#This Row],[Document Number]])</f>
        <v>FS1018-PIN-ZZ-ZZ-M-O-0002</v>
      </c>
    </row>
    <row r="1066" spans="1:12" ht="43.2" x14ac:dyDescent="0.3">
      <c r="A1066" s="15" t="s">
        <v>2646</v>
      </c>
      <c r="B1066" s="15" t="s">
        <v>2647</v>
      </c>
      <c r="C1066" s="15" t="s">
        <v>583</v>
      </c>
      <c r="D1066" s="15" t="s">
        <v>20</v>
      </c>
      <c r="E1066" s="8">
        <v>45533</v>
      </c>
      <c r="F1066" s="16" t="s">
        <v>2059</v>
      </c>
      <c r="G1066" s="16" t="s">
        <v>40</v>
      </c>
      <c r="H1066" s="8">
        <v>45669</v>
      </c>
      <c r="I1066" s="16" t="s">
        <v>71</v>
      </c>
      <c r="J1066" t="b">
        <v>0</v>
      </c>
      <c r="K1066" s="15" t="s">
        <v>2649</v>
      </c>
      <c r="L1066" s="15" t="str">
        <f>HYPERLINK("https://uk1.aconex.co.uk/hub/index.html?mainTarget=%2FSearchControlledDoc%3FSEARCH_ACTION%3D15%26tab%3D0%26searchMode%3D1%26searchQuery%3Ddocno:%22"&amp;RawData[[#This Row],[Document Number]]&amp;"%22%20%2Bcversion%253A1",RawData[[#This Row],[Document Number]])</f>
        <v>FS1018-PIN-ZZ-ZZ-M-O-0002</v>
      </c>
    </row>
    <row r="1067" spans="1:12" x14ac:dyDescent="0.3">
      <c r="A1067" s="15" t="s">
        <v>2646</v>
      </c>
      <c r="B1067" s="15" t="s">
        <v>2650</v>
      </c>
      <c r="C1067" s="15" t="s">
        <v>970</v>
      </c>
      <c r="D1067" s="15" t="s">
        <v>21</v>
      </c>
      <c r="E1067" s="8">
        <v>45729</v>
      </c>
      <c r="F1067" s="16" t="s">
        <v>12</v>
      </c>
      <c r="G1067" s="16" t="s">
        <v>4</v>
      </c>
      <c r="H1067" s="8"/>
      <c r="I1067" s="16"/>
      <c r="J1067" t="b">
        <v>0</v>
      </c>
      <c r="K1067" s="15" t="s">
        <v>2651</v>
      </c>
      <c r="L1067" s="15" t="str">
        <f>HYPERLINK("https://uk1.aconex.co.uk/hub/index.html?mainTarget=%2FSearchControlledDoc%3FSEARCH_ACTION%3D15%26tab%3D0%26searchMode%3D1%26searchQuery%3Ddocno:%22"&amp;RawData[[#This Row],[Document Number]]&amp;"%22%20%2Bcversion%253A1",RawData[[#This Row],[Document Number]])</f>
        <v>FS1018-PIN-ZZ-ZZ-M-O-0002</v>
      </c>
    </row>
    <row r="1068" spans="1:12" ht="115.2" x14ac:dyDescent="0.3">
      <c r="A1068" s="15" t="s">
        <v>2652</v>
      </c>
      <c r="B1068" s="15" t="s">
        <v>2653</v>
      </c>
      <c r="C1068" s="15" t="s">
        <v>11</v>
      </c>
      <c r="D1068" s="15" t="s">
        <v>20</v>
      </c>
      <c r="E1068" s="8">
        <v>45184</v>
      </c>
      <c r="F1068" s="16" t="s">
        <v>2059</v>
      </c>
      <c r="G1068" s="16" t="s">
        <v>22</v>
      </c>
      <c r="H1068" s="8">
        <v>45194</v>
      </c>
      <c r="I1068" s="16" t="s">
        <v>2654</v>
      </c>
      <c r="J1068" t="b">
        <v>0</v>
      </c>
      <c r="K1068" s="15" t="s">
        <v>2655</v>
      </c>
      <c r="L1068" s="15" t="str">
        <f>HYPERLINK("https://uk1.aconex.co.uk/hub/index.html?mainTarget=%2FSearchControlledDoc%3FSEARCH_ACTION%3D15%26tab%3D0%26searchMode%3D1%26searchQuery%3Ddocno:%22"&amp;RawData[[#This Row],[Document Number]]&amp;"%22%20%2Bcversion%253A1",RawData[[#This Row],[Document Number]])</f>
        <v>FS1018-PIN-ZZ-ZZ-M-O-0003</v>
      </c>
    </row>
    <row r="1069" spans="1:12" ht="43.2" x14ac:dyDescent="0.3">
      <c r="A1069" s="15" t="s">
        <v>2652</v>
      </c>
      <c r="B1069" s="15" t="s">
        <v>2653</v>
      </c>
      <c r="C1069" s="15" t="s">
        <v>583</v>
      </c>
      <c r="D1069" s="15" t="s">
        <v>20</v>
      </c>
      <c r="E1069" s="8">
        <v>45533</v>
      </c>
      <c r="F1069" s="16" t="s">
        <v>2059</v>
      </c>
      <c r="G1069" s="16" t="s">
        <v>40</v>
      </c>
      <c r="H1069" s="8">
        <v>45669</v>
      </c>
      <c r="I1069" s="16" t="s">
        <v>71</v>
      </c>
      <c r="J1069" t="b">
        <v>0</v>
      </c>
      <c r="K1069" s="15" t="s">
        <v>2655</v>
      </c>
      <c r="L1069" s="15" t="str">
        <f>HYPERLINK("https://uk1.aconex.co.uk/hub/index.html?mainTarget=%2FSearchControlledDoc%3FSEARCH_ACTION%3D15%26tab%3D0%26searchMode%3D1%26searchQuery%3Ddocno:%22"&amp;RawData[[#This Row],[Document Number]]&amp;"%22%20%2Bcversion%253A1",RawData[[#This Row],[Document Number]])</f>
        <v>FS1018-PIN-ZZ-ZZ-M-O-0003</v>
      </c>
    </row>
    <row r="1070" spans="1:12" x14ac:dyDescent="0.3">
      <c r="A1070" s="15" t="s">
        <v>2652</v>
      </c>
      <c r="B1070" s="15" t="s">
        <v>2656</v>
      </c>
      <c r="C1070" s="15" t="s">
        <v>1102</v>
      </c>
      <c r="D1070" s="15" t="s">
        <v>21</v>
      </c>
      <c r="E1070" s="8">
        <v>45729</v>
      </c>
      <c r="F1070" s="16" t="s">
        <v>12</v>
      </c>
      <c r="G1070" s="16" t="s">
        <v>4</v>
      </c>
      <c r="H1070" s="8"/>
      <c r="I1070" s="16"/>
      <c r="J1070" t="b">
        <v>0</v>
      </c>
      <c r="K1070" s="15" t="s">
        <v>2657</v>
      </c>
      <c r="L1070" s="15" t="str">
        <f>HYPERLINK("https://uk1.aconex.co.uk/hub/index.html?mainTarget=%2FSearchControlledDoc%3FSEARCH_ACTION%3D15%26tab%3D0%26searchMode%3D1%26searchQuery%3Ddocno:%22"&amp;RawData[[#This Row],[Document Number]]&amp;"%22%20%2Bcversion%253A1",RawData[[#This Row],[Document Number]])</f>
        <v>FS1018-PIN-ZZ-ZZ-M-O-0003</v>
      </c>
    </row>
    <row r="1071" spans="1:12" ht="57.6" x14ac:dyDescent="0.3">
      <c r="A1071" s="15" t="s">
        <v>2658</v>
      </c>
      <c r="B1071" s="15" t="s">
        <v>2659</v>
      </c>
      <c r="C1071" s="15" t="s">
        <v>14</v>
      </c>
      <c r="D1071" s="15" t="s">
        <v>20</v>
      </c>
      <c r="E1071" s="8">
        <v>45184</v>
      </c>
      <c r="F1071" s="16" t="s">
        <v>2059</v>
      </c>
      <c r="G1071" s="16" t="s">
        <v>22</v>
      </c>
      <c r="H1071" s="8">
        <v>45194</v>
      </c>
      <c r="I1071" s="16" t="s">
        <v>2660</v>
      </c>
      <c r="J1071" t="b">
        <v>0</v>
      </c>
      <c r="K1071" s="15" t="s">
        <v>2661</v>
      </c>
      <c r="L1071" s="15" t="str">
        <f>HYPERLINK("https://uk1.aconex.co.uk/hub/index.html?mainTarget=%2FSearchControlledDoc%3FSEARCH_ACTION%3D15%26tab%3D0%26searchMode%3D1%26searchQuery%3Ddocno:%22"&amp;RawData[[#This Row],[Document Number]]&amp;"%22%20%2Bcversion%253A1",RawData[[#This Row],[Document Number]])</f>
        <v>FS1018-PIN-ZZ-ZZ-M-O-0004</v>
      </c>
    </row>
    <row r="1072" spans="1:12" ht="43.2" x14ac:dyDescent="0.3">
      <c r="A1072" s="15" t="s">
        <v>2658</v>
      </c>
      <c r="B1072" s="15" t="s">
        <v>2659</v>
      </c>
      <c r="C1072" s="15" t="s">
        <v>10</v>
      </c>
      <c r="D1072" s="15" t="s">
        <v>20</v>
      </c>
      <c r="E1072" s="8">
        <v>45533</v>
      </c>
      <c r="F1072" s="16" t="s">
        <v>2059</v>
      </c>
      <c r="G1072" s="16" t="s">
        <v>40</v>
      </c>
      <c r="H1072" s="8">
        <v>45669</v>
      </c>
      <c r="I1072" s="16" t="s">
        <v>71</v>
      </c>
      <c r="J1072" t="b">
        <v>1</v>
      </c>
      <c r="K1072" s="15" t="s">
        <v>2661</v>
      </c>
      <c r="L1072" s="15" t="str">
        <f>HYPERLINK("https://uk1.aconex.co.uk/hub/index.html?mainTarget=%2FSearchControlledDoc%3FSEARCH_ACTION%3D15%26tab%3D0%26searchMode%3D1%26searchQuery%3Ddocno:%22"&amp;RawData[[#This Row],[Document Number]]&amp;"%22%20%2Bcversion%253A1",RawData[[#This Row],[Document Number]])</f>
        <v>FS1018-PIN-ZZ-ZZ-M-O-0004</v>
      </c>
    </row>
    <row r="1073" spans="1:12" x14ac:dyDescent="0.3">
      <c r="A1073" s="15" t="s">
        <v>2658</v>
      </c>
      <c r="B1073" s="15" t="s">
        <v>2662</v>
      </c>
      <c r="C1073" s="15" t="s">
        <v>11</v>
      </c>
      <c r="D1073" s="15" t="s">
        <v>21</v>
      </c>
      <c r="E1073" s="8">
        <v>45729</v>
      </c>
      <c r="F1073" s="16" t="s">
        <v>12</v>
      </c>
      <c r="G1073" s="16" t="s">
        <v>4</v>
      </c>
      <c r="H1073" s="8"/>
      <c r="I1073" s="16"/>
      <c r="J1073" t="b">
        <v>0</v>
      </c>
      <c r="K1073" s="15" t="s">
        <v>2663</v>
      </c>
      <c r="L1073" s="15" t="str">
        <f>HYPERLINK("https://uk1.aconex.co.uk/hub/index.html?mainTarget=%2FSearchControlledDoc%3FSEARCH_ACTION%3D15%26tab%3D0%26searchMode%3D1%26searchQuery%3Ddocno:%22"&amp;RawData[[#This Row],[Document Number]]&amp;"%22%20%2Bcversion%253A1",RawData[[#This Row],[Document Number]])</f>
        <v>FS1018-PIN-ZZ-ZZ-M-O-0004</v>
      </c>
    </row>
    <row r="1074" spans="1:12" ht="57.6" x14ac:dyDescent="0.3">
      <c r="A1074" s="15" t="s">
        <v>2664</v>
      </c>
      <c r="B1074" s="15" t="s">
        <v>2665</v>
      </c>
      <c r="C1074" s="15" t="s">
        <v>14</v>
      </c>
      <c r="D1074" s="15" t="s">
        <v>20</v>
      </c>
      <c r="E1074" s="8">
        <v>45184</v>
      </c>
      <c r="F1074" s="16" t="s">
        <v>2059</v>
      </c>
      <c r="G1074" s="16" t="s">
        <v>22</v>
      </c>
      <c r="H1074" s="8">
        <v>45194</v>
      </c>
      <c r="I1074" s="16" t="s">
        <v>2660</v>
      </c>
      <c r="J1074" t="b">
        <v>0</v>
      </c>
      <c r="K1074" s="15" t="s">
        <v>2666</v>
      </c>
      <c r="L1074" s="15" t="str">
        <f>HYPERLINK("https://uk1.aconex.co.uk/hub/index.html?mainTarget=%2FSearchControlledDoc%3FSEARCH_ACTION%3D15%26tab%3D0%26searchMode%3D1%26searchQuery%3Ddocno:%22"&amp;RawData[[#This Row],[Document Number]]&amp;"%22%20%2Bcversion%253A1",RawData[[#This Row],[Document Number]])</f>
        <v>FS1018-PIN-ZZ-ZZ-M-O-0005</v>
      </c>
    </row>
    <row r="1075" spans="1:12" ht="43.2" x14ac:dyDescent="0.3">
      <c r="A1075" s="15" t="s">
        <v>2664</v>
      </c>
      <c r="B1075" s="15" t="s">
        <v>2665</v>
      </c>
      <c r="C1075" s="15" t="s">
        <v>10</v>
      </c>
      <c r="D1075" s="15" t="s">
        <v>20</v>
      </c>
      <c r="E1075" s="8">
        <v>45533</v>
      </c>
      <c r="F1075" s="16" t="s">
        <v>2059</v>
      </c>
      <c r="G1075" s="16" t="s">
        <v>40</v>
      </c>
      <c r="H1075" s="8">
        <v>45669</v>
      </c>
      <c r="I1075" s="16" t="s">
        <v>71</v>
      </c>
      <c r="J1075" t="b">
        <v>1</v>
      </c>
      <c r="K1075" s="15" t="s">
        <v>2666</v>
      </c>
      <c r="L1075" s="15" t="str">
        <f>HYPERLINK("https://uk1.aconex.co.uk/hub/index.html?mainTarget=%2FSearchControlledDoc%3FSEARCH_ACTION%3D15%26tab%3D0%26searchMode%3D1%26searchQuery%3Ddocno:%22"&amp;RawData[[#This Row],[Document Number]]&amp;"%22%20%2Bcversion%253A1",RawData[[#This Row],[Document Number]])</f>
        <v>FS1018-PIN-ZZ-ZZ-M-O-0005</v>
      </c>
    </row>
    <row r="1076" spans="1:12" x14ac:dyDescent="0.3">
      <c r="A1076" s="15" t="s">
        <v>2664</v>
      </c>
      <c r="B1076" s="15" t="s">
        <v>2667</v>
      </c>
      <c r="C1076" s="15" t="s">
        <v>11</v>
      </c>
      <c r="D1076" s="15" t="s">
        <v>21</v>
      </c>
      <c r="E1076" s="8">
        <v>45729</v>
      </c>
      <c r="F1076" s="16" t="s">
        <v>12</v>
      </c>
      <c r="G1076" s="16" t="s">
        <v>4</v>
      </c>
      <c r="H1076" s="8"/>
      <c r="I1076" s="16"/>
      <c r="J1076" t="b">
        <v>0</v>
      </c>
      <c r="K1076" s="15" t="s">
        <v>2668</v>
      </c>
      <c r="L1076" s="15" t="str">
        <f>HYPERLINK("https://uk1.aconex.co.uk/hub/index.html?mainTarget=%2FSearchControlledDoc%3FSEARCH_ACTION%3D15%26tab%3D0%26searchMode%3D1%26searchQuery%3Ddocno:%22"&amp;RawData[[#This Row],[Document Number]]&amp;"%22%20%2Bcversion%253A1",RawData[[#This Row],[Document Number]])</f>
        <v>FS1018-PIN-ZZ-ZZ-M-O-0005</v>
      </c>
    </row>
    <row r="1077" spans="1:12" x14ac:dyDescent="0.3">
      <c r="A1077" s="15" t="s">
        <v>2669</v>
      </c>
      <c r="B1077" s="15" t="s">
        <v>2670</v>
      </c>
      <c r="C1077" s="15" t="s">
        <v>14</v>
      </c>
      <c r="D1077" s="15" t="s">
        <v>20</v>
      </c>
      <c r="E1077" s="8">
        <v>45238</v>
      </c>
      <c r="F1077" s="16" t="s">
        <v>2059</v>
      </c>
      <c r="G1077" s="16" t="s">
        <v>34</v>
      </c>
      <c r="H1077" s="8">
        <v>45516</v>
      </c>
      <c r="I1077" s="16"/>
      <c r="J1077" t="b">
        <v>0</v>
      </c>
      <c r="K1077" s="15" t="s">
        <v>2671</v>
      </c>
      <c r="L1077" s="15" t="str">
        <f>HYPERLINK("https://uk1.aconex.co.uk/hub/index.html?mainTarget=%2FSearchControlledDoc%3FSEARCH_ACTION%3D15%26tab%3D0%26searchMode%3D1%26searchQuery%3Ddocno:%22"&amp;RawData[[#This Row],[Document Number]]&amp;"%22%20%2Bcversion%253A1",RawData[[#This Row],[Document Number]])</f>
        <v>FS1018-PIN-ZZ-ZZ-M-O-0006</v>
      </c>
    </row>
    <row r="1078" spans="1:12" x14ac:dyDescent="0.3">
      <c r="A1078" s="15" t="s">
        <v>2669</v>
      </c>
      <c r="B1078" s="15" t="s">
        <v>2670</v>
      </c>
      <c r="C1078" s="15" t="s">
        <v>10</v>
      </c>
      <c r="D1078" s="15" t="s">
        <v>21</v>
      </c>
      <c r="E1078" s="8">
        <v>45729</v>
      </c>
      <c r="F1078" s="16" t="s">
        <v>12</v>
      </c>
      <c r="G1078" s="16" t="s">
        <v>4</v>
      </c>
      <c r="H1078" s="8"/>
      <c r="I1078" s="16"/>
      <c r="J1078" t="b">
        <v>1</v>
      </c>
      <c r="K1078" s="15" t="s">
        <v>2671</v>
      </c>
      <c r="L1078" s="15" t="str">
        <f>HYPERLINK("https://uk1.aconex.co.uk/hub/index.html?mainTarget=%2FSearchControlledDoc%3FSEARCH_ACTION%3D15%26tab%3D0%26searchMode%3D1%26searchQuery%3Ddocno:%22"&amp;RawData[[#This Row],[Document Number]]&amp;"%22%20%2Bcversion%253A1",RawData[[#This Row],[Document Number]])</f>
        <v>FS1018-PIN-ZZ-ZZ-M-O-0006</v>
      </c>
    </row>
  </sheetData>
  <conditionalFormatting sqref="G1:G1048576">
    <cfRule type="containsText" dxfId="228" priority="1" operator="containsText" text="Pending">
      <formula>NOT(ISERROR(SEARCH("Pending",G1)))</formula>
    </cfRule>
    <cfRule type="containsText" dxfId="227" priority="2" operator="containsText" text="C - ">
      <formula>NOT(ISERROR(SEARCH("C - ",G1)))</formula>
    </cfRule>
    <cfRule type="containsText" dxfId="226" priority="3" operator="containsText" text="A - ">
      <formula>NOT(ISERROR(SEARCH("A - ",G1)))</formula>
    </cfRule>
    <cfRule type="containsText" dxfId="225" priority="4" operator="containsText" text="B - ">
      <formula>NOT(ISERROR(SEARCH("B - ",G1)))</formula>
    </cfRule>
  </conditionalFormatting>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4D8EE5-2CA9-4D81-A215-46F270C0A502}">
  <ds:schemaRefs>
    <ds:schemaRef ds:uri="http://schemas.microsoft.com/DataMashup"/>
  </ds:schemaRefs>
</ds:datastoreItem>
</file>

<file path=docMetadata/LabelInfo.xml><?xml version="1.0" encoding="utf-8"?>
<clbl:labelList xmlns:clbl="http://schemas.microsoft.com/office/2020/mipLabelMetadata">
  <clbl:label id="{428e5717-1df4-456d-8576-f827ff2d20e1}" enabled="1" method="Privileged" siteId="{69033406-071b-4a95-919c-befbd00ae24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Summary</vt:lpstr>
      <vt:lpstr>Tracker</vt:lpstr>
      <vt:lpstr>RawData</vt:lpstr>
      <vt:lpstr>DateGenerated</vt:lpstr>
      <vt:lpstr>Summary!Print_Area</vt:lpstr>
      <vt:lpstr>Tracker!Print_Titles</vt:lpstr>
      <vt:lpstr>ProjectName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Millinship</dc:creator>
  <cp:lastModifiedBy>Nicole Millinship</cp:lastModifiedBy>
  <cp:lastPrinted>2025-03-23T18:37:30Z</cp:lastPrinted>
  <dcterms:created xsi:type="dcterms:W3CDTF">2024-12-09T14:44:19Z</dcterms:created>
  <dcterms:modified xsi:type="dcterms:W3CDTF">2025-03-23T20:31:22Z</dcterms:modified>
</cp:coreProperties>
</file>