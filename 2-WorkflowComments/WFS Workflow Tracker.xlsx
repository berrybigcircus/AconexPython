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nicole.millinship\PycharmProjects\AconexPython\2-WorkflowComments\"/>
    </mc:Choice>
  </mc:AlternateContent>
  <xr:revisionPtr revIDLastSave="0" documentId="13_ncr:1_{3A29D440-E010-4C1E-8670-229E380B059C}" xr6:coauthVersionLast="47" xr6:coauthVersionMax="47" xr10:uidLastSave="{00000000-0000-0000-0000-000000000000}"/>
  <bookViews>
    <workbookView xWindow="-108" yWindow="-108" windowWidth="23256" windowHeight="12456" activeTab="1" xr2:uid="{88656BE8-9090-43C8-90C5-4CCBCCF71E67}"/>
  </bookViews>
  <sheets>
    <sheet name="Summary" sheetId="1" r:id="rId1"/>
    <sheet name="Tracker" sheetId="2" r:id="rId2"/>
    <sheet name="RawData" sheetId="4" r:id="rId3"/>
  </sheets>
  <definedNames>
    <definedName name="DateGenerated">Summary!$D$3</definedName>
    <definedName name="ExternalData_1" localSheetId="2" hidden="1">'RawData'!$A$4:$K$908</definedName>
    <definedName name="ExternalData_1" localSheetId="0" hidden="1">Summary!#REF!</definedName>
    <definedName name="ExternalData_2" localSheetId="2" hidden="1">'RawData'!$A$1:$B$2</definedName>
    <definedName name="_xlnm.Print_Area" localSheetId="0">Summary!$D$1:$G$24</definedName>
    <definedName name="_xlnm.Print_Titles" localSheetId="1">Tracker!$1:$6</definedName>
    <definedName name="ProjectName">Summary!$D$2</definedName>
  </definedNames>
  <calcPr calcId="191029"/>
  <pivotCaches>
    <pivotCache cacheId="56" r:id="rId4"/>
    <pivotCache cacheId="6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4" l="1"/>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D3" i="1" l="1" a="1"/>
  <c r="D3" i="1" s="1"/>
  <c r="A3" i="2" s="1"/>
  <c r="D2" i="1"/>
  <c r="A2" i="2" s="1"/>
  <c r="F1" i="2"/>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4EDD3B-8E61-4177-9C3E-0D72C167B9D6}" keepAlive="1" name="Query - DocStatuses" description="Connection to the 'DocStatuses' query in the workbook." type="5" refreshedVersion="8" background="1">
    <dbPr connection="Provider=Microsoft.Mashup.OleDb.1;Data Source=$Workbook$;Location=DocStatuses;Extended Properties=&quot;&quot;" command="SELECT * FROM [DocStatuses]"/>
  </connection>
  <connection id="2" xr16:uid="{7519C9DB-07D1-476E-B2E3-6F8EB48F7F11}" keepAlive="1" name="Query - ProjectInfo" description="Connection to the 'ProjectInfo' query in the workbook." type="5" refreshedVersion="8" background="1" saveData="1">
    <dbPr connection="Provider=Microsoft.Mashup.OleDb.1;Data Source=$Workbook$;Location=ProjectInfo;Extended Properties=&quot;&quot;" command="SELECT * FROM [ProjectInfo]"/>
  </connection>
  <connection id="3" xr16:uid="{C945485A-F23E-45C7-96C5-99F66170B0C3}" keepAlive="1" name="Query - RawData" description="Connection to the 'RawData' query in the workbook." type="5" refreshedVersion="8" background="1" refreshOnLoad="1" saveData="1">
    <dbPr connection="Provider=Microsoft.Mashup.OleDb.1;Data Source=$Workbook$;Location=RawData;Extended Properties=&quot;&quot;" command="SELECT * FROM [Raw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<sst xmlns="http://schemas.openxmlformats.org/spreadsheetml/2006/main" count="11121" uniqueCount="2054">
  <si>
    <t>Workflow Document Tracker</t>
  </si>
  <si>
    <t>Latest revision?</t>
  </si>
  <si>
    <t>Step Outcome</t>
  </si>
  <si>
    <t>Summary Page</t>
  </si>
  <si>
    <t>Pending</t>
  </si>
  <si>
    <t>Grand Total</t>
  </si>
  <si>
    <t>Date In</t>
  </si>
  <si>
    <t>Step Name</t>
  </si>
  <si>
    <t>Date of Comments</t>
  </si>
  <si>
    <t>Comments</t>
  </si>
  <si>
    <t>P02</t>
  </si>
  <si>
    <t>P03</t>
  </si>
  <si>
    <t>DFE Review</t>
  </si>
  <si>
    <t>P01</t>
  </si>
  <si>
    <t>Document Number</t>
  </si>
  <si>
    <t>Title</t>
  </si>
  <si>
    <t>Revision</t>
  </si>
  <si>
    <t>Workflow Status</t>
  </si>
  <si>
    <t>(Helper) Num + Title</t>
  </si>
  <si>
    <t>Completed</t>
  </si>
  <si>
    <t>In Progress</t>
  </si>
  <si>
    <t>C - Rejected</t>
  </si>
  <si>
    <t>Designer Response</t>
  </si>
  <si>
    <t/>
  </si>
  <si>
    <t>A - Accepted</t>
  </si>
  <si>
    <t>Project Name</t>
  </si>
  <si>
    <t>Date Generated</t>
  </si>
  <si>
    <t>Row Labels</t>
  </si>
  <si>
    <t>Count of (Helper) Doc Status</t>
  </si>
  <si>
    <t>(Helper) Hyperlink</t>
  </si>
  <si>
    <t>FS1018-ADT-ZZ-00-D-J-0001</t>
  </si>
  <si>
    <t>BB93 Acoustic Criteria Ground Floor</t>
  </si>
  <si>
    <t>FS1018-ADT-ZZ-00-D-J-0001          BB93 Acoustic Criteria Ground Floor</t>
  </si>
  <si>
    <t>FS1018-ADT-ZZ-00-D-J-0004</t>
  </si>
  <si>
    <t>Acoustic Wall Types Ground Floor</t>
  </si>
  <si>
    <t>FS1018-ADT-ZZ-00-D-J-0004          Acoustic Wall Types Ground Floor</t>
  </si>
  <si>
    <t>FS1018-ADT-ZZ-01-D-J-0002</t>
  </si>
  <si>
    <t>BB93 Acoustic Criteria First Floor</t>
  </si>
  <si>
    <t>FS1018-ADT-ZZ-01-D-J-0002          BB93 Acoustic Criteria First Floor</t>
  </si>
  <si>
    <t>FS1018-ADT-ZZ-01-D-J-0005</t>
  </si>
  <si>
    <t>Acoustic Wall Types First Floor</t>
  </si>
  <si>
    <t>FS1018-ADT-ZZ-01-D-J-0005          Acoustic Wall Types First Floor</t>
  </si>
  <si>
    <t>FS1018-ADT-ZZ-02-D-J-0003</t>
  </si>
  <si>
    <t>BB93 Acoustic Criteria Second Floor</t>
  </si>
  <si>
    <t>FS1018-ADT-ZZ-02-D-J-0003          BB93 Acoustic Criteria Second Floor</t>
  </si>
  <si>
    <t>FS1018-ADT-ZZ-02-D-J-0006</t>
  </si>
  <si>
    <t>Acoustic Wall Types Second Floor</t>
  </si>
  <si>
    <t>FS1018-ADT-ZZ-02-D-J-0006          Acoustic Wall Types Second Floor</t>
  </si>
  <si>
    <t>FS1018-ADT-ZZ-ZZ-T-J-0001</t>
  </si>
  <si>
    <t>Acoustic Strategy</t>
  </si>
  <si>
    <t>FS1018-ADT-ZZ-ZZ-T-J-0001          Acoustic Strategy</t>
  </si>
  <si>
    <t>FS1018-ADT-ZZ-ZZ-T-Y-0002</t>
  </si>
  <si>
    <t>Environmental Noise Impact Assessment</t>
  </si>
  <si>
    <t>FS1018-ADT-ZZ-ZZ-T-Y-0002          Environmental Noise Impact Assessment</t>
  </si>
  <si>
    <t>Risk Register</t>
  </si>
  <si>
    <t>FS1018-AGL-ZZ-00-D-E-6110</t>
  </si>
  <si>
    <t>Level 00 Containment Sheet 1</t>
  </si>
  <si>
    <t>FS1018-AGL-ZZ-00-D-E-6110          Level 00 Containment Sheet 1</t>
  </si>
  <si>
    <t>FS1018-AGL-ZZ-00-D-E-6111</t>
  </si>
  <si>
    <t>Level 00 Containment Sheet 2</t>
  </si>
  <si>
    <t>FS1018-AGL-ZZ-00-D-E-6111          Level 00 Containment Sheet 2</t>
  </si>
  <si>
    <t>FS1018-AGL-ZZ-00-D-E-6112</t>
  </si>
  <si>
    <t>Level 00 Containment Sheet 3</t>
  </si>
  <si>
    <t>FS1018-AGL-ZZ-00-D-E-6112          Level 00 Containment Sheet 3</t>
  </si>
  <si>
    <t>FS1018-AGL-ZZ-00-D-E-6114</t>
  </si>
  <si>
    <t>Building Electrical Switchroom Details</t>
  </si>
  <si>
    <t>FS1018-AGL-ZZ-00-D-E-6114          Building Electrical Switchroom Details</t>
  </si>
  <si>
    <t>FS1018-AGL-ZZ-00-D-E-6210</t>
  </si>
  <si>
    <t>Level 00 Small Power And Data Sheet 1</t>
  </si>
  <si>
    <t>FS1018-AGL-ZZ-00-D-E-6210          Level 00 Small Power And Data Sheet 1</t>
  </si>
  <si>
    <t>FS1018-AGL-ZZ-00-D-E-6211</t>
  </si>
  <si>
    <t>Level 00 Small Power And Data Sheet 2</t>
  </si>
  <si>
    <t>FS1018-AGL-ZZ-00-D-E-6211          Level 00 Small Power And Data Sheet 2</t>
  </si>
  <si>
    <t>FS1018-AGL-ZZ-00-D-E-6212</t>
  </si>
  <si>
    <t>Level 00 Small Power And Data Sheet 3</t>
  </si>
  <si>
    <t>FS1018-AGL-ZZ-00-D-E-6212          Level 00 Small Power And Data Sheet 3</t>
  </si>
  <si>
    <t>FS1018-AGL-ZZ-00-D-E-6213</t>
  </si>
  <si>
    <t>Level 00 MSER Sheet 1</t>
  </si>
  <si>
    <t>FS1018-AGL-ZZ-00-D-E-6213          Level 00 MSER Sheet 1</t>
  </si>
  <si>
    <t>FS1018-AGL-ZZ-00-D-E-6214</t>
  </si>
  <si>
    <t>Level 00 MSER Sheet 2</t>
  </si>
  <si>
    <t>FS1018-AGL-ZZ-00-D-E-6214          Level 00 MSER Sheet 2</t>
  </si>
  <si>
    <t>FS1018-AGL-ZZ-00-D-E-6215</t>
  </si>
  <si>
    <t>Level 00 MSER Sheet 3</t>
  </si>
  <si>
    <t>FS1018-AGL-ZZ-00-D-E-6215          Level 00 MSER Sheet 3</t>
  </si>
  <si>
    <t>FS1018-AGL-ZZ-00-D-E-6310</t>
  </si>
  <si>
    <t>Level 00 Lighting Sheet 1</t>
  </si>
  <si>
    <t>FS1018-AGL-ZZ-00-D-E-6310          Level 00 Lighting Sheet 1</t>
  </si>
  <si>
    <t>FS1018-AGL-ZZ-00-D-E-6311</t>
  </si>
  <si>
    <t>Level 00 Lighting Sheet 2</t>
  </si>
  <si>
    <t>FS1018-AGL-ZZ-00-D-E-6311          Level 00 Lighting Sheet 2</t>
  </si>
  <si>
    <t>FS1018-AGL-ZZ-00-D-E-6312</t>
  </si>
  <si>
    <t>Level 00 Lighting Sheet 3</t>
  </si>
  <si>
    <t>FS1018-AGL-ZZ-00-D-E-6312          Level 00 Lighting Sheet 3</t>
  </si>
  <si>
    <t>FS1018-AGL-ZZ-00-D-E-6810</t>
  </si>
  <si>
    <t>Level 00 Fire Alarm Sheet 1</t>
  </si>
  <si>
    <t>FS1018-AGL-ZZ-00-D-E-6810          Level 00 Fire Alarm Sheet 1</t>
  </si>
  <si>
    <t>FS1018-AGL-ZZ-00-D-E-6811</t>
  </si>
  <si>
    <t>Level 00 Fire Alarm Sheet 2</t>
  </si>
  <si>
    <t>FS1018-AGL-ZZ-00-D-E-6811          Level 00 Fire Alarm Sheet 2</t>
  </si>
  <si>
    <t>FS1018-AGL-ZZ-00-D-E-6812</t>
  </si>
  <si>
    <t>Level 00 Fire Alarm Sheet 3</t>
  </si>
  <si>
    <t>FS1018-AGL-ZZ-00-D-E-6812          Level 00 Fire Alarm Sheet 3</t>
  </si>
  <si>
    <t>FS1018-AGL-ZZ-00-D-E-6820</t>
  </si>
  <si>
    <t>Level 00 Fire Alarm Zoning Sheet 1</t>
  </si>
  <si>
    <t>FS1018-AGL-ZZ-00-D-E-6820          Level 00 Fire Alarm Zoning Sheet 1</t>
  </si>
  <si>
    <t>FS1018-AGL-ZZ-00-D-E-6821</t>
  </si>
  <si>
    <t>Level 00 Fire Alarm Zoning Sheet 2</t>
  </si>
  <si>
    <t>FS1018-AGL-ZZ-00-D-E-6821          Level 00 Fire Alarm Zoning Sheet 2</t>
  </si>
  <si>
    <t>FS1018-AGL-ZZ-00-D-E-6822</t>
  </si>
  <si>
    <t>Level 00 Fire Alarm Zoning Sheet 3</t>
  </si>
  <si>
    <t>FS1018-AGL-ZZ-00-D-E-6822          Level 00 Fire Alarm Zoning Sheet 3</t>
  </si>
  <si>
    <t>FS1018-AGL-ZZ-00-D-E-6840</t>
  </si>
  <si>
    <t>Level 00 Security Sheet 1</t>
  </si>
  <si>
    <t>FS1018-AGL-ZZ-00-D-E-6840          Level 00 Security Sheet 1</t>
  </si>
  <si>
    <t>FS1018-AGL-ZZ-00-D-E-6841</t>
  </si>
  <si>
    <t>Level 00 Security Sheet 2</t>
  </si>
  <si>
    <t>FS1018-AGL-ZZ-00-D-E-6841          Level 00 Security Sheet 2</t>
  </si>
  <si>
    <t>FS1018-AGL-ZZ-00-D-E-6842</t>
  </si>
  <si>
    <t>Level 00 Security Sheet 3</t>
  </si>
  <si>
    <t>FS1018-AGL-ZZ-00-D-E-6842          Level 00 Security Sheet 3</t>
  </si>
  <si>
    <t>FS1018-AGL-ZZ-00-D-E-9001</t>
  </si>
  <si>
    <t>Photovoltaic Canopies</t>
  </si>
  <si>
    <t>FS1018-AGL-ZZ-00-D-E-9001          Photovoltaic Canopies</t>
  </si>
  <si>
    <t>FS1018-AGL-ZZ-00-D-M-5210</t>
  </si>
  <si>
    <t>Level 00 Above Ground Drainage Sheet 1</t>
  </si>
  <si>
    <t>FS1018-AGL-ZZ-00-D-M-5210          Level 00 Above Ground Drainage Sheet 1</t>
  </si>
  <si>
    <t>FS1018-AGL-ZZ-00-D-M-5211</t>
  </si>
  <si>
    <t>Level 00 Above Ground Drainage Sheet 2</t>
  </si>
  <si>
    <t>FS1018-AGL-ZZ-00-D-M-5211          Level 00 Above Ground Drainage Sheet 2</t>
  </si>
  <si>
    <t>FS1018-AGL-ZZ-00-D-M-5212</t>
  </si>
  <si>
    <t>Level 00 Above Ground Drainage Sheet 3</t>
  </si>
  <si>
    <t>FS1018-AGL-ZZ-00-D-M-5212          Level 00 Above Ground Drainage Sheet 3</t>
  </si>
  <si>
    <t>FS1018-AGL-ZZ-00-D-M-5310</t>
  </si>
  <si>
    <t>Level 00 Domestic Water Services Sheet 1</t>
  </si>
  <si>
    <t>FS1018-AGL-ZZ-00-D-M-5310          Level 00 Domestic Water Services Sheet 1</t>
  </si>
  <si>
    <t>FS1018-AGL-ZZ-00-D-M-5311</t>
  </si>
  <si>
    <t>Level 00 Domestic Water Services Sheet 2</t>
  </si>
  <si>
    <t>FS1018-AGL-ZZ-00-D-M-5311          Level 00 Domestic Water Services Sheet 2</t>
  </si>
  <si>
    <t>FS1018-AGL-ZZ-00-D-M-5312</t>
  </si>
  <si>
    <t>Level 00 Domestic Water Services Sheet 3</t>
  </si>
  <si>
    <t>FS1018-AGL-ZZ-00-D-M-5312          Level 00 Domestic Water Services Sheet 3</t>
  </si>
  <si>
    <t>FS1018-AGL-ZZ-00-D-M-5410</t>
  </si>
  <si>
    <t>Level 00 Gas</t>
  </si>
  <si>
    <t>FS1018-AGL-ZZ-00-D-M-5410          Level 00 Gas</t>
  </si>
  <si>
    <t>FS1018-AGL-ZZ-00-D-M-5610</t>
  </si>
  <si>
    <t>Level 00 Heating and Cooling Sheet 1</t>
  </si>
  <si>
    <t>FS1018-AGL-ZZ-00-D-M-5610          Level 00 Heating and Cooling Sheet 1</t>
  </si>
  <si>
    <t>FS1018-AGL-ZZ-00-D-M-5611</t>
  </si>
  <si>
    <t>Level 00 Heating and Cooling Sheet 2</t>
  </si>
  <si>
    <t>FS1018-AGL-ZZ-00-D-M-5611          Level 00 Heating and Cooling Sheet 2</t>
  </si>
  <si>
    <t>FS1018-AGL-ZZ-00-D-M-5612</t>
  </si>
  <si>
    <t>Level 00 Heating and Cooling Sheet 3</t>
  </si>
  <si>
    <t>FS1018-AGL-ZZ-00-D-M-5612          Level 00 Heating and Cooling Sheet 3</t>
  </si>
  <si>
    <t>FS1018-AGL-ZZ-00-D-M-5710</t>
  </si>
  <si>
    <t>Level 00 Ventilation Sheet 1</t>
  </si>
  <si>
    <t>FS1018-AGL-ZZ-00-D-M-5710          Level 00 Ventilation Sheet 1</t>
  </si>
  <si>
    <t>FS1018-AGL-ZZ-00-D-M-5711</t>
  </si>
  <si>
    <t>Level 00 Ventilation Sheet 2</t>
  </si>
  <si>
    <t>FS1018-AGL-ZZ-00-D-M-5711          Level 00 Ventilation Sheet 2</t>
  </si>
  <si>
    <t>FS1018-AGL-ZZ-00-D-M-5712</t>
  </si>
  <si>
    <t>Level 00 Ventilation Sheet 3</t>
  </si>
  <si>
    <t>FS1018-AGL-ZZ-00-D-M-5712          Level 00 Ventilation Sheet 3</t>
  </si>
  <si>
    <t>FS1018-AGL-ZZ-00-D-M-5810</t>
  </si>
  <si>
    <t>Level 00 Plantroom Sheet 1</t>
  </si>
  <si>
    <t>FS1018-AGL-ZZ-00-D-M-5810          Level 00 Plantroom Sheet 1</t>
  </si>
  <si>
    <t>FS1018-AGL-ZZ-00-D-M-5811</t>
  </si>
  <si>
    <t>Level 00 Plantroom Sheet 2</t>
  </si>
  <si>
    <t>FS1018-AGL-ZZ-00-D-M-5811          Level 00 Plantroom Sheet 2</t>
  </si>
  <si>
    <t>FS1018-AGL-ZZ-00-D-Z-6010</t>
  </si>
  <si>
    <t>Level 00 Builderswork Sheet 1</t>
  </si>
  <si>
    <t>FS1018-AGL-ZZ-00-D-Z-6010          Level 00 Builderswork Sheet 1</t>
  </si>
  <si>
    <t>FS1018-AGL-ZZ-00-D-Z-6011</t>
  </si>
  <si>
    <t>Level 00 Builderswork Sheet 2</t>
  </si>
  <si>
    <t>FS1018-AGL-ZZ-00-D-Z-6011          Level 00 Builderswork Sheet 2</t>
  </si>
  <si>
    <t>FS1018-AGL-ZZ-00-D-Z-6012</t>
  </si>
  <si>
    <t>Level 00 Builderswork Sheet 3</t>
  </si>
  <si>
    <t>FS1018-AGL-ZZ-00-D-Z-6012          Level 00 Builderswork Sheet 3</t>
  </si>
  <si>
    <t>FS1018-AGL-ZZ-00-D-Z-9610</t>
  </si>
  <si>
    <t>Level 00 Reflected Ceiling Plan Sheet 1</t>
  </si>
  <si>
    <t>FS1018-AGL-ZZ-00-D-Z-9610          Level 00 Reflected Ceiling Plan Sheet 1</t>
  </si>
  <si>
    <t>FS1018-AGL-ZZ-00-D-Z-9611</t>
  </si>
  <si>
    <t>Level 00 Reflected Ceiling Plan Sheet 2</t>
  </si>
  <si>
    <t>FS1018-AGL-ZZ-00-D-Z-9611          Level 00 Reflected Ceiling Plan Sheet 2</t>
  </si>
  <si>
    <t>FS1018-AGL-ZZ-00-D-Z-9612</t>
  </si>
  <si>
    <t>Level 00 Reflected Ceiling Plan Sheet 3</t>
  </si>
  <si>
    <t>FS1018-AGL-ZZ-00-D-Z-9612          Level 00 Reflected Ceiling Plan Sheet 3</t>
  </si>
  <si>
    <t>FS1018-AGL-ZZ-01-D-E-6110</t>
  </si>
  <si>
    <t>Level 01 Containment Sheet 1</t>
  </si>
  <si>
    <t>FS1018-AGL-ZZ-01-D-E-6110          Level 01 Containment Sheet 1</t>
  </si>
  <si>
    <t>FS1018-AGL-ZZ-01-D-E-6111</t>
  </si>
  <si>
    <t>Level 01 Containment Sheet 2</t>
  </si>
  <si>
    <t>FS1018-AGL-ZZ-01-D-E-6111          Level 01 Containment Sheet 2</t>
  </si>
  <si>
    <t>FS1018-AGL-ZZ-01-D-E-6210</t>
  </si>
  <si>
    <t>Level 01 Small Power And Data Sheet 1</t>
  </si>
  <si>
    <t>FS1018-AGL-ZZ-01-D-E-6210          Level 01 Small Power And Data Sheet 1</t>
  </si>
  <si>
    <t>FS1018-AGL-ZZ-01-D-E-6211</t>
  </si>
  <si>
    <t>Level 01 Small Power And Data Sheet 2</t>
  </si>
  <si>
    <t>FS1018-AGL-ZZ-01-D-E-6211          Level 01 Small Power And Data Sheet 2</t>
  </si>
  <si>
    <t>FS1018-AGL-ZZ-01-D-E-6212</t>
  </si>
  <si>
    <t>Level 01 MSER Sheet 1</t>
  </si>
  <si>
    <t>FS1018-AGL-ZZ-01-D-E-6212          Level 01 MSER Sheet 1</t>
  </si>
  <si>
    <t>FS1018-AGL-ZZ-01-D-E-6213</t>
  </si>
  <si>
    <t>Level 01 MSER Sheet 2</t>
  </si>
  <si>
    <t>FS1018-AGL-ZZ-01-D-E-6213          Level 01 MSER Sheet 2</t>
  </si>
  <si>
    <t>FS1018-AGL-ZZ-01-D-E-6310</t>
  </si>
  <si>
    <t>Level 01 Lighting Sheet 1</t>
  </si>
  <si>
    <t>FS1018-AGL-ZZ-01-D-E-6310          Level 01 Lighting Sheet 1</t>
  </si>
  <si>
    <t>FS1018-AGL-ZZ-01-D-E-6311</t>
  </si>
  <si>
    <t>Level 01 Lighting Sheet 2</t>
  </si>
  <si>
    <t>FS1018-AGL-ZZ-01-D-E-6311          Level 01 Lighting Sheet 2</t>
  </si>
  <si>
    <t>FS1018-AGL-ZZ-01-D-E-6810</t>
  </si>
  <si>
    <t>Level 01 Fire Alarm Sheet 1</t>
  </si>
  <si>
    <t>FS1018-AGL-ZZ-01-D-E-6810          Level 01 Fire Alarm Sheet 1</t>
  </si>
  <si>
    <t>FS1018-AGL-ZZ-01-D-E-6811</t>
  </si>
  <si>
    <t>Level 01 Fire Alarm Sheet 2</t>
  </si>
  <si>
    <t>FS1018-AGL-ZZ-01-D-E-6811          Level 01 Fire Alarm Sheet 2</t>
  </si>
  <si>
    <t>FS1018-AGL-ZZ-01-D-E-6820</t>
  </si>
  <si>
    <t>Level 01 Fire Alarm Zoning Sheet 1</t>
  </si>
  <si>
    <t>FS1018-AGL-ZZ-01-D-E-6820          Level 01 Fire Alarm Zoning Sheet 1</t>
  </si>
  <si>
    <t>FS1018-AGL-ZZ-01-D-E-6821</t>
  </si>
  <si>
    <t>Level 01 Fire Alarm Zoning Sheet 2</t>
  </si>
  <si>
    <t>FS1018-AGL-ZZ-01-D-E-6821          Level 01 Fire Alarm Zoning Sheet 2</t>
  </si>
  <si>
    <t>FS1018-AGL-ZZ-01-D-E-6840</t>
  </si>
  <si>
    <t>Level 01 Security Sheet 1</t>
  </si>
  <si>
    <t>FS1018-AGL-ZZ-01-D-E-6840          Level 01 Security Sheet 1</t>
  </si>
  <si>
    <t>FS1018-AGL-ZZ-01-D-E-6841</t>
  </si>
  <si>
    <t>Level 01 Security Sheet 2</t>
  </si>
  <si>
    <t>FS1018-AGL-ZZ-01-D-E-6841          Level 01 Security Sheet 2</t>
  </si>
  <si>
    <t>FS1018-AGL-ZZ-01-D-M-5210</t>
  </si>
  <si>
    <t>Level 01 Above Ground Drainage Sheet 1</t>
  </si>
  <si>
    <t>FS1018-AGL-ZZ-01-D-M-5210          Level 01 Above Ground Drainage Sheet 1</t>
  </si>
  <si>
    <t>FS1018-AGL-ZZ-01-D-M-5211</t>
  </si>
  <si>
    <t>Level 01 Above Ground Drainage Sheet 2</t>
  </si>
  <si>
    <t>FS1018-AGL-ZZ-01-D-M-5211          Level 01 Above Ground Drainage Sheet 2</t>
  </si>
  <si>
    <t>FS1018-AGL-ZZ-01-D-M-5310</t>
  </si>
  <si>
    <t>Level 01 Domestic Water Services Sheet 1</t>
  </si>
  <si>
    <t>FS1018-AGL-ZZ-01-D-M-5310          Level 01 Domestic Water Services Sheet 1</t>
  </si>
  <si>
    <t>FS1018-AGL-ZZ-01-D-M-5311</t>
  </si>
  <si>
    <t>Level 01 Domestic Water Services Sheet 2</t>
  </si>
  <si>
    <t>FS1018-AGL-ZZ-01-D-M-5311          Level 01 Domestic Water Services Sheet 2</t>
  </si>
  <si>
    <t>FS1018-AGL-ZZ-01-D-M-5410</t>
  </si>
  <si>
    <t>Level 01 Gas</t>
  </si>
  <si>
    <t>FS1018-AGL-ZZ-01-D-M-5410          Level 01 Gas</t>
  </si>
  <si>
    <t>FS1018-AGL-ZZ-01-D-M-5610</t>
  </si>
  <si>
    <t>Level 01 Heating and Cooling Sheet 1</t>
  </si>
  <si>
    <t>FS1018-AGL-ZZ-01-D-M-5610          Level 01 Heating and Cooling Sheet 1</t>
  </si>
  <si>
    <t>FS1018-AGL-ZZ-01-D-M-5611</t>
  </si>
  <si>
    <t>Level 01 Heating and Cooling Sheet 2</t>
  </si>
  <si>
    <t>FS1018-AGL-ZZ-01-D-M-5611          Level 01 Heating and Cooling Sheet 2</t>
  </si>
  <si>
    <t>FS1018-AGL-ZZ-01-D-M-5710</t>
  </si>
  <si>
    <t>Level 01 Ventilation Sheet 1</t>
  </si>
  <si>
    <t>FS1018-AGL-ZZ-01-D-M-5710          Level 01 Ventilation Sheet 1</t>
  </si>
  <si>
    <t>FS1018-AGL-ZZ-01-D-M-5711</t>
  </si>
  <si>
    <t>Level 01 Ventilation Sheet 2</t>
  </si>
  <si>
    <t>FS1018-AGL-ZZ-01-D-M-5711          Level 01 Ventilation Sheet 2</t>
  </si>
  <si>
    <t>FS1018-AGL-ZZ-01-D-Z-6010</t>
  </si>
  <si>
    <t>Level 01 Builderswork Sheet 1</t>
  </si>
  <si>
    <t>FS1018-AGL-ZZ-01-D-Z-6010          Level 01 Builderswork Sheet 1</t>
  </si>
  <si>
    <t>FS1018-AGL-ZZ-01-D-Z-6011</t>
  </si>
  <si>
    <t>Level 01 Builderswork Sheet 2</t>
  </si>
  <si>
    <t>FS1018-AGL-ZZ-01-D-Z-6011          Level 01 Builderswork Sheet 2</t>
  </si>
  <si>
    <t>FS1018-AGL-ZZ-01-D-Z-9610</t>
  </si>
  <si>
    <t>Level 01 Reflected Ceiling Plan Sheet 1</t>
  </si>
  <si>
    <t>FS1018-AGL-ZZ-01-D-Z-9610          Level 01 Reflected Ceiling Plan Sheet 1</t>
  </si>
  <si>
    <t>FS1018-AGL-ZZ-01-D-Z-9611</t>
  </si>
  <si>
    <t>Level 01 Reflected Ceiling Plan Sheet 2</t>
  </si>
  <si>
    <t>FS1018-AGL-ZZ-01-D-Z-9611          Level 01 Reflected Ceiling Plan Sheet 2</t>
  </si>
  <si>
    <t>FS1018-AGL-ZZ-02-D-E-6110</t>
  </si>
  <si>
    <t>Level 02 Containment Sheet 1</t>
  </si>
  <si>
    <t>FS1018-AGL-ZZ-02-D-E-6110          Level 02 Containment Sheet 1</t>
  </si>
  <si>
    <t>FS1018-AGL-ZZ-02-D-E-6111</t>
  </si>
  <si>
    <t>Level 02 Containment Sheet 2</t>
  </si>
  <si>
    <t>FS1018-AGL-ZZ-02-D-E-6111          Level 02 Containment Sheet 2</t>
  </si>
  <si>
    <t>FS1018-AGL-ZZ-02-D-E-6210</t>
  </si>
  <si>
    <t>Level 02 Small Power And Data Sheet 1</t>
  </si>
  <si>
    <t>FS1018-AGL-ZZ-02-D-E-6210          Level 02 Small Power And Data Sheet 1</t>
  </si>
  <si>
    <t>FS1018-AGL-ZZ-02-D-E-6211</t>
  </si>
  <si>
    <t>Level 02 Small Power And Data Sheet 2</t>
  </si>
  <si>
    <t>FS1018-AGL-ZZ-02-D-E-6211          Level 02 Small Power And Data Sheet 2</t>
  </si>
  <si>
    <t>FS1018-AGL-ZZ-02-D-E-6212</t>
  </si>
  <si>
    <t>Level 02 MSER Sheet 1</t>
  </si>
  <si>
    <t>FS1018-AGL-ZZ-02-D-E-6212          Level 02 MSER Sheet 1</t>
  </si>
  <si>
    <t>FS1018-AGL-ZZ-02-D-E-6213</t>
  </si>
  <si>
    <t>Level 02 MSER Sheet 2</t>
  </si>
  <si>
    <t>FS1018-AGL-ZZ-02-D-E-6213          Level 02 MSER Sheet 2</t>
  </si>
  <si>
    <t>FS1018-AGL-ZZ-02-D-E-6310</t>
  </si>
  <si>
    <t>Level 02 Lighting Sheet 1</t>
  </si>
  <si>
    <t>FS1018-AGL-ZZ-02-D-E-6310          Level 02 Lighting Sheet 1</t>
  </si>
  <si>
    <t>FS1018-AGL-ZZ-02-D-E-6311</t>
  </si>
  <si>
    <t>Level 02 Lighting Sheet 2</t>
  </si>
  <si>
    <t>FS1018-AGL-ZZ-02-D-E-6311          Level 02 Lighting Sheet 2</t>
  </si>
  <si>
    <t>FS1018-AGL-ZZ-02-D-E-6810</t>
  </si>
  <si>
    <t>Level 02 Fire Alarm Sheet 1</t>
  </si>
  <si>
    <t>FS1018-AGL-ZZ-02-D-E-6810          Level 02 Fire Alarm Sheet 1</t>
  </si>
  <si>
    <t>FS1018-AGL-ZZ-02-D-E-6811</t>
  </si>
  <si>
    <t>Level 02 Fire Alarm Sheet 2</t>
  </si>
  <si>
    <t>FS1018-AGL-ZZ-02-D-E-6811          Level 02 Fire Alarm Sheet 2</t>
  </si>
  <si>
    <t>FS1018-AGL-ZZ-02-D-E-6820</t>
  </si>
  <si>
    <t>Level 02 Fire Alarm Zoning Sheet 1</t>
  </si>
  <si>
    <t>FS1018-AGL-ZZ-02-D-E-6820          Level 02 Fire Alarm Zoning Sheet 1</t>
  </si>
  <si>
    <t>FS1018-AGL-ZZ-02-D-E-6821</t>
  </si>
  <si>
    <t>Level 02 Fire Alarm Zoning Sheet 2</t>
  </si>
  <si>
    <t>FS1018-AGL-ZZ-02-D-E-6821          Level 02 Fire Alarm Zoning Sheet 2</t>
  </si>
  <si>
    <t>FS1018-AGL-ZZ-02-D-E-6840</t>
  </si>
  <si>
    <t>Level 02 Security Sheet 1</t>
  </si>
  <si>
    <t>FS1018-AGL-ZZ-02-D-E-6840          Level 02 Security Sheet 1</t>
  </si>
  <si>
    <t>FS1018-AGL-ZZ-02-D-E-6841</t>
  </si>
  <si>
    <t>Level 02 Security Sheet 2</t>
  </si>
  <si>
    <t>FS1018-AGL-ZZ-02-D-E-6841          Level 02 Security Sheet 2</t>
  </si>
  <si>
    <t>FS1018-AGL-ZZ-02-D-M-5210</t>
  </si>
  <si>
    <t>Level 02 Above Ground Drainage Sheet 1</t>
  </si>
  <si>
    <t>FS1018-AGL-ZZ-02-D-M-5210          Level 02 Above Ground Drainage Sheet 1</t>
  </si>
  <si>
    <t>FS1018-AGL-ZZ-02-D-M-5211</t>
  </si>
  <si>
    <t>Level 02 Above Ground Drainage Sheet 2</t>
  </si>
  <si>
    <t>FS1018-AGL-ZZ-02-D-M-5211          Level 02 Above Ground Drainage Sheet 2</t>
  </si>
  <si>
    <t>FS1018-AGL-ZZ-02-D-M-5310</t>
  </si>
  <si>
    <t>Level 02 Domestic Water Services Sheet 1</t>
  </si>
  <si>
    <t>FS1018-AGL-ZZ-02-D-M-5310          Level 02 Domestic Water Services Sheet 1</t>
  </si>
  <si>
    <t>FS1018-AGL-ZZ-02-D-M-5311</t>
  </si>
  <si>
    <t>Level 02 Domestic Water Services Sheet 2</t>
  </si>
  <si>
    <t>FS1018-AGL-ZZ-02-D-M-5311          Level 02 Domestic Water Services Sheet 2</t>
  </si>
  <si>
    <t>FS1018-AGL-ZZ-02-D-M-5410</t>
  </si>
  <si>
    <t>Level 02 Gas</t>
  </si>
  <si>
    <t>FS1018-AGL-ZZ-02-D-M-5410          Level 02 Gas</t>
  </si>
  <si>
    <t>FS1018-AGL-ZZ-02-D-M-5610</t>
  </si>
  <si>
    <t>Level 02 Heating and Cooling Sheet 1</t>
  </si>
  <si>
    <t>FS1018-AGL-ZZ-02-D-M-5610          Level 02 Heating and Cooling Sheet 1</t>
  </si>
  <si>
    <t>FS1018-AGL-ZZ-02-D-M-5611</t>
  </si>
  <si>
    <t>Level 02 Heating and Cooling Sheet 2</t>
  </si>
  <si>
    <t>FS1018-AGL-ZZ-02-D-M-5611          Level 02 Heating and Cooling Sheet 2</t>
  </si>
  <si>
    <t>FS1018-AGL-ZZ-02-D-M-5710</t>
  </si>
  <si>
    <t>Level 02 Ventilation Sheet 1</t>
  </si>
  <si>
    <t>FS1018-AGL-ZZ-02-D-M-5710          Level 02 Ventilation Sheet 1</t>
  </si>
  <si>
    <t>FS1018-AGL-ZZ-02-D-M-5711</t>
  </si>
  <si>
    <t>Level 02 Ventilation Sheet 2</t>
  </si>
  <si>
    <t>FS1018-AGL-ZZ-02-D-M-5711          Level 02 Ventilation Sheet 2</t>
  </si>
  <si>
    <t>FS1018-AGL-ZZ-02-D-Z-6010</t>
  </si>
  <si>
    <t>Level 02 Builderswork Sheet 1</t>
  </si>
  <si>
    <t>FS1018-AGL-ZZ-02-D-Z-6010          Level 02 Builderswork Sheet 1</t>
  </si>
  <si>
    <t>FS1018-AGL-ZZ-02-D-Z-6011</t>
  </si>
  <si>
    <t>Level 02 Builderswork Sheet 2</t>
  </si>
  <si>
    <t>FS1018-AGL-ZZ-02-D-Z-6011          Level 02 Builderswork Sheet 2</t>
  </si>
  <si>
    <t>FS1018-AGL-ZZ-02-D-Z-9610</t>
  </si>
  <si>
    <t>Level 02 Reflected Ceiling Plan Sheet 1</t>
  </si>
  <si>
    <t>FS1018-AGL-ZZ-02-D-Z-9610          Level 02 Reflected Ceiling Plan Sheet 1</t>
  </si>
  <si>
    <t>FS1018-AGL-ZZ-02-D-Z-9611</t>
  </si>
  <si>
    <t>Level 02 Reflected Ceiling Plan Sheet 2</t>
  </si>
  <si>
    <t>FS1018-AGL-ZZ-02-D-Z-9611          Level 02 Reflected Ceiling Plan Sheet 2</t>
  </si>
  <si>
    <t>FS1018-AGL-ZZ-RF-D-E-6213</t>
  </si>
  <si>
    <t>Roof Level MSER</t>
  </si>
  <si>
    <t>FS1018-AGL-ZZ-RF-D-E-6213          Roof Level MSER</t>
  </si>
  <si>
    <t>FS1018-AGL-ZZ-RF-D-E-6810</t>
  </si>
  <si>
    <t>Roof Level Fire Alarm Sheet 1</t>
  </si>
  <si>
    <t>FS1018-AGL-ZZ-RF-D-E-6810          Roof Level Fire Alarm Sheet 1</t>
  </si>
  <si>
    <t>FS1018-AGL-ZZ-RF-D-E-6811</t>
  </si>
  <si>
    <t>Roof Level Fire Alarm Sheet 2</t>
  </si>
  <si>
    <t>FS1018-AGL-ZZ-RF-D-E-6811          Roof Level Fire Alarm Sheet 2</t>
  </si>
  <si>
    <t>FS1018-AGL-ZZ-RF-D-E-6840</t>
  </si>
  <si>
    <t>Roof Level Security Sheet 1</t>
  </si>
  <si>
    <t>FS1018-AGL-ZZ-RF-D-E-6840          Roof Level Security Sheet 1</t>
  </si>
  <si>
    <t>FS1018-AGL-ZZ-RF-D-E-6841</t>
  </si>
  <si>
    <t>Roof Level Security Sheet 2</t>
  </si>
  <si>
    <t>FS1018-AGL-ZZ-RF-D-E-6841          Roof Level Security Sheet 2</t>
  </si>
  <si>
    <t>FS1018-AGL-ZZ-RF-D-E-6842</t>
  </si>
  <si>
    <t>Roof Level Security Sheet 3</t>
  </si>
  <si>
    <t>FS1018-AGL-ZZ-RF-D-E-6842          Roof Level Security Sheet 3</t>
  </si>
  <si>
    <t>FS1018-AGL-ZZ-RF-D-E-9001</t>
  </si>
  <si>
    <t>Photovoltaic</t>
  </si>
  <si>
    <t>FS1018-AGL-ZZ-RF-D-E-9001          Photovoltaic</t>
  </si>
  <si>
    <t>FS1018-AGL-ZZ-RF-D-M-5210</t>
  </si>
  <si>
    <t>Roof Level Above Ground Drainage Sheet 1</t>
  </si>
  <si>
    <t>FS1018-AGL-ZZ-RF-D-M-5210          Roof Level Above Ground Drainage Sheet 1</t>
  </si>
  <si>
    <t>FS1018-AGL-ZZ-RF-D-M-5211</t>
  </si>
  <si>
    <t>Roof Level Above Ground Drainage Sheet 2</t>
  </si>
  <si>
    <t>FS1018-AGL-ZZ-RF-D-M-5211          Roof Level Above Ground Drainage Sheet 2</t>
  </si>
  <si>
    <t>FS1018-AGL-ZZ-RF-D-M-5212</t>
  </si>
  <si>
    <t>Roof Level Above Ground Drainage Sheet 3</t>
  </si>
  <si>
    <t>FS1018-AGL-ZZ-RF-D-M-5212          Roof Level Above Ground Drainage Sheet 3</t>
  </si>
  <si>
    <t>FS1018-AGL-ZZ-RF-D-M-5310</t>
  </si>
  <si>
    <t>Roof Level Domestic Water Services Sheet 1</t>
  </si>
  <si>
    <t>FS1018-AGL-ZZ-RF-D-M-5310          Roof Level Domestic Water Services Sheet 1</t>
  </si>
  <si>
    <t>FS1018-AGL-ZZ-RF-D-M-5311</t>
  </si>
  <si>
    <t>Roof Level Domestic Water Services Sheet 2</t>
  </si>
  <si>
    <t>FS1018-AGL-ZZ-RF-D-M-5311          Roof Level Domestic Water Services Sheet 2</t>
  </si>
  <si>
    <t>FS1018-AGL-ZZ-RF-D-M-5312</t>
  </si>
  <si>
    <t>Roof Level Domestic Water Services Sheet 3</t>
  </si>
  <si>
    <t>FS1018-AGL-ZZ-RF-D-M-5312          Roof Level Domestic Water Services Sheet 3</t>
  </si>
  <si>
    <t>FS1018-AGL-ZZ-RF-D-M-5710</t>
  </si>
  <si>
    <t>Roof Level Ventilation Sheet 1</t>
  </si>
  <si>
    <t>FS1018-AGL-ZZ-RF-D-M-5710          Roof Level Ventilation Sheet 1</t>
  </si>
  <si>
    <t>FS1018-AGL-ZZ-RF-D-M-5711</t>
  </si>
  <si>
    <t>Roof Level Ventilation Sheet 2</t>
  </si>
  <si>
    <t>FS1018-AGL-ZZ-RF-D-M-5711          Roof Level Ventilation Sheet 2</t>
  </si>
  <si>
    <t>FS1018-AGL-ZZ-RF-D-M-5712</t>
  </si>
  <si>
    <t>Roof Level Ventilation Sheet 3</t>
  </si>
  <si>
    <t>FS1018-AGL-ZZ-RF-D-M-5712          Roof Level Ventilation Sheet 3</t>
  </si>
  <si>
    <t>FS1018-AGL-ZZ-RF-D-Z-5810</t>
  </si>
  <si>
    <t>Roof Level Plantroom Sheet 1</t>
  </si>
  <si>
    <t>FS1018-AGL-ZZ-RF-D-Z-5810          Roof Level Plantroom Sheet 1</t>
  </si>
  <si>
    <t>FS1018-AGL-ZZ-RF-D-Z-5811</t>
  </si>
  <si>
    <t>Roof Level Plantroom Sheet 2</t>
  </si>
  <si>
    <t>FS1018-AGL-ZZ-RF-D-Z-5811          Roof Level Plantroom Sheet 2</t>
  </si>
  <si>
    <t>FS1018-AGL-ZZ-RF-D-Z-5812</t>
  </si>
  <si>
    <t>Roof Level Plantroom Sheet 3</t>
  </si>
  <si>
    <t>FS1018-AGL-ZZ-RF-D-Z-5812          Roof Level Plantroom Sheet 3</t>
  </si>
  <si>
    <t>FS1018-AGL-ZZ-RF-D-Z-6010</t>
  </si>
  <si>
    <t>Roof Level Builderswork Sheet 1</t>
  </si>
  <si>
    <t>FS1018-AGL-ZZ-RF-D-Z-6010          Roof Level Builderswork Sheet 1</t>
  </si>
  <si>
    <t>FS1018-AGL-ZZ-RF-D-Z-6011</t>
  </si>
  <si>
    <t>Roof Level Builderswork Sheet 2</t>
  </si>
  <si>
    <t>FS1018-AGL-ZZ-RF-D-Z-6011          Roof Level Builderswork Sheet 2</t>
  </si>
  <si>
    <t>FS1018-AGL-ZZ-RF-D-Z-6012</t>
  </si>
  <si>
    <t>Roof Level Builderswork Sheet 3</t>
  </si>
  <si>
    <t>FS1018-AGL-ZZ-RF-D-Z-6012          Roof Level Builderswork Sheet 3</t>
  </si>
  <si>
    <t>FS1018-AGL-ZZ-XX-D-E-9001</t>
  </si>
  <si>
    <t>External Lighting</t>
  </si>
  <si>
    <t>FS1018-AGL-ZZ-XX-D-E-9001          External Lighting</t>
  </si>
  <si>
    <t>P04</t>
  </si>
  <si>
    <t>FS1018-AGL-ZZ-XX-D-E-9002</t>
  </si>
  <si>
    <t>External Lighting Lux Levels</t>
  </si>
  <si>
    <t>FS1018-AGL-ZZ-XX-D-E-9002          External Lighting Lux Levels</t>
  </si>
  <si>
    <t>FS1018-AGL-ZZ-XX-D-E-9511</t>
  </si>
  <si>
    <t>DNO Services Drawing and Proposal</t>
  </si>
  <si>
    <t>FS1018-AGL-ZZ-XX-D-E-9511          DNO Services Drawing and Proposal</t>
  </si>
  <si>
    <t>FS1018-AGL-ZZ-XX-D-Z-5810</t>
  </si>
  <si>
    <t>External Compound</t>
  </si>
  <si>
    <t>FS1018-AGL-ZZ-XX-D-Z-5810          External Compound</t>
  </si>
  <si>
    <t>FS1018-AGL-ZZ-XX-D-Z-9510</t>
  </si>
  <si>
    <t>External Services</t>
  </si>
  <si>
    <t>FS1018-AGL-ZZ-XX-D-Z-9510          External Services</t>
  </si>
  <si>
    <t>FS1018-AGL-ZZ-XX-L-E-0001</t>
  </si>
  <si>
    <t>Proposed Manufacturers Electrical Schedule</t>
  </si>
  <si>
    <t>FS1018-AGL-ZZ-XX-L-E-0001          Proposed Manufacturers Electrical Schedule</t>
  </si>
  <si>
    <t>FS1018-AGL-ZZ-XX-L-E-0002</t>
  </si>
  <si>
    <t>Cable Calculation &amp; Schedule Report</t>
  </si>
  <si>
    <t>FS1018-AGL-ZZ-XX-L-E-0002          Cable Calculation &amp; Schedule Report</t>
  </si>
  <si>
    <t>FS1018-AGL-ZZ-XX-L-E-0003</t>
  </si>
  <si>
    <t>Containment Calculations</t>
  </si>
  <si>
    <t>FS1018-AGL-ZZ-XX-L-E-0003          Containment Calculations</t>
  </si>
  <si>
    <t>FS1018-AGL-ZZ-XX-L-E-0004</t>
  </si>
  <si>
    <t>Lighting Calculations</t>
  </si>
  <si>
    <t>FS1018-AGL-ZZ-XX-L-E-0004          Lighting Calculations</t>
  </si>
  <si>
    <t>FS1018-AGL-ZZ-XX-L-E-0005</t>
  </si>
  <si>
    <t>Exit Signage Calculation</t>
  </si>
  <si>
    <t>FS1018-AGL-ZZ-XX-L-E-0005          Exit Signage Calculation</t>
  </si>
  <si>
    <t>FS1018-AGL-ZZ-XX-L-E-9602</t>
  </si>
  <si>
    <t>Luminaire Schedule</t>
  </si>
  <si>
    <t>FS1018-AGL-ZZ-XX-L-E-9602          Luminaire Schedule</t>
  </si>
  <si>
    <t>FS1018-AGL-ZZ-XX-L-M-0003</t>
  </si>
  <si>
    <t>Domestic Water Services Calculations</t>
  </si>
  <si>
    <t>FS1018-AGL-ZZ-XX-L-M-0003          Domestic Water Services Calculations</t>
  </si>
  <si>
    <t>FS1018-AGL-ZZ-XX-L-M-0004</t>
  </si>
  <si>
    <t>Ventilation Calculations</t>
  </si>
  <si>
    <t>FS1018-AGL-ZZ-XX-L-M-0004          Ventilation Calculations</t>
  </si>
  <si>
    <t>FS1018-AGL-ZZ-XX-L-M-0005</t>
  </si>
  <si>
    <t>Gas Calculations</t>
  </si>
  <si>
    <t>FS1018-AGL-ZZ-XX-L-M-0005          Gas Calculations</t>
  </si>
  <si>
    <t>FS1018-AGL-ZZ-XX-L-M-0006</t>
  </si>
  <si>
    <t>Above Ground Drainage Calculations</t>
  </si>
  <si>
    <t>FS1018-AGL-ZZ-XX-L-M-0006          Above Ground Drainage Calculations</t>
  </si>
  <si>
    <t>FS1018-AGL-ZZ-XX-L-M-0007</t>
  </si>
  <si>
    <t>Heating Calculations</t>
  </si>
  <si>
    <t>FS1018-AGL-ZZ-XX-L-M-0007          Heating Calculations</t>
  </si>
  <si>
    <t>FS1018-AGL-ZZ-XX-L-M-0008</t>
  </si>
  <si>
    <t>Heat Source Calculations</t>
  </si>
  <si>
    <t>FS1018-AGL-ZZ-XX-L-M-0008          Heat Source Calculations</t>
  </si>
  <si>
    <t>FS1018-AGL-ZZ-XX-L-M-9604</t>
  </si>
  <si>
    <t>Heat Pump Schedule</t>
  </si>
  <si>
    <t>FS1018-AGL-ZZ-XX-L-M-9604          Heat Pump Schedule</t>
  </si>
  <si>
    <t>FS1018-AGL-ZZ-XX-L-M-9605</t>
  </si>
  <si>
    <t>Buffer Vessel Schedule</t>
  </si>
  <si>
    <t>FS1018-AGL-ZZ-XX-L-M-9605          Buffer Vessel Schedule</t>
  </si>
  <si>
    <t>FS1018-AGL-ZZ-XX-L-M-9607</t>
  </si>
  <si>
    <t>Plate Heat Exchanger Schedule</t>
  </si>
  <si>
    <t>FS1018-AGL-ZZ-XX-L-M-9607          Plate Heat Exchanger Schedule</t>
  </si>
  <si>
    <t>FS1018-AGL-ZZ-XX-L-M-9608</t>
  </si>
  <si>
    <t>Water Heater Schedule</t>
  </si>
  <si>
    <t>FS1018-AGL-ZZ-XX-L-M-9608          Water Heater Schedule</t>
  </si>
  <si>
    <t>FS1018-AGL-ZZ-XX-L-M-9609</t>
  </si>
  <si>
    <t>Air &amp; Dirt Separator Schedule</t>
  </si>
  <si>
    <t>FS1018-AGL-ZZ-XX-L-M-9609          Air &amp; Dirt Separator Schedule</t>
  </si>
  <si>
    <t>FS1018-AGL-ZZ-XX-L-M-9610</t>
  </si>
  <si>
    <t>Dosing Pot Schedule</t>
  </si>
  <si>
    <t>FS1018-AGL-ZZ-XX-L-M-9610          Dosing Pot Schedule</t>
  </si>
  <si>
    <t>FS1018-AGL-ZZ-XX-L-M-9613</t>
  </si>
  <si>
    <t>Water Filter Schedule</t>
  </si>
  <si>
    <t>FS1018-AGL-ZZ-XX-L-M-9613          Water Filter Schedule</t>
  </si>
  <si>
    <t>FS1018-AGL-ZZ-XX-L-M-9614</t>
  </si>
  <si>
    <t>Water Softener Schedule</t>
  </si>
  <si>
    <t>FS1018-AGL-ZZ-XX-L-M-9614          Water Softener Schedule</t>
  </si>
  <si>
    <t>FS1018-AGL-ZZ-XX-L-M-9617</t>
  </si>
  <si>
    <t>Leak Detection Schedule</t>
  </si>
  <si>
    <t>FS1018-AGL-ZZ-XX-L-M-9617          Leak Detection Schedule</t>
  </si>
  <si>
    <t>FS1018-AGL-ZZ-XX-L-M-9619</t>
  </si>
  <si>
    <t>Gas Meter Schedule</t>
  </si>
  <si>
    <t>FS1018-AGL-ZZ-XX-L-M-9619          Gas Meter Schedule</t>
  </si>
  <si>
    <t>FS1018-AGL-ZZ-XX-L-M-9620</t>
  </si>
  <si>
    <t>Water Meter Schedule</t>
  </si>
  <si>
    <t>FS1018-AGL-ZZ-XX-L-M-9620          Water Meter Schedule</t>
  </si>
  <si>
    <t>FS1018-AGL-ZZ-XX-L-M-9621</t>
  </si>
  <si>
    <t>Heat Meter Schedule</t>
  </si>
  <si>
    <t>FS1018-AGL-ZZ-XX-L-M-9621          Heat Meter Schedule</t>
  </si>
  <si>
    <t>FS1018-AGL-ZZ-XX-L-M-9623</t>
  </si>
  <si>
    <t>Gas Solenoid Valve Schedule</t>
  </si>
  <si>
    <t>FS1018-AGL-ZZ-XX-L-M-9623          Gas Solenoid Valve Schedule</t>
  </si>
  <si>
    <t>FS1018-AGL-ZZ-XX-L-M-9624</t>
  </si>
  <si>
    <t>Gas Detection &amp; Proving Panel Schedule</t>
  </si>
  <si>
    <t>FS1018-AGL-ZZ-XX-L-M-9624          Gas Detection &amp; Proving Panel Schedule</t>
  </si>
  <si>
    <t>FS1018-AGL-ZZ-XX-L-M-9625</t>
  </si>
  <si>
    <t>Pressurisation Unit Schedule</t>
  </si>
  <si>
    <t>FS1018-AGL-ZZ-XX-L-M-9625          Pressurisation Unit Schedule</t>
  </si>
  <si>
    <t>FS1018-AGL-ZZ-XX-L-M-9627</t>
  </si>
  <si>
    <t>Storage Tank Schedule</t>
  </si>
  <si>
    <t>FS1018-AGL-ZZ-XX-L-M-9627          Storage Tank Schedule</t>
  </si>
  <si>
    <t>FS1018-AGL-ZZ-XX-L-M-9628</t>
  </si>
  <si>
    <t>Booster Set Schedule</t>
  </si>
  <si>
    <t>FS1018-AGL-ZZ-XX-L-M-9628          Booster Set Schedule</t>
  </si>
  <si>
    <t>FS1018-AGL-ZZ-XX-L-M-9630</t>
  </si>
  <si>
    <t>Pump Schedule</t>
  </si>
  <si>
    <t>FS1018-AGL-ZZ-XX-L-M-9630          Pump Schedule</t>
  </si>
  <si>
    <t>FS1018-AGL-ZZ-XX-L-M-9634</t>
  </si>
  <si>
    <t>Local Water Heater Schedule</t>
  </si>
  <si>
    <t>FS1018-AGL-ZZ-XX-L-M-9634          Local Water Heater Schedule</t>
  </si>
  <si>
    <t>FS1018-AGL-ZZ-XX-L-M-9637</t>
  </si>
  <si>
    <t>Radiator Schedule</t>
  </si>
  <si>
    <t>FS1018-AGL-ZZ-XX-L-M-9637          Radiator Schedule</t>
  </si>
  <si>
    <t>FS1018-AGL-ZZ-XX-L-M-9641</t>
  </si>
  <si>
    <t>Underfloor Heating Schedule</t>
  </si>
  <si>
    <t>FS1018-AGL-ZZ-XX-L-M-9641          Underfloor Heating Schedule</t>
  </si>
  <si>
    <t>FS1018-AGL-ZZ-XX-L-M-9642</t>
  </si>
  <si>
    <t>Underfloor Heating Manifold Schedule</t>
  </si>
  <si>
    <t>FS1018-AGL-ZZ-XX-L-M-9642          Underfloor Heating Manifold Schedule</t>
  </si>
  <si>
    <t>FS1018-AGL-ZZ-XX-L-M-9644</t>
  </si>
  <si>
    <t>Overdoor Heater Schedule</t>
  </si>
  <si>
    <t>FS1018-AGL-ZZ-XX-L-M-9644          Overdoor Heater Schedule</t>
  </si>
  <si>
    <t>FS1018-AGL-ZZ-XX-L-M-9647</t>
  </si>
  <si>
    <t>Electric Heater Schedule</t>
  </si>
  <si>
    <t>FS1018-AGL-ZZ-XX-L-M-9647          Electric Heater Schedule</t>
  </si>
  <si>
    <t>FS1018-AGL-ZZ-XX-L-M-9649</t>
  </si>
  <si>
    <t>Fan Convector Schedule</t>
  </si>
  <si>
    <t>FS1018-AGL-ZZ-XX-L-M-9649          Fan Convector Schedule</t>
  </si>
  <si>
    <t>FS1018-AGL-ZZ-XX-L-M-9652</t>
  </si>
  <si>
    <t>Air Handling Unit Schedule</t>
  </si>
  <si>
    <t>FS1018-AGL-ZZ-XX-L-M-9652          Air Handling Unit Schedule</t>
  </si>
  <si>
    <t>FS1018-AGL-ZZ-XX-L-M-9653</t>
  </si>
  <si>
    <t>Heat Recovery Unit Schedule</t>
  </si>
  <si>
    <t>FS1018-AGL-ZZ-XX-L-M-9653          Heat Recovery Unit Schedule</t>
  </si>
  <si>
    <t>FS1018-AGL-ZZ-XX-L-M-9654</t>
  </si>
  <si>
    <t>Hybrid Ventilation Unit Schedule</t>
  </si>
  <si>
    <t>FS1018-AGL-ZZ-XX-L-M-9654          Hybrid Ventilation Unit Schedule</t>
  </si>
  <si>
    <t>FS1018-AGL-ZZ-XX-L-M-9655</t>
  </si>
  <si>
    <t>Fan Schedule</t>
  </si>
  <si>
    <t>FS1018-AGL-ZZ-XX-L-M-9655          Fan Schedule</t>
  </si>
  <si>
    <t>FS1018-AGL-ZZ-XX-L-M-9658</t>
  </si>
  <si>
    <t>Louvre Schedule</t>
  </si>
  <si>
    <t>FS1018-AGL-ZZ-XX-L-M-9658          Louvre Schedule</t>
  </si>
  <si>
    <t>FS1018-AGL-ZZ-XX-L-M-9659</t>
  </si>
  <si>
    <t>Supply Diffuser Schedule</t>
  </si>
  <si>
    <t>FS1018-AGL-ZZ-XX-L-M-9659          Supply Diffuser Schedule</t>
  </si>
  <si>
    <t>FS1018-AGL-ZZ-XX-L-M-9660</t>
  </si>
  <si>
    <t>Extract Grille Schedule</t>
  </si>
  <si>
    <t>FS1018-AGL-ZZ-XX-L-M-9660          Extract Grille Schedule</t>
  </si>
  <si>
    <t>FS1018-AGL-ZZ-XX-L-M-9661</t>
  </si>
  <si>
    <t>Attenuator Schedule</t>
  </si>
  <si>
    <t>FS1018-AGL-ZZ-XX-L-M-9661          Attenuator Schedule</t>
  </si>
  <si>
    <t>FS1018-AGL-ZZ-XX-L-M-9662</t>
  </si>
  <si>
    <t>Transfer Grille Schedule</t>
  </si>
  <si>
    <t>FS1018-AGL-ZZ-XX-L-M-9662          Transfer Grille Schedule</t>
  </si>
  <si>
    <t>FS1018-AGL-ZZ-XX-L-M-9671</t>
  </si>
  <si>
    <t>Heating Coil Schedule (LTHW)</t>
  </si>
  <si>
    <t>FS1018-AGL-ZZ-XX-L-M-9671          Heating Coil Schedule (LTHW)</t>
  </si>
  <si>
    <t>FS1018-AGL-ZZ-XX-L-M-9675</t>
  </si>
  <si>
    <t>Smoke-activated Fire Damper Schedule</t>
  </si>
  <si>
    <t>FS1018-AGL-ZZ-XX-L-M-9675          Smoke-activated Fire Damper Schedule</t>
  </si>
  <si>
    <t>FS1018-AGL-ZZ-XX-L-M-9678</t>
  </si>
  <si>
    <t>Passive Stack Ventilator Schedule</t>
  </si>
  <si>
    <t>FS1018-AGL-ZZ-XX-L-M-9678          Passive Stack Ventilator Schedule</t>
  </si>
  <si>
    <t>FS1018-AGL-ZZ-XX-L-M-9681</t>
  </si>
  <si>
    <t>DX Indoor Unit Schedule</t>
  </si>
  <si>
    <t>FS1018-AGL-ZZ-XX-L-M-9681          DX Indoor Unit Schedule</t>
  </si>
  <si>
    <t>FS1018-AGL-ZZ-XX-L-M-9682</t>
  </si>
  <si>
    <t>DX Outdoor Unit Schedule</t>
  </si>
  <si>
    <t>FS1018-AGL-ZZ-XX-L-M-9682          DX Outdoor Unit Schedule</t>
  </si>
  <si>
    <t>FS1018-AGL-ZZ-XX-L-Z-0001</t>
  </si>
  <si>
    <t>Designers MEP Risk Assessment</t>
  </si>
  <si>
    <t>FS1018-AGL-ZZ-XX-L-Z-0001          Designers MEP Risk Assessment</t>
  </si>
  <si>
    <t>FS1018-AGL-ZZ-XX-L-Z-0004</t>
  </si>
  <si>
    <t>Heat Loss Calculations</t>
  </si>
  <si>
    <t>FS1018-AGL-ZZ-XX-L-Z-0004          Heat Loss Calculations</t>
  </si>
  <si>
    <t>FS1018-AGL-ZZ-XX-T-E-0001</t>
  </si>
  <si>
    <t>Electrical Specification</t>
  </si>
  <si>
    <t>FS1018-AGL-ZZ-XX-T-E-0001          Electrical Specification</t>
  </si>
  <si>
    <t>FS1018-AGL-ZZ-XX-T-E-0003</t>
  </si>
  <si>
    <t>Electrical Maximum Demand</t>
  </si>
  <si>
    <t>FS1018-AGL-ZZ-XX-T-E-0003          Electrical Maximum Demand</t>
  </si>
  <si>
    <t>FS1018-AGL-ZZ-XX-T-M-0001</t>
  </si>
  <si>
    <t>Mechanical Specification</t>
  </si>
  <si>
    <t>FS1018-AGL-ZZ-XX-T-M-0001          Mechanical Specification</t>
  </si>
  <si>
    <t>FS1018-AGL-ZZ-XX-T-Z-0002</t>
  </si>
  <si>
    <t>Plant Access Maintenance And Replacement Strategy</t>
  </si>
  <si>
    <t>FS1018-AGL-ZZ-XX-T-Z-0002          Plant Access Maintenance And Replacement Strategy</t>
  </si>
  <si>
    <t>FS1018-AGL-ZZ-XX-T-Z-0006</t>
  </si>
  <si>
    <t>NBS Project Description</t>
  </si>
  <si>
    <t>FS1018-AGL-ZZ-XX-T-Z-0006          NBS Project Description</t>
  </si>
  <si>
    <t>FS1018-AGL-ZZ-XX-T-Z-0007</t>
  </si>
  <si>
    <t>Thermal Modelling, Compliance &amp; Sustainability Report</t>
  </si>
  <si>
    <t>FS1018-AGL-ZZ-XX-T-Z-0007          Thermal Modelling, Compliance &amp; Sustainability Report</t>
  </si>
  <si>
    <t>FS1018-AGL-ZZ-ZZ-D-E-9001</t>
  </si>
  <si>
    <t>Lightning Protection</t>
  </si>
  <si>
    <t>FS1018-AGL-ZZ-ZZ-D-E-9001          Lightning Protection</t>
  </si>
  <si>
    <t>FS1018-AGL-ZZ-ZZ-D-Z-6115</t>
  </si>
  <si>
    <t>Server and Hub Room</t>
  </si>
  <si>
    <t>FS1018-AGL-ZZ-ZZ-D-Z-6115          Server and Hub Room</t>
  </si>
  <si>
    <t>FS1018-AGL-ZZ-ZZ-D-Z-9610</t>
  </si>
  <si>
    <t>Typical D&amp;T Classroom</t>
  </si>
  <si>
    <t>FS1018-AGL-ZZ-ZZ-D-Z-9610          Typical D&amp;T Classroom</t>
  </si>
  <si>
    <t>FS1018-AGL-ZZ-ZZ-D-Z-9611</t>
  </si>
  <si>
    <t>Typical Food Room</t>
  </si>
  <si>
    <t>FS1018-AGL-ZZ-ZZ-D-Z-9611          Typical Food Room</t>
  </si>
  <si>
    <t>FS1018-AGL-ZZ-ZZ-D-Z-9612</t>
  </si>
  <si>
    <t>Typical ICT Classroom</t>
  </si>
  <si>
    <t>FS1018-AGL-ZZ-ZZ-D-Z-9612          Typical ICT Classroom</t>
  </si>
  <si>
    <t>FS1018-AGL-ZZ-ZZ-D-Z-9613</t>
  </si>
  <si>
    <t>Typical Riser</t>
  </si>
  <si>
    <t>FS1018-AGL-ZZ-ZZ-D-Z-9613          Typical Riser</t>
  </si>
  <si>
    <t>FS1018-AGL-ZZ-ZZ-D-Z-9614</t>
  </si>
  <si>
    <t>Typical Science Room</t>
  </si>
  <si>
    <t>FS1018-AGL-ZZ-ZZ-D-Z-9614          Typical Science Room</t>
  </si>
  <si>
    <t>FS1018-AGL-ZZ-ZZ-G-E-6010</t>
  </si>
  <si>
    <t>LV Schematic Sheet 1</t>
  </si>
  <si>
    <t>FS1018-AGL-ZZ-ZZ-G-E-6010          LV Schematic Sheet 1</t>
  </si>
  <si>
    <t>FS1018-AGL-ZZ-ZZ-G-E-6011</t>
  </si>
  <si>
    <t>LV Schematic Sheet 2</t>
  </si>
  <si>
    <t>FS1018-AGL-ZZ-ZZ-G-E-6011          LV Schematic Sheet 2</t>
  </si>
  <si>
    <t>FS1018-AGL-ZZ-ZZ-G-E-6811</t>
  </si>
  <si>
    <t>Fire Alarm Schematic</t>
  </si>
  <si>
    <t>FS1018-AGL-ZZ-ZZ-G-E-6811          Fire Alarm Schematic</t>
  </si>
  <si>
    <t>FS1018-AGL-ZZ-ZZ-G-M-5010</t>
  </si>
  <si>
    <t>Controls Schematic</t>
  </si>
  <si>
    <t>FS1018-AGL-ZZ-ZZ-G-M-5010          Controls Schematic</t>
  </si>
  <si>
    <t>FS1018-AGL-ZZ-ZZ-G-M-5210</t>
  </si>
  <si>
    <t>Above Ground Drainage Schematic Sheet 1</t>
  </si>
  <si>
    <t>FS1018-AGL-ZZ-ZZ-G-M-5210          Above Ground Drainage Schematic Sheet 1</t>
  </si>
  <si>
    <t>FS1018-AGL-ZZ-ZZ-G-M-5211</t>
  </si>
  <si>
    <t>Above Ground Drainage Schematic Sheet 2</t>
  </si>
  <si>
    <t>FS1018-AGL-ZZ-ZZ-G-M-5211          Above Ground Drainage Schematic Sheet 2</t>
  </si>
  <si>
    <t>FS1018-AGL-ZZ-ZZ-G-M-5310</t>
  </si>
  <si>
    <t>Domestic Water Services Schematic</t>
  </si>
  <si>
    <t>FS1018-AGL-ZZ-ZZ-G-M-5310          Domestic Water Services Schematic</t>
  </si>
  <si>
    <t>FS1018-AGL-ZZ-ZZ-G-M-5410</t>
  </si>
  <si>
    <t>Gas Schematic</t>
  </si>
  <si>
    <t>FS1018-AGL-ZZ-ZZ-G-M-5410          Gas Schematic</t>
  </si>
  <si>
    <t>FS1018-AGL-ZZ-ZZ-G-M-5610</t>
  </si>
  <si>
    <t>Heating &amp; Cooling Schematic Sheet 1</t>
  </si>
  <si>
    <t>FS1018-AGL-ZZ-ZZ-G-M-5610          Heating &amp; Cooling Schematic Sheet 1</t>
  </si>
  <si>
    <t>FS1018-AGL-ZZ-ZZ-G-M-5611</t>
  </si>
  <si>
    <t>Heating &amp; Cooling Schematic Sheet 2</t>
  </si>
  <si>
    <t>FS1018-AGL-ZZ-ZZ-G-M-5611          Heating &amp; Cooling Schematic Sheet 2</t>
  </si>
  <si>
    <t>FS1018-AGL-ZZ-ZZ-G-M-5612</t>
  </si>
  <si>
    <t>Heating &amp; Cooling Schematic Sheet 3</t>
  </si>
  <si>
    <t>FS1018-AGL-ZZ-ZZ-G-M-5612          Heating &amp; Cooling Schematic Sheet 3</t>
  </si>
  <si>
    <t>FS1018-AGL-ZZ-ZZ-G-M-5613</t>
  </si>
  <si>
    <t>Heating &amp; Cooling Schematic Sheet 4</t>
  </si>
  <si>
    <t>FS1018-AGL-ZZ-ZZ-G-M-5613          Heating &amp; Cooling Schematic Sheet 4</t>
  </si>
  <si>
    <t>FS1018-AGL-ZZ-ZZ-G-M-5710</t>
  </si>
  <si>
    <t>Ventilation Schematic Sheet 1</t>
  </si>
  <si>
    <t>FS1018-AGL-ZZ-ZZ-G-M-5710          Ventilation Schematic Sheet 1</t>
  </si>
  <si>
    <t>FS1018-AGL-ZZ-ZZ-G-M-5711</t>
  </si>
  <si>
    <t>Ventilation Schematic Sheet 2</t>
  </si>
  <si>
    <t>FS1018-AGL-ZZ-ZZ-G-M-5711          Ventilation Schematic Sheet 2</t>
  </si>
  <si>
    <t>FS1018-AGL-ZZ-ZZ-G-M-5812</t>
  </si>
  <si>
    <t>Plantroom Schematic</t>
  </si>
  <si>
    <t>FS1018-AGL-ZZ-ZZ-G-M-5812          Plantroom Schematic</t>
  </si>
  <si>
    <t>FS1018-AGL-ZZ-ZZ-M-Z-0001</t>
  </si>
  <si>
    <t>MEP Model Revit</t>
  </si>
  <si>
    <t>P15</t>
  </si>
  <si>
    <t>FS1018-AGL-ZZ-ZZ-M-Z-0001          MEP Model Revit</t>
  </si>
  <si>
    <t>FS1018-AGL-ZZ-ZZ-M-Z-0002</t>
  </si>
  <si>
    <t>MEP Model IFC</t>
  </si>
  <si>
    <t>FS1018-AGL-ZZ-ZZ-M-Z-0002          MEP Model IFC</t>
  </si>
  <si>
    <t>FS1018-AGL-ZZ-ZZ-M-Z-0003</t>
  </si>
  <si>
    <t>MEP Model NWC</t>
  </si>
  <si>
    <t>FS1018-AGL-ZZ-ZZ-M-Z-0003          MEP Model NWC</t>
  </si>
  <si>
    <t>Teaching Block Finishes</t>
  </si>
  <si>
    <t>Outline Specification</t>
  </si>
  <si>
    <t>FS1018-CPM-XX-XX-L-A-0001</t>
  </si>
  <si>
    <t>Schedule Of Accommodation</t>
  </si>
  <si>
    <t>FS1018-CPM-XX-XX-L-A-0001          Schedule Of Accommodation</t>
  </si>
  <si>
    <t>P06</t>
  </si>
  <si>
    <t>FS1018-CPM-XX-XX-T-A-0005</t>
  </si>
  <si>
    <t>FS1018-CPM-XX-XX-T-A-0005          Teaching Block Finishes</t>
  </si>
  <si>
    <t>FS1018-CPM-XX-XX-T-A-0010</t>
  </si>
  <si>
    <t>P08</t>
  </si>
  <si>
    <t>FS1018-CPM-XX-XX-T-A-0010          Outline Specification</t>
  </si>
  <si>
    <t>P09</t>
  </si>
  <si>
    <t>FS1018-CPM-XX-XX-T-A-5001</t>
  </si>
  <si>
    <t>Stage 4 Report</t>
  </si>
  <si>
    <t>FS1018-CPM-XX-XX-T-A-5001          Stage 4 Report</t>
  </si>
  <si>
    <t>FS1018-CPM-XX-XX-T-A-5002</t>
  </si>
  <si>
    <t>Design Development Report</t>
  </si>
  <si>
    <t>FS1018-CPM-XX-XX-T-A-5002          Design Development Report</t>
  </si>
  <si>
    <t>FS1018-CPM-XX-XX-T-A-5003</t>
  </si>
  <si>
    <t>Pre-Construction Information</t>
  </si>
  <si>
    <t>FS1018-CPM-XX-XX-T-A-5003          Pre-Construction Information</t>
  </si>
  <si>
    <t>FS1018-CPM-XX-ZZ-L-A-0000</t>
  </si>
  <si>
    <t>Building Model COBie Report</t>
  </si>
  <si>
    <t>P25</t>
  </si>
  <si>
    <t>FS1018-CPM-XX-ZZ-L-A-0000          Building Model COBie Report</t>
  </si>
  <si>
    <t>FS1018-CPM-ZZ-00-D-A-2001</t>
  </si>
  <si>
    <t>GA Proposed L00 Floor Plan</t>
  </si>
  <si>
    <t>FS1018-CPM-ZZ-00-D-A-2001          GA Proposed L00 Floor Plan</t>
  </si>
  <si>
    <t>P17</t>
  </si>
  <si>
    <t>FS1018-CPM-ZZ-00-D-A-2142</t>
  </si>
  <si>
    <t>Ground Edge Details</t>
  </si>
  <si>
    <t>FS1018-CPM-ZZ-00-D-A-2142          Ground Edge Details</t>
  </si>
  <si>
    <t>FS1018-CPM-ZZ-00-D-A-2200</t>
  </si>
  <si>
    <t>Wall And Partition Types L00</t>
  </si>
  <si>
    <t>FS1018-CPM-ZZ-00-D-A-2200          Wall And Partition Types L00</t>
  </si>
  <si>
    <t>FS1018-CPM-ZZ-00-D-A-2900</t>
  </si>
  <si>
    <t>Fire Strategy L00</t>
  </si>
  <si>
    <t>FS1018-CPM-ZZ-00-D-A-2900          Fire Strategy L00</t>
  </si>
  <si>
    <t>FS1018-CPM-ZZ-00-D-A-3001</t>
  </si>
  <si>
    <t>External Door Schedules Sheet 01</t>
  </si>
  <si>
    <t>FS1018-CPM-ZZ-00-D-A-3001          External Door Schedules Sheet 01</t>
  </si>
  <si>
    <t>FS1018-CPM-ZZ-00-D-A-3050</t>
  </si>
  <si>
    <t>Internal Doors Level 00 Sheet 01</t>
  </si>
  <si>
    <t>FS1018-CPM-ZZ-00-D-A-3050          Internal Doors Level 00 Sheet 01</t>
  </si>
  <si>
    <t>FS1018-CPM-ZZ-00-D-A-3051</t>
  </si>
  <si>
    <t>Internal Doors Level 00 Sheet 02</t>
  </si>
  <si>
    <t>FS1018-CPM-ZZ-00-D-A-3051          Internal Doors Level 00 Sheet 02</t>
  </si>
  <si>
    <t>FS1018-CPM-ZZ-00-D-A-3052</t>
  </si>
  <si>
    <t>Internal Doors Level 00 Sheet 03</t>
  </si>
  <si>
    <t>FS1018-CPM-ZZ-00-D-A-3052          Internal Doors Level 00 Sheet 03</t>
  </si>
  <si>
    <t>FS1018-CPM-ZZ-00-D-A-3053</t>
  </si>
  <si>
    <t>Internal Doors Level 00 Sheet 04</t>
  </si>
  <si>
    <t>FS1018-CPM-ZZ-00-D-A-3053          Internal Doors Level 00 Sheet 04</t>
  </si>
  <si>
    <t>FS1018-CPM-ZZ-00-D-A-3054</t>
  </si>
  <si>
    <t>Internal Doors Level 00 Sheet 05</t>
  </si>
  <si>
    <t>FS1018-CPM-ZZ-00-D-A-3054          Internal Doors Level 00 Sheet 05</t>
  </si>
  <si>
    <t>FS1018-CPM-ZZ-00-D-A-3500</t>
  </si>
  <si>
    <t>Reflected Ceiling L00</t>
  </si>
  <si>
    <t>FS1018-CPM-ZZ-00-D-A-3500          Reflected Ceiling L00</t>
  </si>
  <si>
    <t>FS1018-CPM-ZZ-00-D-A-6807</t>
  </si>
  <si>
    <t>Room Elevations Hygiene Room</t>
  </si>
  <si>
    <t>FS1018-CPM-ZZ-00-D-A-6807          Room Elevations Hygiene Room</t>
  </si>
  <si>
    <t>FS1018-CPM-ZZ-00-D-A-6808</t>
  </si>
  <si>
    <t>Room Elecations Pupil WC'S</t>
  </si>
  <si>
    <t>FS1018-CPM-ZZ-00-D-A-6808          Room Elecations Pupil WC'S</t>
  </si>
  <si>
    <t>FS1018-CPM-ZZ-00-D-A-6809</t>
  </si>
  <si>
    <t>Room Elevations Pupils And Staff WC</t>
  </si>
  <si>
    <t>FS1018-CPM-ZZ-00-D-A-6809          Room Elevations Pupils And Staff WC</t>
  </si>
  <si>
    <t>FS1018-CPM-ZZ-00-D-A-6810</t>
  </si>
  <si>
    <t>Room Elevations Accessible WC</t>
  </si>
  <si>
    <t>FS1018-CPM-ZZ-00-D-A-6810          Room Elevations Accessible WC</t>
  </si>
  <si>
    <t>FS1018-CPM-ZZ-00-D-A-6811</t>
  </si>
  <si>
    <t>Room Elevations Changing Room</t>
  </si>
  <si>
    <t>FS1018-CPM-ZZ-00-D-A-6811          Room Elevations Changing Room</t>
  </si>
  <si>
    <t>FS1018-CPM-ZZ-00-D-A-6812</t>
  </si>
  <si>
    <t>Room Elevations Accessible Changing Room</t>
  </si>
  <si>
    <t>FS1018-CPM-ZZ-00-D-A-6812          Room Elevations Accessible Changing Room</t>
  </si>
  <si>
    <t>FS1018-CPM-ZZ-01-D-A-2002</t>
  </si>
  <si>
    <t>GA Proposed L01 Floor Plan</t>
  </si>
  <si>
    <t>P11</t>
  </si>
  <si>
    <t>FS1018-CPM-ZZ-01-D-A-2002          GA Proposed L01 Floor Plan</t>
  </si>
  <si>
    <t>P16</t>
  </si>
  <si>
    <t>FS1018-CPM-ZZ-01-D-A-2201</t>
  </si>
  <si>
    <t>Wall And Partition Types L01</t>
  </si>
  <si>
    <t>FS1018-CPM-ZZ-01-D-A-2201          Wall And Partition Types L01</t>
  </si>
  <si>
    <t>FS1018-CPM-ZZ-01-D-A-2250</t>
  </si>
  <si>
    <t>Patressing Plan For Typical Classroom</t>
  </si>
  <si>
    <t>FS1018-CPM-ZZ-01-D-A-2250          Patressing Plan For Typical Classroom</t>
  </si>
  <si>
    <t>FS1018-CPM-ZZ-01-D-A-2251</t>
  </si>
  <si>
    <t>Patressing Plan For Art Room</t>
  </si>
  <si>
    <t>FS1018-CPM-ZZ-01-D-A-2251          Patressing Plan For Art Room</t>
  </si>
  <si>
    <t>FS1018-CPM-ZZ-01-D-A-2901</t>
  </si>
  <si>
    <t>Fire Strategy L01</t>
  </si>
  <si>
    <t>FS1018-CPM-ZZ-01-D-A-2901          Fire Strategy L01</t>
  </si>
  <si>
    <t>FS1018-CPM-ZZ-01-D-A-3501</t>
  </si>
  <si>
    <t>Reflected Ceiling L01</t>
  </si>
  <si>
    <t>FS1018-CPM-ZZ-01-D-A-3501          Reflected Ceiling L01</t>
  </si>
  <si>
    <t>FS1018-CPM-ZZ-01-D-A-6800</t>
  </si>
  <si>
    <t>Room Elevations Classroom</t>
  </si>
  <si>
    <t>FS1018-CPM-ZZ-01-D-A-6800          Room Elevations Classroom</t>
  </si>
  <si>
    <t>FS1018-CPM-ZZ-02-D-A-2003</t>
  </si>
  <si>
    <t>GA Proposed L02 Floor Plan</t>
  </si>
  <si>
    <t>FS1018-CPM-ZZ-02-D-A-2003          GA Proposed L02 Floor Plan</t>
  </si>
  <si>
    <t>FS1018-CPM-ZZ-02-D-A-2202</t>
  </si>
  <si>
    <t>Wall And Partition Types L02</t>
  </si>
  <si>
    <t>FS1018-CPM-ZZ-02-D-A-2202          Wall And Partition Types L02</t>
  </si>
  <si>
    <t>FS1018-CPM-ZZ-02-D-A-2902</t>
  </si>
  <si>
    <t>Fire Strategy L02</t>
  </si>
  <si>
    <t>FS1018-CPM-ZZ-02-D-A-2902          Fire Strategy L02</t>
  </si>
  <si>
    <t>FS1018-CPM-ZZ-02-D-A-3502</t>
  </si>
  <si>
    <t>Reflected Ceiling L02</t>
  </si>
  <si>
    <t>FS1018-CPM-ZZ-02-D-A-3502          Reflected Ceiling L02</t>
  </si>
  <si>
    <t>FS1018-CPM-ZZ-RF-D-A-2023</t>
  </si>
  <si>
    <t>GA Proposed Roof Plan</t>
  </si>
  <si>
    <t>FS1018-CPM-ZZ-RF-D-A-2023          GA Proposed Roof Plan</t>
  </si>
  <si>
    <t>P07</t>
  </si>
  <si>
    <t>FS1018-CPM-ZZ-RF-D-A-2144</t>
  </si>
  <si>
    <t>Roof Details Sheet 1</t>
  </si>
  <si>
    <t>FS1018-CPM-ZZ-RF-D-A-2144          Roof Details Sheet 1</t>
  </si>
  <si>
    <t>FS1018-CPM-ZZ-RF-D-A-2145</t>
  </si>
  <si>
    <t>Roof Details Sheet 2</t>
  </si>
  <si>
    <t>FS1018-CPM-ZZ-RF-D-A-2145          Roof Details Sheet 2</t>
  </si>
  <si>
    <t>FS1018-CPM-ZZ-RF-D-A-2903</t>
  </si>
  <si>
    <t>Fire Strategy Rf</t>
  </si>
  <si>
    <t>FS1018-CPM-ZZ-RF-D-A-2903          Fire Strategy Rf</t>
  </si>
  <si>
    <t>FS1018-CPM-ZZ-RF-D-A-3100</t>
  </si>
  <si>
    <t>Rooflight Elevations Sheet 1</t>
  </si>
  <si>
    <t>FS1018-CPM-ZZ-RF-D-A-3100          Rooflight Elevations Sheet 1</t>
  </si>
  <si>
    <t>FS1018-CPM-ZZ-RF-D-A-3101</t>
  </si>
  <si>
    <t>Rooflights And Hatch Plan</t>
  </si>
  <si>
    <t>FS1018-CPM-ZZ-RF-D-A-3101          Rooflights And Hatch Plan</t>
  </si>
  <si>
    <t>FS1018-CPM-ZZ-XX-D-A-2146</t>
  </si>
  <si>
    <t>3D Section</t>
  </si>
  <si>
    <t>FS1018-CPM-ZZ-XX-D-A-2146          3D Section</t>
  </si>
  <si>
    <t>FS1018-CPM-ZZ-XX-D-A-2210</t>
  </si>
  <si>
    <t>Partition Detail Plans</t>
  </si>
  <si>
    <t>FS1018-CPM-ZZ-XX-D-A-2210          Partition Detail Plans</t>
  </si>
  <si>
    <t>FS1018-CPM-ZZ-XX-L-A-0020</t>
  </si>
  <si>
    <t>CDM Design Risk Assessment</t>
  </si>
  <si>
    <t>FS1018-CPM-ZZ-XX-L-A-0020          CDM Design Risk Assessment</t>
  </si>
  <si>
    <t>FS1018-CPM-ZZ-ZZ-D-A-0050</t>
  </si>
  <si>
    <t>Circulation Strategy</t>
  </si>
  <si>
    <t>FS1018-CPM-ZZ-ZZ-D-A-0050          Circulation Strategy</t>
  </si>
  <si>
    <t>FS1018-CPM-ZZ-ZZ-D-A-0051</t>
  </si>
  <si>
    <t>Zoning And Security Strategy</t>
  </si>
  <si>
    <t>FS1018-CPM-ZZ-ZZ-D-A-0051          Zoning And Security Strategy</t>
  </si>
  <si>
    <t>FS1018-CPM-ZZ-ZZ-D-A-0052</t>
  </si>
  <si>
    <t>Sanitary And Hygiene Strategy</t>
  </si>
  <si>
    <t>FS1018-CPM-ZZ-ZZ-D-A-0052          Sanitary And Hygiene Strategy</t>
  </si>
  <si>
    <t>FS1018-CPM-ZZ-ZZ-D-A-0053</t>
  </si>
  <si>
    <t>Access And Maintenance Strategy</t>
  </si>
  <si>
    <t>P05</t>
  </si>
  <si>
    <t>FS1018-CPM-ZZ-ZZ-D-A-0053          Access And Maintenance Strategy</t>
  </si>
  <si>
    <t>FS1018-CPM-ZZ-ZZ-D-A-0054</t>
  </si>
  <si>
    <t>Cleaning And Maintenance Strategy</t>
  </si>
  <si>
    <t>FS1018-CPM-ZZ-ZZ-D-A-0054          Cleaning And Maintenance Strategy</t>
  </si>
  <si>
    <t>FS1018-CPM-ZZ-ZZ-D-A-0060</t>
  </si>
  <si>
    <t>Proposed Room Cluster Diagram</t>
  </si>
  <si>
    <t>FS1018-CPM-ZZ-ZZ-D-A-0060          Proposed Room Cluster Diagram</t>
  </si>
  <si>
    <t>FS1018-CPM-ZZ-ZZ-D-A-2001</t>
  </si>
  <si>
    <t>GA Proposed Section Aa, Bb, Cc, Dd</t>
  </si>
  <si>
    <t>FS1018-CPM-ZZ-ZZ-D-A-2001          GA Proposed Section Aa, Bb, Cc, Dd</t>
  </si>
  <si>
    <t>FS1018-CPM-ZZ-ZZ-D-A-2002</t>
  </si>
  <si>
    <t>GA Proposed Section EE</t>
  </si>
  <si>
    <t>FS1018-CPM-ZZ-ZZ-D-A-2002          GA Proposed Section EE</t>
  </si>
  <si>
    <t>FS1018-CPM-ZZ-ZZ-D-A-2010</t>
  </si>
  <si>
    <t>GA Proposed Elevations Sheet 1</t>
  </si>
  <si>
    <t>FS1018-CPM-ZZ-ZZ-D-A-2010          GA Proposed Elevations Sheet 1</t>
  </si>
  <si>
    <t>FS1018-CPM-ZZ-ZZ-D-A-2011</t>
  </si>
  <si>
    <t>GA Proposed Elevations Sheet 02</t>
  </si>
  <si>
    <t>FS1018-CPM-ZZ-ZZ-D-A-2011          GA Proposed Elevations Sheet 02</t>
  </si>
  <si>
    <t>FS1018-CPM-ZZ-ZZ-D-A-2012</t>
  </si>
  <si>
    <t>GA Proposed Elevations Sheet 03</t>
  </si>
  <si>
    <t>FS1018-CPM-ZZ-ZZ-D-A-2012          GA Proposed Elevations Sheet 03</t>
  </si>
  <si>
    <t>FS1018-CPM-ZZ-ZZ-D-A-2025</t>
  </si>
  <si>
    <t>Hazard Identification Plan</t>
  </si>
  <si>
    <t>FS1018-CPM-ZZ-ZZ-D-A-2025          Hazard Identification Plan</t>
  </si>
  <si>
    <t>FS1018-CPM-ZZ-ZZ-D-A-2031</t>
  </si>
  <si>
    <t>Internal Views</t>
  </si>
  <si>
    <t>FS1018-CPM-ZZ-ZZ-D-A-2031          Internal Views</t>
  </si>
  <si>
    <t>FS1018-CPM-ZZ-ZZ-D-A-2032</t>
  </si>
  <si>
    <t>External Views</t>
  </si>
  <si>
    <t>FS1018-CPM-ZZ-ZZ-D-A-2032          External Views</t>
  </si>
  <si>
    <t>FS1018-CPM-ZZ-ZZ-D-A-2040</t>
  </si>
  <si>
    <t>Lock Suiting Strategy</t>
  </si>
  <si>
    <t>FS1018-CPM-ZZ-ZZ-D-A-2040          Lock Suiting Strategy</t>
  </si>
  <si>
    <t>FS1018-CPM-ZZ-ZZ-D-A-2140</t>
  </si>
  <si>
    <t>Construction Building Sections Sheet 1</t>
  </si>
  <si>
    <t>FS1018-CPM-ZZ-ZZ-D-A-2140          Construction Building Sections Sheet 1</t>
  </si>
  <si>
    <t>FS1018-CPM-ZZ-ZZ-D-A-2141</t>
  </si>
  <si>
    <t>Construction Building Sections Sheet 2</t>
  </si>
  <si>
    <t>FS1018-CPM-ZZ-ZZ-D-A-2141          Construction Building Sections Sheet 2</t>
  </si>
  <si>
    <t>FS1018-CPM-ZZ-ZZ-D-A-2143</t>
  </si>
  <si>
    <t>External Wall Details Sheet 1</t>
  </si>
  <si>
    <t>FS1018-CPM-ZZ-ZZ-D-A-2143          External Wall Details Sheet 1</t>
  </si>
  <si>
    <t>FS1018-CPM-ZZ-ZZ-D-A-2144</t>
  </si>
  <si>
    <t>External Wall Details Sheet 2</t>
  </si>
  <si>
    <t>FS1018-CPM-ZZ-ZZ-D-A-2144          External Wall Details Sheet 2</t>
  </si>
  <si>
    <t>FS1018-CPM-ZZ-ZZ-D-A-2401</t>
  </si>
  <si>
    <t>Typical Staircase Sheet 01</t>
  </si>
  <si>
    <t>FS1018-CPM-ZZ-ZZ-D-A-2401          Typical Staircase Sheet 01</t>
  </si>
  <si>
    <t>FS1018-CPM-ZZ-ZZ-D-A-2402</t>
  </si>
  <si>
    <t>Typical Staircase Sheet 02</t>
  </si>
  <si>
    <t>FS1018-CPM-ZZ-ZZ-D-A-2402          Typical Staircase Sheet 02</t>
  </si>
  <si>
    <t>FS1018-CPM-ZZ-ZZ-D-A-2403</t>
  </si>
  <si>
    <t>Typical Staircase Sheet 03</t>
  </si>
  <si>
    <t>FS1018-CPM-ZZ-ZZ-D-A-2403          Typical Staircase Sheet 03</t>
  </si>
  <si>
    <t>FS1018-CPM-ZZ-ZZ-D-A-2404</t>
  </si>
  <si>
    <t>Typical Staircase Sheet 04</t>
  </si>
  <si>
    <t>FS1018-CPM-ZZ-ZZ-D-A-2404          Typical Staircase Sheet 04</t>
  </si>
  <si>
    <t>FS1018-CPM-ZZ-ZZ-D-A-2405</t>
  </si>
  <si>
    <t>Typical Staircase Sheet 05</t>
  </si>
  <si>
    <t>FS1018-CPM-ZZ-ZZ-D-A-2405          Typical Staircase Sheet 05</t>
  </si>
  <si>
    <t>FS1018-CPM-ZZ-ZZ-D-A-3002</t>
  </si>
  <si>
    <t>External Door Schedues Sheet 02</t>
  </si>
  <si>
    <t>FS1018-CPM-ZZ-ZZ-D-A-3002          External Door Schedues Sheet 02</t>
  </si>
  <si>
    <t>FS1018-CPM-ZZ-ZZ-D-A-3010</t>
  </si>
  <si>
    <t>Curtain Wall Panelling Elevations Sheet 01</t>
  </si>
  <si>
    <t>FS1018-CPM-ZZ-ZZ-D-A-3010          Curtain Wall Panelling Elevations Sheet 01</t>
  </si>
  <si>
    <t>FS1018-CPM-ZZ-ZZ-D-A-3011</t>
  </si>
  <si>
    <t>Curtain Wall Panelling Elevations Sheet 02</t>
  </si>
  <si>
    <t>FS1018-CPM-ZZ-ZZ-D-A-3011          Curtain Wall Panelling Elevations Sheet 02</t>
  </si>
  <si>
    <t>FS1018-CPM-ZZ-ZZ-D-A-3020</t>
  </si>
  <si>
    <t>External Windows Elevation And Schedule</t>
  </si>
  <si>
    <t>FS1018-CPM-ZZ-ZZ-D-A-3020          External Windows Elevation And Schedule</t>
  </si>
  <si>
    <t>FS1018-CPM-ZZ-ZZ-D-A-3021</t>
  </si>
  <si>
    <t>Internal Glazed Panel Elevations And Schedule</t>
  </si>
  <si>
    <t>FS1018-CPM-ZZ-ZZ-D-A-3021          Internal Glazed Panel Elevations And Schedule</t>
  </si>
  <si>
    <t>FS1018-CPM-ZZ-ZZ-D-A-3055</t>
  </si>
  <si>
    <t>Internal Doors Level 00 Sheet 06</t>
  </si>
  <si>
    <t>FS1018-CPM-ZZ-ZZ-D-A-3055          Internal Doors Level 00 Sheet 06</t>
  </si>
  <si>
    <t>FS1018-CPM-ZZ-ZZ-D-A-3062</t>
  </si>
  <si>
    <t>Window Schedule</t>
  </si>
  <si>
    <t>FS1018-CPM-ZZ-ZZ-D-A-3062          Window Schedule</t>
  </si>
  <si>
    <t>FS1018-CPM-ZZ-ZZ-D-A-4001</t>
  </si>
  <si>
    <t>GA Wall Finishes Strategy</t>
  </si>
  <si>
    <t>FS1018-CPM-ZZ-ZZ-D-A-4001          GA Wall Finishes Strategy</t>
  </si>
  <si>
    <t>FS1018-CPM-ZZ-ZZ-D-A-4004</t>
  </si>
  <si>
    <t>GA Floor Finishes Strategy</t>
  </si>
  <si>
    <t>FS1018-CPM-ZZ-ZZ-D-A-4004          GA Floor Finishes Strategy</t>
  </si>
  <si>
    <t>FS1018-CPM-ZZ-ZZ-D-A-6601</t>
  </si>
  <si>
    <t>Lift Pit Details</t>
  </si>
  <si>
    <t>FS1018-CPM-ZZ-ZZ-D-A-6601          Lift Pit Details</t>
  </si>
  <si>
    <t>FS1018-CPM-ZZ-ZZ-D-A-6801</t>
  </si>
  <si>
    <t>Room Elevations Assembly Dining Sheet 1</t>
  </si>
  <si>
    <t>FS1018-CPM-ZZ-ZZ-D-A-6801          Room Elevations Assembly Dining Sheet 1</t>
  </si>
  <si>
    <t>FS1018-CPM-ZZ-ZZ-D-A-6802</t>
  </si>
  <si>
    <t>Room Elevations Assembly Dining Sheet 2</t>
  </si>
  <si>
    <t>FS1018-CPM-ZZ-ZZ-D-A-6802          Room Elevations Assembly Dining Sheet 2</t>
  </si>
  <si>
    <t>FS1018-CPM-ZZ-ZZ-D-A-6803</t>
  </si>
  <si>
    <t>Room Elevations Sports Hall Sheet 1</t>
  </si>
  <si>
    <t>FS1018-CPM-ZZ-ZZ-D-A-6803          Room Elevations Sports Hall Sheet 1</t>
  </si>
  <si>
    <t>FS1018-CPM-ZZ-ZZ-D-A-6804</t>
  </si>
  <si>
    <t>Room Elevations Sports Hall Sheet 2</t>
  </si>
  <si>
    <t>FS1018-CPM-ZZ-ZZ-D-A-6804          Room Elevations Sports Hall Sheet 2</t>
  </si>
  <si>
    <t>FS1018-CPM-ZZ-ZZ-D-A-6805</t>
  </si>
  <si>
    <t>Room Elevations Sports Hall Sheet 3</t>
  </si>
  <si>
    <t>FS1018-CPM-ZZ-ZZ-D-A-6805          Room Elevations Sports Hall Sheet 3</t>
  </si>
  <si>
    <t>FS1018-CPM-ZZ-ZZ-D-A-6806</t>
  </si>
  <si>
    <t>Room Elevations Sports Hall Acoustic Panel Set Out</t>
  </si>
  <si>
    <t>FS1018-CPM-ZZ-ZZ-D-A-6806          Room Elevations Sports Hall Acoustic Panel Set Out</t>
  </si>
  <si>
    <t>FS1018-CPM-ZZ-ZZ-D-A-6813</t>
  </si>
  <si>
    <t>Room Elevations Pupil WC'S L01 And L02</t>
  </si>
  <si>
    <t>FS1018-CPM-ZZ-ZZ-D-A-6813          Room Elevations Pupil WC'S L01 And L02</t>
  </si>
  <si>
    <t>FS1018-CPM-ZZ-ZZ-L-A-0001</t>
  </si>
  <si>
    <t>Clash Report</t>
  </si>
  <si>
    <t>FS1018-CPM-ZZ-ZZ-L-A-0001          Clash Report</t>
  </si>
  <si>
    <t>FS1018-CPM-ZZ-ZZ-L-A-3060</t>
  </si>
  <si>
    <t>Internal Door Schedule</t>
  </si>
  <si>
    <t>FS1018-CPM-ZZ-ZZ-L-A-3060          Internal Door Schedule</t>
  </si>
  <si>
    <t>FS1018-CPM-ZZ-ZZ-L-A-3061</t>
  </si>
  <si>
    <t>External Door Schedule</t>
  </si>
  <si>
    <t>FS1018-CPM-ZZ-ZZ-L-A-3061          External Door Schedule</t>
  </si>
  <si>
    <t>FS1018-CPM-ZZ-ZZ-M-A-0002</t>
  </si>
  <si>
    <t>Federated Model</t>
  </si>
  <si>
    <t>FS1018-CPM-ZZ-ZZ-M-A-0002          Federated Model</t>
  </si>
  <si>
    <t>FS1018-CPM-ZZ-ZZ-M-A-0003</t>
  </si>
  <si>
    <t>Architectural Model NWC</t>
  </si>
  <si>
    <t>FS1018-CPM-ZZ-ZZ-M-A-0003          Architectural Model NWC</t>
  </si>
  <si>
    <t>FS1018-CPM-ZZ-ZZ-M-A-0004</t>
  </si>
  <si>
    <t>Architectural Model IFC</t>
  </si>
  <si>
    <t>FS1018-CPM-ZZ-ZZ-M-A-0004          Architectural Model IFC</t>
  </si>
  <si>
    <t>FS1018-CPM-ZZ-ZZ-M-A-0005</t>
  </si>
  <si>
    <t>Architectural Model Revit</t>
  </si>
  <si>
    <t>FS1018-CPM-ZZ-ZZ-M-A-0005          Architectural Model Revit</t>
  </si>
  <si>
    <t>FS1018-CPM-ZZ-ZZ-V-A-0001</t>
  </si>
  <si>
    <t>External Flythrough Video</t>
  </si>
  <si>
    <t>FS1018-CPM-ZZ-ZZ-V-A-0001          External Flythrough Video</t>
  </si>
  <si>
    <t>FS1018-CPM-ZZ-ZZ-V-A-0002</t>
  </si>
  <si>
    <t>Internal Flythrough Video</t>
  </si>
  <si>
    <t>FS1018-CPM-ZZ-ZZ-V-A-0002          Internal Flythrough Video</t>
  </si>
  <si>
    <t>FS1018-EVR-XX-XX-D-O-0001</t>
  </si>
  <si>
    <t>Server Room Location</t>
  </si>
  <si>
    <t>FS1018-EVR-XX-XX-D-O-0001          Server Room Location</t>
  </si>
  <si>
    <t>FS1018-EVR-XX-XX-D-O-0002</t>
  </si>
  <si>
    <t>ICT Plans</t>
  </si>
  <si>
    <t>FS1018-EVR-XX-XX-D-O-0002          ICT Plans</t>
  </si>
  <si>
    <t>FS1018-EVR-XX-XX-D-O-0003</t>
  </si>
  <si>
    <t>Wireless Heat Maps</t>
  </si>
  <si>
    <t>FS1018-EVR-XX-XX-D-O-0003          Wireless Heat Maps</t>
  </si>
  <si>
    <t>FS1018-EVR-XX-XX-D-O-0004</t>
  </si>
  <si>
    <t>Server Cabinet Layout</t>
  </si>
  <si>
    <t>FS1018-EVR-XX-XX-D-O-0004          Server Cabinet Layout</t>
  </si>
  <si>
    <t>FS1018-EVR-XX-XX-G-O-0001</t>
  </si>
  <si>
    <t>ICT Network Diagrams</t>
  </si>
  <si>
    <t>FS1018-EVR-XX-XX-G-O-0001          ICT Network Diagrams</t>
  </si>
  <si>
    <t>FS1018-EVR-XX-XX-L-O-0001</t>
  </si>
  <si>
    <t>ICT Equipment List</t>
  </si>
  <si>
    <t>FS1018-EVR-XX-XX-L-O-0001          ICT Equipment List</t>
  </si>
  <si>
    <t>FS1018-EVR-XX-XX-L-O-0002</t>
  </si>
  <si>
    <t>ICT Cost Matrix</t>
  </si>
  <si>
    <t>FS1018-EVR-XX-XX-L-O-0002          ICT Cost Matrix</t>
  </si>
  <si>
    <t>FS1018-EVR-XX-XX-L-O-0003</t>
  </si>
  <si>
    <t>ICT Small Power and Data Schedule</t>
  </si>
  <si>
    <t>FS1018-EVR-XX-XX-L-O-0003          ICT Small Power and Data Schedule</t>
  </si>
  <si>
    <t>FS1018-EVR-XX-XX-L-O-0004</t>
  </si>
  <si>
    <t>ICT Construction Programme</t>
  </si>
  <si>
    <t>FS1018-EVR-XX-XX-L-O-0004          ICT Construction Programme</t>
  </si>
  <si>
    <t>FS1018-EVR-XX-XX-T-O-0002</t>
  </si>
  <si>
    <t>ICT Calculations</t>
  </si>
  <si>
    <t>FS1018-EVR-XX-XX-T-O-0002          ICT Calculations</t>
  </si>
  <si>
    <t>FS1018-EVR-XX-XX-T-O-0004</t>
  </si>
  <si>
    <t>ICT Contractor's Proposals</t>
  </si>
  <si>
    <t>FS1018-EVR-XX-XX-T-O-0004          ICT Contractor's Proposals</t>
  </si>
  <si>
    <t>FS1018-EVR-XX-XX-T-O-0005</t>
  </si>
  <si>
    <t>Post Award ICT Meetings (PAM) Agendas</t>
  </si>
  <si>
    <t>FS1018-EVR-XX-XX-T-O-0005          Post Award ICT Meetings (PAM) Agendas</t>
  </si>
  <si>
    <t>FS1018-EVR-XX-XX-T-O-0006</t>
  </si>
  <si>
    <t>User Acceptance Testing (UAT) Schedule</t>
  </si>
  <si>
    <t>FS1018-EVR-XX-XX-T-O-0006          User Acceptance Testing (UAT) Schedule</t>
  </si>
  <si>
    <t>FS1018-EVR-XX-XX-T-O-0007</t>
  </si>
  <si>
    <t>Post Award ICT Meetings (PAM) Minutes</t>
  </si>
  <si>
    <t>FS1018-EVR-XX-XX-T-O-0007          Post Award ICT Meetings (PAM) Minutes</t>
  </si>
  <si>
    <t>FS1018-HBC-XX-XX-D-X-0001</t>
  </si>
  <si>
    <t>Site Construction Plan</t>
  </si>
  <si>
    <t>FS1018-HBC-XX-XX-D-X-0001          Site Construction Plan</t>
  </si>
  <si>
    <t>FS1018-HBC-XX-XX-D-X-0003</t>
  </si>
  <si>
    <t>Site Set Up Plan Phase 1</t>
  </si>
  <si>
    <t>FS1018-HBC-XX-XX-D-X-0003          Site Set Up Plan Phase 1</t>
  </si>
  <si>
    <t>this document shows the correct car park layouts for this phase. therefore can FS1018-HBC-XX-XX-D-X-0001 be removed?</t>
  </si>
  <si>
    <t>FS1018-HBC-XX-XX-D-X-0004</t>
  </si>
  <si>
    <t>Site Set Up Plan Phase 2 Section 1</t>
  </si>
  <si>
    <t>FS1018-HBC-XX-XX-D-X-0004          Site Set Up Plan Phase 2 Section 1</t>
  </si>
  <si>
    <t>B - Partially Accepted with Comments</t>
  </si>
  <si>
    <t>FS1018-HBC-XX-XX-D-X-0005</t>
  </si>
  <si>
    <t>Site Set Up Plan Phase 2 Section 2</t>
  </si>
  <si>
    <t>FS1018-HBC-XX-XX-D-X-0005          Site Set Up Plan Phase 2 Section 2</t>
  </si>
  <si>
    <t>FS1018-HBC-XX-XX-D-X-0006</t>
  </si>
  <si>
    <t>Site Set Up Plan Phase 3</t>
  </si>
  <si>
    <t>FS1018-HBC-XX-XX-D-X-0006          Site Set Up Plan Phase 3</t>
  </si>
  <si>
    <t>FS1018-HBC-XX-XX-L-X-0001</t>
  </si>
  <si>
    <t>MIDP</t>
  </si>
  <si>
    <t>FS1018-HBC-XX-XX-L-X-0001          MIDP</t>
  </si>
  <si>
    <t>FS1018-HBC-XX-XX-L-X-0003</t>
  </si>
  <si>
    <t>Design Programme</t>
  </si>
  <si>
    <t>FS1018-HBC-XX-XX-L-X-0003          Design Programme</t>
  </si>
  <si>
    <t>FS1018-HBC-XX-XX-L-X-0004</t>
  </si>
  <si>
    <t>Construction Programme</t>
  </si>
  <si>
    <t>FS1018-HBC-XX-XX-L-X-0004          Construction Programme</t>
  </si>
  <si>
    <t>FS1018-HBC-XX-XX-L-X-0005</t>
  </si>
  <si>
    <t>Master Programme</t>
  </si>
  <si>
    <t>FS1018-HBC-XX-XX-L-X-0005          Master Programme</t>
  </si>
  <si>
    <t>FS1018-HBC-XX-XX-L-X-0006</t>
  </si>
  <si>
    <t>Works Package Procurement Programme</t>
  </si>
  <si>
    <t>FS1018-HBC-XX-XX-L-X-0006          Works Package Procurement Programme</t>
  </si>
  <si>
    <t>FS1018-HBC-XX-XX-L-X-0007</t>
  </si>
  <si>
    <t>FS1018-HBC-XX-XX-L-X-0007          Risk Register</t>
  </si>
  <si>
    <t>FS1018-HBC-XX-XX-L-X-0013</t>
  </si>
  <si>
    <t>DFE KPIs</t>
  </si>
  <si>
    <t>FS1018-HBC-XX-XX-L-X-0013          DFE KPIs</t>
  </si>
  <si>
    <t>FS1018-HBC-XX-XX-L-X-0014</t>
  </si>
  <si>
    <t>Supplier Directory CV</t>
  </si>
  <si>
    <t>FS1018-HBC-XX-XX-L-X-0014          Supplier Directory CV</t>
  </si>
  <si>
    <t>FS1018-HBC-XX-XX-L-X-0016</t>
  </si>
  <si>
    <t>Handover Training Plan</t>
  </si>
  <si>
    <t>FS1018-HBC-XX-XX-L-X-0016          Handover Training Plan</t>
  </si>
  <si>
    <t>FS1018-HBC-XX-XX-L-X-0018</t>
  </si>
  <si>
    <t>HB Social Value KPIs</t>
  </si>
  <si>
    <t>FS1018-HBC-XX-XX-L-X-0018          HB Social Value KPIs</t>
  </si>
  <si>
    <t>FS1018-HBC-XX-XX-L-X-0019</t>
  </si>
  <si>
    <t>Site Organisation Chart</t>
  </si>
  <si>
    <t>FS1018-HBC-XX-XX-L-X-0019          Site Organisation Chart</t>
  </si>
  <si>
    <t>FS1018-HBC-XX-XX-L-X-0020</t>
  </si>
  <si>
    <t>Commissioning Programme</t>
  </si>
  <si>
    <t>FS1018-HBC-XX-XX-L-X-0020          Commissioning Programme</t>
  </si>
  <si>
    <t>FS1018-HBC-XX-XX-L-X-1001</t>
  </si>
  <si>
    <t>Quality Management Plan</t>
  </si>
  <si>
    <t>FS1018-HBC-XX-XX-L-X-1001          Quality Management Plan</t>
  </si>
  <si>
    <t>FS1018-HBC-XX-XX-L-X-1002</t>
  </si>
  <si>
    <t>Sustainable Estate Strategy</t>
  </si>
  <si>
    <t>FS1018-HBC-XX-XX-L-X-1002          Sustainable Estate Strategy</t>
  </si>
  <si>
    <t>FS1018-HBC-XX-XX-L-X-1003</t>
  </si>
  <si>
    <t>Lift Specification</t>
  </si>
  <si>
    <t>FS1018-HBC-XX-XX-L-X-1003          Lift Specification</t>
  </si>
  <si>
    <t>FS1018-HBC-XX-XX-L-X-1004</t>
  </si>
  <si>
    <t>Project Execution Plan</t>
  </si>
  <si>
    <t>FS1018-HBC-XX-XX-L-X-1004          Project Execution Plan</t>
  </si>
  <si>
    <t>FS1018-HBC-XX-XX-L-X-3000</t>
  </si>
  <si>
    <t>Derogations Schedule</t>
  </si>
  <si>
    <t>FS1018-HBC-XX-XX-L-X-3000          Derogations Schedule</t>
  </si>
  <si>
    <t>FS1018-HBC-XX-XX-L-X-4000</t>
  </si>
  <si>
    <t>Planning Condition Tracker</t>
  </si>
  <si>
    <t>FS1018-HBC-XX-XX-L-X-4000          Planning Condition Tracker</t>
  </si>
  <si>
    <t>FS1018-HBC-XX-XX-T-X-0001</t>
  </si>
  <si>
    <t>Construction Phasing Plan</t>
  </si>
  <si>
    <t>FS1018-HBC-XX-XX-T-X-0001          Construction Phasing Plan</t>
  </si>
  <si>
    <t>FS1018-HBC-XX-XX-T-X-0024</t>
  </si>
  <si>
    <t>CEM7 Meeting Minutes</t>
  </si>
  <si>
    <t>FS1018-HBC-XX-XX-T-X-0024          CEM7 Meeting Minutes</t>
  </si>
  <si>
    <t>FS1018-HBC-XX-XX-T-X-0025</t>
  </si>
  <si>
    <t>CEM8 Meeting Minutes</t>
  </si>
  <si>
    <t>FS1018-HBC-XX-XX-T-X-0025          CEM8 Meeting Minutes</t>
  </si>
  <si>
    <t>FS1018-HBC-XX-XX-T-X-0026</t>
  </si>
  <si>
    <t>CEM8-9A Meeting Minutes</t>
  </si>
  <si>
    <t>FS1018-HBC-XX-XX-T-X-0026          CEM8-9A Meeting Minutes</t>
  </si>
  <si>
    <t>FS1018-HBC-XX-XX-T-X-0027</t>
  </si>
  <si>
    <t>CEM09 Meeting Minutes</t>
  </si>
  <si>
    <t>FS1018-HBC-XX-XX-T-X-0027          CEM09 Meeting Minutes</t>
  </si>
  <si>
    <t>FS1018-HBC-XX-XX-T-X-0028</t>
  </si>
  <si>
    <t>CEM10 Meeting Minutes</t>
  </si>
  <si>
    <t>FS1018-HBC-XX-XX-T-X-0028          CEM10 Meeting Minutes</t>
  </si>
  <si>
    <t>FS1018-HBC-XX-XX-T-X-0029</t>
  </si>
  <si>
    <t>CEM10A Meeting Minutes</t>
  </si>
  <si>
    <t>FS1018-HBC-XX-XX-T-X-0029          CEM10A Meeting Minutes</t>
  </si>
  <si>
    <t>FS1018-HBC-XX-XX-T-X-0030</t>
  </si>
  <si>
    <t>CEM11 Meeting Minutes</t>
  </si>
  <si>
    <t>FS1018-HBC-XX-XX-T-X-0030          CEM11 Meeting Minutes</t>
  </si>
  <si>
    <t>FS1018-HBC-XX-XX-T-X-0031</t>
  </si>
  <si>
    <t>CEM12 Meeting Minutes</t>
  </si>
  <si>
    <t>FS1018-HBC-XX-XX-T-X-0031          CEM12 Meeting Minutes</t>
  </si>
  <si>
    <t>FS1018-HBC-XX-XX-T-X-0033</t>
  </si>
  <si>
    <t>CEM07 Agenda</t>
  </si>
  <si>
    <t>FS1018-HBC-XX-XX-T-X-0033          CEM07 Agenda</t>
  </si>
  <si>
    <t>FS1018-HBC-XX-XX-T-X-0034</t>
  </si>
  <si>
    <t>CEM08 Agenda</t>
  </si>
  <si>
    <t>FS1018-HBC-XX-XX-T-X-0034          CEM08 Agenda</t>
  </si>
  <si>
    <t>FS1018-HBC-XX-XX-T-X-0035</t>
  </si>
  <si>
    <t>CEM09 Agenda</t>
  </si>
  <si>
    <t>FS1018-HBC-XX-XX-T-X-0035          CEM09 Agenda</t>
  </si>
  <si>
    <t>FS1018-HBC-XX-XX-T-X-0036</t>
  </si>
  <si>
    <t>CEM08-9A Agenda</t>
  </si>
  <si>
    <t>FS1018-HBC-XX-XX-T-X-0036          CEM08-9A Agenda</t>
  </si>
  <si>
    <t>FS1018-HBC-XX-XX-T-X-0037</t>
  </si>
  <si>
    <t>CEM10 Meeting Agenda</t>
  </si>
  <si>
    <t>FS1018-HBC-XX-XX-T-X-0037          CEM10 Meeting Agenda</t>
  </si>
  <si>
    <t>FS1018-HBC-XX-XX-T-X-0038</t>
  </si>
  <si>
    <t>CEM10A Agenda</t>
  </si>
  <si>
    <t>FS1018-HBC-XX-XX-T-X-0038          CEM10A Agenda</t>
  </si>
  <si>
    <t>FS1018-HBC-XX-XX-T-X-0039</t>
  </si>
  <si>
    <t>CEM11 Agenda</t>
  </si>
  <si>
    <t>FS1018-HBC-XX-XX-T-X-0039          CEM11 Agenda</t>
  </si>
  <si>
    <t>FS1018-HBC-XX-XX-T-X-0040</t>
  </si>
  <si>
    <t>CEM12 Agenda</t>
  </si>
  <si>
    <t>FS1018-HBC-XX-XX-T-X-0040          CEM12 Agenda</t>
  </si>
  <si>
    <t>FS1018-HBC-XX-XX-T-X-0042</t>
  </si>
  <si>
    <t>Employer Necessary Consents</t>
  </si>
  <si>
    <t>FS1018-HBC-XX-XX-T-X-0042          Employer Necessary Consents</t>
  </si>
  <si>
    <t>FS1018-HBC-XX-XX-T-X-0043</t>
  </si>
  <si>
    <t>Construction Method Statement</t>
  </si>
  <si>
    <t>FS1018-HBC-XX-XX-T-X-0043          Construction Method Statement</t>
  </si>
  <si>
    <t>FS1018-HBC-XX-XX-T-X-0044</t>
  </si>
  <si>
    <t>Handover Strategy</t>
  </si>
  <si>
    <t>FS1018-HBC-XX-XX-T-X-0044          Handover Strategy</t>
  </si>
  <si>
    <t>FS1018-HBC-XX-XX-T-X-0045</t>
  </si>
  <si>
    <t>Thermal Assessment</t>
  </si>
  <si>
    <t>FS1018-HBC-XX-XX-T-X-0045          Thermal Assessment</t>
  </si>
  <si>
    <t>FS1018-HEX-XX-XX-T-C-0004</t>
  </si>
  <si>
    <t>Civil Design Philosophy</t>
  </si>
  <si>
    <t>FS1018-HEX-XX-XX-T-C-0004          Civil Design Philosophy</t>
  </si>
  <si>
    <t>FS1018-HEX-XX-XX-T-C-0010</t>
  </si>
  <si>
    <t>FS1018-HEX-XX-XX-T-C-0010          Risk Register</t>
  </si>
  <si>
    <t>FS1018-HEX-XX-XX-T-C-0011</t>
  </si>
  <si>
    <t>Drainage Specification</t>
  </si>
  <si>
    <t>FS1018-HEX-XX-XX-T-C-0011          Drainage Specification</t>
  </si>
  <si>
    <t>FS1018-HEX-XX-XX-T-C-0012</t>
  </si>
  <si>
    <t>Earthworks Specification</t>
  </si>
  <si>
    <t>FS1018-HEX-XX-XX-T-C-0012          Earthworks Specification</t>
  </si>
  <si>
    <t>FS1018-HEX-XX-XX-T-H-0001</t>
  </si>
  <si>
    <t>Transport Assessment</t>
  </si>
  <si>
    <t>FS1018-HEX-XX-XX-T-H-0001          Transport Assessment</t>
  </si>
  <si>
    <t>FS1018-HEX-XX-XX-T-S-0003</t>
  </si>
  <si>
    <t>Structural Design Philosophy</t>
  </si>
  <si>
    <t>FS1018-HEX-XX-XX-T-S-0003          Structural Design Philosophy</t>
  </si>
  <si>
    <t>FS1018-HEX-XX-XX-T-S-0004</t>
  </si>
  <si>
    <t>Concrete Specification</t>
  </si>
  <si>
    <t>FS1018-HEX-XX-XX-T-S-0004          Concrete Specification</t>
  </si>
  <si>
    <t>FS1018-HEX-XX-XX-T-S-0005</t>
  </si>
  <si>
    <t>Steelwork Specification</t>
  </si>
  <si>
    <t>FS1018-HEX-XX-XX-T-S-0005          Steelwork Specification</t>
  </si>
  <si>
    <t>FS1018-HEX-XX-XX-T-S-0006</t>
  </si>
  <si>
    <t>Piling Specification</t>
  </si>
  <si>
    <t>FS1018-HEX-XX-XX-T-S-0006          Piling Specification</t>
  </si>
  <si>
    <t>FS1018-HEX-ZZ-00-D-S-0101</t>
  </si>
  <si>
    <t>Foundation Layout</t>
  </si>
  <si>
    <t>FS1018-HEX-ZZ-00-D-S-0101          Foundation Layout</t>
  </si>
  <si>
    <t>FS1018-HEX-ZZ-00-D-S-0102</t>
  </si>
  <si>
    <t>Foundation Details</t>
  </si>
  <si>
    <t>FS1018-HEX-ZZ-00-D-S-0102          Foundation Details</t>
  </si>
  <si>
    <t>FS1018-HEX-ZZ-00-D-S-0200</t>
  </si>
  <si>
    <t>Ground Floor Column Plan</t>
  </si>
  <si>
    <t>FS1018-HEX-ZZ-00-D-S-0200          Ground Floor Column Plan</t>
  </si>
  <si>
    <t>FS1018-HEX-ZZ-01-D-S-0201</t>
  </si>
  <si>
    <t>First Floor Steelwork Layout</t>
  </si>
  <si>
    <t>FS1018-HEX-ZZ-01-D-S-0201          First Floor Steelwork Layout</t>
  </si>
  <si>
    <t>FS1018-HEX-ZZ-02-D-S-0202</t>
  </si>
  <si>
    <t>Second Floor Steelwork Layout</t>
  </si>
  <si>
    <t>FS1018-HEX-ZZ-02-D-S-0202          Second Floor Steelwork Layout</t>
  </si>
  <si>
    <t>FS1018-HEX-ZZ-RF-D-S-0203</t>
  </si>
  <si>
    <t>Main Roof Steelwork Layout</t>
  </si>
  <si>
    <t>FS1018-HEX-ZZ-RF-D-S-0203          Main Roof Steelwork Layout</t>
  </si>
  <si>
    <t>FS1018-HEX-ZZ-RF-D-S-0204</t>
  </si>
  <si>
    <t>Hall Roof Steelwork Layouts</t>
  </si>
  <si>
    <t>FS1018-HEX-ZZ-RF-D-S-0204          Hall Roof Steelwork Layouts</t>
  </si>
  <si>
    <t>FS1018-HEX-ZZ-RF-D-S-0205</t>
  </si>
  <si>
    <t>Parapet Steelwork Layout</t>
  </si>
  <si>
    <t>FS1018-HEX-ZZ-RF-D-S-0205          Parapet Steelwork Layout</t>
  </si>
  <si>
    <t>FS1018-HEX-ZZ-XX-D-S-0001</t>
  </si>
  <si>
    <t>Project Notes</t>
  </si>
  <si>
    <t>FS1018-HEX-ZZ-XX-D-S-0001          Project Notes</t>
  </si>
  <si>
    <t>FS1018-HEX-ZZ-ZZ-D-C-5200</t>
  </si>
  <si>
    <t>Surface Water Drainage Layout Sheet 1</t>
  </si>
  <si>
    <t>FS1018-HEX-ZZ-ZZ-D-C-5200          Surface Water Drainage Layout Sheet 1</t>
  </si>
  <si>
    <t>FS1018-HEX-ZZ-ZZ-D-C-5201</t>
  </si>
  <si>
    <t>Surface Water Drainage Layout Sheet 2</t>
  </si>
  <si>
    <t>FS1018-HEX-ZZ-ZZ-D-C-5201          Surface Water Drainage Layout Sheet 2</t>
  </si>
  <si>
    <t>FS1018-HEX-ZZ-ZZ-D-C-5205</t>
  </si>
  <si>
    <t>Foul Water Drainage Layout</t>
  </si>
  <si>
    <t>FS1018-HEX-ZZ-ZZ-D-C-5205          Foul Water Drainage Layout</t>
  </si>
  <si>
    <t>FS1018-HEX-ZZ-ZZ-D-C-5210</t>
  </si>
  <si>
    <t>Drainage Construction Details Sheet 1</t>
  </si>
  <si>
    <t>FS1018-HEX-ZZ-ZZ-D-C-5210          Drainage Construction Details Sheet 1</t>
  </si>
  <si>
    <t>FS1018-HEX-ZZ-ZZ-D-C-5211</t>
  </si>
  <si>
    <t>Drainage Construction Details Sheet 2</t>
  </si>
  <si>
    <t>FS1018-HEX-ZZ-ZZ-D-C-5211          Drainage Construction Details Sheet 2</t>
  </si>
  <si>
    <t>FS1018-HEX-ZZ-ZZ-D-C-9000</t>
  </si>
  <si>
    <t>Earthworks Analysis</t>
  </si>
  <si>
    <t>FS1018-HEX-ZZ-ZZ-D-C-9000          Earthworks Analysis</t>
  </si>
  <si>
    <t>FS1018-HEX-ZZ-ZZ-D-C-9020</t>
  </si>
  <si>
    <t>External Works Layout Sheet 1</t>
  </si>
  <si>
    <t>FS1018-HEX-ZZ-ZZ-D-C-9020          External Works Layout Sheet 1</t>
  </si>
  <si>
    <t>FS1018-HEX-ZZ-ZZ-D-C-9021</t>
  </si>
  <si>
    <t>External Works Layout Sheet 2</t>
  </si>
  <si>
    <t>FS1018-HEX-ZZ-ZZ-D-C-9021          External Works Layout Sheet 2</t>
  </si>
  <si>
    <t>FS1018-HEX-ZZ-ZZ-D-C-9025</t>
  </si>
  <si>
    <t>External Works Construction Details</t>
  </si>
  <si>
    <t>FS1018-HEX-ZZ-ZZ-D-C-9025          External Works Construction Details</t>
  </si>
  <si>
    <t>FS1018-HEX-ZZ-ZZ-D-S-0501</t>
  </si>
  <si>
    <t>Building Elevations Sheet 01 Of 02</t>
  </si>
  <si>
    <t>FS1018-HEX-ZZ-ZZ-D-S-0501          Building Elevations Sheet 01 Of 02</t>
  </si>
  <si>
    <t>FS1018-HEX-ZZ-ZZ-D-S-0502</t>
  </si>
  <si>
    <t>Building Elevations Sheet 02 Of 02</t>
  </si>
  <si>
    <t>FS1018-HEX-ZZ-ZZ-D-S-0502          Building Elevations Sheet 02 Of 02</t>
  </si>
  <si>
    <t>FS1018-HEX-ZZ-ZZ-D-S-0503</t>
  </si>
  <si>
    <t>Bracing Elevations</t>
  </si>
  <si>
    <t>FS1018-HEX-ZZ-ZZ-D-S-0503          Bracing Elevations</t>
  </si>
  <si>
    <t>FS1018-HEX-ZZ-ZZ-D-S-0601</t>
  </si>
  <si>
    <t>Building Sections</t>
  </si>
  <si>
    <t>FS1018-HEX-ZZ-ZZ-D-S-0601          Building Sections</t>
  </si>
  <si>
    <t>FS1018-HEX-ZZ-ZZ-D-S-0602</t>
  </si>
  <si>
    <t>Structural Sections and Details</t>
  </si>
  <si>
    <t>FS1018-HEX-ZZ-ZZ-D-S-0602          Structural Sections and Details</t>
  </si>
  <si>
    <t>FS1018-HEX-ZZ-ZZ-D-S-0801</t>
  </si>
  <si>
    <t>3D Views</t>
  </si>
  <si>
    <t>FS1018-HEX-ZZ-ZZ-D-S-0801          3D Views</t>
  </si>
  <si>
    <t>FS1018-HEX-ZZ-ZZ-M-C-0001</t>
  </si>
  <si>
    <t>Native Civil Model</t>
  </si>
  <si>
    <t>FS1018-HEX-ZZ-ZZ-M-C-0001          Native Civil Model</t>
  </si>
  <si>
    <t>FS1018-HEX-ZZ-ZZ-M-C-0002</t>
  </si>
  <si>
    <t>IFC SPF Civil Model</t>
  </si>
  <si>
    <t>FS1018-HEX-ZZ-ZZ-M-C-0002          IFC SPF Civil Model</t>
  </si>
  <si>
    <t>FS1018-HEX-ZZ-ZZ-M-C-0003</t>
  </si>
  <si>
    <t>Navisworks Civil Model</t>
  </si>
  <si>
    <t>FS1018-HEX-ZZ-ZZ-M-C-0003          Navisworks Civil Model</t>
  </si>
  <si>
    <t>FS1018-HEX-ZZ-ZZ-M-S-0001</t>
  </si>
  <si>
    <t>Native Structural Model</t>
  </si>
  <si>
    <t>FS1018-HEX-ZZ-ZZ-M-S-0001          Native Structural Model</t>
  </si>
  <si>
    <t>FS1018-HEX-ZZ-ZZ-M-S-0002</t>
  </si>
  <si>
    <t>IFC SPF Structural Model</t>
  </si>
  <si>
    <t>FS1018-HEX-ZZ-ZZ-M-S-0002          IFC SPF Structural Model</t>
  </si>
  <si>
    <t>FS1018-HEX-ZZ-ZZ-M-S-0003</t>
  </si>
  <si>
    <t>Navis Structural Model</t>
  </si>
  <si>
    <t>FS1018-HEX-ZZ-ZZ-M-S-0003          Navis Structural Model</t>
  </si>
  <si>
    <t>FS1018-HEX-ZZ-ZZ-T-C-0001</t>
  </si>
  <si>
    <t>General Notes</t>
  </si>
  <si>
    <t>FS1018-HEX-ZZ-ZZ-T-C-0001          General Notes</t>
  </si>
  <si>
    <t>FS1018-MAJ-XX-XX-L-X-0090</t>
  </si>
  <si>
    <t>Detailed Responsibility Matrix</t>
  </si>
  <si>
    <t>FS1018-MAJ-XX-XX-L-X-0090          Detailed Responsibility Matrix</t>
  </si>
  <si>
    <t>FS1018-MAJ-XX-XX-L-X-8001</t>
  </si>
  <si>
    <t>Asset Register</t>
  </si>
  <si>
    <t>FS1018-MAJ-XX-XX-L-X-8001          Asset Register</t>
  </si>
  <si>
    <t>FS1018-MAJ-XX-XX-L-X-8002</t>
  </si>
  <si>
    <t>COBie QC Report</t>
  </si>
  <si>
    <t>FS1018-MAJ-XX-XX-L-X-8002          COBie QC Report</t>
  </si>
  <si>
    <t>FS1018-MAJ-XX-XX-T-X-0001</t>
  </si>
  <si>
    <t>BIM Execution Plan</t>
  </si>
  <si>
    <t>FS1018-MAJ-XX-XX-T-X-0001          BIM Execution Plan</t>
  </si>
  <si>
    <t>FS1018-MAJ-XX-XX-T-X-1001</t>
  </si>
  <si>
    <t>Information Managers Report</t>
  </si>
  <si>
    <t>FS1018-MAJ-XX-XX-T-X-1001          Information Managers Report</t>
  </si>
  <si>
    <t>FS1018-MAJ-ZZ-ZZ-M-X-0001</t>
  </si>
  <si>
    <t>Federated Information Model</t>
  </si>
  <si>
    <t>FS1018-MAJ-ZZ-ZZ-M-X-0001          Federated Information Model</t>
  </si>
  <si>
    <t>FS1018-OFR-XX-ZZ-G-K-0001</t>
  </si>
  <si>
    <t>Fire Strategy Report</t>
  </si>
  <si>
    <t>FS1018-OFR-XX-ZZ-G-K-0001          Fire Strategy Report</t>
  </si>
  <si>
    <t>FS1018-ONE-XX-XX-T-L-0001</t>
  </si>
  <si>
    <t>FS1018-ONE-XX-XX-T-L-0001          Outline Specification</t>
  </si>
  <si>
    <t>FS1018-ONE-XX-XX-T-L-0002</t>
  </si>
  <si>
    <t>Design Development Schedule</t>
  </si>
  <si>
    <t>FS1018-ONE-XX-XX-T-L-0002          Design Development Schedule</t>
  </si>
  <si>
    <t>FS1018-ONE-XX-ZZ-D-L-0001</t>
  </si>
  <si>
    <t>Location Plan</t>
  </si>
  <si>
    <t>FS1018-ONE-XX-ZZ-D-L-0001          Location Plan</t>
  </si>
  <si>
    <t>FS1018-ONE-XX-ZZ-D-L-0002</t>
  </si>
  <si>
    <t>Existing Site Plan</t>
  </si>
  <si>
    <t>FS1018-ONE-XX-ZZ-D-L-0002          Existing Site Plan</t>
  </si>
  <si>
    <t>FS1018-ONE-XX-ZZ-D-L-0003</t>
  </si>
  <si>
    <t>Whole Site Plan</t>
  </si>
  <si>
    <t>FS1018-ONE-XX-ZZ-D-L-0003          Whole Site Plan</t>
  </si>
  <si>
    <t>P14</t>
  </si>
  <si>
    <t>FS1018-ONE-XX-ZZ-D-L-0004</t>
  </si>
  <si>
    <t>Site Landscaping Plan 1 of 5</t>
  </si>
  <si>
    <t>FS1018-ONE-XX-ZZ-D-L-0004          Site Landscaping Plan 1 of 5</t>
  </si>
  <si>
    <t>FS1018-ONE-XX-ZZ-D-L-0005</t>
  </si>
  <si>
    <t>Site Landscaping Plan 2 of 5</t>
  </si>
  <si>
    <t>FS1018-ONE-XX-ZZ-D-L-0005          Site Landscaping Plan 2 of 5</t>
  </si>
  <si>
    <t>FS1018-ONE-XX-ZZ-D-L-0006</t>
  </si>
  <si>
    <t>Site Landscaping Plan 3 of 5</t>
  </si>
  <si>
    <t>FS1018-ONE-XX-ZZ-D-L-0006          Site Landscaping Plan 3 of 5</t>
  </si>
  <si>
    <t>FS1018-ONE-XX-ZZ-D-L-0007</t>
  </si>
  <si>
    <t>Site Landscaping Plan 4 of 5</t>
  </si>
  <si>
    <t>FS1018-ONE-XX-ZZ-D-L-0007          Site Landscaping Plan 4 of 5</t>
  </si>
  <si>
    <t>FS1018-ONE-XX-ZZ-D-L-0008</t>
  </si>
  <si>
    <t>Site Landscaping Plan 5 of 5</t>
  </si>
  <si>
    <t>FS1018-ONE-XX-ZZ-D-L-0008          Site Landscaping Plan 5 of 5</t>
  </si>
  <si>
    <t>FS1018-ONE-XX-ZZ-D-L-0009</t>
  </si>
  <si>
    <t>Access and Security Strategy</t>
  </si>
  <si>
    <t>FS1018-ONE-XX-ZZ-D-L-0009          Access and Security Strategy</t>
  </si>
  <si>
    <t>FS1018-ONE-XX-ZZ-D-L-0010</t>
  </si>
  <si>
    <t>FS1018-ONE-XX-ZZ-D-L-0010          Circulation Strategy</t>
  </si>
  <si>
    <t>FS1018-ONE-XX-ZZ-D-L-0011</t>
  </si>
  <si>
    <t>External Sports Provision</t>
  </si>
  <si>
    <t>FS1018-ONE-XX-ZZ-D-L-0011          External Sports Provision</t>
  </si>
  <si>
    <t>FS1018-ONE-XX-ZZ-D-L-0012</t>
  </si>
  <si>
    <t>Green Infrastructure Plan</t>
  </si>
  <si>
    <t>FS1018-ONE-XX-ZZ-D-L-0012          Green Infrastructure Plan</t>
  </si>
  <si>
    <t>FS1018-ONE-XX-ZZ-D-L-0013</t>
  </si>
  <si>
    <t>BB103 Guidance</t>
  </si>
  <si>
    <t>FS1018-ONE-XX-ZZ-D-L-0013          BB103 Guidance</t>
  </si>
  <si>
    <t>FS1018-ONE-XX-ZZ-D-L-0014</t>
  </si>
  <si>
    <t>FS1018-ONE-XX-ZZ-D-L-0014          Hazard Identification Plan</t>
  </si>
  <si>
    <t>FS1018-ONE-XX-ZZ-D-L-0015</t>
  </si>
  <si>
    <t>Refurbishment Remodelling Strategy</t>
  </si>
  <si>
    <t>FS1018-ONE-XX-ZZ-D-L-0015          Refurbishment Remodelling Strategy</t>
  </si>
  <si>
    <t>FS1018-ONE-XX-ZZ-D-L-0017</t>
  </si>
  <si>
    <t>Site Sections</t>
  </si>
  <si>
    <t>FS1018-ONE-XX-ZZ-D-L-0017          Site Sections</t>
  </si>
  <si>
    <t>FS1018-ONE-XX-ZZ-D-L-0021</t>
  </si>
  <si>
    <t>Existing Site Plan 1 of 5</t>
  </si>
  <si>
    <t>FS1018-ONE-XX-ZZ-D-L-0021          Existing Site Plan 1 of 5</t>
  </si>
  <si>
    <t>FS1018-ONE-XX-ZZ-D-L-0022</t>
  </si>
  <si>
    <t>Existing Site Plan 2 of 5</t>
  </si>
  <si>
    <t>FS1018-ONE-XX-ZZ-D-L-0022          Existing Site Plan 2 of 5</t>
  </si>
  <si>
    <t>FS1018-ONE-XX-ZZ-D-L-0023</t>
  </si>
  <si>
    <t>Existing Site Plan 3 of 5</t>
  </si>
  <si>
    <t>FS1018-ONE-XX-ZZ-D-L-0023          Existing Site Plan 3 of 5</t>
  </si>
  <si>
    <t>FS1018-ONE-XX-ZZ-D-L-0024</t>
  </si>
  <si>
    <t>Existing Site Plan 4 of 5</t>
  </si>
  <si>
    <t>FS1018-ONE-XX-ZZ-D-L-0024          Existing Site Plan 4 of 5</t>
  </si>
  <si>
    <t>FS1018-ONE-XX-ZZ-D-L-0025</t>
  </si>
  <si>
    <t>Existing Site Plan 5 of 5</t>
  </si>
  <si>
    <t>FS1018-ONE-XX-ZZ-D-L-0025          Existing Site Plan 5 of 5</t>
  </si>
  <si>
    <t>FS1018-ONE-XX-ZZ-D-L-0201</t>
  </si>
  <si>
    <t>Detailed Planting Plan Sheet 1 of 5</t>
  </si>
  <si>
    <t>FS1018-ONE-XX-ZZ-D-L-0201          Detailed Planting Plan Sheet 1 of 5</t>
  </si>
  <si>
    <t>FS1018-ONE-XX-ZZ-D-L-0202</t>
  </si>
  <si>
    <t>Detailed Planting Plan Sheet 2 of 5</t>
  </si>
  <si>
    <t>FS1018-ONE-XX-ZZ-D-L-0202          Detailed Planting Plan Sheet 2 of 5</t>
  </si>
  <si>
    <t>FS1018-ONE-XX-ZZ-D-L-0203</t>
  </si>
  <si>
    <t>Detailed Planting Plan Sheet 3 of 5</t>
  </si>
  <si>
    <t>FS1018-ONE-XX-ZZ-D-L-0203          Detailed Planting Plan Sheet 3 of 5</t>
  </si>
  <si>
    <t>FS1018-ONE-XX-ZZ-D-L-0204</t>
  </si>
  <si>
    <t>Detailed Planting Plan Sheet 4 of 5</t>
  </si>
  <si>
    <t>FS1018-ONE-XX-ZZ-D-L-0204          Detailed Planting Plan Sheet 4 of 5</t>
  </si>
  <si>
    <t>FS1018-ONE-XX-ZZ-D-L-0205</t>
  </si>
  <si>
    <t>Detailed Planting Plan Sheet 5 of 5</t>
  </si>
  <si>
    <t>FS1018-ONE-XX-ZZ-D-L-0205          Detailed Planting Plan Sheet 5 of 5</t>
  </si>
  <si>
    <t>FS1018-ONE-XX-ZZ-D-L-0401</t>
  </si>
  <si>
    <t>Outline Levels Plan 1 of 5</t>
  </si>
  <si>
    <t>FS1018-ONE-XX-ZZ-D-L-0401          Outline Levels Plan 1 of 5</t>
  </si>
  <si>
    <t>FS1018-ONE-XX-ZZ-D-L-0402</t>
  </si>
  <si>
    <t>Outline Levels Plan 2 of 5</t>
  </si>
  <si>
    <t>FS1018-ONE-XX-ZZ-D-L-0402          Outline Levels Plan 2 of 5</t>
  </si>
  <si>
    <t>FS1018-ONE-XX-ZZ-D-L-0403</t>
  </si>
  <si>
    <t>Outline Levels Plan 3 of 5</t>
  </si>
  <si>
    <t>FS1018-ONE-XX-ZZ-D-L-0403          Outline Levels Plan 3 of 5</t>
  </si>
  <si>
    <t>FS1018-ONE-XX-ZZ-D-L-0404</t>
  </si>
  <si>
    <t>Outline Levels Plan 4 of 5</t>
  </si>
  <si>
    <t>FS1018-ONE-XX-ZZ-D-L-0404          Outline Levels Plan 4 of 5</t>
  </si>
  <si>
    <t>FS1018-ONE-XX-ZZ-D-L-0405</t>
  </si>
  <si>
    <t>Outline Levels Plan 5 of 5</t>
  </si>
  <si>
    <t>FS1018-ONE-XX-ZZ-D-L-0405          Outline Levels Plan 5 of 5</t>
  </si>
  <si>
    <t>FS1018-ONE-XX-ZZ-D-L-0601</t>
  </si>
  <si>
    <t>Landscape Details Sheet 1</t>
  </si>
  <si>
    <t>FS1018-ONE-XX-ZZ-D-L-0601          Landscape Details Sheet 1</t>
  </si>
  <si>
    <t>FS1018-ONE-XX-ZZ-D-L-0602</t>
  </si>
  <si>
    <t>Landscape Details Sheet 2</t>
  </si>
  <si>
    <t>FS1018-ONE-XX-ZZ-D-L-0602          Landscape Details Sheet 2</t>
  </si>
  <si>
    <t>FS1018-ONE-XX-ZZ-D-L-0603</t>
  </si>
  <si>
    <t>Landscape Details Sheet 3</t>
  </si>
  <si>
    <t>FS1018-ONE-XX-ZZ-D-L-0603          Landscape Details Sheet 3</t>
  </si>
  <si>
    <t>FS1018-ONE-ZZ-XX-T-L-0004</t>
  </si>
  <si>
    <t>Security Statement</t>
  </si>
  <si>
    <t>FS1018-ONE-ZZ-XX-T-L-0004          Security Statement</t>
  </si>
  <si>
    <t>FS1018-ONE-ZZ-ZZ-M-L-0001</t>
  </si>
  <si>
    <t>Landscape Model</t>
  </si>
  <si>
    <t>FS1018-ONE-ZZ-ZZ-M-L-0001          Landscape Model</t>
  </si>
  <si>
    <t>FS1018-ONE-ZZ-ZZ-M-L-0002</t>
  </si>
  <si>
    <t>FS1018-ONE-ZZ-ZZ-M-L-0002          Landscape Model</t>
  </si>
  <si>
    <t>FS1018-ONE-ZZ-ZZ-M-L-0003</t>
  </si>
  <si>
    <t>FS1018-ONE-ZZ-ZZ-M-L-0003          Landscape Model</t>
  </si>
  <si>
    <t>FS1018-PIN-XX-XX-L-O-0003</t>
  </si>
  <si>
    <t>Task Team Risk Register</t>
  </si>
  <si>
    <t>FS1018-PIN-XX-XX-L-O-0003          Task Team Risk Register</t>
  </si>
  <si>
    <t>FS1018-PIN-ZZ-00-D-O-0001</t>
  </si>
  <si>
    <t>Ground Floor GA 1 Of 2</t>
  </si>
  <si>
    <t>FS1018-PIN-ZZ-00-D-O-0001          Ground Floor GA 1 Of 2</t>
  </si>
  <si>
    <t>FS1018-PIN-ZZ-00-D-O-0002</t>
  </si>
  <si>
    <t>Ground Floor GA 2 Of 2</t>
  </si>
  <si>
    <t>FS1018-PIN-ZZ-00-D-O-0002          Ground Floor GA 2 Of 2</t>
  </si>
  <si>
    <t>FS1018-PIN-ZZ-00-D-O-0006</t>
  </si>
  <si>
    <t>Lobby 1</t>
  </si>
  <si>
    <t>FS1018-PIN-ZZ-00-D-O-0006          Lobby 1</t>
  </si>
  <si>
    <t>FS1018-PIN-ZZ-00-D-O-0601</t>
  </si>
  <si>
    <t>Food Prep Area, Kitchen Servery And Wash Up 1</t>
  </si>
  <si>
    <t>FS1018-PIN-ZZ-00-D-O-0601          Food Prep Area, Kitchen Servery And Wash Up 1</t>
  </si>
  <si>
    <t>FS1018-PIN-ZZ-00-D-O-1109</t>
  </si>
  <si>
    <t>Music Room</t>
  </si>
  <si>
    <t>FS1018-PIN-ZZ-00-D-O-1109          Music Room</t>
  </si>
  <si>
    <t>FS1018-PIN-ZZ-00-D-O-1110</t>
  </si>
  <si>
    <t>DT Workshop 1</t>
  </si>
  <si>
    <t>FS1018-PIN-ZZ-00-D-O-1110          DT Workshop 1</t>
  </si>
  <si>
    <t>FS1018-PIN-ZZ-00-D-O-1111</t>
  </si>
  <si>
    <t>Food Room 1 Option 1</t>
  </si>
  <si>
    <t>FS1018-PIN-ZZ-00-D-O-1111          Food Room 1 Option 1</t>
  </si>
  <si>
    <t>FS1018-PIN-ZZ-00-D-O-1112</t>
  </si>
  <si>
    <t>DT Studio Graphic Products</t>
  </si>
  <si>
    <t>FS1018-PIN-ZZ-00-D-O-1112          DT Studio Graphic Products</t>
  </si>
  <si>
    <t>FS1018-PIN-ZZ-00-D-O-1113</t>
  </si>
  <si>
    <t>DT Studio Electronics And Control</t>
  </si>
  <si>
    <t>FS1018-PIN-ZZ-00-D-O-1113          DT Studio Electronics And Control</t>
  </si>
  <si>
    <t>FS1018-PIN-ZZ-00-D-O-1211</t>
  </si>
  <si>
    <t>Food Room 1</t>
  </si>
  <si>
    <t>FS1018-PIN-ZZ-00-D-O-1211          Food Room 1</t>
  </si>
  <si>
    <t>FS1018-PIN-ZZ-00-D-O-2001</t>
  </si>
  <si>
    <t>Assembly Hall, Dining Layout</t>
  </si>
  <si>
    <t>FS1018-PIN-ZZ-00-D-O-2001          Assembly Hall, Dining Layout</t>
  </si>
  <si>
    <t>FS1018-PIN-ZZ-00-D-O-2002</t>
  </si>
  <si>
    <t>Sports Hall Exam Layout</t>
  </si>
  <si>
    <t>FS1018-PIN-ZZ-00-D-O-2002          Sports Hall Exam Layout</t>
  </si>
  <si>
    <t>FS1018-PIN-ZZ-00-D-O-2003</t>
  </si>
  <si>
    <t>Assembly Hall, Assembly Layout</t>
  </si>
  <si>
    <t>FS1018-PIN-ZZ-00-D-O-2003          Assembly Hall, Assembly Layout</t>
  </si>
  <si>
    <t>FS1018-PIN-ZZ-00-D-O-3002</t>
  </si>
  <si>
    <t>Sports Hall Sport Layout</t>
  </si>
  <si>
    <t>FS1018-PIN-ZZ-00-D-O-3002          Sports Hall Sport Layout</t>
  </si>
  <si>
    <t>FS1018-PIN-ZZ-00-D-O-3004</t>
  </si>
  <si>
    <t>LRC</t>
  </si>
  <si>
    <t>FS1018-PIN-ZZ-00-D-O-3004          LRC</t>
  </si>
  <si>
    <t>FS1018-PIN-ZZ-00-D-O-4003</t>
  </si>
  <si>
    <t>Enclosed Office, Admin Head 1</t>
  </si>
  <si>
    <t>FS1018-PIN-ZZ-00-D-O-4003          Enclosed Office, Admin Head 1</t>
  </si>
  <si>
    <t>FS1018-PIN-ZZ-00-D-O-4004</t>
  </si>
  <si>
    <t>Enclosed Office, Admin PA 1</t>
  </si>
  <si>
    <t>FS1018-PIN-ZZ-00-D-O-4004          Enclosed Office, Admin PA 1</t>
  </si>
  <si>
    <t>FS1018-PIN-ZZ-00-D-O-4005</t>
  </si>
  <si>
    <t>Reprographics Room 1</t>
  </si>
  <si>
    <t>FS1018-PIN-ZZ-00-D-O-4005          Reprographics Room 1</t>
  </si>
  <si>
    <t>FS1018-PIN-ZZ-00-D-O-4006</t>
  </si>
  <si>
    <t>Enclosed Office, With Recep Desk And Window 1</t>
  </si>
  <si>
    <t>FS1018-PIN-ZZ-00-D-O-4006          Enclosed Office, With Recep Desk And Window 1</t>
  </si>
  <si>
    <t>FS1018-PIN-ZZ-00-D-O-4008</t>
  </si>
  <si>
    <t>Reception Area, Entrance 50% Circulation</t>
  </si>
  <si>
    <t>FS1018-PIN-ZZ-00-D-O-4008          Reception Area, Entrance 50% Circulation</t>
  </si>
  <si>
    <t>FS1018-PIN-ZZ-00-D-O-4009</t>
  </si>
  <si>
    <t>Confidential Meeting Room Interview 1</t>
  </si>
  <si>
    <t>FS1018-PIN-ZZ-00-D-O-4009          Confidential Meeting Room Interview 1</t>
  </si>
  <si>
    <t>FS1018-PIN-ZZ-00-D-O-4015</t>
  </si>
  <si>
    <t>Office With Meeting Area, 2 Person 4</t>
  </si>
  <si>
    <t>FS1018-PIN-ZZ-00-D-O-4015          Office With Meeting Area, 2 Person 4</t>
  </si>
  <si>
    <t>FS1018-PIN-ZZ-00-D-O-4018</t>
  </si>
  <si>
    <t>Staff Workroom Premises 1 And Equipment Store, Maintenance 1</t>
  </si>
  <si>
    <t>FS1018-PIN-ZZ-00-D-O-4018          Staff Workroom Premises 1 And Equipment Store, Maintenance 1</t>
  </si>
  <si>
    <t>FS1018-PIN-ZZ-00-D-O-5003</t>
  </si>
  <si>
    <t>FS1018-PIN-ZZ-00-D-O-5003          Confidential Meeting Room Interview 1</t>
  </si>
  <si>
    <t>FS1018-PIN-ZZ-00-D-O-5007</t>
  </si>
  <si>
    <t>DT Prep Room 1</t>
  </si>
  <si>
    <t>FS1018-PIN-ZZ-00-D-O-5007          DT Prep Room 1</t>
  </si>
  <si>
    <t>FS1018-PIN-ZZ-00-D-O-5008</t>
  </si>
  <si>
    <t>Food Prep Room 1</t>
  </si>
  <si>
    <t>FS1018-PIN-ZZ-00-D-O-5008          Food Prep Room 1</t>
  </si>
  <si>
    <t>FS1018-PIN-ZZ-00-D-O-5009</t>
  </si>
  <si>
    <t>Teaching Resources Store Off DT Studio</t>
  </si>
  <si>
    <t>FS1018-PIN-ZZ-00-D-O-5009          Teaching Resources Store Off DT Studio</t>
  </si>
  <si>
    <t>FS1018-PIN-ZZ-00-D-O-5011</t>
  </si>
  <si>
    <t>FS1018-PIN-ZZ-00-D-O-5011          Teaching Resources Store Off DT Studio</t>
  </si>
  <si>
    <t>FS1018-PIN-ZZ-00-D-O-5013</t>
  </si>
  <si>
    <t>Teaching Resources Store Music 1</t>
  </si>
  <si>
    <t>FS1018-PIN-ZZ-00-D-O-5013          Teaching Resources Store Music 1</t>
  </si>
  <si>
    <t>FS1018-PIN-ZZ-00-D-O-5018</t>
  </si>
  <si>
    <t>Sports Equipment Store, Internal Sports Hall 1</t>
  </si>
  <si>
    <t>FS1018-PIN-ZZ-00-D-O-5018          Sports Equipment Store, Internal Sports Hall 1</t>
  </si>
  <si>
    <t>FS1018-PIN-ZZ-00-D-O-5019</t>
  </si>
  <si>
    <t>Sports Equipment Store, External 1</t>
  </si>
  <si>
    <t>FS1018-PIN-ZZ-00-D-O-5019          Sports Equipment Store, External 1</t>
  </si>
  <si>
    <t>FS1018-PIN-ZZ-00-D-O-5103</t>
  </si>
  <si>
    <t>Secure Storeroom 1</t>
  </si>
  <si>
    <t>FS1018-PIN-ZZ-00-D-O-5103          Secure Storeroom 1</t>
  </si>
  <si>
    <t>FS1018-PIN-ZZ-00-D-O-5109</t>
  </si>
  <si>
    <t>Coats And Bag Store Lockers 1</t>
  </si>
  <si>
    <t>FS1018-PIN-ZZ-00-D-O-5109          Coats And Bag Store Lockers 1</t>
  </si>
  <si>
    <t>FS1018-PIN-ZZ-00-D-O-5114</t>
  </si>
  <si>
    <t>Cleaners Store</t>
  </si>
  <si>
    <t>FS1018-PIN-ZZ-00-D-O-5114          Cleaners Store</t>
  </si>
  <si>
    <t>FS1018-PIN-ZZ-00-D-O-5117</t>
  </si>
  <si>
    <t>FS1018-PIN-ZZ-00-D-O-5117          Cleaners Store</t>
  </si>
  <si>
    <t>FS1018-PIN-ZZ-00-D-O-6001</t>
  </si>
  <si>
    <t>Dining And Catering</t>
  </si>
  <si>
    <t>FS1018-PIN-ZZ-00-D-O-6001          Dining And Catering</t>
  </si>
  <si>
    <t>FS1018-PIN-ZZ-00-D-O-6002</t>
  </si>
  <si>
    <t>Office, Kitchen 1</t>
  </si>
  <si>
    <t>FS1018-PIN-ZZ-00-D-O-6002          Office, Kitchen 1</t>
  </si>
  <si>
    <t>FS1018-PIN-ZZ-00-D-O-6003</t>
  </si>
  <si>
    <t>Food Store, Kitchen Dry 1</t>
  </si>
  <si>
    <t>FS1018-PIN-ZZ-00-D-O-6003          Food Store, Kitchen Dry 1</t>
  </si>
  <si>
    <t>FS1018-PIN-ZZ-00-D-O-6004</t>
  </si>
  <si>
    <t>Cold Store, Kitchen 1</t>
  </si>
  <si>
    <t>FS1018-PIN-ZZ-00-D-O-6004          Cold Store, Kitchen 1</t>
  </si>
  <si>
    <t>FS1018-PIN-ZZ-00-D-O-6005</t>
  </si>
  <si>
    <t>Cold Store, Kitchen Freezer 1</t>
  </si>
  <si>
    <t>FS1018-PIN-ZZ-00-D-O-6005          Cold Store, Kitchen Freezer 1</t>
  </si>
  <si>
    <t>FS1018-PIN-ZZ-00-D-O-6006</t>
  </si>
  <si>
    <t>Toilet (With Changing Area) 1</t>
  </si>
  <si>
    <t>FS1018-PIN-ZZ-00-D-O-6006          Toilet (With Changing Area) 1</t>
  </si>
  <si>
    <t>FS1018-PIN-ZZ-00-D-O-6007</t>
  </si>
  <si>
    <t>Changing Room, With Showers Pupils 1 And Toilets, Suite Pupils, Other 1</t>
  </si>
  <si>
    <t>FS1018-PIN-ZZ-00-D-O-6007          Changing Room, With Showers Pupils 1 And Toilets, Suite Pupils, Other 1</t>
  </si>
  <si>
    <t>FS1018-PIN-ZZ-00-D-O-6008</t>
  </si>
  <si>
    <t>Changing Room, With Showers Pupils 2 And Toilets, Suite Pupils, Other 2</t>
  </si>
  <si>
    <t>FS1018-PIN-ZZ-00-D-O-6008          Changing Room, With Showers Pupils 2 And Toilets, Suite Pupils, Other 2</t>
  </si>
  <si>
    <t>FS1018-PIN-ZZ-00-D-O-6009</t>
  </si>
  <si>
    <t>Music Practice Room 2</t>
  </si>
  <si>
    <t>FS1018-PIN-ZZ-00-D-O-6009          Music Practice Room 2</t>
  </si>
  <si>
    <t>FS1018-PIN-ZZ-00-D-O-6011</t>
  </si>
  <si>
    <t>Hygiene Room 1</t>
  </si>
  <si>
    <t>FS1018-PIN-ZZ-00-D-O-6011          Hygiene Room 1</t>
  </si>
  <si>
    <t>FS1018-PIN-ZZ-00-D-O-6042</t>
  </si>
  <si>
    <t>First Aid Post Sick Bay 1 And Stairway 7</t>
  </si>
  <si>
    <t>FS1018-PIN-ZZ-00-D-O-6042          First Aid Post Sick Bay 1 And Stairway 7</t>
  </si>
  <si>
    <t>FS1018-PIN-ZZ-00-D-O-6069</t>
  </si>
  <si>
    <t>Circulation Space Horizontal On And Coats And Bag Store Lockers 1</t>
  </si>
  <si>
    <t>FS1018-PIN-ZZ-00-D-O-6069          Circulation Space Horizontal On And Coats And Bag Store Lockers 1</t>
  </si>
  <si>
    <t>FS1018-PIN-ZZ-00-D-O-7001</t>
  </si>
  <si>
    <t>Dining And Catering 3D</t>
  </si>
  <si>
    <t>FS1018-PIN-ZZ-00-D-O-7001          Dining And Catering 3D</t>
  </si>
  <si>
    <t>FS1018-PIN-ZZ-00-D-O-7003</t>
  </si>
  <si>
    <t>Dishwashing</t>
  </si>
  <si>
    <t>FS1018-PIN-ZZ-00-D-O-7003          Dishwashing</t>
  </si>
  <si>
    <t>FS1018-PIN-ZZ-00-D-O-7101</t>
  </si>
  <si>
    <t>Food Prep Area, Kitchen Servery And Wash Up 1 Electrical Plan</t>
  </si>
  <si>
    <t>FS1018-PIN-ZZ-00-D-O-7101          Food Prep Area, Kitchen Servery And Wash Up 1 Electrical Plan</t>
  </si>
  <si>
    <t>FS1018-PIN-ZZ-00-D-O-7201</t>
  </si>
  <si>
    <t>Food Prep Area, Kitchen Servery And Wash Up 1 Electrical Elevations</t>
  </si>
  <si>
    <t>FS1018-PIN-ZZ-00-D-O-7201          Food Prep Area, Kitchen Servery And Wash Up 1 Electrical Elevations</t>
  </si>
  <si>
    <t>FS1018-PIN-ZZ-00-D-O-7301</t>
  </si>
  <si>
    <t>Food Prep Area, Kitchen Servery And Wash Up 1 Mechanical Plan</t>
  </si>
  <si>
    <t>FS1018-PIN-ZZ-00-D-O-7301          Food Prep Area, Kitchen Servery And Wash Up 1 Mechanical Plan</t>
  </si>
  <si>
    <t>FS1018-PIN-ZZ-00-D-O-7401</t>
  </si>
  <si>
    <t>Food Prep Area, Kitchen Servery And Wash Up 1 Mechanical Elevations</t>
  </si>
  <si>
    <t>FS1018-PIN-ZZ-00-D-O-7401          Food Prep Area, Kitchen Servery And Wash Up 1 Mechanical Elevations</t>
  </si>
  <si>
    <t>FS1018-PIN-ZZ-00-D-O-7501</t>
  </si>
  <si>
    <t>Dishwash Services Requirements</t>
  </si>
  <si>
    <t>FS1018-PIN-ZZ-00-D-O-7501          Dishwash Services Requirements</t>
  </si>
  <si>
    <t>FS1018-PIN-ZZ-00-D-O-8001</t>
  </si>
  <si>
    <t>Music Practice Room 1</t>
  </si>
  <si>
    <t>FS1018-PIN-ZZ-00-D-O-8001          Music Practice Room 1</t>
  </si>
  <si>
    <t>FS1018-PIN-ZZ-00-D-O-8003</t>
  </si>
  <si>
    <t>Music Practice Room Extensive 1</t>
  </si>
  <si>
    <t>FS1018-PIN-ZZ-00-D-O-8003          Music Practice Room Extensive 1</t>
  </si>
  <si>
    <t>FS1018-PIN-ZZ-00-D-O-9001</t>
  </si>
  <si>
    <t>Classroom Store, Room Off Sen Room 1</t>
  </si>
  <si>
    <t>FS1018-PIN-ZZ-00-D-O-9001          Classroom Store, Room Off Sen Room 1</t>
  </si>
  <si>
    <t>FS1018-PIN-ZZ-00-D-O-9003</t>
  </si>
  <si>
    <t>Teaching Resources Store Music 2</t>
  </si>
  <si>
    <t>FS1018-PIN-ZZ-00-D-O-9003          Teaching Resources Store Music 2</t>
  </si>
  <si>
    <t>FS1018-PIN-ZZ-01-D-O-1000</t>
  </si>
  <si>
    <t>First Floor GA 1 Of 2</t>
  </si>
  <si>
    <t>FS1018-PIN-ZZ-01-D-O-1000          First Floor GA 1 Of 2</t>
  </si>
  <si>
    <t>FS1018-PIN-ZZ-01-D-O-1001</t>
  </si>
  <si>
    <t>First Floor GA 2 Of 2</t>
  </si>
  <si>
    <t>FS1018-PIN-ZZ-01-D-O-1001          First Floor GA 2 Of 2</t>
  </si>
  <si>
    <t>FS1018-PIN-ZZ-01-D-O-1002</t>
  </si>
  <si>
    <t>Classroom General 2</t>
  </si>
  <si>
    <t>FS1018-PIN-ZZ-01-D-O-1002          Classroom General 2</t>
  </si>
  <si>
    <t>FS1018-PIN-ZZ-01-D-O-1003</t>
  </si>
  <si>
    <t>Classroom General 3</t>
  </si>
  <si>
    <t>FS1018-PIN-ZZ-01-D-O-1003          Classroom General 3</t>
  </si>
  <si>
    <t>FS1018-PIN-ZZ-01-D-O-1004</t>
  </si>
  <si>
    <t>Classroom General 4</t>
  </si>
  <si>
    <t>FS1018-PIN-ZZ-01-D-O-1004          Classroom General 4</t>
  </si>
  <si>
    <t>FS1018-PIN-ZZ-01-D-O-1005</t>
  </si>
  <si>
    <t>Classroom General 5</t>
  </si>
  <si>
    <t>FS1018-PIN-ZZ-01-D-O-1005          Classroom General 5</t>
  </si>
  <si>
    <t>FS1018-PIN-ZZ-01-D-O-1006</t>
  </si>
  <si>
    <t>Classroom General 6</t>
  </si>
  <si>
    <t>FS1018-PIN-ZZ-01-D-O-1006          Classroom General 6</t>
  </si>
  <si>
    <t>FS1018-PIN-ZZ-01-D-O-1007</t>
  </si>
  <si>
    <t>Classroom General 7</t>
  </si>
  <si>
    <t>FS1018-PIN-ZZ-01-D-O-1007          Classroom General 7</t>
  </si>
  <si>
    <t>FS1018-PIN-ZZ-01-D-O-1008</t>
  </si>
  <si>
    <t>Classroom General 8</t>
  </si>
  <si>
    <t>FS1018-PIN-ZZ-01-D-O-1008          Classroom General 8</t>
  </si>
  <si>
    <t>FS1018-PIN-ZZ-01-D-O-1009</t>
  </si>
  <si>
    <t>Classroom General 9</t>
  </si>
  <si>
    <t>FS1018-PIN-ZZ-01-D-O-1009          Classroom General 9</t>
  </si>
  <si>
    <t>FS1018-PIN-ZZ-01-D-O-1021</t>
  </si>
  <si>
    <t>Classroom General 1</t>
  </si>
  <si>
    <t>FS1018-PIN-ZZ-01-D-O-1021          Classroom General 1</t>
  </si>
  <si>
    <t>FS1018-PIN-ZZ-01-D-O-1101</t>
  </si>
  <si>
    <t>ICT Rich Classroom 1</t>
  </si>
  <si>
    <t>FS1018-PIN-ZZ-01-D-O-1101          ICT Rich Classroom 1</t>
  </si>
  <si>
    <t>FS1018-PIN-ZZ-01-D-O-1102</t>
  </si>
  <si>
    <t>ICT Rich Classroom 2</t>
  </si>
  <si>
    <t>FS1018-PIN-ZZ-01-D-O-1102          ICT Rich Classroom 2</t>
  </si>
  <si>
    <t>FS1018-PIN-ZZ-01-D-O-1108</t>
  </si>
  <si>
    <t>Art Room General</t>
  </si>
  <si>
    <t>FS1018-PIN-ZZ-01-D-O-1108          Art Room General</t>
  </si>
  <si>
    <t>FS1018-PIN-ZZ-01-D-O-3006</t>
  </si>
  <si>
    <t>Medical Treatment Mi Room 1 And 3007 Sen Resource Space 1</t>
  </si>
  <si>
    <t>FS1018-PIN-ZZ-01-D-O-3006          Medical Treatment Mi Room 1 And 3007 Sen Resource Space 1</t>
  </si>
  <si>
    <t>FS1018-PIN-ZZ-01-D-O-3009</t>
  </si>
  <si>
    <t>Small Group Room Large Sen Etc. 1</t>
  </si>
  <si>
    <t>FS1018-PIN-ZZ-01-D-O-3009          Small Group Room Large Sen Etc. 1</t>
  </si>
  <si>
    <t>FS1018-PIN-ZZ-01-D-O-4002</t>
  </si>
  <si>
    <t>Meeting Room Conference 1</t>
  </si>
  <si>
    <t>FS1018-PIN-ZZ-01-D-O-4002          Meeting Room Conference 1</t>
  </si>
  <si>
    <t>FS1018-PIN-ZZ-01-D-O-4007</t>
  </si>
  <si>
    <t>Office Pastoral 1 And 5002 Teaching Resources Store It Gt Off Corridor 2</t>
  </si>
  <si>
    <t>FS1018-PIN-ZZ-01-D-O-4007          Office Pastoral 1 And 5002 Teaching Resources Store It Gt Off Corridor 2</t>
  </si>
  <si>
    <t>FS1018-PIN-ZZ-01-D-O-4012</t>
  </si>
  <si>
    <t>Office With Meeting Area, 2 Person 1</t>
  </si>
  <si>
    <t>FS1018-PIN-ZZ-01-D-O-4012          Office With Meeting Area, 2 Person 1</t>
  </si>
  <si>
    <t>FS1018-PIN-ZZ-01-D-O-4013</t>
  </si>
  <si>
    <t>Office With Meeting Area, 2 Person 2</t>
  </si>
  <si>
    <t>FS1018-PIN-ZZ-01-D-O-4013          Office With Meeting Area, 2 Person 2</t>
  </si>
  <si>
    <t>FS1018-PIN-ZZ-01-D-O-4016</t>
  </si>
  <si>
    <t>Office Senco, Learning Support 1</t>
  </si>
  <si>
    <t>FS1018-PIN-ZZ-01-D-O-4016          Office Senco, Learning Support 1</t>
  </si>
  <si>
    <t>FS1018-PIN-ZZ-01-D-O-4017</t>
  </si>
  <si>
    <t>Staff Workroom ICT Technicians 1</t>
  </si>
  <si>
    <t>FS1018-PIN-ZZ-01-D-O-4017          Staff Workroom ICT Technicians 1</t>
  </si>
  <si>
    <t>FS1018-PIN-ZZ-01-D-O-5006</t>
  </si>
  <si>
    <t>Teaching Resources Store Off Art Room 1</t>
  </si>
  <si>
    <t>FS1018-PIN-ZZ-01-D-O-5006          Teaching Resources Store Off Art Room 1</t>
  </si>
  <si>
    <t>FS1018-PIN-ZZ-01-D-O-5017</t>
  </si>
  <si>
    <t>FS1018-PIN-ZZ-01-D-O-5017          Classroom Store, Room Off Sen Room 1</t>
  </si>
  <si>
    <t>FS1018-PIN-ZZ-01-D-O-5104</t>
  </si>
  <si>
    <t>Secure Storeroom 2</t>
  </si>
  <si>
    <t>FS1018-PIN-ZZ-01-D-O-5104          Secure Storeroom 2</t>
  </si>
  <si>
    <t>FS1018-PIN-ZZ-01-D-O-5110</t>
  </si>
  <si>
    <t>Coats And Bag Store Lockers 2</t>
  </si>
  <si>
    <t>FS1018-PIN-ZZ-01-D-O-5110          Coats And Bag Store Lockers 2</t>
  </si>
  <si>
    <t>FS1018-PIN-ZZ-01-D-O-5111</t>
  </si>
  <si>
    <t>Coats And Bag Store Lockers 3</t>
  </si>
  <si>
    <t>FS1018-PIN-ZZ-01-D-O-5111          Coats And Bag Store Lockers 3</t>
  </si>
  <si>
    <t>FS1018-PIN-ZZ-01-D-O-5112</t>
  </si>
  <si>
    <t>Coats And Bag Store Lockers 4</t>
  </si>
  <si>
    <t>FS1018-PIN-ZZ-01-D-O-5112          Coats And Bag Store Lockers 4</t>
  </si>
  <si>
    <t>FS1018-PIN-ZZ-01-D-O-5113</t>
  </si>
  <si>
    <t>Coats And Bag Store Lockers 5</t>
  </si>
  <si>
    <t>FS1018-PIN-ZZ-01-D-O-5113          Coats And Bag Store Lockers 5</t>
  </si>
  <si>
    <t>FS1018-PIN-ZZ-01-D-O-5116</t>
  </si>
  <si>
    <t>Cleaners' Store 3</t>
  </si>
  <si>
    <t>FS1018-PIN-ZZ-01-D-O-5116          Cleaners' Store 3</t>
  </si>
  <si>
    <t>FS1018-PIN-ZZ-02-D-O-1010</t>
  </si>
  <si>
    <t>Classroom General 10</t>
  </si>
  <si>
    <t>FS1018-PIN-ZZ-02-D-O-1010          Classroom General 10</t>
  </si>
  <si>
    <t>FS1018-PIN-ZZ-02-D-O-1011</t>
  </si>
  <si>
    <t>Classroom General 11</t>
  </si>
  <si>
    <t>FS1018-PIN-ZZ-02-D-O-1011          Classroom General 11</t>
  </si>
  <si>
    <t>FS1018-PIN-ZZ-02-D-O-1012</t>
  </si>
  <si>
    <t>Classroom General 12</t>
  </si>
  <si>
    <t>FS1018-PIN-ZZ-02-D-O-1012          Classroom General 12</t>
  </si>
  <si>
    <t>FS1018-PIN-ZZ-02-D-O-1013</t>
  </si>
  <si>
    <t>Classroom General 13</t>
  </si>
  <si>
    <t>FS1018-PIN-ZZ-02-D-O-1013          Classroom General 13</t>
  </si>
  <si>
    <t>FS1018-PIN-ZZ-02-D-O-1014</t>
  </si>
  <si>
    <t>Classroom General 14</t>
  </si>
  <si>
    <t>FS1018-PIN-ZZ-02-D-O-1014          Classroom General 14</t>
  </si>
  <si>
    <t>FS1018-PIN-ZZ-02-D-O-1015</t>
  </si>
  <si>
    <t>Classroom General 15</t>
  </si>
  <si>
    <t>FS1018-PIN-ZZ-02-D-O-1015          Classroom General 15</t>
  </si>
  <si>
    <t>FS1018-PIN-ZZ-02-D-O-1016</t>
  </si>
  <si>
    <t>Classroom General 16</t>
  </si>
  <si>
    <t>FS1018-PIN-ZZ-02-D-O-1016          Classroom General 16</t>
  </si>
  <si>
    <t>FS1018-PIN-ZZ-02-D-O-1042</t>
  </si>
  <si>
    <t>6042P Stairway 7 And 5113A Coats And Bag Store Lockers 5</t>
  </si>
  <si>
    <t>FS1018-PIN-ZZ-02-D-O-1042          6042P Stairway 7 And 5113A Coats And Bag Store Lockers 5</t>
  </si>
  <si>
    <t>FS1018-PIN-ZZ-02-D-O-1103</t>
  </si>
  <si>
    <t>Science Laboratories Restrictive, Extg 1</t>
  </si>
  <si>
    <t>FS1018-PIN-ZZ-02-D-O-1103          Science Laboratories Restrictive, Extg 1</t>
  </si>
  <si>
    <t>FS1018-PIN-ZZ-02-D-O-1104</t>
  </si>
  <si>
    <t>Science Laboratories Restrictive, Extg 2</t>
  </si>
  <si>
    <t>FS1018-PIN-ZZ-02-D-O-1104          Science Laboratories Restrictive, Extg 2</t>
  </si>
  <si>
    <t>FS1018-PIN-ZZ-02-D-O-1105</t>
  </si>
  <si>
    <t>Science Laboratories Restrictive, Extg 3</t>
  </si>
  <si>
    <t>FS1018-PIN-ZZ-02-D-O-1105          Science Laboratories Restrictive, Extg 3</t>
  </si>
  <si>
    <t>FS1018-PIN-ZZ-02-D-O-1106</t>
  </si>
  <si>
    <t>Science Laboratories Restrictive, Extg 4</t>
  </si>
  <si>
    <t>FS1018-PIN-ZZ-02-D-O-1106          Science Laboratories Restrictive, Extg 4</t>
  </si>
  <si>
    <t>FS1018-PIN-ZZ-02-D-O-1107</t>
  </si>
  <si>
    <t>Science Laboratories Restrictive, Extg 5</t>
  </si>
  <si>
    <t>FS1018-PIN-ZZ-02-D-O-1107          Science Laboratories Restrictive, Extg 5</t>
  </si>
  <si>
    <t>FS1018-PIN-ZZ-02-D-O-2000</t>
  </si>
  <si>
    <t>Second Floor GA</t>
  </si>
  <si>
    <t>FS1018-PIN-ZZ-02-D-O-2000          Second Floor GA</t>
  </si>
  <si>
    <t>FS1018-PIN-ZZ-02-D-O-2042</t>
  </si>
  <si>
    <t>6042O Stairway 7 And 5113B Coats And Bag Store Lockers 5</t>
  </si>
  <si>
    <t>FS1018-PIN-ZZ-02-D-O-2042          6042O Stairway 7 And 5113B Coats And Bag Store Lockers 5</t>
  </si>
  <si>
    <t>FS1018-PIN-ZZ-02-D-O-3008</t>
  </si>
  <si>
    <t>Small Group Room Medium 1 And 6042T Stairway 7</t>
  </si>
  <si>
    <t>FS1018-PIN-ZZ-02-D-O-3008          Small Group Room Medium 1 And 6042T Stairway 7</t>
  </si>
  <si>
    <t>FS1018-PIN-ZZ-02-D-O-3042</t>
  </si>
  <si>
    <t>6042N Stairway 7, 5113C And 5113D Coats And Bag Store Lockers 5</t>
  </si>
  <si>
    <t>FS1018-PIN-ZZ-02-D-O-3042          6042N Stairway 7, 5113C And 5113D Coats And Bag Store Lockers 5</t>
  </si>
  <si>
    <t>FS1018-PIN-ZZ-02-D-O-4001</t>
  </si>
  <si>
    <t>Staff Workroom Teaching Staff 1 And Teaching Resources Store It Gt Off Corridor 3</t>
  </si>
  <si>
    <t>FS1018-PIN-ZZ-02-D-O-4001          Staff Workroom Teaching Staff 1 And Teaching Resources Store It Gt Off Corridor 3</t>
  </si>
  <si>
    <t>FS1018-PIN-ZZ-02-D-O-4014</t>
  </si>
  <si>
    <t>Office With Meeting Area, 2 Person 3</t>
  </si>
  <si>
    <t>FS1018-PIN-ZZ-02-D-O-4014          Office With Meeting Area, 2 Person 3</t>
  </si>
  <si>
    <t>FS1018-PIN-ZZ-02-D-O-5004</t>
  </si>
  <si>
    <t>Science Prep Option 1</t>
  </si>
  <si>
    <t>FS1018-PIN-ZZ-02-D-O-5004          Science Prep Option 1</t>
  </si>
  <si>
    <t>FS1018-PIN-ZZ-02-D-O-5005</t>
  </si>
  <si>
    <t>Chemical Store 1</t>
  </si>
  <si>
    <t>FS1018-PIN-ZZ-02-D-O-5005          Chemical Store 1</t>
  </si>
  <si>
    <t>FS1018-PIN-ZZ-02-D-O-5020</t>
  </si>
  <si>
    <t>Science Prep</t>
  </si>
  <si>
    <t>FS1018-PIN-ZZ-02-D-O-5020          Science Prep</t>
  </si>
  <si>
    <t>FS1018-PIN-ZZ-02-D-O-5102</t>
  </si>
  <si>
    <t>General Storeroom Central Stock 1</t>
  </si>
  <si>
    <t>FS1018-PIN-ZZ-02-D-O-5102          General Storeroom Central Stock 1</t>
  </si>
  <si>
    <t>FS1018-PIN-ZZ-02-D-O-5115</t>
  </si>
  <si>
    <t>Cleaners' Store 2</t>
  </si>
  <si>
    <t>FS1018-PIN-ZZ-02-D-O-5115          Cleaners' Store 2</t>
  </si>
  <si>
    <t>FS1018-PIN-ZZ-02-D-O-6113</t>
  </si>
  <si>
    <t>Coats And Bags Store Lockers 5</t>
  </si>
  <si>
    <t>FS1018-PIN-ZZ-02-D-O-6113          Coats And Bags Store Lockers 5</t>
  </si>
  <si>
    <t>FS1018-PIN-ZZ-02-D-O-7113</t>
  </si>
  <si>
    <t>FS1018-PIN-ZZ-02-D-O-7113          Coats And Bags Store Lockers 5</t>
  </si>
  <si>
    <t>FS1018-PIN-ZZ-02-D-O-8113</t>
  </si>
  <si>
    <t>FS1018-PIN-ZZ-02-D-O-8113          Coats And Bags Store Lockers 5</t>
  </si>
  <si>
    <t>FS1018-PIN-ZZ-02-D-O-9113</t>
  </si>
  <si>
    <t>FS1018-PIN-ZZ-02-D-O-9113          Coats And Bags Store Lockers 5</t>
  </si>
  <si>
    <t>FS1018-PIN-ZZ-ZZ-L-O-0005</t>
  </si>
  <si>
    <t>FFE Gap Analysis and Occupancy Schedule</t>
  </si>
  <si>
    <t>FS1018-PIN-ZZ-ZZ-L-O-0005          FFE Gap Analysis and Occupancy Schedule</t>
  </si>
  <si>
    <t>FS1018-PIN-ZZ-ZZ-L-O-0006</t>
  </si>
  <si>
    <t>Catering Equipment Schedule</t>
  </si>
  <si>
    <t>FS1018-PIN-ZZ-ZZ-L-O-0006          Catering Equipment Schedule</t>
  </si>
  <si>
    <t>FS1018-PIN-ZZ-ZZ-L-O-0007</t>
  </si>
  <si>
    <t>FFE Cost Plan</t>
  </si>
  <si>
    <t>FS1018-PIN-ZZ-ZZ-L-O-0007          FFE Cost Plan</t>
  </si>
  <si>
    <t>FS1018-PIN-ZZ-ZZ-M-O-0001</t>
  </si>
  <si>
    <t>FFE Revit Model</t>
  </si>
  <si>
    <t>FS1018-PIN-ZZ-ZZ-M-O-0001          FFE Revit Model</t>
  </si>
  <si>
    <t>FS1018-PIN-ZZ-ZZ-M-O-0002</t>
  </si>
  <si>
    <t>FFE IFC Model</t>
  </si>
  <si>
    <t>FS1018-PIN-ZZ-ZZ-M-O-0002          FFE IFC Model</t>
  </si>
  <si>
    <t>FS1018-PIN-ZZ-ZZ-M-O-0003</t>
  </si>
  <si>
    <t>FFE Navis Model</t>
  </si>
  <si>
    <t>FS1018-PIN-ZZ-ZZ-M-O-0003          FFE Navis Model</t>
  </si>
  <si>
    <t>FS1018-PIN-ZZ-ZZ-M-O-0004</t>
  </si>
  <si>
    <t>Catering IFC Model</t>
  </si>
  <si>
    <t>FS1018-PIN-ZZ-ZZ-M-O-0004          Catering IFC Model</t>
  </si>
  <si>
    <t>FS1018-PIN-ZZ-ZZ-M-O-0005</t>
  </si>
  <si>
    <t>Catering Revit Model</t>
  </si>
  <si>
    <t>FS1018-PIN-ZZ-ZZ-M-O-0005          Catering Revit Model</t>
  </si>
  <si>
    <t>FS1018-PIN-ZZ-ZZ-M-O-0006</t>
  </si>
  <si>
    <t>CATERING NWC MODEL</t>
  </si>
  <si>
    <t>FS1018-PIN-ZZ-ZZ-M-O-0006          CATERING NWC MODEL</t>
  </si>
  <si>
    <t>FS1018 DfE Wisbech Free School</t>
  </si>
  <si>
    <t>Stage 4 Workflow Document Tracker</t>
  </si>
  <si>
    <t>1. Valving arrangement is hard to read- would suggest numbering the typical details and refer to that, or removing entirely. 2. Plantroom drawing reference missing. 3. Symbol missing from Legend. PICV? 4. Should detail actual valve arrangement for underfloor heating (PICV and strainer missing)</t>
  </si>
  <si>
    <t>1. Symbol missing from Legend. PICV? 2. Should detail actual valve arrangement for underfloor heating (PICV and strainer missing)</t>
  </si>
  <si>
    <t>1. Fire damper references are missing. 2. Comment that states 'Doesn't fit in CV' This should have been resolved at Stage 4. 3. Comment that states 'Fire damper requirements to be confirmed' This should be resolved at Stage 4. 4. Instances of intake and exhaust louvres being too close together. 5. Comment that states 'Coordination with ceiling to be resolved' This should have been resolved at Stage 4. 6. No access panels shown in ductwork for cleaning as per DW144</t>
  </si>
  <si>
    <t>1. Fire damper references are missing. 2. Comment that states 'Doesn't fit in CV' This should have been resolved at Stage 4. 3. Instances of intake and exhaust louvres being too close together. 4. Review rationalising number of attenuators on extract ducts in changing rooms. 5. Comment that states 'Coordination with ceiling to be resolved' This should have been resolved at Stage 4. 6. No access panels shown in ductwork for cleaning as per DW144.</t>
  </si>
  <si>
    <t>1. Fire damper references are missing. 2. Instances of intake and exhaust louvres being too close together. 3. Comment that states 'louvre doesn't fit' Should be resolved at Stage 4. 4. No access panels shown in ductwork for cleaning as per DW144</t>
  </si>
  <si>
    <t>1. Has leak detection been fitted on drip tray over MCP</t>
  </si>
  <si>
    <t xml:space="preserve"> </t>
  </si>
  <si>
    <t>1. Valving arrangement is hard to read- would suggest numbering the typical details and refer to that, or removing entirely. 2. Symbol missing from Legend. PICV?</t>
  </si>
  <si>
    <t>1. Comment that states 'Coordination with ceiling to be resolved' This should have been resolved at Stage 4. 2. GA clashes with legend- needs to be moved. 3. Confirm requirement of fire damper. 4. No access panels shown in ductwork for cleaning as per DW144.</t>
  </si>
  <si>
    <t>1. Comment that states 'Coordination with ceiling to be resolved' This should have been resolved at Stage 4. 2. Louvres are too close together. 3. Confirm no requirement for fire dampers. 4. No access panels shown in ductwork for cleaning as per DW144</t>
  </si>
  <si>
    <t>1. Comment that states 'Coordination with ceiling to be resolved' This should have been resolved at Stage 4. 2. Confirm requirement of fire damper. 3. No access panels shown in ductwork for cleaning as per DW144.</t>
  </si>
  <si>
    <t xml:space="preserve">Why N+1 for heating and 66% load per ASHP for DHW? (neither are incorrect). Should there be 7 units to provide N+1 according to your calculation? </t>
  </si>
  <si>
    <t>AD01 flowrate does not match schematic</t>
  </si>
  <si>
    <t>Flowrate does not match schematic</t>
  </si>
  <si>
    <t>There are dampers missing that are shown on the layout but not on the schedule</t>
  </si>
  <si>
    <t>1. Where is the condensate drainage pipework?</t>
  </si>
  <si>
    <t>Appreciate flowrates, pipesizes etc are on the heating calculations document but would expect these to be on the schematic</t>
  </si>
  <si>
    <t>CT HTG F&amp;R flowrates don't align</t>
  </si>
  <si>
    <t>FS1018-HBC-XX-XX-L-X-0008</t>
  </si>
  <si>
    <t>PCSA</t>
  </si>
  <si>
    <t>FS1018-HBC-XX-XX-L-X-0008          PCSA</t>
  </si>
  <si>
    <t>FS1018-HBC-XX-XX-L-X-0009</t>
  </si>
  <si>
    <t>PCSA Milestone Schedule</t>
  </si>
  <si>
    <t>FS1018-HBC-XX-XX-L-X-0009          PCSA Milestone Schedule</t>
  </si>
  <si>
    <t>FS1018-HBC-XX-XX-L-X-0010</t>
  </si>
  <si>
    <t>PCSA Certificate Of Completion</t>
  </si>
  <si>
    <t>FS1018-HBC-XX-XX-L-X-0010          PCSA Certificate Of Completion</t>
  </si>
  <si>
    <t>FS1018-HBC-XX-XX-L-X-0012</t>
  </si>
  <si>
    <t>Framework Pricing Schedule</t>
  </si>
  <si>
    <t>FS1018-HBC-XX-XX-L-X-0012          Framework Pricing Schedule</t>
  </si>
  <si>
    <t>D1 3. Geo-Environmental notes groundwater risk - drainage design is sealed/lined to prevent groundwater ingress and will not therefore not reduce groundwater around the structure. Geotechnical input required._x000D_
D2 4. No flooding information provided as part of this submission - condition, water levels within watercourse, overland flow routes. Risk of back flow when water level in culvert is high._x000D_
D3. 5. Status of Internal Drainage Board (IDB) approval to be confirmed as it will affect the design requirements._x000D_
D4 5. Works are proposed within 9m of the watercourse culvert. Constructability risk that will need to be managed and agreed with IDB - Foundation and drainage installation. Pre and post construction survey of the culvert may be necessary_x000D_
D5 5. It has been noted that additional survey is required to determine existing drains, condition and levels. At this stage we would expect survey works to be complete especially for location and levels of outfalls._x000D_
D6 6. It has been noted that additional design may be necessary following engagement with IDB and flow rates are yet to be agreed. Therefore the Stage 4 Technical Design is not complete._x000D_
D7 6. Specialist manufacturer design is still required for storage tanks. Proposed tank depth does not reflect manufacturer storage units, shallow depth of cover, flotation risk and proximity to structure are all risks to be managed within the storage tank design._x000D_
D8 7. Foul design is yet to be agreed with Anglian Water, location and levels to be confirmed_x000D_
D9 9. Has a timeline for outstanding surveys, design and approvals been agreed? Extent of survey, repairs to existing network, specialist design, conditions/redesign are significant risks._x000D_
D10 Information available does not include:_x000D_
hydraulic analysis results_x000D_
treatment strategy_x000D_
Emergy shutoff and containment in the eventof a fire ot pollution event to protect downstream watercourse._x000D_
profiles_x000D_
connection details_x000D_
specialist design elements - linear drains, storage tank</t>
  </si>
  <si>
    <t>Consider adding approvals, additional requirements from IDB, surcharged outfall, pollution control/emergency shutoff and remaining design/reliance on specialist designers</t>
  </si>
  <si>
    <t>1. Geotextile and geomembrane specification requirements and testing to be confirmed._x000D_
2. Confirm if non-return and emergency shutoff valves are required._x000D_
3. Confirm any specialist drainage signage required._x000D_
4. Specialist design requirements may need to be included when available.</t>
  </si>
  <si>
    <t>1. Due to the size and shape of tank there is a risk of ponding within the tank. Designer and Manufacturer to consider fall across the tank so it can drain out._x000D_
2. Tank Depth of cover = 0.73 could be difficult to get a manufacturers design as they generally specify 0.9 - 1.2m minimum._x000D_
3. clash and constructability risk between building and storage tank_x000D_
4. Potential constructibility risks within and adjacent to IDB maintenance strip to be considered - piling, drainage, plant movement, vibration and loading adjacent to culvert_x000D_
5. Outfall connection - Confirm downstream pipe size, may require access point (SSG) rather than a saddle connection to existing._x000D_
6. As surface water drainage is sealed to prevent ingress from groundwater. Can we confirm that this has been communicated and taken into account for the structure design. Geotech and Structures to confirm._x000D_
7. Acute angle &lt;90deg between incoming and outgoing pipes._x000D_
8. Terminology could be confusing - is Private proposed or an existing asset belonging to others?</t>
  </si>
  <si>
    <t>See comments for sheet FS1018-HEX-ZZ-ZZ-D-C-5200</t>
  </si>
  <si>
    <t>1. Depth, size and gradient of underfloor pipes to be confirmed to ensure there is no clash with foundation and chamber connections can be achieved. Groundwater risk to pipe connections_x000D_
2. Gully connection to FW1a has shallow cover which may affect performance and constructability_x000D_
3. Outfall location, levels and condition will need to be confirmed to prove connection._x000D_
4. Legend - Existing SW sewer linetype scale is not clear._x000D_
5. Terminology could be confusing - is Private proposed or an existing asset belonging to others?</t>
  </si>
  <si>
    <t xml:space="preserve">1. Details refer to SFA 7th Edition rather than SSG._x000D_
2. orifice plate - size, material, thickness and connection requirements required._x000D_
3. text missing from orifice chamber detail._x000D_
4. wrapping filter drains with impermeable membrane will prevent water in/out. if the aim is to prevent ingress/infiltration then it should state 'trench to be lined with impermeable membrane to prevent ingress of groundwater'. _x000D_
5. Extent of geotextile is not clear._x000D_
Geotextile will be required between sand and aggregate._x000D_
6. Surface water plans appear to show dry swales (TBC) A detail will be required._x000D_
</t>
  </si>
  <si>
    <t>1. storage crate units are typically 400 - 500mm high which doesn't fit with 0.74m depth of tank._x000D_
2. Catchpit - Additional details required: Brick, mortar, steps._x000D_
Are weep pipes proposed for draining lower trench bedding?_x000D_
3. Swale comments:_x000D_
Swale side slope should be shown as 1:3 Max._x000D_
A dry swale detail is required?_x000D_
Is there a max water depth, freeboard or base width? Longitudinal slopes TBC_x000D_
Liner and geotextile not clear due to line thickness, scale and adjacent hatching._x000D_
4. Additional details may be required such as rodding eye, RWP connection, linear drain outlet and siphonic break chamber.</t>
  </si>
  <si>
    <t>Permeable block paving - consider nominal fall across geomembrane to ensure water doesn't become perched.</t>
  </si>
  <si>
    <t>Drainage Notes:_x000D_
13. No protection slab detail provided_x000D_
14. three week appication for Section 106 is a programme and approval risk. Survey and design to be completed prior to application_x000D_
16. BS EN 295 current standard is 2013. Confirm strength for pipes 150 - 300 as the requirement appears to be 48kN/m_x000D_
Pavement - Geotechnical and pavement risks appear to be passed on to site. Cost, programme risk and responsibility TBC_x000D_
Pavement Notes:_x000D_
4. Geotechnical and pavement risks appear to be passed on to site. Cost, programme risk and responsibility TBC_x000D_
5. Should there be an instruction here for testing results to be provided, timescale and design updated accordingly._x000D_
6. Works decisions being passed on to site which could bypass the design and review process, Who makes the determination and who takes responsibility?_x000D_
Kerbing notes:_x000D_
Spelling to be checked to reduce confusion.</t>
  </si>
  <si>
    <t>A1 Cost summary sheet. The sums entered do not match nor total correctly. The whole schedule needs to be reviewed by contractor and QA correctly.</t>
  </si>
  <si>
    <t>Please refer to comments at the end of the uploaded file.</t>
  </si>
  <si>
    <t>Please review in light of other comments.</t>
  </si>
  <si>
    <t>Typical design intent for column base plates/ HD arrangement must be shown in section and plan for each column type and for columns at the separation joint._x000D_
Some beam levels in staircase still to be confirmed._x000D_
Overall lateral stability strategy is not clear qualitatively. Lost of bracing is concentrated in the sports hall but very few braced bays in the main building. Vertical braces not doubled up along the separation joint on GL - D1/E. In the sports hall there is a significant amount of glazed elevation but no bracing - are any connections that are intended to be moment resisting?</t>
  </si>
  <si>
    <t>Please review in light of other comments, particularly overall stability/bracing, separation joints/ movement joints etc. Is there an intention for a separation joint along GL - S?</t>
  </si>
  <si>
    <t>Piling Notes - Reference to precast piles?_x000D_
Piling Notes - Piling Specification appears incomplete - Provide a full Project Specification covering all relevant aspects from Section B1 of ICESPERW_x000D_
Piling Notes - Is 500mm anchorage sufficient? What bar diameter is this to be?_x000D_
Structural Steelwork Notes - Project Specification should be reviewed against NSSS Section Checklists and all relevant items included._x000D_
Structural Steelwork Notes - Connection loads not available_x000D_
Structural Masonry Notes - typical indicative details for masonry should be included on drawings to supplement these notes.</t>
  </si>
  <si>
    <t>Detail of roof build-up and framing of roof lights and vents not available._x000D_
Some vertical members shown in blue on Section - 3-3, what are these?_x000D_
Does the main roof rafter not need any stays/restraints in uplift? No details available.</t>
  </si>
  <si>
    <t>Please review in light of other comments, particularly overall stability/bracing, separation joints/ movement joints etc. Is there an intention for a separation joint along GL - S?_x000D_
Tying of hollow core to steelwork - can 4x slots be formed in a 200 the hollo core slab?_x000D_
The bearing of hollow core slab on beams appears small - confirm bearing length._x000D_
Due to chamfer of hollo core slabs has the potential of hollow core shearing off been considered in the temporary stage?_x000D_
No detail for precast staircase foundation and its connection._x000D_
No details of any barriers/handrails etc._x000D_
Design intent of masonry supports/curtain walling not clear with the details presented._x000D_
Notes re Co-ordination TBC should be removed at this stage._x000D_
Tall parapets - no connection intent detail available._x000D_
What type of connections are intended generally - no details available._x000D_
Detail through riser beam - open section used - has this beam been designed for torsion. The bearing plate outstand appears large - has this been adequately designed?_x000D_
Potential of instability with hollow core planks in construction stage should be added as a residual CDM risk on all relevant drawings._x000D_
No CDM design risk register available._x000D_
Has precambered effect on dead/screed loads been considered?_x000D_
No vertical and plan bracing connection intent provided.</t>
  </si>
  <si>
    <t>(blank)</t>
  </si>
  <si>
    <t>No further comments</t>
  </si>
  <si>
    <t>Details need to be updated with confirmed canopy sizes and direct reference to document containing full specification.</t>
  </si>
  <si>
    <t>Details need to be updated to be consistent with latest design document and associated calculations used in energy modelling.</t>
  </si>
  <si>
    <t>Need to ensure consistency with Solar PV modelling and make clear if IES modelled output is used in compliance calculations. 
Also need to update details to remove reference to Newcastle City Council - and ensure local planning guidance is accurate (as applicable to the current scheme).</t>
  </si>
  <si>
    <t>Standard milestone PCSA payment schedule.</t>
  </si>
  <si>
    <t>Details need updating throughout to reflect current design proposal.</t>
  </si>
  <si>
    <t>1. In Section 5 of the fire strategy, add the justification of the services riser being located within 'Stair 2' within 'Table 6', for the attention of building control.
2. (Table 15) Has the fire service been consulted with regards to the requirements needed for the load bearing capacity of the roads for the fire vehicle used to attend the site in an emergency? As it will affect the civil engineer's design.</t>
  </si>
  <si>
    <t>Need to confirm if green roof is being included or not and extent of it soo that UGF calculation is complete.</t>
  </si>
  <si>
    <t xml:space="preserve">1.Update based on review comments. _x000D_
</t>
  </si>
  <si>
    <t>1. Can a detailed drawing of the reception hatch reception be provided?</t>
  </si>
  <si>
    <t>1.Spur shelving 2 tier racking, impeding access to external double doors._x000D_
2.Hand wash station should be closer to external doors. _x000D_
3.Can the office area be accessed or form part of the off dry store to reduce number of doors and free up walls/dead space in kitchen area._x000D_
4.Door swing to cold room is missing of drawing._x000D_
5. What is the servery and hot/cold provision sufficient for number of pupils moving through? "</t>
  </si>
  <si>
    <t>1.Only space for 14 keyboards allowed, should this be 15? Could the store room door be moved toward window to allow for an additional keyboard._x000D_
2. 2.Can the DDA desk to be one of the desks that face the whiteboard?</t>
  </si>
  <si>
    <t>1.Is there sufficient circulation space between machines and desks._x000D_
2. Please add dimensions to all equipment_x000D_
3. Can the desk layout be better utilised, perhaps rotating the desks 45 degrees so pupils don’t have their back to the whiteboard. With the DDA desk better located near the whiteboard and the teacher not with their back to one of the benches?</t>
  </si>
  <si>
    <t>1. Can the desk be moved to the end and rotated to face the whiteboard, with another circulation for access?_x000D_
2.Can the handwash be moved from behind the door?_x000D_
3.Can an extra sink be included here?_x000D_
4. These sections are not reflective of the floor plan</t>
  </si>
  <si>
    <t>1.The classroom does not accommodate the 28 pupils as per the school request.</t>
  </si>
  <si>
    <t>1.Can the DDA desk be moved to face the whiteboard, with enough circulation space to access?</t>
  </si>
  <si>
    <t>1. Is the DDA kitchen compliant with prep space required next to the hob area -600mm? _x000D_
2. The DDA desk is not near the DDA kitchen, can this be relocated?_x000D_
3. Does the hand sink need to be directly behind the door, can this be switched with coat hooks?_x000D_
4. Currently there is central cluster of 3x hobs with no sinks, can these be better distributed?</t>
  </si>
  <si>
    <t>1.Please update the store room layout to current layout provided.</t>
  </si>
  <si>
    <t>1.Can the floor swing be flipped and the door be moved to the right to improve circulation in the space?</t>
  </si>
  <si>
    <t>1.Is there potential to switch seating and desk area, to avoid glare from the the window?</t>
  </si>
  <si>
    <t>1.Can more space be provided to the desks at the reception desk , taken from the row behind?</t>
  </si>
  <si>
    <t>Rejected, due to concerns raised around the arrangement of the secure line, furniture layout may need to be change.</t>
  </si>
  <si>
    <t>One of the walls is missing from the drawing, please can you update so that it is clear.</t>
  </si>
  <si>
    <t xml:space="preserve">Appreciate the trust has specifically removed these._x000D_
Please indicate on each locker drawing the location of the lockers and quantity of lockers that could be provided in that area if later required, with the overall number of lockers also listed for reference. </t>
  </si>
  <si>
    <t xml:space="preserve">Update title to cleaners store 1_x000D_
</t>
  </si>
  <si>
    <t xml:space="preserve">Update title to cleaners store 4 _x000D_
</t>
  </si>
  <si>
    <t xml:space="preserve">1.Has a noticeboard been provided (BOA001)_x000D_
2. The refrigerated servery are located away from he canteen.Is there an agreed plan of how pupils queue and move through the canteen space._x000D_
3.Are 3x tills required and should two of the tills sit back to back to provide better circulation, there is a column in front of the first till. _x000D_
_x000D_
</t>
  </si>
  <si>
    <t>1.Can the office area be accessed or form part of the off dry store to reduce number of doors and free up walls/dead space in kitchen area.</t>
  </si>
  <si>
    <t xml:space="preserve">SOA is 2.5m2 however door to freezer reduces useable space _x000D_
_x000D_
</t>
  </si>
  <si>
    <t xml:space="preserve">Incorrect drawing. Needs updating to reflect new design. _x000D_
</t>
  </si>
  <si>
    <t xml:space="preserve">1. Toilet should be separate from the changing area, _x000D_
2.The COSHH cabinet should be located elsewhere._x000D_
_x000D_
</t>
  </si>
  <si>
    <t xml:space="preserve">1.Update GA to reflect _x000D_
2. Does the occupancy allow for 38 pupils as per the SOA. It appears only 33 have been allowed for. It appears there is sufficent space to add extra benching to come closer to the SOA requirement of 38._x000D_
3. Can circulation space be dimensioned including shower area to enable us to review?_x000D_
</t>
  </si>
  <si>
    <t xml:space="preserve">Commented on separate drawings. Please revise. </t>
  </si>
  <si>
    <t xml:space="preserve">Can the door better be located to improve circulation space, due to location of tills?_x000D_
This comment forms part of multiple other comments around the kitchen layout and design. _x000D_
</t>
  </si>
  <si>
    <t xml:space="preserve">SOA is 5m2, 3.28m2 provided._x000D_
</t>
  </si>
  <si>
    <t>1.Update based on review comments. _x000D_
2. Is water fountain would be better located between office and SEN room?</t>
  </si>
  <si>
    <t xml:space="preserve">No DDA desk shown. Add desk spacing dims. _x000D_
</t>
  </si>
  <si>
    <t xml:space="preserve">Add desk spacing dims. _x000D_
</t>
  </si>
  <si>
    <t xml:space="preserve">No DDA desk shown. Add desk spacing dims. _x000D_
_x000D_
</t>
  </si>
  <si>
    <t xml:space="preserve">No DDA desk shown. Add desk spacing dims. _x000D_
. _x000D_
</t>
  </si>
  <si>
    <t xml:space="preserve">1.Can the middle bank of desk be moved 200cm towards the door to allow for better circulation?_x000D_
</t>
  </si>
  <si>
    <t>1.Can you relocate the DDA desk to the centre bank of desk, so they do not have their back to the whiteboard?_x000D_
2.Can you rotate the teacher's desk to face door?</t>
  </si>
  <si>
    <t>1.Not ideal to access medical room off the SEN room, potential switch with staff workroom?</t>
  </si>
  <si>
    <t xml:space="preserve">1.Can DAA desk be moved to the other end of the desk bank and dimensions added to demonstrate adequate circulation is provided_x000D_
</t>
  </si>
  <si>
    <t xml:space="preserve">1. What is proposed occupancy? Is the room area too large for the requirements or is the FF&amp;E provision too little. </t>
  </si>
  <si>
    <t xml:space="preserve">1.Is this the most appropriate layout, tall shelving near the window, I think a better layout can be achieved. _x000D_
</t>
  </si>
  <si>
    <t xml:space="preserve">1.Can the layout of the this room with the classroom store near the window be improved?_x000D_
</t>
  </si>
  <si>
    <t xml:space="preserve">Tambour unit is against a window_x000D_
</t>
  </si>
  <si>
    <t xml:space="preserve">Can the layout of the this room with the classroom store near the window be improved. Doesn't seem the most logical use of space and daylight._x000D_
</t>
  </si>
  <si>
    <t xml:space="preserve">Appreciate the trust has specifically removed these._x000D_
Please indicate on each locker drawing the location of the lockers and quantity of lockers that could be provided in that area if later required, with the overall number of lockers also listed for reference. _x000D_
</t>
  </si>
  <si>
    <t xml:space="preserve">Can DDA face the whiteboard. Add desk spacing dims._x000D_
</t>
  </si>
  <si>
    <t>1.Update based on comments_x000D_
2. Is the water fountain the best location near busy door ways, can this be located near the office with less traffic. Office door be more centrally placed.</t>
  </si>
  <si>
    <t xml:space="preserve">1.Should seating for 6 puplils be provided not 2.Add desk spacing dims_x000D_
_x000D_
</t>
  </si>
  <si>
    <t xml:space="preserve">1.Floating shelving units in the middle of the room away from wall, can a better solution be found._x000D_
_x000D_
</t>
  </si>
  <si>
    <t xml:space="preserve">Iso &amp; elevations do not match plan._x000D_
</t>
  </si>
  <si>
    <t xml:space="preserve">Is the fume cupboard located in the best location, limited circulation. _x000D_
</t>
  </si>
  <si>
    <t xml:space="preserve">Door opening does not reflect GA plans, which is correct?_x000D_
</t>
  </si>
  <si>
    <t>To be updated based on review comments</t>
  </si>
  <si>
    <t xml:space="preserve">4.1_x000D_
Why is there no acoustic performance for the library partition alongside the corridor. The library door should have a 30dB acoustic rating in line with BB93._x000D_
</t>
  </si>
  <si>
    <t>4.1_x000D_
Why is there no acoustic performance for the library partition alongside the corridor. The library door should have a 30dB acoustic rating in line with BB93.</t>
  </si>
  <si>
    <t xml:space="preserve">Intake duct location not as shown in FS1018-AGL-ZZ-XX-D-E-9511_x000D_
</t>
  </si>
  <si>
    <t xml:space="preserve">Consider adding a general power outlet in the plantroom for maintenance and cleaning_x000D_
</t>
  </si>
  <si>
    <t xml:space="preserve">General and Emergency Lighting not shown for maintenace stair between gridlines A and B. Consider emergency light outside exit at gridline 3A/A and dishwash room._x000D_
Additional Exit signage shown in Fire Stratergy Report FS1018-OFR-XX-ZZ-G-K-0001 Appendix B. In locations shown yellow in image below and Ground floor gridlines 3A/A, 5/E, 5/K1, 5/M1, 6A/W, 4A/S, 5/R and 6/R </t>
  </si>
  <si>
    <t xml:space="preserve">1.Additional Exit signage shown in Fire Strategy Report FS1018-OFR-XX-ZZ-G-K-0001 Appendix B, in locations on Ground floor gridlines 3A/A, 5/E, 5/K1, 5/M1, 6A/W, 4A/S, 5/R and 6/R _x000D_
2.Confirm if area of 01-1101 ICT Classroom 1 and 01-1102 ICT Classroom 2 is les than 60m (as emergency lighting required if over 60m)_x000D_
_x000D_
</t>
  </si>
  <si>
    <t>Additional Exit signage shown in Fire Strategy Report FS1018-OFR-XX-ZZ-G-K-0001 Appendix B, in locations on Ground floor gridlines 3A/A, 5/E, 5/K1, 5/M1, 6A/W, 4A/S, 5/R and 6/R _x000D_
Emergency lighting for Rm 00-4015 OFF12 (as you have to go through this room to get to the inner room STN50)</t>
  </si>
  <si>
    <t xml:space="preserve">Contractor to confirm that a fire detection devise is located within 1.5 m from the lift shaft opening_x000D_
On activation of the first silent alarm how is the staff member informed in order to investigate and has this been confirmed with the fire engineer. _x000D_
Interfaces 'GS' is not included in the acronyms_x000D_
</t>
  </si>
  <si>
    <t>Please confirm that the security, access control and CCTV are to be designed and commissioned by the specialist and the details on the drawing have been reviewed and agreed with the school head of security officer._x000D_
External CCTV cameras to be IP rated</t>
  </si>
  <si>
    <t>Containment has a number of branches in each classroom that are not similar to other classroom containment layouts</t>
  </si>
  <si>
    <t xml:space="preserve">Is the amount of small power in the classrooms for the strudents confirmed as acceptable, there seems to be a lot of cable tray compared to other layouts._x000D_
</t>
  </si>
  <si>
    <t xml:space="preserve">"The 3No Comms racks have a mix of 16A and 32A supplies, please confirm this is correct.
Is the amount of small power in the classrooms confirmed as acceptable, there seems to be a"
</t>
  </si>
  <si>
    <t>Confirm if stairs will be these own zone as Ground level.</t>
  </si>
  <si>
    <t xml:space="preserve">PV Submain route goes through the protected stair, is there an alternative or  is this agreed?
</t>
  </si>
  <si>
    <t xml:space="preserve">"Cable contanment to Power supplies are not shown on a drawing, add note stating form of cable protection.
Accronym list needs updating i.e. OD, HTU,LWH,GSV, EF,PSV etc"
</t>
  </si>
  <si>
    <t>Contractor to confirm: No lighting under 2No of 3No PV Canopies and School Pitch and Games Court.
External Luminaires are not in the luminaire schedule
From Stage 3 comments (Item 20) Contractors response was that no external lighting was provided outside those on the final exits, due to there not being designated muster points. Has this been confirmed as acceptable with the Fire Engineer/Building Control.</t>
  </si>
  <si>
    <t xml:space="preserve">Assemby Hall achieving 300lux rather than 500lux. Servery not achieving 300lux. 
For Music Room and DT workshop, consider spacing the emergency lighting at edge rather than centre to improve the min emergency lighting level (currently under 0.5lux and 15lux)
In Stage 3 comments  (Item3) WSP asks for 200lux to lift as SLL code for lighting 200lux, confirm this has been calculated.
</t>
  </si>
  <si>
    <t xml:space="preserve">"Outstanding stage 3 comment
WSP Comment:BS5839-1 says fire alarm sounder should not be used for purposes other than warning of fire, unless the response required is identical to that required in the event of fire (i.e immediate evacuation by use of all escape routes). However, as an established exception, the fire alarm signal may be used in schools to indicate start or finish of predetermined periods. The duration of such signal should not exceed 5s. Please confirm if the PA system and  the class change system are independent of the fire alarm system.
Responce: 'Discussions took place concerning the requirement of a class change system and the desired complexity involved regarding the PA system but no confirmation has been given. Current initial intention is to use the FA signal to indicate start or finish of classes, what is the schools desired preference?"
</t>
  </si>
  <si>
    <t xml:space="preserve">"Outstanding Stage 3 comment
WSP Comment: Please confirm that the total power requirement for electric vehicle charging corresponds to the number of parking bays available on site. Check SoA for GIFA
Responce: Assumed total power requirement for electric vehicle charging was based off 14No. Parking Spots (including disabled) outside the front of the school. 
WSP Current comment: there are currently 9no in the max demand, is this correct."
</t>
  </si>
  <si>
    <t>1. Page 44. Number of ASHP contradicts schedule. 2. Page 51. Refers to DHW and not heating_x000D_
3. Confirm ABS or MUPVC for small diameter waste pipes_x000D_
4. Confirm if ABS or uPVC drainage stacks</t>
  </si>
  <si>
    <t>1. Document number does not match what is in the report. 2. MVHR- has access/access panels been coordinated with architect? 3. Confirm the access, maintenance, and replacement strategy for lighting and smoke detection systems in the assembly halls and sports hall.</t>
  </si>
  <si>
    <t xml:space="preserve">Breaker settings show allot of TBC.
Please confirm that breaker to SB-02 (Way 25 on SB-01) discriminates with upstream device.
</t>
  </si>
  <si>
    <t xml:space="preserve">4.1_x000D_
Please clarify why roof plant areas are included in the schedule. They are not internal spaces._x000D_
_x000D_
4.2 _x000D_
Proposed server room 2 is over area and the difference column has not been completed. Please clarify why this is over area._x000D_
_x000D_
4.3_x000D_
Please clarify why the assembly hall is over the briefed area by 36m2._x000D_
_x000D_
4.4 _x000D_
Please clarify why GIFA is substantially over the briefed area_x000D_
</t>
  </si>
  <si>
    <t xml:space="preserve">4.1_x000D_
Please indicate the DfE finishes references next to each item e.g. floor finish type F6.1 etc_x000D_
_x000D_
4.2_x000D_
This document makes reference to an IKO hot melt roof waterproofing system to all roof areas but section drawings refer to a Bauder system. Which one is correct?_x000D_
_x000D_
4.3_x000D_
Please indicate proposed RAL colours where currently stated TBC_x000D_
_x000D_
4.4_x000D_
Flooring indicated for showers is not suitable and dos not meet requirements of Technical Annex 2D.  _x000D_
_x000D_
4.5 _x000D_
Floor finishes do not match those indicated on floor finishes plans. Please coordinate the information. _x000D_
_x000D_
4.6_x000D_
Drinking fountain type does not meet the requirements of the DfE Output Specification_x000D_
_x000D_
4.7_x000D_
Please confirm that all sanitaryware meets the requirements of Technical Annex 2A_x000D_
_x000D_
4.8_x000D_
Outline spec refers to concealed cisterns but accessible WCs are indicated as having exposed cisterns. Please clarify_x000D_
</t>
  </si>
  <si>
    <t>4.1 _x000D_
Elevations refer to three brick colours yet outline spec only refers to 'stone-buff colour.' Actual brick types not specified_x000D_
_x000D_
4.2_x000D_
Outline spec refers to darker engineering brick beneath DPC level but this is not indicated on the elevation drawings. Is the spec or drawing correct?_x000D_
_x000D_
4.3_x000D_
Curtain walling spec refers to triple glazing yet this is not shown on any drawings. Is this correct?_x000D_
_x000D_
4.4_x000D_
Section 3.0 Roof. Please confirm that the roof spec meets the following requirement of Technical Annex 2C..._x000D_
3.4.1 External surfaces of roofs shall be EU Class B roof (T4) to ENV 1187 Part 4: external fire exposure classification. _x000D_
_x000D_
4.5_x000D_
Section 4.3 Sanitary Cubicles. Please confirm that doors meet the requirements of Technical Annex 2A…_x000D_
3.2.3 Inward opening doors shall be able to open outwards through use of an emergency_x000D_
releasable door hinge or a lift-off facility to facilitate emergency assistance to someone who has fallen against the door inside the cubicle (blocking the door from opening). _x000D_
_x000D_
4.6_x000D_
Section 4.4 / 4.5. Please add a note to the outline spec to cover splashbacks to hand driers as per Technical Annex  2D 9.2.</t>
  </si>
  <si>
    <t xml:space="preserve">4.1_x000D_
Section 1.07 community use plan diagram shows incorrect boundary of 'entrance zone_x000D_
_x000D_
4.2_x000D_
Section 6.04 shows 3d images of the main hall with lighting shown at what appears to be a low level not compliant with the minimum clear height requirements - please clarify._x000D_
_x000D_
4.3_x000D_
Section 6.06 - image 9 is a repeat of image 3._x000D_
_x000D_
4.4_x000D_
3D view in Section 8.03 shows mech vent clashing with glazing rather than meeting the louvred panel._x000D_
_x000D_
4.5_x000D_
section 9.01 'accessible facilities' refers to clear circulation widths that are not actually achieved._x000D_
</t>
  </si>
  <si>
    <t xml:space="preserve">note: drawing comments outstanding from stage 3 are numbered 3.x._x000D_
New Stage 4 comments are numbered 4.x._x000D_
_x000D_
3.1_x000D_
Review appropriateness of proposed kitchen layout and 4 spaces within. Locating them all to the north reduces the usable wall area for the kitchen layout. Also consider environmental health requirements for access to toilets an clean/dirty workstreams. Is it worth trying to cluster these uses either side of the external door?_x000D_
...For example, to meet Food Hygiene Standards, a WC cannot be directly off food areas and therefore the WC needs to be separated off with an additional wall and door._x000D_
_x000D_
4.1_x000D_
Door to Food Prep Room 1 needs to move over to avoid door furniture clashing with the column boxing as shown_x000D_
_x000D_
4.2_x000D_
Lockers not required. Please remove from the drawings/ FF&amp;E._x000D_
_x000D_
4.3_x000D_
Double doors to reception/ waiting area are shown as dual swing and clashing with corridor circulation. Please change to single swing so that they do not risk hitting persons in the main corridor._x000D_
_x000D_
4.4_x000D_
Why are double doors to lobby 1 shown as dual swing? How does this work with the maglock/ access control strategy. We suggest changing to single swing open outwards._x000D_
_x000D_
4.5_x000D_
Please confirm why the main entrance draught lobby has been increased in size to give access to the reception desk rather than the main reception desk being accessed via the waiting area_x000D_
_x000D_
4.6_x000D_
Please confirm why interview room 2 is not accessed from the secure lobby/ waiting area _x000D_
_x000D_
4.7_x000D_
Please indicate the required 465mm diameter standing space clear of the door swing as required by Approved Document T_x000D_
_x000D_
4.8_x000D_
Partition between music practice room and the main corridor does not meet the requirements of the Acoustic Report_x000D_
_x000D_
4.9_x000D_
How is the Control Room space accommodated in the plan?_x000D_
_x000D_
</t>
  </si>
  <si>
    <t xml:space="preserve">4.1_x000D_
Please include a key for the line types/ colours_x000D_
_x000D_
4.2_x000D_
Detail 1 annotates rockwool insulation at 125mm but there is a stray dimension of 100mm. Please correct_x000D_
_x000D_
4.3_x000D_
Detail 1 text refers to SFS but no SFS is drawn_x000D_
_x000D_
4.4_x000D_
Detail 2. Please clarify how the gas membrane is detailed at the perimeter of the building. "_x000D_
_x000D_
4.5_x000D_
Detail 2. Structural drawings indicate a 250mm thick suspended RC slab yet this drawing indicates a slab thickness of on 205mm. Please coordinate a step in the slab to accommodate the sports floor if required._x000D_
_x000D_
4.6_x000D_
Detail 3. Curtain walling bottom transom and cill not detailed correctly_x000D_
</t>
  </si>
  <si>
    <t xml:space="preserve">4.1_x000D_
Many of the wall type tags incorrectly annotate walls as having zero acoustic rating. _x000D_
_x000D_
4.2_x000D_
Partition between music practice room and the main corridor does not meet the requirements of the Acoustic Report_x000D_
</t>
  </si>
  <si>
    <t xml:space="preserve">4.1 _x000D_
Please clarify the requirement for the fire exits to the sports hall internal store. Are these 2no. external doors required? They will be blocked by equipment most of the time. _x000D_
_x000D_
4.2 _x000D_
Please confirm that the required clear opening widths of final exit doors are actually achieved with the doors proposed. The openings look too small in many cases_x000D_
</t>
  </si>
  <si>
    <t xml:space="preserve">4.1 _x000D_
Please confirm that the required clear opening widths of final exit doors are actually achieved with the doors proposed. The openings look too small in many cases._x000D_
</t>
  </si>
  <si>
    <t xml:space="preserve">4.1_x000D_
The drawings do not indicate the correct method of measuring clear opening widths in accordance with diagram 9 of Part M volume 2_x000D_
</t>
  </si>
  <si>
    <t>4.1_x000D_
The drawings do not indicate the correct method of measuring clear opening widths in accordance with diagram 9 of Part M volume 2</t>
  </si>
  <si>
    <t>4.1_x000D_
The drawings do not indicate the correct method of measuring clear opening widths in accordance with diagram 9 of Part M volume 2_x000D_
_x000D_
4.2_x000D_
Odd push plates shown to the double door</t>
  </si>
  <si>
    <t xml:space="preserve">4.1_x000D_
Drawing is difficult to read due to MEP items visible that should not be displayed in a reflected ceiling plan. Please amend for further review_x000D_
_x000D_
4.2_x000D_
Area of ceiling missing to gridline 3 around main entrance area_x000D_
_x000D_
4.3_x000D_
DT workshop ceiling rafts appear to clash with ceiling grid to the rear of the space_x000D_
_x000D_
4.4_x000D_
Key shows ceiling type C2.2 as blue hatch but the plan shows this as black. Please ensure the plan and the key correlate. Blue would be easier to see_x000D_
</t>
  </si>
  <si>
    <t xml:space="preserve">4.1_x000D_
Drawing shows exposed pipework. Technical Annex 2D requires concealed or tamperproof. Please confirm proposals_x000D_
_x000D_
4.2_x000D_
Please confirm how the falls are achieved to the gulley. Drawing shows a completely flat floor_x000D_
_x000D_
4.3_x000D_
Please remove or correct the 'floor finishes plan' which currently provides no information on floor finishes_x000D_
</t>
  </si>
  <si>
    <t xml:space="preserve">4.1_x000D_
Drawing shows exposed pipework. Technical Annex 2D requires concealed or tamperproof. Please confirm proposals_x000D_
_x000D_
4.2_x000D_
Please remove or correct the ceiling plan which is unreadable at the moment._x000D_
_x000D_
4.3_x000D_
Please remove or correct the 'floor finishes plan' which currently provides no information on floor finishes_x000D_
_x000D_
4.4_x000D_
Please indicate the required 465mm diameter standing space clear of the door swing as required by Approved Document  T _x000D_
_x000D_
4.5_x000D_
Wash hand basin heights do not meet the height stated in Table 2 of Technical Annex 2A_x000D_
</t>
  </si>
  <si>
    <t xml:space="preserve">4.1_x000D_
Drawing shows exposed pipework. Technical Annex 2D requires concealed or tamperproof. Please confirm proposals_x000D_
_x000D_
4.2_x000D_
Please remove or correct the ceiling plan which is unreadable at the moment._x000D_
_x000D_
4.3_x000D_
Please remove or correct the 'floor finishes plan' which currently provides no information on floor finishes_x000D_
</t>
  </si>
  <si>
    <t xml:space="preserve">4.1_x000D_
Drawing shows exposed pipework. Technical Annex 2D requires concealed or tamperproof. Please confirm proposals_x000D_
_x000D_
4.2_x000D_
Please remove or correct the ceiling plan which is unreadable at the moment._x000D_
_x000D_
4.3_x000D_
Please remove or correct the 'floor finishes plan' which currently provides no information on floor finishes_x000D_
_x000D_
4.4_x000D_
For WCs with doors opening inwards, please indicate the required 465mm diameter standing space clear of the door swing as required by Approved Document  T _x000D_
_x000D_
4.5_x000D_
please add dimensions to the changing room benching so that the numbers of changing spaces can be reviewed. _x000D_
_x000D_
4.6_x000D_
Shower drainage currently indicates point drains to every other shower cubicle. This does not comply with the Technical Annex 2F section 12.2.9.3._x000D_
_x000D_
4.7_x000D_
Drawings indicate that the shower cubicles are not full height. _x000D_
_x000D_
4.8_x000D_
Wash hand basin heights do not meet the height stated in Table 2 of Technical Annex 2A_x000D_
</t>
  </si>
  <si>
    <t xml:space="preserve">4.1_x000D_
Drawing shows exposed pipework. Technical Annex 2D requires concealed or tamperproof. Please confirm proposals_x000D_
_x000D_
4.2_x000D_
Please confirm how the falls are achieved to the gulley. Drawing shows a completely flat floor_x000D_
_x000D_
4.3_x000D_
Please remove or correct the 'floor finishes plan' which currently provides no information on floor finishes_x000D_
_x000D_
4.4_x000D_
Please remove or correct the ceiling plan which is unreadable at the moment._x000D_
_x000D_
4.5_x000D_
Door requires a horizontal grab rail in accordance with diagram 23 of Part M._x000D_
</t>
  </si>
  <si>
    <t xml:space="preserve">4.1_x000D_
Medical Room is accessed off another room which is poor for pupil privacy. Please review_x000D_
_x000D_
4.2_x000D_
Please indicate clear width of all corridor spaces including alongside the light wells. _x000D_
_x000D_
4.3_x000D_
Please remove lockers. These are not to be supplied_x000D_
_x000D_
4.5_x000D_
Please review location of outward opening door the the accessible WC as the clear width of the corridor must not be affected by the door swing. _x000D_
_x000D_
4.6_x000D_
Please revise the view depth of the plan view so that the hall and sports hall are not indicated at this level. _x000D_
_x000D_
4.7_x000D_
Please confirm occupancy of the meeting room. It is a very large room for only 6 seats._x000D_
_x000D_
4.8_x000D_
Façade setting out appears off as there is a thin section of brickwork alongside the window reveal to gridline S and 3_x000D_
_x000D_
4.9_x000D_
Door and FF&amp;E not coordinated to Cleaners Store 3_x000D_
_x000D_
4.10_x000D_
Please add up arrows to all staircases_x000D_
</t>
  </si>
  <si>
    <t xml:space="preserve">4.1_x000D_
Many of the wall type tags incorrectly annotate walls as having zero acoustic rating.  _x000D_
</t>
  </si>
  <si>
    <t>FS1018-HBC-XX-XX-L-X-0011</t>
  </si>
  <si>
    <t>Cashflow Forecast</t>
  </si>
  <si>
    <t>Construction cashflow included.</t>
  </si>
  <si>
    <t>FS1018-HBC-XX-XX-L-X-0011          Cashflow Forecast</t>
  </si>
  <si>
    <t xml:space="preserve">The document does not have the level of detail expected at RIBA stage 4, please provide full specifications for each of the items listed, i.e. for the litter bin, please provide the make and model, the fixings to be used and confirmation of the colour.  </t>
  </si>
  <si>
    <t>Isolators required for full height fridges, as isolation not accessible</t>
  </si>
  <si>
    <t>1. No section lines for elevations
2. There is no drinking water, cold water is from a boosted cold water system, see AGL drawings
3. Service drops to whb on grid line 3A / B are in correct refer to AGL water / drainage drawings
4. Misspelling of tundish
5. Supply to to water boiler  on AGL drawings indicate 15 and no 22
6. Unit clashing with doorway
7. AGL services to adjust to new appliance location
8. Floor gully (G), who is positioning the gully? AGL or  Pinnacle?</t>
  </si>
  <si>
    <t>1. Pinnacle services are not in the correct location, refer to AGL Services drawings and are clashing with the doorway.
2. AGL Services are required to be extended to new sink location
3 AGL Services are required to be adjusted to new sink location
4. Unit clash with doorway
5. Misspelling of tundish
6. There is no drinking water, cold water is from a boosted cold water system, see AGL drawings
7. How is grease managed? If there is a grease trap, who is supplying the grease trap?</t>
  </si>
  <si>
    <t>1.AGL services are to be adjusted to suite new unit locations
2.How is grease managed? If there is a grease trap, who is supplying the grease trap? Dishwasher and combi ovens
3.Floor gully (G), who is positioning the gully? AGL or  Pinnacle? Table clashing with gully</t>
  </si>
  <si>
    <t>1. Consider relocating gully out of Cold Room, hygiene perspective
2. Main kitchen, no drains for combi ovens indicated on the drawing; Are we waiting for final kitchen layouts?
3. Numerous areas where pipework clashes with furniture; How is this to be resolved?
4. No high level pipe falls referenced</t>
  </si>
  <si>
    <t>1. Changing rooms indicate floor gully's, is this correct? No shower channels?
2. Numerous areas where pipework clashes with furniture; How is this to be resolved?
3. No high level pipe falls referenced
4. Can Condensate drains from HR007 / 008 &amp; HR009 / 010 join together and connect to one Hepvo waterless trap?</t>
  </si>
  <si>
    <t>WHB waste branch run too long, consider connection into WC float</t>
  </si>
  <si>
    <t>Minor comment - Food Rm  - are services to drop within wall or on the surface (Clash with basin)</t>
  </si>
  <si>
    <t>1. Numerous areas where pipework clashes with furniture; How is this to be resolved?
2. No high level pipe falls referenced
3. Waste traps from cleaners sinks are quite low, please confirm that it is able to connect into the common waste float</t>
  </si>
  <si>
    <t>1. Numerous areas where pipework clashes with furniture; How is this to be resolved?
2. No high level pipe falls referenced</t>
  </si>
  <si>
    <t>1. Rising 50 gas pipe in rm 01-1108 Art Rm clashing with furniture 01-6060c, this should be boxed in
2. Gas pipe passing through service riser 01-6060c, should this be pipe-in-pipe?</t>
  </si>
  <si>
    <t>1. Numerous areas where pipework clashes with furniture; How is this to be resolved?
2. Science lab sinks - dilution traps or pots?</t>
  </si>
  <si>
    <t>1. Pipework clashes with furniture; How is this to be resolved?
2. Waste traps from cleaners sinks are quite low, please confirm that it is able to connect into the common waste float</t>
  </si>
  <si>
    <t>CO2 sensors are not indicated in rooms</t>
  </si>
  <si>
    <t>HWSR no flow rate indicated in calcs</t>
  </si>
  <si>
    <t>1. Remove stack vent detail
2. Relocate gully in Cold Room, hygiene perspective
3. Review cleaners sink waste connection; Cleaner sinks have low waste connections; Confirm that connection will connect to common waste float
4. There are single stub stacks with no top RE FW19
5. There are no Hepvo waterless traps indicated on the schematic for condensate drains..
6. Can condensate units HR007/0008 waste join together?
7. Can condensate units HR009/010 waste join together?</t>
  </si>
  <si>
    <t>1. Remove stack vent detail
2. FG13 and add SH designation
3. Consider WHB 00-6018 &amp; 00-6042a waste pipes connecting into the WC common float; Length of waste run looks too far from stack.</t>
  </si>
  <si>
    <t>1. Level 00 gas entry, high and low level vent grilles, low level only indicated
2. No CO2 sensors indicated on the drawing</t>
  </si>
  <si>
    <t>4.1_x000D_
Document will require updating once stage 4 comments are addressed to pick up various issues</t>
  </si>
  <si>
    <t xml:space="preserve">See Clarification for FS1018-MAJ-XX-XX-T-X-8001-AssetRegister-P02, On issued address new QC report needs to be issued. Please ensure that the Quality Control (QC) shows the output status for each COBie output reporting against the design criteria specified by the COBie schema_x000D_
</t>
  </si>
  <si>
    <t>4.1_x000D_
How does this comply with the pattressing requirement stated in Technical Annex 2D 3.1.1.f</t>
  </si>
  <si>
    <t>4.1_x000D_
Patressing to elevation B misses the end of the wall mounted coat hooks</t>
  </si>
  <si>
    <t>4.1_x000D_
Please annotate the evacuation lift_x000D_
_x000D_
4.2_x000D_
Lift car appears much larger than the minimum required by GDB 2.14.3.11 a. Please clarify_x000D_
_x000D_
4.3_x000D_
How does the fire strategy deal with the escape past the ventilation voids?</t>
  </si>
  <si>
    <t>4.1_x000D_
Drawing is difficult to read due to MEP items visible that should not be displayed in a reflected ceiling plan. Please amend to allow further review_x000D_
_x000D_
4.2_x000D_
Along gridline 5, classroom ceiling rafts appear to clash with ceiling grid/ tiles._x000D_
_x000D_
4.3_x000D_
Key shows ceiling type C2.2 as blue hatch but the plan shows this as black. Please ensure the plan and the key correlate. Blue would be easier to see</t>
  </si>
  <si>
    <t xml:space="preserve">4.1_x000D_
Please remove or correct the ceiling plan which is unreadable at the moment._x000D_
_x000D_
4.2_x000D_
Please remove or correct the 'floor finishes plan' which currently provides to no information on floor finishes_x000D_
_x000D_
4.3_x000D_
Please indicate dimension to underside of ceiling rafts_x000D_
_x000D_
4.4_x000D_
3D view indicates an exposed vertical pipework drop that clashes with a desk"_x000D_
</t>
  </si>
  <si>
    <t xml:space="preserve">4.1_x000D_
Please remove the visible steelwork to the assembly hall and to the sports hall roof areas. Assembly hall steel shows uncoordinated openings to roof vents._x000D_
_x000D_
4.2_x000D_
Please indicate dimensions for clear width of corridors e.g. alongside the light wells and the appliance bay_x000D_
_x000D_
4.3_x000D_
For WCs, please indicate the required 465mm diameter standing space clear of the door swing as required by Approved Document T _x000D_
_x000D_
4.4_x000D_
Access to small group room looks very tight. Please review. Could the adjacent store be relocated to the alongside stair 4 at first floor level in a similar arrangement to the level 2 store alongside stairway 6._x000D_
</t>
  </si>
  <si>
    <t xml:space="preserve">4.1_x000D_
Many of the wall type tags incorrectly annotate walls as having zero acoustic rating.  </t>
  </si>
  <si>
    <t xml:space="preserve">4.1_x000D_
Please annotate the evacuation lift_x000D_
_x000D_
4.2_x000D_
How does the fire strategy deal with the escape past the ventilation voids?_x000D_
</t>
  </si>
  <si>
    <t xml:space="preserve">4.1_x000D_
Drawing is difficult to read due to MEP items visible that should not be displayed in a reflected ceiling plan. Please amend to allow further review_x000D_
_x000D_
4.2_x000D_
Classroom ceiling rafts appear to clash with ceiling grid/ tiles to the rear of each space._x000D_
_x000D_
4.3_x000D_
Key shows ceiling type C2.2 as blue hatch but the plan shows this as black. Please ensure the plan and the key correlate. Blue would be easier to see_x000D_
</t>
  </si>
  <si>
    <t xml:space="preserve">4.1_x000D_
PV panels are not indicated to the full extent of where they could be accommodated. The roof needs to be optimised for PV panels before external canopies can be justified. _x000D_
_x000D_
4.2_x000D_
Gravel fire breaks are not shown. Please refer to Technical Annex 2C 3.2.10 (f). _x000D_
_x000D_
4.3_x000D_
Further details of the roof escape hatch are required to confirm compliance with Technical Annex 2C section 3.6._x000D_
</t>
  </si>
  <si>
    <t xml:space="preserve">4.1_x000D_
Please add levels/ dimensions to all upstands and parapets_x000D_
_x000D_
4.2_x000D_
Details annotate 'levelling screed' to the roof - is this the correct type of screed to use on a sloping roof?_x000D_
_x000D_
4.3_x000D_
No indication of wall ties_x000D_
</t>
  </si>
  <si>
    <t xml:space="preserve">4.1_x000D_
Details annotate 'levelling screed' to the roof - is this the correct type of screed to use on a sloping roof?_x000D_
_x000D_
4.2_x000D_
Drawing is marked as 'preliminary' - please clarify why this is included for stage 4 review_x000D_
</t>
  </si>
  <si>
    <t xml:space="preserve">4.1_x000D_
Please annotate each fire exit _x000D_
_x000D_
4.2_x000D_
Are sounders and or flashing beacons proposed at roof level?_x000D_
_x000D_
4.3_x000D_
PV panels on drawing and in the Key are different_x000D_
_x000D_
4.4_x000D_
Please indicate the gate to barrier around the rooflight means of escape as per Technical Annex 2C section 3.6_x000D_
</t>
  </si>
  <si>
    <t>no comments</t>
  </si>
  <si>
    <t>4.1_x000D_
The key indicates that green dimensions are structural opening dimensions. For 1 and 2, how does the structure of each upstand work if the structure it outside of this as indicated i.e. how is the upstand structure supported</t>
  </si>
  <si>
    <t xml:space="preserve">4.1_x000D_
The annotation refers to 100mm Knauf Rocksil Rainscreen Slab insulation with 50mm cavity but different insulation is indicated on other drawings (125mm Rockwool Nyroc with 25mm cavity)_x000D_
_x000D_
4.2_x000D_
Section through lift shaft does not indicate a lift pit or over-run. Are these not required?"_x000D_
</t>
  </si>
  <si>
    <t xml:space="preserve">4.1_x000D_
Details 4, 8 and 10 show only 3 sides of column encased with BG Firecase. Does this detail provide the required fire protection for the steelwork?_x000D_
_x000D_
4.2_x000D_
Detail 4 is not detailed to mitigate sound transfer between rooms and goes against the guidance in diagram ADT 3567/SK1 of the Acoustic Report i.e. external wall linings cannot continue from one room to another as this allows noise transfer._x000D_
_x000D_
4.3_x000D_
Detail 3. How does single layer of mineral wall insulation to the SFS work around the cross bracing as shown?_x000D_
_x000D_
4.4_x000D_
Details 5 and 11. Does this detail provide the required fire protection for the steelwork?_x000D_
_x000D_
4.5_x000D_
Detail 9. Insulation clashing with cross bracing._x000D_
</t>
  </si>
  <si>
    <t>4.1_x000D_
Difficult to comment as not all dimensions are noted on the GA plans but in some cases the clear width indicated on this drawing (indicated in the key) does not match the actual clear width dimension indicated on the GA plan.</t>
  </si>
  <si>
    <t xml:space="preserve">4.1_x000D_
Main entrance automatic doors, as referred to in the Outline Spec, not referenced on this plan. Security strategy needs to note this._x000D_
_x000D_
4.2_x000D_
Access control is not shown to the double doors that lead from the main entrance waiting area into the main circulation corridor yet the two corridor doors are shown as having access control. Please clarify how the access control strategy allows visitors to wait in the waiting area without access to the corridor and the library. We suggest that the corridor access control is omitted and the access control required for the waiting area is added. _x000D_
_x000D_
4.3_x000D_
Doors that lead to roof access stairs and roof fire exit ladder are not shown as having a lock. _x000D_
</t>
  </si>
  <si>
    <t xml:space="preserve">4.1_x000D_
Please indicate overall quantity of pupil WCs and overall quantity of staff WCs_x000D_
_x000D_
4.2 _x000D_
Some drawings indicate the staff WC opposite the sick bay as being an accessible WC but this drawing shows it as not being accessible. Which is correct?_x000D_
_x000D_
4.3_x000D_
The layouts do not appear to comply with the handing requirements of Part M 5.10c. Please review_x000D_
</t>
  </si>
  <si>
    <t xml:space="preserve">4.1_x000D_
Hard standing area indicated around building perimeter is not actually provided on the landscape drawings_x000D_
_x000D_
4.2_x000D_
Please add a note to cover the maintenance strategy for non-accessible roof area over roof access stair_x000D_
_x000D_
4.3_x000D_
Please remove hatch to assembly hall and sports hall from the upper floors_x000D_
_x000D_
4.4_x000D_
Please list the kitchen fire shutter in section 4 of the scheduled tasks list_x000D_
</t>
  </si>
  <si>
    <t xml:space="preserve">3.1_x000D_
How are smaller areas of roof proposed to be accessed, cleaned and maintained? Roofs to: LRC, Sports stores, entrance canopy_x000D_
_x000D_
For example: roof over access stair. Please strategy for gutter and outlet inspection and cleaning, plus visual inspection of roof._x000D_
_x000D_
3.2_x000D_
Need to indicate access and clearances around roof plant / PV's, as well as travel distances_x000D_
</t>
  </si>
  <si>
    <t xml:space="preserve">3.3_x000D_
Please show proposed parapet levels to AOD_x000D_
_x000D_
4.1_x000D_
Main hall appears to show lighting compromising the clear height of the hall_x000D_
_x000D_
4.2_x000D_
Sections incorrectly show the topography as completely flat and level with internal FFL. _x000D_
_x000D_
4.3_x000D_
Clear height requirement for sports hall is not achieved._x000D_
</t>
  </si>
  <si>
    <t xml:space="preserve">4.1_x000D_
Main hall appears to show lighting compromising the clear height of the hall_x000D_
_x000D_
4.2_x000D_
Section incorrectly shows the topography as completely flat and level with internal FFL. _x000D_
_x000D_
4.3_x000D_
Clear height requirement for sports hall is not achieved._x000D_
</t>
  </si>
  <si>
    <t xml:space="preserve">3.1_x000D_
Consider terminating curtain walling at half landing instead of running down to L00 level if this area under stair will be out of sight and inaccessible? Not best use of £ also consider robustness requirements of ER's (GDB and TA 2C)_x000D_
_x000D_
4.1_x000D_
are changing room doors proposed to be fully glazed? Consider the use of glazing film/ graphics/ signage to denote male and female changing rooms and also aid privacy_x000D_
_x000D_
4.2_x000D_
how is lighting over the main hall external doors going to be fixed to the glazing?"_x000D_
_x000D_
4.3_x000D_
Louvred panels to window system have very mixed appearance potentially caused my a clash from the MEP model_x000D_
_x000D_
4.4_x000D_
No brickwork movement joints indicated._x000D_
_x000D_
4.5_x000D_
Are the glazed overpanels to sports hall store doors actually required? _x000D_
_x000D_
</t>
  </si>
  <si>
    <t xml:space="preserve">3.1_x000D_
Consider terminating curtain walling at half landing instead of running down to L00 level if this area under stair will be out of sight and inaccessible? Not best use of £ also consider robustness requirements of ER's (GDB and TA 2C)_x000D_
_x000D_
4.1_x000D_
are changing room doors proposed to be fully glazed? Consider the use of glazing film/ graphics/ signage to denote male and female changing rooms and also aid privacy_x000D_
_x000D_
4.2_x000D_
how is lighting over the main hall external doors going to be fixed to the glazing?_x000D_
_x000D_
4.3_x000D_
Louvred panels to window system have very mixed appearance potentially caused my a clash from the MEP model_x000D_
_x000D_
4.4_x000D_
No brickwork movement joints indicated._x000D_
_x000D_
4.5_x000D_
Are the glazed overpanels to sports hall store doors actually required? "_x000D_
</t>
  </si>
  <si>
    <t xml:space="preserve">3.1_x000D_
Is signage on canopy sufficiently sized and contrasting for the person on the ground looking upwards? _x000D_
_x000D_
4.1_x000D_
Louvred panels to window system have very mixed appearance potentially caused my a clash from the MEP model_x000D_
_x000D_
4.2_x000D_
how is lighting over the main entrance external doors going to be fixed to the glazing?_x000D_
_x000D_
4.3_x000D_
No brickwork movement joints indicated._x000D_
</t>
  </si>
  <si>
    <t xml:space="preserve">4.1_x000D_
Please indicate the working at height/ falls hazard of high level maintenance in hall spaces_x000D_
</t>
  </si>
  <si>
    <t xml:space="preserve">4.1_x000D_
Lighting to main hall is too low and impacts on the clear height requirement_x000D_
_x000D_
</t>
  </si>
  <si>
    <t xml:space="preserve">4.1_x000D_
PV panels shown different in some views. Some are shown north facing._x000D_
_x000D_
4.2_x000D_
Principal Entrance image shows ductwork clashing with louvred panels and lighting fixed to glass over main entrance doors._x000D_
</t>
  </si>
  <si>
    <t xml:space="preserve">4.1_x000D_
Access control required to waiting area door to corridor but not likely to be required to the two sets of double doors within the corridor. Please clarify/ revise_x000D_
_x000D_
4.2_x000D_
Exam office and exam store shown on incorrect lock suite_x000D_
</t>
  </si>
  <si>
    <t xml:space="preserve">3.1_x000D_
Detail 2 (section B-B): Is there barrier matting here? _x000D_
_x000D_
3.2_x000D_
Are top hung opening light's automated? Or teleflex?_x000D_
_x000D_
4.1_x000D_
Section A-A shows top hung window in ceiling void_x000D_
_x000D_
4.2_x000D_
Levelling screed is not correct type of screed to lay on a sloping roof_x000D_
_x000D_
4.3_x000D_
Section B-B shows double glazed curtain walling but specification refers to trip glazing._x000D_
_x000D_
4.4_x000D_
Section B-B annotates 'recessed concrete slab' to accommodate spring floor build up but this is not shown on the Structural Engineers information. Please coordinate_x000D_
_x000D_
4.5_x000D_
Levels not indicated for parapets_x000D_
_x000D_
4.6_x000D_
No mention of wall ties for brickwork outer leaf_x000D_
</t>
  </si>
  <si>
    <t xml:space="preserve">4.1_x000D_
Does this height of brickwork require a shelf angle/ masonry support angle?_x000D_
_x000D_
4.2_x000D_
No mention of wall ties for brickwork outer leaf_x000D_
_x000D_
4.3_x000D_
Section shows a recess in the ground floor slab rather than a stepped slab. Neither a recess or a stepped slab are shown in the Structural Engineers information. </t>
  </si>
  <si>
    <t xml:space="preserve">4.1_x000D_
How is fire protection to the steelwork achieved?_x000D_
</t>
  </si>
  <si>
    <t>4.1_x000D_
Please confirm that the curtain walling system achieves the actual clear opening width required for the final exit</t>
  </si>
  <si>
    <t>4.1_x000D_
bottom landing for roof access stair is less than the stair width. Does this meet Part K requirements</t>
  </si>
  <si>
    <t xml:space="preserve">4.1_x000D_
How are the exposed steel beams and the back of the curtain walling spandrel panels proposed to be finished? </t>
  </si>
  <si>
    <t xml:space="preserve">4.1_x000D_
How are the exposed steel beams and the back of the curtain walling spandrel panels proposed to be finished?_x000D_
_x000D_
4.2_x000D_
How are the handrails supported alongside the curtain walling?_x000D_
_x000D_
_x000D_
</t>
  </si>
  <si>
    <t>4.1_x000D_
Some door types have structural opening widths and or heights that are not brick dimensions. How does this work?</t>
  </si>
  <si>
    <t>4.1_x000D_
Curtain wall B has a structural opening height that is not a brick dim. How does this work?</t>
  </si>
  <si>
    <t>4.1_x000D_
Curtain wall E has a structural opening height and width that is not a brick dim. How does this work?</t>
  </si>
  <si>
    <t xml:space="preserve">4.1_x000D_
Is window type 04 actually used? The schedule suggests not_x000D_
_x000D_
4.2_x000D_
Is window type 03 clear glazing for the server room? Does this create unwanted solar gain and potential overheating issues?_x000D_
_x000D_
4.3_x000D_
Schedule for window type 5 is off the page_x000D_
_x000D_
4.4_x000D_
Cill heights in schedules refer to 900mm but there is a stray red dimension of 1050mm that is noted as 'sill height' - is this actually the glazing height. Please clarify_x000D_
_x000D_
4.5_x000D_
Do high level opening windows have a teleflex?_x000D_
</t>
  </si>
  <si>
    <t xml:space="preserve">4.1_x000D_
Please clarify the design intent for glazed screen type 06? What it’s the purpose of this and how does it work with the servery fire shutter?_x000D_
_x000D_
4.2_x000D_
What are the fire and acoustic requirements?_x000D_
</t>
  </si>
  <si>
    <t>4.1_x000D_
The drawings do not indicated the correct method of measuring clear opening widths in accordance with diagram 9 of Part M volume 2</t>
  </si>
  <si>
    <t>4.1_x000D_
Structural opening dimensions are not all brick dims. How does this work?</t>
  </si>
  <si>
    <t xml:space="preserve">4.1 _x000D_
Please specify wall finishes for the spaces currently noted as 'contractor to specify'_x000D_
_x000D_
4.2_x000D_
Please clarify the proposal for wall finish type W3.2. The key refers to a brush applied finish but also refers to a 'Hygenik H Panel' and an eggshell paint finish_x000D_
_x000D_
4.3_x000D_
Please clarify the proposed finishes to the hygiene room and the changing rooms/ showers. The key refers to ceramic tiling to showers but does not define the extent_x000D_
_x000D_
4.4_x000D_
Does the catering kitchen/ food prep room comply with Technical Annex 2D paragraph 9.1.23_x000D_
_x000D_
4.5_x000D_
Please add a key to explain the blue dashed lines. If these are to denote splashbacks, please confirm that they meet Technical Annex 2D section 9.2. _x000D_
_x000D_
4.6_x000D_
Please include proposals for wall finishes to the corridor light wells. The wall finishes would need to match the corridors but the plans currently just state 'n/a'_x000D_
_x000D_
4.7_x000D_
Sports hall acoustic wall finishes appear to measure 2400mm in height and are set 2400mm from FFL. Please clarify that this follows the recommendations of the acoustician as the Acoustic Strategy Report refers to perforated panels from FFL up to 3000mm height. _x000D_
_x000D_
4.8_x000D_
Both the wall types and wall finishes plans do not show how the exam store complies with JCQ requirements for security measures. Please refer to GDB 2.3.19.2_x000D_
</t>
  </si>
  <si>
    <t xml:space="preserve">4.1_x000D_
Please confirm the proposals for floor type F6.1 i.e. timber or vinyl  top surface/ A3 or A4 area elastic rating/ product and thickness_x000D_
_x000D_
4.2_x000D_
Please confirm the proposals for floor type F6.2h i.e. timber or vinyl  top surface/ A3 or A4 area elastic rating/ product and thickness_x000D_
_x000D_
4.3_x000D_
Please confirm proposals for the flooring currently noted as 'contractor to specify'_x000D_
_x000D_
4.4_x000D_
Please clarify the proposals for floor type F7.3h noting that the text currently in the key would result in non-compliant flooring to the changing rooms/ showers_x000D_
_x000D_
4.5_x000D_
Please confirm proposals for the flooring currently noted as 'contractor to specify'_x000D_
_x000D_
4.6_x000D_
Please remove the colour from the roof areas, MEP risers and light wells as this is misleading _x000D_
_x000D_
4.7_x000D_
Please clarify the proposals for skirting. This drawings states pencil round skirting but External Wall details show chamfered. _x000D_
_x000D_
4.8_x000D_
Please confirm floor finishes proposals for the lift and stairs. _x000D_
_x000D_
4.9_x000D_
Please confirm how and why the floor finish works to the 'control room' within the bleacher seating area_x000D_
_x000D_
4.10_x000D_
Please confirm how the two areas are barrier matting are incorporated in the assembly hall floor finish_x000D_
_x000D_
4.11_x000D_
Please add barrier matting to the 2no. external doors to the stair cores at ground floor level_x000D_
_x000D_
4.12_x000D_
Please confirm product proposed for barrier matting_x000D_
_x000D_
4.13_x000D_
Please review rooms where there is a transition in floor finish i.e. pastoral room and SENCo office at first floor level, staff work room at second floor level and ground floor premises office and proposed one floor finish. To be raised as a derogation to be agreed._x000D_
</t>
  </si>
  <si>
    <t xml:space="preserve">4.1_x000D_
Lift car is oversized compared to the DfE minimum size required by GDB 2.14.3.11 a. Please clarify_x000D_
_x000D_
4.2_x000D_
Is a lift over-run required?_x000D_
_x000D_
4.3_x000D_
Is the liftshaft blockwork actually being design by a specialist subcontractor as noted on the drawing?_x000D_
_x000D_
4.4_x000D_
Is the lift shaft blockwork actually constructed off the screed as drawn?_x000D_
_x000D_
4.5_x000D_
Are two forms of waterproofing proposed for the lift pit? To achieve a Grade 3 environment_x000D_
_x000D_
4.6_x000D_
The 'ground edge details' indicate a gas membrane. How is the detailed around the lift pit?_x000D_
</t>
  </si>
  <si>
    <t xml:space="preserve">4.1_x000D_
Please remove or correct the ceiling plan which is unreadable at the moment._x000D_
_x000D_
4.2_x000D_
Please remove or correct the 'floor finishes plan' which currently provides to no information on floor finishes_x000D_
_x000D_
4.3_x000D_
Lighting indicated in the 3d image is too low and conflicts with the minimum clear height requirement_x000D_
_x000D_
4.4_x000D_
Please clarify how access to the lighting and audio controls unit can be accessed. Looks like it is not accessible both when the bleacher seating is in use and also when the bleacher seating is not in use._x000D_
</t>
  </si>
  <si>
    <t>4.1_x000D_
Lighting to main hall is too low and impacts on the clear height requirement_x000D_
_x000D_
4.2_x000D_
Exposed pipework along gridline 6A_x000D_
_x000D_
4.3_x000D_
How is the air curtain unit fixed. Can this be coordinated with the exposed steelwork so that the air curtains have something to fix to, the pipework could be boxed out and the steelwork hidden on the outside with a spandrel in the curtain walling_x000D_
_x000D_
4.4_x000D_
Radiator positions appear to clash with bleacher seating</t>
  </si>
  <si>
    <t xml:space="preserve">4.1_x000D_
Please add dimensions to the court markings setting out_x000D_
_x000D_
4.2_x000D_
Please indicate the location of the rooflights on the ceiling plan and annotate the items _x000D_
_x000D_
4.3_x000D_
Is the sports hall lighting over the badminton courts rather than in between the courts_x000D_
_x000D_
4.4_x000D_
In reality will the cricket nets clash with the basketball back board as drawn?_x000D_
</t>
  </si>
  <si>
    <t xml:space="preserve">4.1_x000D_
Floor finishes plan provides no information on floor finishes. Is this drawing required being as there is a separate floor finishes plan intended to provide information on floor finishes?_x000D_
_x000D_
4.2_x000D_
3D view indicates clash between dividing curtain and what looks like containment / cable tray._x000D_
</t>
  </si>
  <si>
    <t xml:space="preserve">4.1 _x000D_
Please add a key for the location of each section._x000D_
_x000D_
4.2_x000D_
Please move section 3 so that each room elevation displays properly. This appears to show the cricket nets on gridline S. Fire exit doors on gridline Y are not visible. _x000D_
_x000D_
4.3_x000D_
The drawing indicates clash between dividing curtain and what looks like containment / cable tray._x000D_
_x000D_
4.4_x000D_
Section 4. Can the first floor glazed screen line up with the door below?_x000D_
_x000D_
4.5_x000D_
Clear sports hall height of 7500mm has not been achieved. Currently obstructed by steelwork and MEP_x000D_
</t>
  </si>
  <si>
    <t xml:space="preserve">4.1_x000D_
Please mark the elevations on the plan"_x000D_
_x000D_
4.2_x000D_
How does the panelling work around doors? No doors are indicated_x000D_
_x000D_
4.3_x000D_
Extent of acoustic panels does not match the acoustic report recommendations_x000D_
</t>
  </si>
  <si>
    <t xml:space="preserve">4.1_x000D_
Floor finishes plan provides no information on floor finishes. Is this drawing required being as there is a separate floor finishes plan intended to provide information on floor finishes?_x000D_
_x000D_
4.2 _x000D_
Please indicate the required 465mm diameter standing space clear of the door swing as required by Approved Document T _x000D_
_x000D_
4.3_x000D_
Drawings appear to show 2no. hand dryers per WC. One at high level_x000D_
_x000D_
4.4_x000D_
Reflected ceiling plan is not readable_x000D_
_x000D_
4.5_x000D_
Wash hand basin heights do not meet the height stated in Table 2 of Technical Annex 2A_x000D_
</t>
  </si>
  <si>
    <t>4.1_x000D_
The report identifies 560 pages of clashes but contains no information on the proposed remediation or 'owners' of each clash.</t>
  </si>
  <si>
    <t xml:space="preserve">4.1_x000D_
Schedule goes off the page. Is part of it missing?_x000D_
_x000D_
4.2_x000D_
Please clarify the difference between the ratings and performance_x000D_
</t>
  </si>
  <si>
    <t xml:space="preserve">4.1_x000D_
Please clarify why some doors are noted as requiring a 30min fire rating and 30dB acoustic rating_x000D_
_x000D_
4.2_x000D_
Structural opening dimensions are not all brick dims. How does this work?_x000D_
_x000D_
</t>
  </si>
  <si>
    <t xml:space="preserve">Not all disciplines models have been intergratd into the Federated Model (catering &amp; Civil) </t>
  </si>
  <si>
    <t>4.1_x000D_
Various comments picked up elsewhere in the drawings pack. For example, hall lighting clashes with clear height requirements, odd pushplates to some doors, some pinboards clashing with dado trunking, ceiling rafts clashing with ceiling grid.</t>
  </si>
  <si>
    <t>DFE Review of Responses</t>
  </si>
  <si>
    <t>FS1018-HBC-XX-XX-T-X-0012</t>
  </si>
  <si>
    <t>Cost Plan Summary</t>
  </si>
  <si>
    <t>FS1018-HBC-XX-XX-T-X-0012          Cost Plan Summary</t>
  </si>
  <si>
    <t xml:space="preserve">Ensure the colours of the columns used in the 05_Alphanumerical_COBieFields and refer to PIS for naming conventions _x000D_
Facility Tab - Created by NumberOfStoreys &amp; UPRN marked as N/A require details. _x000D_
Floor - Please Correct Name floor convention from 00 to Level 00 _x000D_
Space -  Name -naming convention is incorrect - See PIS 5.2.5 Space Nomenclature for correct naming convention. Created by, Category , Floor Name, _x000D_
Zone - Created by , Space name incorrect , _x000D_
Type -  Created by , Category, description, asset type, NominalLength, NominalWidth, NominalHeight ,PredefinedType incorrect _x000D_
Component - Name , Created by ,Space, InstallationDate, WarrantyStartDatein correct _x000D_
System -  Name , Category ,ComponentNames,Description _x000D_
_x000D_
_x000D_
</t>
  </si>
  <si>
    <t xml:space="preserve">Report needs to be done against models issued with submission. Report submitted on older revision of models_x000D_
</t>
  </si>
  <si>
    <t xml:space="preserve">Arch,MEP, FFE not matching IFC iisued. Also not listed on BEP so can't confirm namign conventions. See Asset register lcarifications for COBie data issues Landscape model trees misaligned _x000D_
</t>
  </si>
  <si>
    <t>(HB Only) Comments Acknowledged</t>
  </si>
  <si>
    <t>OFR Response:_x000D_
1. Section 5 - Fire Strategy (Table 6)_x000D_
The service riser is located within the lobby rather than within Stair 2. As this design aligns with standard guidance, it does not constitute a deviation and therefore is not included in Table 6._x000D_
_x000D_
OFR Response:_x000D_
2. Table 15 - Fire Service Access_x000D_
Response: OFR has outlined the design expectations for fire vehicle access, including load-bearing capacity and dimensional requirements, as detailed in Table 15. These specifications should be adopted by the civil engineer to ensure compliance._x000D_
_x000D_
HEXA Civil Engineer response:_x000D_
2. Table 15-Fire Service Access_x000D_
The fire tender access to the site was considered in the development of the pavement build-ups, and as such the build-ups in the areas that anticipate access by a fire tender has been designed accordingly.</t>
  </si>
  <si>
    <t xml:space="preserve">3.1_x000D_
please indicate the proposals for the existing storage container_x000D_
3.2_x000D_
awaiting proposals for location of kerb-side refuse store_x000D_
4.1_x000D_
Areas of landscaping to the perimeter of the building clash with the hardstanding area noted on the architectural drawings required for maintenance of the building. _x000D_
4.2  Please change the colour for the proposed trees vs existing trees, as mentioned many times, it is difficult to tell the difference._x000D_
4.3  Please confirm the status of the tree in the most northern swale, in the TCA car park, as it has a red dotted line to imply that it is being removed but it is also green, which implies it is new – this can not occur as it would be over a drainage pipe._x000D_
4.4  Tree over drainage pipe adjacent to parking space 129._x000D_
4.5  Please coordinate the drainage plan with the landscaping plans as there are a number of swales on the eastern side of the building which are either shown at different sizes, or not shown at all.  Example south of parking bay 16 to the top of the turning head._x000D_
4.6  The drainage plan implies that there will be a swale adjacent to the rear of the dining terrace, please confirm if this is correct._x000D_
4.7  Please be consistent with fence line colouring. Also, please clarify where the 2.4m high fencing is proposed_x000D_
_x000D_
_x000D_
_x000D_
</t>
  </si>
  <si>
    <t xml:space="preserve">3.1_x000D_
please indicate the proposals for the existing storage container_x000D_
3.2_x000D_
awaiting proposals for location of kerb-side refuse store_x000D_
"4.1_x000D_
Areas of landscaping to the perimeter of the building clash with the hardstanding area noted on the architectural drawings required for maintenance of the building. "_x000D_
"4.2_x000D_
Please indicate the gate swing of the existing site access gates. It looks like the proposed pedestrian crossings will clash with the gates when in the open position. "_x000D_
"4.3_x000D_
Do the refuse collection strategy and the catering delivery require a dropped kerb alongside the service bay to allow for wheeled bins and deliveries trolleys?"_x000D_
4.4  Please check the level indicator arrows on the pedestrian path from Weasenham Lane._x000D_
4.5  Please confirm what the blue bubble to the west of the dining terrace is for?_x000D_
_x000D_
</t>
  </si>
  <si>
    <t xml:space="preserve">"3.1_x000D_
please indicate the proposals for the existing storage container"_x000D_
"3.2_x000D_
awaiting proposals for location of kerb-sied refuse store"_x000D_
"4.1_x000D_
Please clarify what the hatched area is to the left of the existing storage container"_x000D_
</t>
  </si>
  <si>
    <t xml:space="preserve">"3.1_x000D_
please indicate the proposals for the existing storage container"_x000D_
"4.1_x000D_
Areas of landscaping to the perimeter of the building clash with the hardstanding area noted on the architectural drawings required for maintenance of the building. "_x000D_
"4.2_x000D_
Please clarify what the hatched area is to the left of the existing storage container"_x000D_
4.3  Please confirm what the blue bubble to the west of the building is for?_x000D_
</t>
  </si>
  <si>
    <t xml:space="preserve">"4.1_x000D_
SuDs area is simply coloured and labelled as SuDs in the key. Please indicate the proposals?"_x000D_
4.2. Please confirm if root protection is actually required for all of the trees on the south east boundary._x000D_
4.3. Please review the colouration of the EV charging parking bays as they appear to be shown as Existing Permeable Concrete Block Retained, which is not correct._x000D_
</t>
  </si>
  <si>
    <t xml:space="preserve">"4.1_x000D_
SuDs area is simply coloured and labelled as SuDs in the key. Please indicate the proposals?"_x000D_
"4.2_x000D_
Please indicate the fence proposals around the sub-station"_x000D_
</t>
  </si>
  <si>
    <t xml:space="preserve">"4.1_x000D_
Please indicate the fence proposals around the sub-station"_x000D_
</t>
  </si>
  <si>
    <t xml:space="preserve">"4.1_x000D_
What is the strategy for providing access and parking for the sub-station?_x000D_
How is this compliant with GDB 2.8.1.14 and raise as a derogation if necessary"_x000D_
"4.2_x000D_
Please add white lining for an additional crossing lining up with northernmost accessible parking bay and running east to the parking space to the eastern run of parking bays."_x000D_
</t>
  </si>
  <si>
    <t xml:space="preserve">"4.1_x000D_
Please indicate the access points for both TCA and WFS for accessing any shared sports provision"_x000D_
</t>
  </si>
  <si>
    <t xml:space="preserve">"4.1_x000D_
Please indicate the red line boundary along with the area within the red line boundary."_x000D_
"4.2_x000D_
Please indicate the historic figures for comparison i.e. control option/ stage 3"_x000D_
</t>
  </si>
  <si>
    <t xml:space="preserve">"4.1_x000D_
Are there no construction related risks with sharing site access with the temporary school?"_x000D_
"4.2_x000D_
Are there no hazards relating to enabling works/ highways works for section 1.0?"_x000D_
</t>
  </si>
  <si>
    <t xml:space="preserve">"4.1_x000D_
extent of hard landscaping does not match up with the architectural information - specifically please coordinate the hard standing to the building perimeter for maintenance access."_x000D_
4.2 Further coordination needed with Portakabin regarding the parking area for Wisbech Free School._x000D_
</t>
  </si>
  <si>
    <t xml:space="preserve">"4.1_x000D_
unable to access the information via Aconex"_x000D_
"4.2_x000D_
Pedestrian crossings near entrance gates, tactile paving and dropped kerbs are incorrectly shown as areas with no work. "_x000D_
</t>
  </si>
  <si>
    <t xml:space="preserve">"4.1_x000D_
Soft landscaping clashes with the hard standing zone for maintenance access to the building perimeter shown on the architectural drawings"_x000D_
4.2 Please coordinate the drainage plan with the landscaping plans as there are a number of swales on the eastern side of the building which are either shown at different sizes, or not shown at all.  Example south of parking bay 16 to the top of the turning head._x000D_
</t>
  </si>
  <si>
    <t xml:space="preserve">"4.1_x000D_
How is the habitat area defined in terms of planting?"_x000D_
</t>
  </si>
  <si>
    <t xml:space="preserve">"4.1_x000D_
Soft landscaping clashes with the hard standing zone for maintenance access to the building perimeter shown on the architectural drawings"_x000D_
</t>
  </si>
  <si>
    <t xml:space="preserve">4.1  Shrubs should not be planted in the swale to the north of the TCA car park._x000D_
</t>
  </si>
  <si>
    <t xml:space="preserve">"4.1_x000D_
Please indicate levels proposals for the swale"_x000D_
</t>
  </si>
  <si>
    <t xml:space="preserve">"4.1_x000D_
Section 2 has the curved part of the canopy structure missing"_x000D_
</t>
  </si>
  <si>
    <t xml:space="preserve">4.1 Lack of information on the foundation detail._x000D_
</t>
  </si>
  <si>
    <t xml:space="preserve">"4.1_x000D_
Please indicate the type of timber cladding proposed"_x000D_
</t>
  </si>
  <si>
    <t>Seating capacity is listed as 138 but shows seating for 144.
As all pupils need to be seating for lunch, please indicate how this is achieved within the lunch time period and the current seating provided. If more tables are required, can this be accommodated?</t>
  </si>
  <si>
    <t>1.Please demonstrate the SOA capacity in the drawing?
2. Can the refrigerated servery units be relocated when not in use?
3.Where are the chairs being stored when not in use, not shown in drawings?</t>
  </si>
  <si>
    <t>(All)</t>
  </si>
  <si>
    <t>Number</t>
  </si>
  <si>
    <t xml:space="preserve">Issued on Splash sheet as S3, please ensure when it's issued for Acceptance it's in S5 status. Miss Alignment of model in splash sheet_x000D_
</t>
  </si>
  <si>
    <t xml:space="preserve">Issued on Splash sheet as S1 for coordination, please ensure when it's issued for Acceptance it's in S5 status_x000D_
</t>
  </si>
  <si>
    <t xml:space="preserve">Does not indicated  when the information is to be exchanged and with whom; and which task team is responsible for its production. As per  ISO 19650‑2:2018 5.4.2 _x000D_
</t>
  </si>
  <si>
    <t xml:space="preserve">AllDiscipline Models need to listed in the BEP_x000D_
All Federated models and models incorprated in Federated model needs to be listed in BEP_x000D_
ALL MIDP and TIDP 's need to be listed in BEP_x000D_
9.6 Classification - Update as per PIS 4.5.1 Asset Classification_x000D_
9.10 Maximum File Size - please update BIM file sizes as many of the models are larger than 300MB_x000D_
9.11 Volume and model division - 9.11 Volume and model division _x000D_
10.4 Volume Code (Field 3)  - Building Volume code as per Project Information Standard 5.1.4 Functional Breakdown Codes_x000D_
11.1 COBie Workbooks Required  - Add Instruction Workbook required_x000D_
11.6 COBie Data Zones and Zoning Naming - not matching the Project information standards 5.2.6 Zone Nomenclature_x000D_
_x000D_
</t>
  </si>
  <si>
    <t xml:space="preserve">Model Number is incorrect in the Splash sheet. Level 01is not displaying in model_x000D_
</t>
  </si>
  <si>
    <t xml:space="preserve">Not matching native model only level 00 displaying. _x000D_
</t>
  </si>
  <si>
    <t xml:space="preserve">Drawing number and revision on splash sheet not matching submission_x000D_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</si>
</sst>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1"/>
      <color theme="1"/>
      <name val="Aptos Narrow"/>
      <family val="2"/>
      <scheme val="minor"/>
    </font>
    <font>
      <b/>
      <sz val="13"/>
      <color theme="3"/>
      <name val="Aptos Narrow"/>
      <family val="2"/>
      <scheme val="minor"/>
    </font>
    <font>
      <b/>
      <sz val="12"/>
      <color theme="1" tint="0.1498764000366222"/>
      <name val="Aptos Narrow"/>
      <family val="2"/>
      <scheme val="minor"/>
    </font>
    <font>
      <b/>
      <sz val="18"/>
      <color theme="1" tint="0.24994659260841701"/>
      <name val="Aptos Display"/>
      <family val="2"/>
      <scheme val="major"/>
    </font>
    <font>
      <u/>
      <sz val="11"/>
      <color theme="10"/>
      <name val="Aptos Narrow"/>
      <family val="2"/>
      <scheme val="minor"/>
    </font>
    <font>
      <b/>
      <sz val="13"/>
      <color theme="4"/>
      <name val="Aptos Narrow"/>
      <family val="2"/>
      <scheme val="minor"/>
    </font>
    <font>
      <b/>
      <sz val="12"/>
      <color theme="1" tint="0.249977111117893"/>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right/>
      <top style="thin">
        <color indexed="64"/>
      </top>
      <bottom style="thin">
        <color indexed="64"/>
      </bottom>
      <diagonal/>
    </border>
    <border>
      <left/>
      <right/>
      <top/>
      <bottom style="thin">
        <color indexed="6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s>
  <cellStyleXfs count="6">
    <xf numFmtId="0" fontId="0" fillId="0" borderId="0"/>
    <xf numFmtId="0" fontId="4" fillId="0" borderId="0"/>
    <xf numFmtId="0" fontId="2" fillId="0" borderId="3"/>
    <xf numFmtId="0" fontId="3" fillId="0" borderId="4"/>
    <xf numFmtId="0" fontId="5" fillId="0" borderId="0"/>
    <xf numFmtId="0" fontId="1" fillId="0" borderId="5">
      <alignment horizontal="left" vertical="center" wrapText="1"/>
    </xf>
  </cellStyleXfs>
  <cellXfs count="21">
    <xf numFmtId="0" fontId="0" fillId="0" borderId="0" xfId="0"/>
    <xf numFmtId="0" fontId="0" fillId="0" borderId="0" xfId="0" applyAlignment="1">
      <alignment wrapText="1"/>
    </xf>
    <xf numFmtId="0" fontId="0" fillId="0" borderId="0" xfId="0" pivotButton="1"/>
    <xf numFmtId="0" fontId="0" fillId="0" borderId="2" xfId="0" applyBorder="1" applyAlignment="1">
      <alignment wrapText="1"/>
    </xf>
    <xf numFmtId="0" fontId="0" fillId="0" borderId="0" xfId="0" applyAlignment="1">
      <alignment horizontal="left"/>
    </xf>
    <xf numFmtId="0" fontId="3" fillId="0" borderId="0" xfId="3" applyBorder="1"/>
    <xf numFmtId="0" fontId="4" fillId="0" borderId="0" xfId="1"/>
    <xf numFmtId="0" fontId="5" fillId="0" borderId="0" xfId="4" applyAlignment="1">
      <alignment horizontal="right"/>
    </xf>
    <xf numFmtId="14" fontId="0" fillId="0" borderId="0" xfId="0" applyNumberFormat="1"/>
    <xf numFmtId="14" fontId="3" fillId="0" borderId="0" xfId="3" applyNumberFormat="1" applyBorder="1"/>
    <xf numFmtId="0" fontId="0" fillId="0" borderId="0" xfId="0" applyAlignment="1">
      <alignment horizontal="left" indent="1"/>
    </xf>
    <xf numFmtId="14" fontId="0" fillId="0" borderId="0" xfId="0" applyNumberFormat="1" applyAlignment="1">
      <alignment horizontal="left"/>
    </xf>
    <xf numFmtId="0" fontId="0" fillId="0" borderId="0" xfId="0" applyAlignment="1">
      <alignment horizontal="left" wrapText="1"/>
    </xf>
    <xf numFmtId="0" fontId="5" fillId="0" borderId="0" xfId="4"/>
    <xf numFmtId="0" fontId="8" fillId="0" borderId="0" xfId="0" pivotButton="1" applyFont="1"/>
    <xf numFmtId="0" fontId="0" fillId="0" borderId="1" xfId="0" applyBorder="1" applyAlignment="1">
      <alignment wrapText="1"/>
    </xf>
    <xf numFmtId="0" fontId="6" fillId="0" borderId="0" xfId="2" applyFont="1" applyBorder="1" applyAlignment="1">
      <alignment horizontal="left"/>
    </xf>
    <xf numFmtId="0" fontId="0" fillId="0" borderId="0" xfId="0"/>
    <xf numFmtId="0" fontId="7" fillId="0" borderId="6" xfId="0" applyFont="1" applyFill="1" applyBorder="1" applyAlignment="1">
      <alignment horizontal="left"/>
    </xf>
    <xf numFmtId="0" fontId="7" fillId="0" borderId="6" xfId="0" applyFont="1" applyFill="1" applyBorder="1"/>
    <xf numFmtId="0" fontId="0" fillId="0" borderId="0" xfId="0" applyFill="1" applyBorder="1" applyAlignment="1">
      <alignment wrapText="1"/>
    </xf>
  </cellXfs>
  <cellStyles count="6">
    <cellStyle name="EachRow" xfId="5" xr:uid="{00000000-0005-0000-0000-000005000000}"/>
    <cellStyle name="Heading 2" xfId="2" builtinId="17"/>
    <cellStyle name="Hyperlink" xfId="4" builtinId="8"/>
    <cellStyle name="Input" xfId="3" builtinId="20"/>
    <cellStyle name="Normal" xfId="0" builtinId="0"/>
    <cellStyle name="Title" xfId="1" builtinId="15"/>
  </cellStyles>
  <dxfs count="118">
    <dxf>
      <numFmt numFmtId="0" formatCode="General"/>
      <alignment horizontal="general" vertical="bottom" textRotation="0" wrapText="1" indent="0" justifyLastLine="0" shrinkToFit="0" readingOrder="0"/>
    </dxf>
    <dxf>
      <numFmt numFmtId="19" formatCode="dd/mm/yyyy"/>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9" formatCode="dd/mm/yyyy"/>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font>
        <color theme="8" tint="-0.499984740745262"/>
      </font>
      <fill>
        <patternFill>
          <bgColor theme="8" tint="0.79998168889431442"/>
        </patternFill>
      </fill>
    </dxf>
    <dxf>
      <font>
        <color rgb="FF006100"/>
      </font>
      <fill>
        <patternFill>
          <bgColor rgb="FFC6EFCE"/>
        </patternFill>
      </fill>
    </dxf>
    <dxf>
      <font>
        <color theme="9" tint="-0.499984740745262"/>
      </font>
      <fill>
        <patternFill>
          <bgColor theme="9" tint="0.79998168889431442"/>
        </patternFill>
      </fill>
    </dxf>
    <dxf>
      <font>
        <i/>
        <color theme="1" tint="0.499984740745262"/>
      </font>
      <fill>
        <patternFill>
          <bgColor auto="1"/>
        </patternFill>
      </fill>
    </dxf>
    <dxf>
      <numFmt numFmtId="19" formatCode="dd/mm/yyyy"/>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font>
        <b/>
      </font>
    </dxf>
    <dxf>
      <alignment wrapText="1"/>
    </dxf>
    <dxf>
      <alignment wrapText="1"/>
    </dxf>
    <dxf>
      <font>
        <sz val="12"/>
      </font>
    </dxf>
    <dxf>
      <alignment wrapText="1"/>
    </dxf>
    <dxf>
      <alignment wrapText="1"/>
    </dxf>
    <dxf>
      <alignment wrapText="1"/>
    </dxf>
    <dxf>
      <alignment wrapText="1"/>
    </dxf>
    <dxf>
      <alignment wrapText="1"/>
    </dxf>
    <dxf>
      <alignment wrapText="1"/>
    </dxf>
    <dxf>
      <alignment wrapText="1"/>
    </dxf>
    <dxf>
      <border>
        <top style="thin">
          <color indexed="64"/>
        </top>
      </border>
    </dxf>
    <dxf>
      <font>
        <color theme="1" tint="0.249977111117893"/>
      </font>
    </dxf>
    <dxf>
      <font>
        <b/>
      </font>
    </dxf>
    <dxf>
      <font>
        <sz val="12"/>
      </font>
    </dxf>
    <dxf>
      <font>
        <b/>
      </font>
    </dxf>
    <dxf>
      <font>
        <sz val="14"/>
      </font>
    </dxf>
    <dxf>
      <border>
        <top style="medium">
          <color theme="1" tint="0.499984740745262"/>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vertical/>
      </border>
    </dxf>
    <dxf>
      <border>
        <top style="medium">
          <color theme="1" tint="0.499984740745262"/>
        </top>
      </border>
    </dxf>
    <dxf>
      <font>
        <b/>
        <sz val="14"/>
        <color theme="1" tint="0.24994659260841701"/>
      </font>
    </dxf>
    <dxf>
      <font>
        <b/>
        <sz val="14"/>
        <color theme="1" tint="0.2499465926084170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i val="0"/>
        <color theme="1" tint="0.14996795556505021"/>
      </font>
      <fill>
        <patternFill>
          <bgColor theme="0" tint="-0.14996795556505021"/>
        </patternFill>
      </fill>
      <border diagonalUp="0" diagonalDown="0">
        <left/>
        <right/>
        <top/>
        <bottom/>
        <vertical/>
        <horizontal/>
      </border>
    </dxf>
    <dxf>
      <font>
        <color theme="1"/>
      </font>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i/>
        <color theme="0" tint="-0.499984740745262"/>
      </font>
      <fill>
        <patternFill>
          <bgColor theme="0" tint="-4.9989318521683403E-2"/>
        </patternFill>
      </fill>
    </dxf>
    <dxf>
      <font>
        <b/>
        <color theme="1"/>
      </font>
    </dxf>
    <dxf>
      <font>
        <b/>
        <color theme="1"/>
      </font>
      <border>
        <top style="double">
          <color theme="1"/>
        </top>
      </border>
    </dxf>
    <dxf>
      <font>
        <b/>
        <color theme="1"/>
      </font>
      <border>
        <bottom style="medium">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2" defaultTableStyle="TableStyleMedium2" defaultPivotStyle="PivotStyleLight16">
    <tableStyle name="TableStyleLight15 2" pivot="0" count="7" xr9:uid="{00000000-0011-0000-FFFF-FFFF00000000}">
      <tableStyleElement type="wholeTable" dxfId="117"/>
      <tableStyleElement type="headerRow" dxfId="116"/>
      <tableStyleElement type="totalRow" dxfId="115"/>
      <tableStyleElement type="firstColumn" dxfId="114"/>
      <tableStyleElement type="lastColumn" dxfId="113"/>
      <tableStyleElement type="firstRowStripe" dxfId="112"/>
      <tableStyleElement type="firstColumnStripe" dxfId="111"/>
    </tableStyle>
    <tableStyle name="Workflow Tracker" table="0" count="2" xr9:uid="{88AE39F0-1EF6-4053-8645-DEA133DFABCF}">
      <tableStyleElement type="wholeTable" dxfId="110"/>
      <tableStyleElement type="headerRow" dxfId="10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[WFS Workflow Tracker.xlsx]Summary!PivotTable2</c:name>
    <c:fmtId val="21"/>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cap="none" baseline="0"/>
              <a:t>Current status of documents</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pivotFmt>
      <c:pivotFmt>
        <c:idx val="16"/>
        <c:spPr>
          <a:solidFill>
            <a:schemeClr val="bg1">
              <a:lumMod val="85000"/>
            </a:schemeClr>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accent6">
              <a:lumMod val="60000"/>
              <a:lumOff val="40000"/>
            </a:schemeClr>
          </a:solidFill>
          <a:ln w="19050">
            <a:solidFill>
              <a:schemeClr val="accent1"/>
            </a:solidFill>
          </a:ln>
          <a:effectLst/>
        </c:spPr>
      </c:pivotFmt>
      <c:pivotFmt>
        <c:idx val="19"/>
        <c:spPr>
          <a:solidFill>
            <a:schemeClr val="accent3"/>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3"/>
          </a:solidFill>
          <a:ln w="19050">
            <a:solidFill>
              <a:schemeClr val="accent1"/>
            </a:solidFill>
          </a:ln>
          <a:effectLst/>
        </c:spPr>
        <c:dLbl>
          <c:idx val="0"/>
          <c:layout>
            <c:manualLayout>
              <c:x val="-0.17019328025052935"/>
              <c:y val="0.21634684767235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bg1">
              <a:lumMod val="95000"/>
            </a:schemeClr>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bg1">
              <a:lumMod val="95000"/>
            </a:schemeClr>
          </a:solidFill>
          <a:ln w="19050">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52071237526658"/>
          <c:y val="0.13906615377140211"/>
          <c:w val="0.56254885538482979"/>
          <c:h val="0.83404482609716224"/>
        </c:manualLayout>
      </c:layout>
      <c:pieChart>
        <c:varyColors val="1"/>
        <c:ser>
          <c:idx val="0"/>
          <c:order val="0"/>
          <c:tx>
            <c:strRef>
              <c:f>Summary!$B$2</c:f>
              <c:strCache>
                <c:ptCount val="1"/>
                <c:pt idx="0">
                  <c:v>Total</c:v>
                </c:pt>
              </c:strCache>
            </c:strRef>
          </c:tx>
          <c:spPr>
            <a:solidFill>
              <a:schemeClr val="lt1"/>
            </a:solidFill>
            <a:ln w="19050">
              <a:solidFill>
                <a:schemeClr val="accent1"/>
              </a:solidFill>
            </a:ln>
            <a:effectLst/>
          </c:spPr>
          <c:dPt>
            <c:idx val="0"/>
            <c:bubble3D val="0"/>
            <c:spPr>
              <a:solidFill>
                <a:schemeClr val="accent3"/>
              </a:solidFill>
              <a:ln w="19050">
                <a:solidFill>
                  <a:schemeClr val="accent1"/>
                </a:solidFill>
              </a:ln>
              <a:effectLst/>
            </c:spPr>
            <c:extLst>
              <c:ext xmlns:c16="http://schemas.microsoft.com/office/drawing/2014/chart" uri="{C3380CC4-5D6E-409C-BE32-E72D297353CC}">
                <c16:uniqueId val="{00000016-A594-4D3D-A985-E206C710C2AB}"/>
              </c:ext>
            </c:extLst>
          </c:dPt>
          <c:dPt>
            <c:idx val="1"/>
            <c:bubble3D val="0"/>
            <c:spPr>
              <a:solidFill>
                <a:schemeClr val="bg1">
                  <a:lumMod val="95000"/>
                </a:schemeClr>
              </a:solidFill>
              <a:ln w="19050">
                <a:solidFill>
                  <a:schemeClr val="accent1"/>
                </a:solidFill>
              </a:ln>
              <a:effectLst/>
            </c:spPr>
            <c:extLst>
              <c:ext xmlns:c16="http://schemas.microsoft.com/office/drawing/2014/chart" uri="{C3380CC4-5D6E-409C-BE32-E72D297353CC}">
                <c16:uniqueId val="{00000015-A594-4D3D-A985-E206C710C2A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2C1-4FE9-A37F-FC71F5B5E1DB}"/>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12C1-4FE9-A37F-FC71F5B5E1DB}"/>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12C1-4FE9-A37F-FC71F5B5E1DB}"/>
              </c:ext>
            </c:extLst>
          </c:dPt>
          <c:dLbls>
            <c:dLbl>
              <c:idx val="0"/>
              <c:layout>
                <c:manualLayout>
                  <c:x val="-0.17019328025052935"/>
                  <c:y val="0.216346847672359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6-A594-4D3D-A985-E206C710C2AB}"/>
                </c:ext>
              </c:extLst>
            </c:dLbl>
            <c:dLbl>
              <c:idx val="1"/>
              <c:dLblPos val="inEnd"/>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A594-4D3D-A985-E206C710C2A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Summary!$A$3:$A$5</c:f>
              <c:strCache>
                <c:ptCount val="2"/>
                <c:pt idx="0">
                  <c:v>A - Accepted</c:v>
                </c:pt>
                <c:pt idx="1">
                  <c:v>Pending</c:v>
                </c:pt>
              </c:strCache>
            </c:strRef>
          </c:cat>
          <c:val>
            <c:numRef>
              <c:f>Summary!$B$3:$B$5</c:f>
              <c:numCache>
                <c:formatCode>General</c:formatCode>
                <c:ptCount val="2"/>
                <c:pt idx="0">
                  <c:v>229</c:v>
                </c:pt>
                <c:pt idx="1">
                  <c:v>359</c:v>
                </c:pt>
              </c:numCache>
            </c:numRef>
          </c:val>
          <c:extLst>
            <c:ext xmlns:c16="http://schemas.microsoft.com/office/drawing/2014/chart" uri="{C3380CC4-5D6E-409C-BE32-E72D297353CC}">
              <c16:uniqueId val="{00000012-A594-4D3D-A985-E206C710C2A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5863</xdr:colOff>
      <xdr:row>4</xdr:row>
      <xdr:rowOff>168852</xdr:rowOff>
    </xdr:from>
    <xdr:to>
      <xdr:col>7</xdr:col>
      <xdr:colOff>44695</xdr:colOff>
      <xdr:row>22</xdr:row>
      <xdr:rowOff>39772</xdr:rowOff>
    </xdr:to>
    <xdr:grpSp>
      <xdr:nvGrpSpPr>
        <xdr:cNvPr id="4" name="Group 3">
          <a:extLst>
            <a:ext uri="{FF2B5EF4-FFF2-40B4-BE49-F238E27FC236}">
              <a16:creationId xmlns:a16="http://schemas.microsoft.com/office/drawing/2014/main" id="{FE8F1AF8-C2B0-4034-8045-B112B0266439}"/>
            </a:ext>
          </a:extLst>
        </xdr:cNvPr>
        <xdr:cNvGrpSpPr/>
      </xdr:nvGrpSpPr>
      <xdr:grpSpPr>
        <a:xfrm>
          <a:off x="3739663" y="1118421"/>
          <a:ext cx="4382232" cy="3141659"/>
          <a:chOff x="4060112" y="1075733"/>
          <a:chExt cx="4281879" cy="3681329"/>
        </a:xfrm>
      </xdr:grpSpPr>
      <xdr:graphicFrame macro="">
        <xdr:nvGraphicFramePr>
          <xdr:cNvPr id="5" name="Chart 4">
            <a:extLst>
              <a:ext uri="{FF2B5EF4-FFF2-40B4-BE49-F238E27FC236}">
                <a16:creationId xmlns:a16="http://schemas.microsoft.com/office/drawing/2014/main" id="{CEB387B6-50CF-7E2D-08E9-5858CD3AE4A6}"/>
              </a:ext>
            </a:extLst>
          </xdr:cNvPr>
          <xdr:cNvGraphicFramePr/>
        </xdr:nvGraphicFramePr>
        <xdr:xfrm>
          <a:off x="4065729" y="1075733"/>
          <a:ext cx="4269386" cy="3345578"/>
        </xdr:xfrm>
        <a:graphic>
          <a:graphicData uri="http://schemas.openxmlformats.org/drawingml/2006/chart">
            <c:chart xmlns:c="http://schemas.openxmlformats.org/drawingml/2006/chart" xmlns:r="http://schemas.openxmlformats.org/officeDocument/2006/relationships" r:id="rId1"/>
          </a:graphicData>
        </a:graphic>
      </xdr:graphicFrame>
      <xdr:sp macro="" textlink="$I$2">
        <xdr:nvSpPr>
          <xdr:cNvPr id="6" name="TextBox 5">
            <a:extLst>
              <a:ext uri="{FF2B5EF4-FFF2-40B4-BE49-F238E27FC236}">
                <a16:creationId xmlns:a16="http://schemas.microsoft.com/office/drawing/2014/main" id="{5C8F6573-322C-1F0D-A366-FD1915D8A7C2}"/>
              </a:ext>
            </a:extLst>
          </xdr:cNvPr>
          <xdr:cNvSpPr txBox="1"/>
        </xdr:nvSpPr>
        <xdr:spPr>
          <a:xfrm>
            <a:off x="4060112" y="4383382"/>
            <a:ext cx="4281879" cy="37368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t"/>
          <a:lstStyle/>
          <a:p>
            <a:pPr algn="r"/>
            <a:fld id="{DA70FFAE-508E-4AD6-AD23-EA1B0649018F}" type="TxLink">
              <a:rPr lang="en-US" sz="1300" b="0" i="0" u="none" strike="noStrike" cap="none" spc="50">
                <a:ln w="9525" cmpd="sng">
                  <a:noFill/>
                  <a:prstDash val="solid"/>
                </a:ln>
                <a:solidFill>
                  <a:schemeClr val="bg1"/>
                </a:solidFill>
                <a:effectLst>
                  <a:glow rad="38100">
                    <a:schemeClr val="accent1">
                      <a:alpha val="40000"/>
                    </a:schemeClr>
                  </a:glow>
                </a:effectLst>
                <a:latin typeface="Aptos Narrow"/>
              </a:rPr>
              <a:pPr algn="r"/>
              <a:t>Total number of documents: 588</a:t>
            </a:fld>
            <a:endParaRPr lang="en-GB" sz="1300" b="0" i="0" cap="none" spc="50">
              <a:ln w="9525" cmpd="sng">
                <a:noFill/>
                <a:prstDash val="solid"/>
              </a:ln>
              <a:solidFill>
                <a:schemeClr val="bg1"/>
              </a:solidFill>
              <a:effectLst>
                <a:glow rad="38100">
                  <a:schemeClr val="accent1">
                    <a:alpha val="40000"/>
                  </a:schemeClr>
                </a:glow>
              </a:effectLst>
              <a:latin typeface="+mn-l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e Millinship" refreshedDate="45771.608576620369" backgroundQuery="1" createdVersion="8" refreshedVersion="8" minRefreshableVersion="3" recordCount="588" xr:uid="{245A0A9C-4754-4E94-821C-C79E85ECD199}">
  <cacheSource type="external" connectionId="1"/>
  <cacheFields count="5">
    <cacheField name="Document Number" numFmtId="0">
      <sharedItems/>
    </cacheField>
    <cacheField name="Count.Workflow Status" numFmtId="0">
      <sharedItems count="2">
        <s v="In Progress"/>
        <s v="Completed"/>
      </sharedItems>
    </cacheField>
    <cacheField name="Count.Step Outcome" numFmtId="0">
      <sharedItems count="4">
        <s v="C - Rejected"/>
        <s v="A - Accepted"/>
        <s v="B - Partially Accepted with Comments"/>
        <s v="Pending"/>
      </sharedItems>
    </cacheField>
    <cacheField name="Count.Latest revision?" numFmtId="0">
      <sharedItems count="1">
        <b v="1"/>
      </sharedItems>
    </cacheField>
    <cacheField name="(Helper) Doc Status" numFmtId="0">
      <sharedItems count="6">
        <s v="Pending"/>
        <s v="A - Accepted"/>
        <s v="B3 - Partially Accepted with Comments" u="1"/>
        <s v="C - Rejected" u="1"/>
        <s v="B - Approved with Comments" u="1"/>
        <s v="A3 - Accepted"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icole Millinship" refreshedDate="45771.610362847219" createdVersion="8" refreshedVersion="8" minRefreshableVersion="3" recordCount="904" xr:uid="{76EEEB75-3404-476A-84D4-0CD32F5AFB48}">
  <cacheSource type="worksheet">
    <worksheetSource name="RawData"/>
  </cacheSource>
  <cacheFields count="12">
    <cacheField name="Document Number" numFmtId="0">
      <sharedItems count="588">
        <s v="FS1018-ADT-ZZ-00-D-J-0001"/>
        <s v="FS1018-ADT-ZZ-00-D-J-0004"/>
        <s v="FS1018-ADT-ZZ-01-D-J-0002"/>
        <s v="FS1018-ADT-ZZ-01-D-J-0005"/>
        <s v="FS1018-ADT-ZZ-02-D-J-0003"/>
        <s v="FS1018-ADT-ZZ-02-D-J-0006"/>
        <s v="FS1018-ADT-ZZ-ZZ-T-J-0001"/>
        <s v="FS1018-ADT-ZZ-ZZ-T-Y-0002"/>
        <s v="FS1018-AGL-ZZ-00-D-E-6110"/>
        <s v="FS1018-AGL-ZZ-00-D-E-6111"/>
        <s v="FS1018-AGL-ZZ-00-D-E-6112"/>
        <s v="FS1018-AGL-ZZ-00-D-E-6114"/>
        <s v="FS1018-AGL-ZZ-00-D-E-6210"/>
        <s v="FS1018-AGL-ZZ-00-D-E-6211"/>
        <s v="FS1018-AGL-ZZ-00-D-E-6212"/>
        <s v="FS1018-AGL-ZZ-00-D-E-6213"/>
        <s v="FS1018-AGL-ZZ-00-D-E-6214"/>
        <s v="FS1018-AGL-ZZ-00-D-E-6215"/>
        <s v="FS1018-AGL-ZZ-00-D-E-6310"/>
        <s v="FS1018-AGL-ZZ-00-D-E-6311"/>
        <s v="FS1018-AGL-ZZ-00-D-E-6312"/>
        <s v="FS1018-AGL-ZZ-00-D-E-6810"/>
        <s v="FS1018-AGL-ZZ-00-D-E-6811"/>
        <s v="FS1018-AGL-ZZ-00-D-E-6812"/>
        <s v="FS1018-AGL-ZZ-00-D-E-6820"/>
        <s v="FS1018-AGL-ZZ-00-D-E-6821"/>
        <s v="FS1018-AGL-ZZ-00-D-E-6822"/>
        <s v="FS1018-AGL-ZZ-00-D-E-6840"/>
        <s v="FS1018-AGL-ZZ-00-D-E-6841"/>
        <s v="FS1018-AGL-ZZ-00-D-E-6842"/>
        <s v="FS1018-AGL-ZZ-00-D-E-9001"/>
        <s v="FS1018-AGL-ZZ-00-D-M-5210"/>
        <s v="FS1018-AGL-ZZ-00-D-M-5211"/>
        <s v="FS1018-AGL-ZZ-00-D-M-5212"/>
        <s v="FS1018-AGL-ZZ-00-D-M-5310"/>
        <s v="FS1018-AGL-ZZ-00-D-M-5311"/>
        <s v="FS1018-AGL-ZZ-00-D-M-5312"/>
        <s v="FS1018-AGL-ZZ-00-D-M-5410"/>
        <s v="FS1018-AGL-ZZ-00-D-M-5610"/>
        <s v="FS1018-AGL-ZZ-00-D-M-5611"/>
        <s v="FS1018-AGL-ZZ-00-D-M-5612"/>
        <s v="FS1018-AGL-ZZ-00-D-M-5710"/>
        <s v="FS1018-AGL-ZZ-00-D-M-5711"/>
        <s v="FS1018-AGL-ZZ-00-D-M-5712"/>
        <s v="FS1018-AGL-ZZ-00-D-M-5810"/>
        <s v="FS1018-AGL-ZZ-00-D-M-5811"/>
        <s v="FS1018-AGL-ZZ-00-D-Z-6010"/>
        <s v="FS1018-AGL-ZZ-00-D-Z-6011"/>
        <s v="FS1018-AGL-ZZ-00-D-Z-6012"/>
        <s v="FS1018-AGL-ZZ-00-D-Z-9610"/>
        <s v="FS1018-AGL-ZZ-00-D-Z-9611"/>
        <s v="FS1018-AGL-ZZ-00-D-Z-9612"/>
        <s v="FS1018-AGL-ZZ-01-D-E-6110"/>
        <s v="FS1018-AGL-ZZ-01-D-E-6111"/>
        <s v="FS1018-AGL-ZZ-01-D-E-6210"/>
        <s v="FS1018-AGL-ZZ-01-D-E-6211"/>
        <s v="FS1018-AGL-ZZ-01-D-E-6212"/>
        <s v="FS1018-AGL-ZZ-01-D-E-6213"/>
        <s v="FS1018-AGL-ZZ-01-D-E-6310"/>
        <s v="FS1018-AGL-ZZ-01-D-E-6311"/>
        <s v="FS1018-AGL-ZZ-01-D-E-6810"/>
        <s v="FS1018-AGL-ZZ-01-D-E-6811"/>
        <s v="FS1018-AGL-ZZ-01-D-E-6820"/>
        <s v="FS1018-AGL-ZZ-01-D-E-6821"/>
        <s v="FS1018-AGL-ZZ-01-D-E-6840"/>
        <s v="FS1018-AGL-ZZ-01-D-E-6841"/>
        <s v="FS1018-AGL-ZZ-01-D-M-5210"/>
        <s v="FS1018-AGL-ZZ-01-D-M-5211"/>
        <s v="FS1018-AGL-ZZ-01-D-M-5310"/>
        <s v="FS1018-AGL-ZZ-01-D-M-5311"/>
        <s v="FS1018-AGL-ZZ-01-D-M-5410"/>
        <s v="FS1018-AGL-ZZ-01-D-M-5610"/>
        <s v="FS1018-AGL-ZZ-01-D-M-5611"/>
        <s v="FS1018-AGL-ZZ-01-D-M-5710"/>
        <s v="FS1018-AGL-ZZ-01-D-M-5711"/>
        <s v="FS1018-AGL-ZZ-01-D-Z-6010"/>
        <s v="FS1018-AGL-ZZ-01-D-Z-6011"/>
        <s v="FS1018-AGL-ZZ-01-D-Z-9610"/>
        <s v="FS1018-AGL-ZZ-01-D-Z-9611"/>
        <s v="FS1018-AGL-ZZ-02-D-E-6110"/>
        <s v="FS1018-AGL-ZZ-02-D-E-6111"/>
        <s v="FS1018-AGL-ZZ-02-D-E-6210"/>
        <s v="FS1018-AGL-ZZ-02-D-E-6211"/>
        <s v="FS1018-AGL-ZZ-02-D-E-6212"/>
        <s v="FS1018-AGL-ZZ-02-D-E-6213"/>
        <s v="FS1018-AGL-ZZ-02-D-E-6310"/>
        <s v="FS1018-AGL-ZZ-02-D-E-6311"/>
        <s v="FS1018-AGL-ZZ-02-D-E-6810"/>
        <s v="FS1018-AGL-ZZ-02-D-E-6811"/>
        <s v="FS1018-AGL-ZZ-02-D-E-6820"/>
        <s v="FS1018-AGL-ZZ-02-D-E-6821"/>
        <s v="FS1018-AGL-ZZ-02-D-E-6840"/>
        <s v="FS1018-AGL-ZZ-02-D-E-6841"/>
        <s v="FS1018-AGL-ZZ-02-D-M-5210"/>
        <s v="FS1018-AGL-ZZ-02-D-M-5211"/>
        <s v="FS1018-AGL-ZZ-02-D-M-5310"/>
        <s v="FS1018-AGL-ZZ-02-D-M-5311"/>
        <s v="FS1018-AGL-ZZ-02-D-M-5410"/>
        <s v="FS1018-AGL-ZZ-02-D-M-5610"/>
        <s v="FS1018-AGL-ZZ-02-D-M-5611"/>
        <s v="FS1018-AGL-ZZ-02-D-M-5710"/>
        <s v="FS1018-AGL-ZZ-02-D-M-5711"/>
        <s v="FS1018-AGL-ZZ-02-D-Z-6010"/>
        <s v="FS1018-AGL-ZZ-02-D-Z-6011"/>
        <s v="FS1018-AGL-ZZ-02-D-Z-9610"/>
        <s v="FS1018-AGL-ZZ-02-D-Z-9611"/>
        <s v="FS1018-AGL-ZZ-RF-D-E-6213"/>
        <s v="FS1018-AGL-ZZ-RF-D-E-6810"/>
        <s v="FS1018-AGL-ZZ-RF-D-E-6811"/>
        <s v="FS1018-AGL-ZZ-RF-D-E-6840"/>
        <s v="FS1018-AGL-ZZ-RF-D-E-6841"/>
        <s v="FS1018-AGL-ZZ-RF-D-E-6842"/>
        <s v="FS1018-AGL-ZZ-RF-D-E-9001"/>
        <s v="FS1018-AGL-ZZ-RF-D-M-5210"/>
        <s v="FS1018-AGL-ZZ-RF-D-M-5211"/>
        <s v="FS1018-AGL-ZZ-RF-D-M-5212"/>
        <s v="FS1018-AGL-ZZ-RF-D-M-5310"/>
        <s v="FS1018-AGL-ZZ-RF-D-M-5311"/>
        <s v="FS1018-AGL-ZZ-RF-D-M-5312"/>
        <s v="FS1018-AGL-ZZ-RF-D-M-5710"/>
        <s v="FS1018-AGL-ZZ-RF-D-M-5711"/>
        <s v="FS1018-AGL-ZZ-RF-D-M-5712"/>
        <s v="FS1018-AGL-ZZ-RF-D-Z-5810"/>
        <s v="FS1018-AGL-ZZ-RF-D-Z-5811"/>
        <s v="FS1018-AGL-ZZ-RF-D-Z-5812"/>
        <s v="FS1018-AGL-ZZ-RF-D-Z-6010"/>
        <s v="FS1018-AGL-ZZ-RF-D-Z-6011"/>
        <s v="FS1018-AGL-ZZ-RF-D-Z-6012"/>
        <s v="FS1018-AGL-ZZ-XX-D-E-9001"/>
        <s v="FS1018-AGL-ZZ-XX-D-E-9002"/>
        <s v="FS1018-AGL-ZZ-XX-D-E-9511"/>
        <s v="FS1018-AGL-ZZ-XX-D-Z-5810"/>
        <s v="FS1018-AGL-ZZ-XX-D-Z-9510"/>
        <s v="FS1018-AGL-ZZ-XX-L-E-0001"/>
        <s v="FS1018-AGL-ZZ-XX-L-E-0002"/>
        <s v="FS1018-AGL-ZZ-XX-L-E-0003"/>
        <s v="FS1018-AGL-ZZ-XX-L-E-0004"/>
        <s v="FS1018-AGL-ZZ-XX-L-E-0005"/>
        <s v="FS1018-AGL-ZZ-XX-L-E-9602"/>
        <s v="FS1018-AGL-ZZ-XX-L-M-0003"/>
        <s v="FS1018-AGL-ZZ-XX-L-M-0004"/>
        <s v="FS1018-AGL-ZZ-XX-L-M-0005"/>
        <s v="FS1018-AGL-ZZ-XX-L-M-0006"/>
        <s v="FS1018-AGL-ZZ-XX-L-M-0007"/>
        <s v="FS1018-AGL-ZZ-XX-L-M-0008"/>
        <s v="FS1018-AGL-ZZ-XX-L-M-9604"/>
        <s v="FS1018-AGL-ZZ-XX-L-M-9605"/>
        <s v="FS1018-AGL-ZZ-XX-L-M-9607"/>
        <s v="FS1018-AGL-ZZ-XX-L-M-9608"/>
        <s v="FS1018-AGL-ZZ-XX-L-M-9609"/>
        <s v="FS1018-AGL-ZZ-XX-L-M-9610"/>
        <s v="FS1018-AGL-ZZ-XX-L-M-9613"/>
        <s v="FS1018-AGL-ZZ-XX-L-M-9614"/>
        <s v="FS1018-AGL-ZZ-XX-L-M-9617"/>
        <s v="FS1018-AGL-ZZ-XX-L-M-9619"/>
        <s v="FS1018-AGL-ZZ-XX-L-M-9620"/>
        <s v="FS1018-AGL-ZZ-XX-L-M-9621"/>
        <s v="FS1018-AGL-ZZ-XX-L-M-9623"/>
        <s v="FS1018-AGL-ZZ-XX-L-M-9624"/>
        <s v="FS1018-AGL-ZZ-XX-L-M-9625"/>
        <s v="FS1018-AGL-ZZ-XX-L-M-9627"/>
        <s v="FS1018-AGL-ZZ-XX-L-M-9628"/>
        <s v="FS1018-AGL-ZZ-XX-L-M-9630"/>
        <s v="FS1018-AGL-ZZ-XX-L-M-9634"/>
        <s v="FS1018-AGL-ZZ-XX-L-M-9637"/>
        <s v="FS1018-AGL-ZZ-XX-L-M-9641"/>
        <s v="FS1018-AGL-ZZ-XX-L-M-9642"/>
        <s v="FS1018-AGL-ZZ-XX-L-M-9644"/>
        <s v="FS1018-AGL-ZZ-XX-L-M-9647"/>
        <s v="FS1018-AGL-ZZ-XX-L-M-9649"/>
        <s v="FS1018-AGL-ZZ-XX-L-M-9652"/>
        <s v="FS1018-AGL-ZZ-XX-L-M-9653"/>
        <s v="FS1018-AGL-ZZ-XX-L-M-9654"/>
        <s v="FS1018-AGL-ZZ-XX-L-M-9655"/>
        <s v="FS1018-AGL-ZZ-XX-L-M-9658"/>
        <s v="FS1018-AGL-ZZ-XX-L-M-9659"/>
        <s v="FS1018-AGL-ZZ-XX-L-M-9660"/>
        <s v="FS1018-AGL-ZZ-XX-L-M-9661"/>
        <s v="FS1018-AGL-ZZ-XX-L-M-9662"/>
        <s v="FS1018-AGL-ZZ-XX-L-M-9671"/>
        <s v="FS1018-AGL-ZZ-XX-L-M-9675"/>
        <s v="FS1018-AGL-ZZ-XX-L-M-9678"/>
        <s v="FS1018-AGL-ZZ-XX-L-M-9681"/>
        <s v="FS1018-AGL-ZZ-XX-L-M-9682"/>
        <s v="FS1018-AGL-ZZ-XX-L-Z-0001"/>
        <s v="FS1018-AGL-ZZ-XX-L-Z-0004"/>
        <s v="FS1018-AGL-ZZ-XX-T-E-0001"/>
        <s v="FS1018-AGL-ZZ-XX-T-E-0003"/>
        <s v="FS1018-AGL-ZZ-XX-T-M-0001"/>
        <s v="FS1018-AGL-ZZ-XX-T-Z-0002"/>
        <s v="FS1018-AGL-ZZ-XX-T-Z-0006"/>
        <s v="FS1018-AGL-ZZ-XX-T-Z-0007"/>
        <s v="FS1018-AGL-ZZ-ZZ-D-E-9001"/>
        <s v="FS1018-AGL-ZZ-ZZ-D-Z-6115"/>
        <s v="FS1018-AGL-ZZ-ZZ-D-Z-9610"/>
        <s v="FS1018-AGL-ZZ-ZZ-D-Z-9611"/>
        <s v="FS1018-AGL-ZZ-ZZ-D-Z-9612"/>
        <s v="FS1018-AGL-ZZ-ZZ-D-Z-9613"/>
        <s v="FS1018-AGL-ZZ-ZZ-D-Z-9614"/>
        <s v="FS1018-AGL-ZZ-ZZ-G-E-6010"/>
        <s v="FS1018-AGL-ZZ-ZZ-G-E-6011"/>
        <s v="FS1018-AGL-ZZ-ZZ-G-E-6811"/>
        <s v="FS1018-AGL-ZZ-ZZ-G-M-5010"/>
        <s v="FS1018-AGL-ZZ-ZZ-G-M-5210"/>
        <s v="FS1018-AGL-ZZ-ZZ-G-M-5211"/>
        <s v="FS1018-AGL-ZZ-ZZ-G-M-5310"/>
        <s v="FS1018-AGL-ZZ-ZZ-G-M-5410"/>
        <s v="FS1018-AGL-ZZ-ZZ-G-M-5610"/>
        <s v="FS1018-AGL-ZZ-ZZ-G-M-5611"/>
        <s v="FS1018-AGL-ZZ-ZZ-G-M-5612"/>
        <s v="FS1018-AGL-ZZ-ZZ-G-M-5613"/>
        <s v="FS1018-AGL-ZZ-ZZ-G-M-5710"/>
        <s v="FS1018-AGL-ZZ-ZZ-G-M-5711"/>
        <s v="FS1018-AGL-ZZ-ZZ-G-M-5812"/>
        <s v="FS1018-AGL-ZZ-ZZ-M-Z-0001"/>
        <s v="FS1018-AGL-ZZ-ZZ-M-Z-0002"/>
        <s v="FS1018-AGL-ZZ-ZZ-M-Z-0003"/>
        <s v="FS1018-CPM-XX-XX-L-A-0001"/>
        <s v="FS1018-CPM-XX-XX-T-A-0005"/>
        <s v="FS1018-CPM-XX-XX-T-A-0010"/>
        <s v="FS1018-CPM-XX-XX-T-A-5001"/>
        <s v="FS1018-CPM-XX-XX-T-A-5002"/>
        <s v="FS1018-CPM-XX-XX-T-A-5003"/>
        <s v="FS1018-CPM-XX-ZZ-L-A-0000"/>
        <s v="FS1018-CPM-ZZ-00-D-A-2001"/>
        <s v="FS1018-CPM-ZZ-00-D-A-2142"/>
        <s v="FS1018-CPM-ZZ-00-D-A-2200"/>
        <s v="FS1018-CPM-ZZ-00-D-A-2900"/>
        <s v="FS1018-CPM-ZZ-00-D-A-3001"/>
        <s v="FS1018-CPM-ZZ-00-D-A-3050"/>
        <s v="FS1018-CPM-ZZ-00-D-A-3051"/>
        <s v="FS1018-CPM-ZZ-00-D-A-3052"/>
        <s v="FS1018-CPM-ZZ-00-D-A-3053"/>
        <s v="FS1018-CPM-ZZ-00-D-A-3054"/>
        <s v="FS1018-CPM-ZZ-00-D-A-3500"/>
        <s v="FS1018-CPM-ZZ-00-D-A-6807"/>
        <s v="FS1018-CPM-ZZ-00-D-A-6808"/>
        <s v="FS1018-CPM-ZZ-00-D-A-6809"/>
        <s v="FS1018-CPM-ZZ-00-D-A-6810"/>
        <s v="FS1018-CPM-ZZ-00-D-A-6811"/>
        <s v="FS1018-CPM-ZZ-00-D-A-6812"/>
        <s v="FS1018-CPM-ZZ-01-D-A-2002"/>
        <s v="FS1018-CPM-ZZ-01-D-A-2201"/>
        <s v="FS1018-CPM-ZZ-01-D-A-2250"/>
        <s v="FS1018-CPM-ZZ-01-D-A-2251"/>
        <s v="FS1018-CPM-ZZ-01-D-A-2901"/>
        <s v="FS1018-CPM-ZZ-01-D-A-3501"/>
        <s v="FS1018-CPM-ZZ-01-D-A-6800"/>
        <s v="FS1018-CPM-ZZ-02-D-A-2003"/>
        <s v="FS1018-CPM-ZZ-02-D-A-2202"/>
        <s v="FS1018-CPM-ZZ-02-D-A-2902"/>
        <s v="FS1018-CPM-ZZ-02-D-A-3502"/>
        <s v="FS1018-CPM-ZZ-RF-D-A-2023"/>
        <s v="FS1018-CPM-ZZ-RF-D-A-2144"/>
        <s v="FS1018-CPM-ZZ-RF-D-A-2145"/>
        <s v="FS1018-CPM-ZZ-RF-D-A-2903"/>
        <s v="FS1018-CPM-ZZ-RF-D-A-3100"/>
        <s v="FS1018-CPM-ZZ-RF-D-A-3101"/>
        <s v="FS1018-CPM-ZZ-XX-D-A-2146"/>
        <s v="FS1018-CPM-ZZ-XX-D-A-2210"/>
        <s v="FS1018-CPM-ZZ-XX-L-A-0020"/>
        <s v="FS1018-CPM-ZZ-ZZ-D-A-0050"/>
        <s v="FS1018-CPM-ZZ-ZZ-D-A-0051"/>
        <s v="FS1018-CPM-ZZ-ZZ-D-A-0052"/>
        <s v="FS1018-CPM-ZZ-ZZ-D-A-0053"/>
        <s v="FS1018-CPM-ZZ-ZZ-D-A-0054"/>
        <s v="FS1018-CPM-ZZ-ZZ-D-A-0060"/>
        <s v="FS1018-CPM-ZZ-ZZ-D-A-2001"/>
        <s v="FS1018-CPM-ZZ-ZZ-D-A-2002"/>
        <s v="FS1018-CPM-ZZ-ZZ-D-A-2010"/>
        <s v="FS1018-CPM-ZZ-ZZ-D-A-2011"/>
        <s v="FS1018-CPM-ZZ-ZZ-D-A-2012"/>
        <s v="FS1018-CPM-ZZ-ZZ-D-A-2025"/>
        <s v="FS1018-CPM-ZZ-ZZ-D-A-2031"/>
        <s v="FS1018-CPM-ZZ-ZZ-D-A-2032"/>
        <s v="FS1018-CPM-ZZ-ZZ-D-A-2040"/>
        <s v="FS1018-CPM-ZZ-ZZ-D-A-2140"/>
        <s v="FS1018-CPM-ZZ-ZZ-D-A-2141"/>
        <s v="FS1018-CPM-ZZ-ZZ-D-A-2143"/>
        <s v="FS1018-CPM-ZZ-ZZ-D-A-2144"/>
        <s v="FS1018-CPM-ZZ-ZZ-D-A-2401"/>
        <s v="FS1018-CPM-ZZ-ZZ-D-A-2402"/>
        <s v="FS1018-CPM-ZZ-ZZ-D-A-2403"/>
        <s v="FS1018-CPM-ZZ-ZZ-D-A-2404"/>
        <s v="FS1018-CPM-ZZ-ZZ-D-A-2405"/>
        <s v="FS1018-CPM-ZZ-ZZ-D-A-3002"/>
        <s v="FS1018-CPM-ZZ-ZZ-D-A-3010"/>
        <s v="FS1018-CPM-ZZ-ZZ-D-A-3011"/>
        <s v="FS1018-CPM-ZZ-ZZ-D-A-3020"/>
        <s v="FS1018-CPM-ZZ-ZZ-D-A-3021"/>
        <s v="FS1018-CPM-ZZ-ZZ-D-A-3055"/>
        <s v="FS1018-CPM-ZZ-ZZ-D-A-3062"/>
        <s v="FS1018-CPM-ZZ-ZZ-D-A-4001"/>
        <s v="FS1018-CPM-ZZ-ZZ-D-A-4004"/>
        <s v="FS1018-CPM-ZZ-ZZ-D-A-6601"/>
        <s v="FS1018-CPM-ZZ-ZZ-D-A-6801"/>
        <s v="FS1018-CPM-ZZ-ZZ-D-A-6802"/>
        <s v="FS1018-CPM-ZZ-ZZ-D-A-6803"/>
        <s v="FS1018-CPM-ZZ-ZZ-D-A-6804"/>
        <s v="FS1018-CPM-ZZ-ZZ-D-A-6805"/>
        <s v="FS1018-CPM-ZZ-ZZ-D-A-6806"/>
        <s v="FS1018-CPM-ZZ-ZZ-D-A-6813"/>
        <s v="FS1018-CPM-ZZ-ZZ-L-A-0001"/>
        <s v="FS1018-CPM-ZZ-ZZ-L-A-3060"/>
        <s v="FS1018-CPM-ZZ-ZZ-L-A-3061"/>
        <s v="FS1018-CPM-ZZ-ZZ-M-A-0002"/>
        <s v="FS1018-CPM-ZZ-ZZ-M-A-0003"/>
        <s v="FS1018-CPM-ZZ-ZZ-M-A-0004"/>
        <s v="FS1018-CPM-ZZ-ZZ-M-A-0005"/>
        <s v="FS1018-CPM-ZZ-ZZ-V-A-0001"/>
        <s v="FS1018-CPM-ZZ-ZZ-V-A-0002"/>
        <s v="FS1018-EVR-XX-XX-D-O-0001"/>
        <s v="FS1018-EVR-XX-XX-D-O-0002"/>
        <s v="FS1018-EVR-XX-XX-D-O-0003"/>
        <s v="FS1018-EVR-XX-XX-D-O-0004"/>
        <s v="FS1018-EVR-XX-XX-G-O-0001"/>
        <s v="FS1018-EVR-XX-XX-L-O-0001"/>
        <s v="FS1018-EVR-XX-XX-L-O-0002"/>
        <s v="FS1018-EVR-XX-XX-L-O-0003"/>
        <s v="FS1018-EVR-XX-XX-L-O-0004"/>
        <s v="FS1018-EVR-XX-XX-T-O-0002"/>
        <s v="FS1018-EVR-XX-XX-T-O-0004"/>
        <s v="FS1018-EVR-XX-XX-T-O-0005"/>
        <s v="FS1018-EVR-XX-XX-T-O-0006"/>
        <s v="FS1018-EVR-XX-XX-T-O-0007"/>
        <s v="FS1018-HBC-XX-XX-D-X-0001"/>
        <s v="FS1018-HBC-XX-XX-D-X-0003"/>
        <s v="FS1018-HBC-XX-XX-D-X-0004"/>
        <s v="FS1018-HBC-XX-XX-D-X-0005"/>
        <s v="FS1018-HBC-XX-XX-D-X-0006"/>
        <s v="FS1018-HBC-XX-XX-L-X-0001"/>
        <s v="FS1018-HBC-XX-XX-L-X-0003"/>
        <s v="FS1018-HBC-XX-XX-L-X-0004"/>
        <s v="FS1018-HBC-XX-XX-L-X-0005"/>
        <s v="FS1018-HBC-XX-XX-L-X-0006"/>
        <s v="FS1018-HBC-XX-XX-L-X-0007"/>
        <s v="FS1018-HBC-XX-XX-L-X-0008"/>
        <s v="FS1018-HBC-XX-XX-L-X-0009"/>
        <s v="FS1018-HBC-XX-XX-L-X-0010"/>
        <s v="FS1018-HBC-XX-XX-L-X-0011"/>
        <s v="FS1018-HBC-XX-XX-L-X-0012"/>
        <s v="FS1018-HBC-XX-XX-L-X-0013"/>
        <s v="FS1018-HBC-XX-XX-L-X-0014"/>
        <s v="FS1018-HBC-XX-XX-L-X-0016"/>
        <s v="FS1018-HBC-XX-XX-L-X-0018"/>
        <s v="FS1018-HBC-XX-XX-L-X-0019"/>
        <s v="FS1018-HBC-XX-XX-L-X-0020"/>
        <s v="FS1018-HBC-XX-XX-L-X-1001"/>
        <s v="FS1018-HBC-XX-XX-L-X-1002"/>
        <s v="FS1018-HBC-XX-XX-L-X-1003"/>
        <s v="FS1018-HBC-XX-XX-L-X-1004"/>
        <s v="FS1018-HBC-XX-XX-L-X-3000"/>
        <s v="FS1018-HBC-XX-XX-L-X-4000"/>
        <s v="FS1018-HBC-XX-XX-T-X-0001"/>
        <s v="FS1018-HBC-XX-XX-T-X-0012"/>
        <s v="FS1018-HBC-XX-XX-T-X-0024"/>
        <s v="FS1018-HBC-XX-XX-T-X-0025"/>
        <s v="FS1018-HBC-XX-XX-T-X-0026"/>
        <s v="FS1018-HBC-XX-XX-T-X-0027"/>
        <s v="FS1018-HBC-XX-XX-T-X-0028"/>
        <s v="FS1018-HBC-XX-XX-T-X-0029"/>
        <s v="FS1018-HBC-XX-XX-T-X-0030"/>
        <s v="FS1018-HBC-XX-XX-T-X-0031"/>
        <s v="FS1018-HBC-XX-XX-T-X-0033"/>
        <s v="FS1018-HBC-XX-XX-T-X-0034"/>
        <s v="FS1018-HBC-XX-XX-T-X-0035"/>
        <s v="FS1018-HBC-XX-XX-T-X-0036"/>
        <s v="FS1018-HBC-XX-XX-T-X-0037"/>
        <s v="FS1018-HBC-XX-XX-T-X-0038"/>
        <s v="FS1018-HBC-XX-XX-T-X-0039"/>
        <s v="FS1018-HBC-XX-XX-T-X-0040"/>
        <s v="FS1018-HBC-XX-XX-T-X-0042"/>
        <s v="FS1018-HBC-XX-XX-T-X-0043"/>
        <s v="FS1018-HBC-XX-XX-T-X-0044"/>
        <s v="FS1018-HBC-XX-XX-T-X-0045"/>
        <s v="FS1018-HEX-XX-XX-T-C-0004"/>
        <s v="FS1018-HEX-XX-XX-T-C-0010"/>
        <s v="FS1018-HEX-XX-XX-T-C-0011"/>
        <s v="FS1018-HEX-XX-XX-T-C-0012"/>
        <s v="FS1018-HEX-XX-XX-T-H-0001"/>
        <s v="FS1018-HEX-XX-XX-T-S-0003"/>
        <s v="FS1018-HEX-XX-XX-T-S-0004"/>
        <s v="FS1018-HEX-XX-XX-T-S-0005"/>
        <s v="FS1018-HEX-XX-XX-T-S-0006"/>
        <s v="FS1018-HEX-ZZ-00-D-S-0101"/>
        <s v="FS1018-HEX-ZZ-00-D-S-0102"/>
        <s v="FS1018-HEX-ZZ-00-D-S-0200"/>
        <s v="FS1018-HEX-ZZ-01-D-S-0201"/>
        <s v="FS1018-HEX-ZZ-02-D-S-0202"/>
        <s v="FS1018-HEX-ZZ-RF-D-S-0203"/>
        <s v="FS1018-HEX-ZZ-RF-D-S-0204"/>
        <s v="FS1018-HEX-ZZ-RF-D-S-0205"/>
        <s v="FS1018-HEX-ZZ-XX-D-S-0001"/>
        <s v="FS1018-HEX-ZZ-ZZ-D-C-5200"/>
        <s v="FS1018-HEX-ZZ-ZZ-D-C-5201"/>
        <s v="FS1018-HEX-ZZ-ZZ-D-C-5205"/>
        <s v="FS1018-HEX-ZZ-ZZ-D-C-5210"/>
        <s v="FS1018-HEX-ZZ-ZZ-D-C-5211"/>
        <s v="FS1018-HEX-ZZ-ZZ-D-C-9000"/>
        <s v="FS1018-HEX-ZZ-ZZ-D-C-9020"/>
        <s v="FS1018-HEX-ZZ-ZZ-D-C-9021"/>
        <s v="FS1018-HEX-ZZ-ZZ-D-C-9025"/>
        <s v="FS1018-HEX-ZZ-ZZ-D-S-0501"/>
        <s v="FS1018-HEX-ZZ-ZZ-D-S-0502"/>
        <s v="FS1018-HEX-ZZ-ZZ-D-S-0503"/>
        <s v="FS1018-HEX-ZZ-ZZ-D-S-0601"/>
        <s v="FS1018-HEX-ZZ-ZZ-D-S-0602"/>
        <s v="FS1018-HEX-ZZ-ZZ-D-S-0801"/>
        <s v="FS1018-HEX-ZZ-ZZ-M-C-0001"/>
        <s v="FS1018-HEX-ZZ-ZZ-M-C-0002"/>
        <s v="FS1018-HEX-ZZ-ZZ-M-C-0003"/>
        <s v="FS1018-HEX-ZZ-ZZ-M-S-0001"/>
        <s v="FS1018-HEX-ZZ-ZZ-M-S-0002"/>
        <s v="FS1018-HEX-ZZ-ZZ-M-S-0003"/>
        <s v="FS1018-HEX-ZZ-ZZ-T-C-0001"/>
        <s v="FS1018-MAJ-XX-XX-L-X-0090"/>
        <s v="FS1018-MAJ-XX-XX-L-X-8001"/>
        <s v="FS1018-MAJ-XX-XX-L-X-8002"/>
        <s v="FS1018-MAJ-XX-XX-T-X-0001"/>
        <s v="FS1018-MAJ-XX-XX-T-X-1001"/>
        <s v="FS1018-MAJ-ZZ-ZZ-M-X-0001"/>
        <s v="FS1018-OFR-XX-ZZ-G-K-0001"/>
        <s v="FS1018-ONE-XX-XX-T-L-0001"/>
        <s v="FS1018-ONE-XX-XX-T-L-0002"/>
        <s v="FS1018-ONE-XX-ZZ-D-L-0001"/>
        <s v="FS1018-ONE-XX-ZZ-D-L-0002"/>
        <s v="FS1018-ONE-XX-ZZ-D-L-0003"/>
        <s v="FS1018-ONE-XX-ZZ-D-L-0004"/>
        <s v="FS1018-ONE-XX-ZZ-D-L-0005"/>
        <s v="FS1018-ONE-XX-ZZ-D-L-0006"/>
        <s v="FS1018-ONE-XX-ZZ-D-L-0007"/>
        <s v="FS1018-ONE-XX-ZZ-D-L-0008"/>
        <s v="FS1018-ONE-XX-ZZ-D-L-0009"/>
        <s v="FS1018-ONE-XX-ZZ-D-L-0010"/>
        <s v="FS1018-ONE-XX-ZZ-D-L-0011"/>
        <s v="FS1018-ONE-XX-ZZ-D-L-0012"/>
        <s v="FS1018-ONE-XX-ZZ-D-L-0013"/>
        <s v="FS1018-ONE-XX-ZZ-D-L-0014"/>
        <s v="FS1018-ONE-XX-ZZ-D-L-0015"/>
        <s v="FS1018-ONE-XX-ZZ-D-L-0017"/>
        <s v="FS1018-ONE-XX-ZZ-D-L-0021"/>
        <s v="FS1018-ONE-XX-ZZ-D-L-0022"/>
        <s v="FS1018-ONE-XX-ZZ-D-L-0023"/>
        <s v="FS1018-ONE-XX-ZZ-D-L-0024"/>
        <s v="FS1018-ONE-XX-ZZ-D-L-0025"/>
        <s v="FS1018-ONE-XX-ZZ-D-L-0201"/>
        <s v="FS1018-ONE-XX-ZZ-D-L-0202"/>
        <s v="FS1018-ONE-XX-ZZ-D-L-0203"/>
        <s v="FS1018-ONE-XX-ZZ-D-L-0204"/>
        <s v="FS1018-ONE-XX-ZZ-D-L-0205"/>
        <s v="FS1018-ONE-XX-ZZ-D-L-0401"/>
        <s v="FS1018-ONE-XX-ZZ-D-L-0402"/>
        <s v="FS1018-ONE-XX-ZZ-D-L-0403"/>
        <s v="FS1018-ONE-XX-ZZ-D-L-0404"/>
        <s v="FS1018-ONE-XX-ZZ-D-L-0405"/>
        <s v="FS1018-ONE-XX-ZZ-D-L-0601"/>
        <s v="FS1018-ONE-XX-ZZ-D-L-0602"/>
        <s v="FS1018-ONE-XX-ZZ-D-L-0603"/>
        <s v="FS1018-ONE-ZZ-XX-T-L-0004"/>
        <s v="FS1018-ONE-ZZ-ZZ-M-L-0001"/>
        <s v="FS1018-ONE-ZZ-ZZ-M-L-0002"/>
        <s v="FS1018-ONE-ZZ-ZZ-M-L-0003"/>
        <s v="FS1018-PIN-XX-XX-L-O-0003"/>
        <s v="FS1018-PIN-ZZ-00-D-O-0001"/>
        <s v="FS1018-PIN-ZZ-00-D-O-0002"/>
        <s v="FS1018-PIN-ZZ-00-D-O-0006"/>
        <s v="FS1018-PIN-ZZ-00-D-O-0601"/>
        <s v="FS1018-PIN-ZZ-00-D-O-1109"/>
        <s v="FS1018-PIN-ZZ-00-D-O-1110"/>
        <s v="FS1018-PIN-ZZ-00-D-O-1111"/>
        <s v="FS1018-PIN-ZZ-00-D-O-1112"/>
        <s v="FS1018-PIN-ZZ-00-D-O-1113"/>
        <s v="FS1018-PIN-ZZ-00-D-O-1211"/>
        <s v="FS1018-PIN-ZZ-00-D-O-2001"/>
        <s v="FS1018-PIN-ZZ-00-D-O-2002"/>
        <s v="FS1018-PIN-ZZ-00-D-O-2003"/>
        <s v="FS1018-PIN-ZZ-00-D-O-3002"/>
        <s v="FS1018-PIN-ZZ-00-D-O-3004"/>
        <s v="FS1018-PIN-ZZ-00-D-O-4003"/>
        <s v="FS1018-PIN-ZZ-00-D-O-4004"/>
        <s v="FS1018-PIN-ZZ-00-D-O-4005"/>
        <s v="FS1018-PIN-ZZ-00-D-O-4006"/>
        <s v="FS1018-PIN-ZZ-00-D-O-4008"/>
        <s v="FS1018-PIN-ZZ-00-D-O-4009"/>
        <s v="FS1018-PIN-ZZ-00-D-O-4015"/>
        <s v="FS1018-PIN-ZZ-00-D-O-4018"/>
        <s v="FS1018-PIN-ZZ-00-D-O-5003"/>
        <s v="FS1018-PIN-ZZ-00-D-O-5007"/>
        <s v="FS1018-PIN-ZZ-00-D-O-5008"/>
        <s v="FS1018-PIN-ZZ-00-D-O-5009"/>
        <s v="FS1018-PIN-ZZ-00-D-O-5011"/>
        <s v="FS1018-PIN-ZZ-00-D-O-5013"/>
        <s v="FS1018-PIN-ZZ-00-D-O-5018"/>
        <s v="FS1018-PIN-ZZ-00-D-O-5019"/>
        <s v="FS1018-PIN-ZZ-00-D-O-5103"/>
        <s v="FS1018-PIN-ZZ-00-D-O-5109"/>
        <s v="FS1018-PIN-ZZ-00-D-O-5114"/>
        <s v="FS1018-PIN-ZZ-00-D-O-5117"/>
        <s v="FS1018-PIN-ZZ-00-D-O-6001"/>
        <s v="FS1018-PIN-ZZ-00-D-O-6002"/>
        <s v="FS1018-PIN-ZZ-00-D-O-6003"/>
        <s v="FS1018-PIN-ZZ-00-D-O-6004"/>
        <s v="FS1018-PIN-ZZ-00-D-O-6005"/>
        <s v="FS1018-PIN-ZZ-00-D-O-6006"/>
        <s v="FS1018-PIN-ZZ-00-D-O-6007"/>
        <s v="FS1018-PIN-ZZ-00-D-O-6008"/>
        <s v="FS1018-PIN-ZZ-00-D-O-6009"/>
        <s v="FS1018-PIN-ZZ-00-D-O-6011"/>
        <s v="FS1018-PIN-ZZ-00-D-O-6042"/>
        <s v="FS1018-PIN-ZZ-00-D-O-6069"/>
        <s v="FS1018-PIN-ZZ-00-D-O-7001"/>
        <s v="FS1018-PIN-ZZ-00-D-O-7003"/>
        <s v="FS1018-PIN-ZZ-00-D-O-7101"/>
        <s v="FS1018-PIN-ZZ-00-D-O-7201"/>
        <s v="FS1018-PIN-ZZ-00-D-O-7301"/>
        <s v="FS1018-PIN-ZZ-00-D-O-7401"/>
        <s v="FS1018-PIN-ZZ-00-D-O-7501"/>
        <s v="FS1018-PIN-ZZ-00-D-O-8001"/>
        <s v="FS1018-PIN-ZZ-00-D-O-8003"/>
        <s v="FS1018-PIN-ZZ-00-D-O-9001"/>
        <s v="FS1018-PIN-ZZ-00-D-O-9003"/>
        <s v="FS1018-PIN-ZZ-01-D-O-1000"/>
        <s v="FS1018-PIN-ZZ-01-D-O-1001"/>
        <s v="FS1018-PIN-ZZ-01-D-O-1002"/>
        <s v="FS1018-PIN-ZZ-01-D-O-1003"/>
        <s v="FS1018-PIN-ZZ-01-D-O-1004"/>
        <s v="FS1018-PIN-ZZ-01-D-O-1005"/>
        <s v="FS1018-PIN-ZZ-01-D-O-1006"/>
        <s v="FS1018-PIN-ZZ-01-D-O-1007"/>
        <s v="FS1018-PIN-ZZ-01-D-O-1008"/>
        <s v="FS1018-PIN-ZZ-01-D-O-1009"/>
        <s v="FS1018-PIN-ZZ-01-D-O-1021"/>
        <s v="FS1018-PIN-ZZ-01-D-O-1101"/>
        <s v="FS1018-PIN-ZZ-01-D-O-1102"/>
        <s v="FS1018-PIN-ZZ-01-D-O-1108"/>
        <s v="FS1018-PIN-ZZ-01-D-O-3006"/>
        <s v="FS1018-PIN-ZZ-01-D-O-3009"/>
        <s v="FS1018-PIN-ZZ-01-D-O-4002"/>
        <s v="FS1018-PIN-ZZ-01-D-O-4007"/>
        <s v="FS1018-PIN-ZZ-01-D-O-4012"/>
        <s v="FS1018-PIN-ZZ-01-D-O-4013"/>
        <s v="FS1018-PIN-ZZ-01-D-O-4016"/>
        <s v="FS1018-PIN-ZZ-01-D-O-4017"/>
        <s v="FS1018-PIN-ZZ-01-D-O-5006"/>
        <s v="FS1018-PIN-ZZ-01-D-O-5017"/>
        <s v="FS1018-PIN-ZZ-01-D-O-5104"/>
        <s v="FS1018-PIN-ZZ-01-D-O-5110"/>
        <s v="FS1018-PIN-ZZ-01-D-O-5111"/>
        <s v="FS1018-PIN-ZZ-01-D-O-5112"/>
        <s v="FS1018-PIN-ZZ-01-D-O-5113"/>
        <s v="FS1018-PIN-ZZ-01-D-O-5116"/>
        <s v="FS1018-PIN-ZZ-02-D-O-1010"/>
        <s v="FS1018-PIN-ZZ-02-D-O-1011"/>
        <s v="FS1018-PIN-ZZ-02-D-O-1012"/>
        <s v="FS1018-PIN-ZZ-02-D-O-1013"/>
        <s v="FS1018-PIN-ZZ-02-D-O-1014"/>
        <s v="FS1018-PIN-ZZ-02-D-O-1015"/>
        <s v="FS1018-PIN-ZZ-02-D-O-1016"/>
        <s v="FS1018-PIN-ZZ-02-D-O-1042"/>
        <s v="FS1018-PIN-ZZ-02-D-O-1103"/>
        <s v="FS1018-PIN-ZZ-02-D-O-1104"/>
        <s v="FS1018-PIN-ZZ-02-D-O-1105"/>
        <s v="FS1018-PIN-ZZ-02-D-O-1106"/>
        <s v="FS1018-PIN-ZZ-02-D-O-1107"/>
        <s v="FS1018-PIN-ZZ-02-D-O-2000"/>
        <s v="FS1018-PIN-ZZ-02-D-O-2042"/>
        <s v="FS1018-PIN-ZZ-02-D-O-3008"/>
        <s v="FS1018-PIN-ZZ-02-D-O-3042"/>
        <s v="FS1018-PIN-ZZ-02-D-O-4001"/>
        <s v="FS1018-PIN-ZZ-02-D-O-4014"/>
        <s v="FS1018-PIN-ZZ-02-D-O-5004"/>
        <s v="FS1018-PIN-ZZ-02-D-O-5005"/>
        <s v="FS1018-PIN-ZZ-02-D-O-5020"/>
        <s v="FS1018-PIN-ZZ-02-D-O-5102"/>
        <s v="FS1018-PIN-ZZ-02-D-O-5115"/>
        <s v="FS1018-PIN-ZZ-02-D-O-6113"/>
        <s v="FS1018-PIN-ZZ-02-D-O-7113"/>
        <s v="FS1018-PIN-ZZ-02-D-O-8113"/>
        <s v="FS1018-PIN-ZZ-02-D-O-9113"/>
        <s v="FS1018-PIN-ZZ-ZZ-L-O-0005"/>
        <s v="FS1018-PIN-ZZ-ZZ-L-O-0006"/>
        <s v="FS1018-PIN-ZZ-ZZ-L-O-0007"/>
        <s v="FS1018-PIN-ZZ-ZZ-M-O-0001"/>
        <s v="FS1018-PIN-ZZ-ZZ-M-O-0002"/>
        <s v="FS1018-PIN-ZZ-ZZ-M-O-0003"/>
        <s v="FS1018-PIN-ZZ-ZZ-M-O-0004"/>
        <s v="FS1018-PIN-ZZ-ZZ-M-O-0005"/>
        <s v="FS1018-PIN-ZZ-ZZ-M-O-0006"/>
      </sharedItems>
    </cacheField>
    <cacheField name="Title" numFmtId="0">
      <sharedItems/>
    </cacheField>
    <cacheField name="Revision" numFmtId="0">
      <sharedItems count="19">
        <s v="P02"/>
        <s v="P01"/>
        <s v="P04"/>
        <s v="P03"/>
        <s v="P15"/>
        <s v="P06"/>
        <s v="P09"/>
        <s v="P25"/>
        <s v="P17"/>
        <s v="P16"/>
        <s v="P05"/>
        <s v="P08"/>
        <s v="P07"/>
        <s v="P14"/>
        <s v="P11"/>
        <s v="P12" u="1"/>
        <s v="P10" u="1"/>
        <s v="S5-P01" u="1"/>
        <s v="-" u="1"/>
      </sharedItems>
    </cacheField>
    <cacheField name="Workflow Status" numFmtId="0">
      <sharedItems/>
    </cacheField>
    <cacheField name="Date In" numFmtId="14">
      <sharedItems containsSemiMixedTypes="0" containsNonDate="0" containsDate="1" containsString="0" minDate="2023-08-29T00:00:00" maxDate="2025-04-18T00:00:00" count="48">
        <d v="2025-03-13T00:00:00"/>
        <d v="2025-04-01T00:00:00"/>
        <d v="2025-03-14T00:00:00"/>
        <d v="2025-04-02T00:00:00"/>
        <d v="2025-04-07T00:00:00"/>
        <d v="2025-03-27T00:00:00"/>
        <d v="2025-04-04T00:00:00"/>
        <d v="2025-04-16T00:00:00"/>
        <d v="2025-04-03T00:00:00"/>
        <d v="2025-04-09T00:00:00"/>
        <d v="2025-03-26T00:00:00"/>
        <d v="2025-03-28T00:00:00"/>
        <d v="2025-04-10T00:00:00"/>
        <d v="2025-04-17T00:00:00"/>
        <d v="2025-03-25T00:00:00"/>
        <d v="2025-04-11T00:00:00"/>
        <d v="2025-03-31T00:00:00"/>
        <d v="2025-04-14T00:00:00"/>
        <d v="2025-03-19T00:00:00" u="1"/>
        <d v="2025-03-21T00:00:00" u="1"/>
        <d v="2023-09-06T00:00:00" u="1"/>
        <d v="2024-08-28T00:00:00" u="1"/>
        <d v="2024-08-08T00:00:00" u="1"/>
        <d v="2024-12-12T00:00:00" u="1"/>
        <d v="2024-08-29T00:00:00" u="1"/>
        <d v="2023-09-08T00:00:00" u="1"/>
        <d v="2023-10-18T00:00:00" u="1"/>
        <d v="2024-08-01T00:00:00" u="1"/>
        <d v="2023-09-22T00:00:00" u="1"/>
        <d v="2024-09-10T00:00:00" u="1"/>
        <d v="2023-09-12T00:00:00" u="1"/>
        <d v="2023-08-29T00:00:00" u="1"/>
        <d v="2023-08-30T00:00:00" u="1"/>
        <d v="2023-10-02T00:00:00" u="1"/>
        <d v="2023-10-03T00:00:00" u="1"/>
        <d v="2024-08-30T00:00:00" u="1"/>
        <d v="2023-10-11T00:00:00" u="1"/>
        <d v="2023-09-21T00:00:00" u="1"/>
        <d v="2023-09-07T00:00:00" u="1"/>
        <d v="2024-09-09T00:00:00" u="1"/>
        <d v="2024-09-06T00:00:00" u="1"/>
        <d v="2023-09-15T00:00:00" u="1"/>
        <d v="2023-11-08T00:00:00" u="1"/>
        <d v="2024-11-25T00:00:00" u="1"/>
        <d v="2025-03-22T00:00:00" u="1"/>
        <d v="2025-03-23T00:00:00" u="1"/>
        <d v="2024-12-09T00:00:00" u="1"/>
        <d v="2024-12-05T00:00:00" u="1"/>
      </sharedItems>
    </cacheField>
    <cacheField name="Step Name" numFmtId="0">
      <sharedItems count="20">
        <s v="DFE Review"/>
        <s v="Designer Response"/>
        <s v="DFE Review of Responses"/>
        <s v="Architectural Review" u="1"/>
        <s v="Client Review" u="1"/>
        <s v="Electrical Review" u="1"/>
        <s v="Mechanical Review" u="1"/>
        <s v="Multiple Discipline Review" u="1"/>
        <s v="CDM Review" u="1"/>
        <s v="Client / Contractor / BIM Review" u="1"/>
        <s v="Civil Review" u="1"/>
        <s v="ICT Review" u="1"/>
        <s v="TEST Review" u="1"/>
        <s v="Sustainability Review" u="1"/>
        <s v="Structural Review" u="1"/>
        <s v="Landscape Review" u="1"/>
        <s v="FFE Review" u="1"/>
        <s v="Step 1" u="1"/>
        <s v="Step 2" u="1"/>
        <s v="Step 3" u="1"/>
      </sharedItems>
    </cacheField>
    <cacheField name="Step Outcome" numFmtId="0">
      <sharedItems count="14">
        <s v="C - Rejected"/>
        <s v="Pending"/>
        <s v="A - Accepted"/>
        <s v="B - Partially Accepted with Comments"/>
        <s v="(HB Only) Comments Acknowledged"/>
        <s v="A3 - Accepted" u="1"/>
        <s v="B3 - Partially Accepted with Comments" u="1"/>
        <s v="A - Approved" u="1"/>
        <s v="B - Approved with Comments" u="1"/>
        <s v="Approved with Comments" u="1"/>
        <s v="Rejected" u="1"/>
        <s v="None" u="1"/>
        <s v="Approved" u="1"/>
        <s v="No Comments" u="1"/>
      </sharedItems>
    </cacheField>
    <cacheField name="Date of Comments" numFmtId="14">
      <sharedItems containsNonDate="0" containsDate="1" containsString="0" containsBlank="1" minDate="2023-08-30T00:00:00" maxDate="2025-04-18T00:00:00" count="34">
        <d v="2025-04-01T00:00:00"/>
        <m/>
        <d v="2025-04-02T00:00:00"/>
        <d v="2025-04-07T00:00:00"/>
        <d v="2025-03-27T00:00:00"/>
        <d v="2025-04-16T00:00:00"/>
        <d v="2025-04-04T00:00:00"/>
        <d v="2025-04-03T00:00:00"/>
        <d v="2025-03-19T00:00:00"/>
        <d v="2025-03-31T00:00:00"/>
        <d v="2025-04-10T00:00:00"/>
        <d v="2025-03-25T00:00:00"/>
        <d v="2025-03-28T00:00:00"/>
        <d v="2025-04-11T00:00:00"/>
        <d v="2025-04-14T00:00:00"/>
        <d v="2025-04-17T00:00:00"/>
        <d v="2025-03-21T00:00:00" u="1"/>
        <d v="2023-09-21T00:00:00" u="1"/>
        <d v="2025-01-12T00:00:00" u="1"/>
        <d v="2023-10-02T00:00:00" u="1"/>
        <d v="2023-09-29T00:00:00" u="1"/>
        <d v="2023-10-06T00:00:00" u="1"/>
        <d v="2023-09-25T00:00:00" u="1"/>
        <d v="2023-10-18T00:00:00" u="1"/>
        <d v="2023-09-26T00:00:00" u="1"/>
        <d v="2023-10-09T00:00:00" u="1"/>
        <d v="2023-08-30T00:00:00" u="1"/>
        <d v="2023-10-20T00:00:00" u="1"/>
        <d v="2024-09-09T00:00:00" u="1"/>
        <d v="2023-10-17T00:00:00" u="1"/>
        <d v="2024-08-12T00:00:00" u="1"/>
        <d v="2024-12-05T00:00:00" u="1"/>
        <d v="2025-03-23T00:00:00" u="1"/>
        <d v="2024-12-09T00:00:00" u="1"/>
      </sharedItems>
    </cacheField>
    <cacheField name="Comments" numFmtId="0">
      <sharedItems containsBlank="1" count="414" longText="1">
        <s v="4.1_x000d__x000a_Why is there no acoustic performance for the library partition alongside the corridor. The library door should have a 30dB acoustic rating in line with BB93._x000d__x000a_"/>
        <m/>
        <s v=" "/>
        <s v="4.1_x000d__x000a_Why is there no acoustic performance for the library partition alongside the corridor. The library door should have a 30dB acoustic rating in line with BB93."/>
        <s v="No further comments"/>
        <s v="Intake duct location not as shown in FS1018-AGL-ZZ-XX-D-E-9511_x000d__x000a_"/>
        <s v="Consider adding a general power outlet in the plantroom for maintenance and cleaning_x000d__x000a_"/>
        <s v="General and Emergency Lighting not shown for maintenace stair between gridlines A and B. Consider emergency light outside exit at gridline 3A/A and dishwash room._x000d__x000a_Additional Exit signage shown in Fire Stratergy Report FS1018-OFR-XX-ZZ-G-K-0001 Appendix B. In locations shown yellow in image below and Ground floor gridlines 3A/A, 5/E, 5/K1, 5/M1, 6A/W, 4A/S, 5/R and 6/R "/>
        <s v="1.Additional Exit signage shown in Fire Strategy Report FS1018-OFR-XX-ZZ-G-K-0001 Appendix B, in locations on Ground floor gridlines 3A/A, 5/E, 5/K1, 5/M1, 6A/W, 4A/S, 5/R and 6/R _x000d__x000a_2.Confirm if area of 01-1101 ICT Classroom 1 and 01-1102 ICT Classroom 2 is les than 60m (as emergency lighting required if over 60m)_x000d__x000a__x000d__x000a_"/>
        <s v="Additional Exit signage shown in Fire Strategy Report FS1018-OFR-XX-ZZ-G-K-0001 Appendix B, in locations on Ground floor gridlines 3A/A, 5/E, 5/K1, 5/M1, 6A/W, 4A/S, 5/R and 6/R _x000d__x000a_Emergency lighting for Rm 00-4015 OFF12 (as you have to go through this room to get to the inner room STN50)"/>
        <s v="Contractor to confirm that a fire detection devise is located within 1.5 m from the lift shaft opening_x000d__x000a_On activation of the first silent alarm how is the staff member informed in order to investigate and has this been confirmed with the fire engineer. _x000d__x000a_Interfaces 'GS' is not included in the acronyms_x000d__x000a_"/>
        <s v="Please confirm that the security, access control and CCTV are to be designed and commissioned by the specialist and the details on the drawing have been reviewed and agreed with the school head of security officer._x000d__x000a_External CCTV cameras to be IP rated"/>
        <s v="Details need to be updated with confirmed canopy sizes and direct reference to document containing full specification."/>
        <s v="1. Consider relocating gully out of Cold Room, hygiene perspective_x000a_2. Main kitchen, no drains for combi ovens indicated on the drawing; Are we waiting for final kitchen layouts?_x000a_3. Numerous areas where pipework clashes with furniture; How is this to be resolved?_x000a_4. No high level pipe falls referenced"/>
        <s v="1. Changing rooms indicate floor gully's, is this correct? No shower channels?_x000a_2. Numerous areas where pipework clashes with furniture; How is this to be resolved?_x000a_3. No high level pipe falls referenced_x000a_4. Can Condensate drains from HR007 / 008 &amp; HR009 / 010 join together and connect to one Hepvo waterless trap?"/>
        <s v="WHB waste branch run too long, consider connection into WC float"/>
        <s v="Minor comment - Food Rm  - are services to drop within wall or on the surface (Clash with basin)"/>
        <s v="1. Valving arrangement is hard to read- would suggest numbering the typical details and refer to that, or removing entirely. 2. Plantroom drawing reference missing. 3. Symbol missing from Legend. PICV? 4. Should detail actual valve arrangement for underfloor heating (PICV and strainer missing)"/>
        <s v="1. Symbol missing from Legend. PICV? 2. Should detail actual valve arrangement for underfloor heating (PICV and strainer missing)"/>
        <s v="1. Fire damper references are missing. 2. Comment that states 'Doesn't fit in CV' This should have been resolved at Stage 4. 3. Comment that states 'Fire damper requirements to be confirmed' This should be resolved at Stage 4. 4. Instances of intake and exhaust louvres being too close together. 5. Comment that states 'Coordination with ceiling to be resolved' This should have been resolved at Stage 4. 6. No access panels shown in ductwork for cleaning as per DW144"/>
        <s v="1. Fire damper references are missing. 2. Comment that states 'Doesn't fit in CV' This should have been resolved at Stage 4. 3. Instances of intake and exhaust louvres being too close together. 4. Review rationalising number of attenuators on extract ducts in changing rooms. 5. Comment that states 'Coordination with ceiling to be resolved' This should have been resolved at Stage 4. 6. No access panels shown in ductwork for cleaning as per DW144."/>
        <s v="1. Fire damper references are missing. 2. Instances of intake and exhaust louvres being too close together. 3. Comment that states 'louvre doesn't fit' Should be resolved at Stage 4. 4. No access panels shown in ductwork for cleaning as per DW144"/>
        <s v="1. Has leak detection been fitted on drip tray over MCP"/>
        <s v="Containment has a number of branches in each classroom that are not similar to other classroom containment layouts"/>
        <s v="Is the amount of small power in the classrooms for the strudents confirmed as acceptable, there seems to be a lot of cable tray compared to other layouts._x000d__x000a_"/>
        <s v="&quot;The 3No Comms racks have a mix of 16A and 32A supplies, please confirm this is correct._x000a_Is the amount of small power in the classrooms confirmed as acceptable, there seems to be a&quot;_x000a_"/>
        <s v="Confirm if stairs will be these own zone as Ground level."/>
        <s v="1. Numerous areas where pipework clashes with furniture; How is this to be resolved?_x000a_2. No high level pipe falls referenced_x000a_3. Waste traps from cleaners sinks are quite low, please confirm that it is able to connect into the common waste float"/>
        <s v="1. Numerous areas where pipework clashes with furniture; How is this to be resolved?_x000a_2. No high level pipe falls referenced"/>
        <s v="1. Rising 50 gas pipe in rm 01-1108 Art Rm clashing with furniture 01-6060c, this should be boxed in_x000a_2. Gas pipe passing through service riser 01-6060c, should this be pipe-in-pipe?"/>
        <s v="1. Valving arrangement is hard to read- would suggest numbering the typical details and refer to that, or removing entirely. 2. Symbol missing from Legend. PICV?"/>
        <s v="1. Comment that states 'Coordination with ceiling to be resolved' This should have been resolved at Stage 4. 2. GA clashes with legend- needs to be moved. 3. Confirm requirement of fire damper. 4. No access panels shown in ductwork for cleaning as per DW144."/>
        <s v="1. Comment that states 'Coordination with ceiling to be resolved' This should have been resolved at Stage 4. 2. Louvres are too close together. 3. Confirm no requirement for fire dampers. 4. No access panels shown in ductwork for cleaning as per DW144"/>
        <s v="PV Submain route goes through the protected stair, is there an alternative or  is this agreed?_x000a_"/>
        <s v="1. Numerous areas where pipework clashes with furniture; How is this to be resolved?_x000a_2. Science lab sinks - dilution traps or pots?"/>
        <s v="1. Pipework clashes with furniture; How is this to be resolved?_x000a_2. Waste traps from cleaners sinks are quite low, please confirm that it is able to connect into the common waste float"/>
        <s v="CO2 sensors are not indicated in rooms"/>
        <s v="1. Comment that states 'Coordination with ceiling to be resolved' This should have been resolved at Stage 4. 2. Confirm requirement of fire damper. 3. No access panels shown in ductwork for cleaning as per DW144."/>
        <s v="&quot;Cable contanment to Power supplies are not shown on a drawing, add note stating form of cable protection._x000a_Accronym list needs updating i.e. OD, HTU,LWH,GSV, EF,PSV etc&quot;_x000a_"/>
        <s v="Details need to be updated to be consistent with latest design document and associated calculations used in energy modelling."/>
        <s v="Contractor to confirm: No lighting under 2No of 3No PV Canopies and School Pitch and Games Court._x000a_External Luminaires are not in the luminaire schedule_x000a_From Stage 3 comments (Item 20) Contractors response was that no external lighting was provided outside those on the final exits, due to there not being designated muster points. Has this been confirmed as acceptable with the Fire Engineer/Building Control."/>
        <s v="Assemby Hall achieving 300lux rather than 500lux. Servery not achieving 300lux. _x000a_For Music Room and DT workshop, consider spacing the emergency lighting at edge rather than centre to improve the min emergency lighting level (currently under 0.5lux and 15lux)_x000a_In Stage 3 comments  (Item3) WSP asks for 200lux to lift as SLL code for lighting 200lux, confirm this has been calculated._x000a_"/>
        <s v="HWSR no flow rate indicated in calcs"/>
        <s v="Why N+1 for heating and 66% load per ASHP for DHW? (neither are incorrect). Should there be 7 units to provide N+1 according to your calculation? "/>
        <s v="AD01 flowrate does not match schematic"/>
        <s v="Flowrate does not match schematic"/>
        <s v="There are dampers missing that are shown on the layout but not on the schedule"/>
        <s v="&quot;Outstanding stage 3 comment_x000a_WSP Comment:BS5839-1 says fire alarm sounder should not be used for purposes other than warning of fire, unless the response required is identical to that required in the event of fire (i.e immediate evacuation by use of all escape routes). However, as an established exception, the fire alarm signal may be used in schools to indicate start or finish of predetermined periods. The duration of such signal should not exceed 5s. Please confirm if the PA system and  the class change system are independent of the fire alarm system._x000a_Responce: 'Discussions took place concerning the requirement of a class change system and the desired complexity involved regarding the PA system but no confirmation has been given. Current initial intention is to use the FA signal to indicate start or finish of classes, what is the schools desired preference?&quot;_x000a_"/>
        <s v="&quot;Outstanding Stage 3 comment_x000a_WSP Comment: Please confirm that the total power requirement for electric vehicle charging corresponds to the number of parking bays available on site. Check SoA for GIFA_x000a_Responce: Assumed total power requirement for electric vehicle charging was based off 14No. Parking Spots (including disabled) outside the front of the school. _x000a_WSP Current comment: there are currently 9no in the max demand, is this correct.&quot;_x000a_"/>
        <s v="1. Page 44. Number of ASHP contradicts schedule. 2. Page 51. Refers to DHW and not heating_x000d__x000a_3. Confirm ABS or MUPVC for small diameter waste pipes_x000d__x000a_4. Confirm if ABS or uPVC drainage stacks"/>
        <s v="1. Document number does not match what is in the report. 2. MVHR- has access/access panels been coordinated with architect? 3. Confirm the access, maintenance, and replacement strategy for lighting and smoke detection systems in the assembly halls and sports hall."/>
        <s v="Need to ensure consistency with Solar PV modelling and make clear if IES modelled output is used in compliance calculations. _x000a__x000a_Also need to update details to remove reference to Newcastle City Council - and ensure local planning guidance is accurate (as applicable to the current scheme)."/>
        <s v="1. Where is the condensate drainage pipework?"/>
        <s v="Breaker settings show allot of TBC._x000a_Please confirm that breaker to SB-02 (Way 25 on SB-01) discriminates with upstream device._x000a__x000a_"/>
        <s v="1. Remove stack vent detail_x000a_2. Relocate gully in Cold Room, hygiene perspective_x000a_3. Review cleaners sink waste connection; Cleaner sinks have low waste connections; Confirm that connection will connect to common waste float_x000a_4. There are single stub stacks with no top RE FW19_x000a_5. There are no Hepvo waterless traps indicated on the schematic for condensate drains.._x000a_6. Can condensate units HR007/0008 waste join together?_x000a_7. Can condensate units HR009/010 waste join together?"/>
        <s v="1. Remove stack vent detail_x000a_2. FG13 and add SH designation_x000a_3. Consider WHB 00-6018 &amp; 00-6042a waste pipes connecting into the WC common float; Length of waste run looks too far from stack."/>
        <s v="1. Level 00 gas entry, high and low level vent grilles, low level only indicated_x000a_2. No CO2 sensors indicated on the drawing"/>
        <s v="Appreciate flowrates, pipesizes etc are on the heating calculations document but would expect these to be on the schematic"/>
        <s v="CT HTG F&amp;R flowrates don't align"/>
        <s v="4.1_x000d__x000a_Please clarify why roof plant areas are included in the schedule. They are not internal spaces._x000d__x000a__x000d__x000a_4.2 _x000d__x000a_Proposed server room 2 is over area and the difference column has not been completed. Please clarify why this is over area._x000d__x000a__x000d__x000a_4.3_x000d__x000a_Please clarify why the assembly hall is over the briefed area by 36m2._x000d__x000a__x000d__x000a_4.4 _x000d__x000a_Please clarify why GIFA is substantially over the briefed area_x000d__x000a_"/>
        <s v="4.1_x000d__x000a_Please indicate the DfE finishes references next to each item e.g. floor finish type F6.1 etc_x000d__x000a__x000d__x000a_4.2_x000d__x000a_This document makes reference to an IKO hot melt roof waterproofing system to all roof areas but section drawings refer to a Bauder system. Which one is correct?_x000d__x000a__x000d__x000a_4.3_x000d__x000a_Please indicate proposed RAL colours where currently stated TBC_x000d__x000a__x000d__x000a_4.4_x000d__x000a_Flooring indicated for showers is not suitable and dos not meet requirements of Technical Annex 2D.  _x000d__x000a__x000d__x000a_4.5 _x000d__x000a_Floor finishes do not match those indicated on floor finishes plans. Please coordinate the information. _x000d__x000a__x000d__x000a_4.6_x000d__x000a_Drinking fountain type does not meet the requirements of the DfE Output Specification_x000d__x000a__x000d__x000a_4.7_x000d__x000a_Please confirm that all sanitaryware meets the requirements of Technical Annex 2A_x000d__x000a__x000d__x000a_4.8_x000d__x000a_Outline spec refers to concealed cisterns but accessible WCs are indicated as having exposed cisterns. Please clarify_x000d__x000a_"/>
        <s v="4.1 _x000d__x000a_Elevations refer to three brick colours yet outline spec only refers to 'stone-buff colour.' Actual brick types not specified_x000d__x000a__x000d__x000a_4.2_x000d__x000a_Outline spec refers to darker engineering brick beneath DPC level but this is not indicated on the elevation drawings. Is the spec or drawing correct?_x000d__x000a__x000d__x000a_4.3_x000d__x000a_Curtain walling spec refers to triple glazing yet this is not shown on any drawings. Is this correct?_x000d__x000a__x000d__x000a_4.4_x000d__x000a_Section 3.0 Roof. Please confirm that the roof spec meets the following requirement of Technical Annex 2C..._x000d__x000a_3.4.1 External surfaces of roofs shall be EU Class B roof (T4) to ENV 1187 Part 4: external fire exposure classification. _x000d__x000a__x000d__x000a_4.5_x000d__x000a_Section 4.3 Sanitary Cubicles. Please confirm that doors meet the requirements of Technical Annex 2A…_x000d__x000a_3.2.3 Inward opening doors shall be able to open outwards through use of an emergency_x000d__x000a_releasable door hinge or a lift-off facility to facilitate emergency assistance to someone who has fallen against the door inside the cubicle (blocking the door from opening). _x000d__x000a__x000d__x000a_4.6_x000d__x000a_Section 4.4 / 4.5. Please add a note to the outline spec to cover splashbacks to hand driers as per Technical Annex  2D 9.2."/>
        <s v="4.1_x000d__x000a_Section 1.07 community use plan diagram shows incorrect boundary of 'entrance zone_x000d__x000a__x000d__x000a_4.2_x000d__x000a_Section 6.04 shows 3d images of the main hall with lighting shown at what appears to be a low level not compliant with the minimum clear height requirements - please clarify._x000d__x000a__x000d__x000a_4.3_x000d__x000a_Section 6.06 - image 9 is a repeat of image 3._x000d__x000a__x000d__x000a_4.4_x000d__x000a_3D view in Section 8.03 shows mech vent clashing with glazing rather than meeting the louvred panel._x000d__x000a__x000d__x000a_4.5_x000d__x000a_section 9.01 'accessible facilities' refers to clear circulation widths that are not actually achieved._x000d__x000a_"/>
        <s v="4.1_x000d__x000a_Document will require updating once stage 4 comments are addressed to pick up various issues"/>
        <s v="See Clarification for FS1018-MAJ-XX-XX-T-X-8001-AssetRegister-P02, On issued address new QC report needs to be issued. Please ensure that the Quality Control (QC) shows the output status for each COBie output reporting against the design criteria specified by the COBie schema_x000d__x000a_"/>
        <s v="note: drawing comments outstanding from stage 3 are numbered 3.x._x000d__x000a_New Stage 4 comments are numbered 4.x._x000d__x000a__x000d__x000a_3.1_x000d__x000a_Review appropriateness of proposed kitchen layout and 4 spaces within. Locating them all to the north reduces the usable wall area for the kitchen layout. Also consider environmental health requirements for access to toilets an clean/dirty workstreams. Is it worth trying to cluster these uses either side of the external door?_x000d__x000a_...For example, to meet Food Hygiene Standards, a WC cannot be directly off food areas and therefore the WC needs to be separated off with an additional wall and door._x000d__x000a__x000d__x000a_4.1_x000d__x000a_Door to Food Prep Room 1 needs to move over to avoid door furniture clashing with the column boxing as shown_x000d__x000a__x000d__x000a_4.2_x000d__x000a_Lockers not required. Please remove from the drawings/ FF&amp;E._x000d__x000a__x000d__x000a_4.3_x000d__x000a_Double doors to reception/ waiting area are shown as dual swing and clashing with corridor circulation. Please change to single swing so that they do not risk hitting persons in the main corridor._x000d__x000a__x000d__x000a_4.4_x000d__x000a_Why are double doors to lobby 1 shown as dual swing? How does this work with the maglock/ access control strategy. We suggest changing to single swing open outwards._x000d__x000a__x000d__x000a_4.5_x000d__x000a_Please confirm why the main entrance draught lobby has been increased in size to give access to the reception desk rather than the main reception desk being accessed via the waiting area_x000d__x000a__x000d__x000a_4.6_x000d__x000a_Please confirm why interview room 2 is not accessed from the secure lobby/ waiting area _x000d__x000a__x000d__x000a_4.7_x000d__x000a_Please indicate the required 465mm diameter standing space clear of the door swing as required by Approved Document T_x000d__x000a__x000d__x000a_4.8_x000d__x000a_Partition between music practice room and the main corridor does not meet the requirements of the Acoustic Report_x000d__x000a__x000d__x000a_4.9_x000d__x000a_How is the Control Room space accommodated in the plan?_x000d__x000a__x000d__x000a_"/>
        <s v="4.1_x000d__x000a_Please include a key for the line types/ colours_x000d__x000a__x000d__x000a_4.2_x000d__x000a_Detail 1 annotates rockwool insulation at 125mm but there is a stray dimension of 100mm. Please correct_x000d__x000a__x000d__x000a_4.3_x000d__x000a_Detail 1 text refers to SFS but no SFS is drawn_x000d__x000a__x000d__x000a_4.4_x000d__x000a_Detail 2. Please clarify how the gas membrane is detailed at the perimeter of the building. &quot;_x000d__x000a__x000d__x000a_4.5_x000d__x000a_Detail 2. Structural drawings indicate a 250mm thick suspended RC slab yet this drawing indicates a slab thickness of on 205mm. Please coordinate a step in the slab to accommodate the sports floor if required._x000d__x000a__x000d__x000a_4.6_x000d__x000a_Detail 3. Curtain walling bottom transom and cill not detailed correctly_x000d__x000a_"/>
        <s v="4.1_x000d__x000a_Many of the wall type tags incorrectly annotate walls as having zero acoustic rating. _x000d__x000a__x000d__x000a_4.2_x000d__x000a_Partition between music practice room and the main corridor does not meet the requirements of the Acoustic Report_x000d__x000a_"/>
        <s v="4.1 _x000d__x000a_Please clarify the requirement for the fire exits to the sports hall internal store. Are these 2no. external doors required? They will be blocked by equipment most of the time. _x000d__x000a__x000d__x000a_4.2 _x000d__x000a_Please confirm that the required clear opening widths of final exit doors are actually achieved with the doors proposed. The openings look too small in many cases_x000d__x000a_"/>
        <s v="4.1 _x000d__x000a_Please confirm that the required clear opening widths of final exit doors are actually achieved with the doors proposed. The openings look too small in many cases._x000d__x000a_"/>
        <s v="4.1_x000d__x000a_The drawings do not indicate the correct method of measuring clear opening widths in accordance with diagram 9 of Part M volume 2_x000d__x000a_"/>
        <s v="4.1_x000d__x000a_The drawings do not indicate the correct method of measuring clear opening widths in accordance with diagram 9 of Part M volume 2"/>
        <s v="4.1_x000d__x000a_The drawings do not indicate the correct method of measuring clear opening widths in accordance with diagram 9 of Part M volume 2_x000d__x000a__x000d__x000a_4.2_x000d__x000a_Odd push plates shown to the double door"/>
        <s v="4.1_x000d__x000a_Drawing is difficult to read due to MEP items visible that should not be displayed in a reflected ceiling plan. Please amend for further review_x000d__x000a__x000d__x000a_4.2_x000d__x000a_Area of ceiling missing to gridline 3 around main entrance area_x000d__x000a__x000d__x000a_4.3_x000d__x000a_DT workshop ceiling rafts appear to clash with ceiling grid to the rear of the space_x000d__x000a__x000d__x000a_4.4_x000d__x000a_Key shows ceiling type C2.2 as blue hatch but the plan shows this as black. Please ensure the plan and the key correlate. Blue would be easier to see_x000d__x000a_"/>
        <s v="4.1_x000d__x000a_Drawing shows exposed pipework. Technical Annex 2D requires concealed or tamperproof. Please confirm proposals_x000d__x000a__x000d__x000a_4.2_x000d__x000a_Please confirm how the falls are achieved to the gulley. Drawing shows a completely flat floor_x000d__x000a__x000d__x000a_4.3_x000d__x000a_Please remove or correct the 'floor finishes plan' which currently provides no information on floor finishes_x000d__x000a_"/>
        <s v="4.1_x000d__x000a_Drawing shows exposed pipework. Technical Annex 2D requires concealed or tamperproof. Please confirm proposals_x000d__x000a__x000d__x000a_4.2_x000d__x000a_Please remove or correct the ceiling plan which is unreadable at the moment._x000d__x000a__x000d__x000a_4.3_x000d__x000a_Please remove or correct the 'floor finishes plan' which currently provides no information on floor finishes_x000d__x000a__x000d__x000a_4.4_x000d__x000a_Please indicate the required 465mm diameter standing space clear of the door swing as required by Approved Document  T _x000d__x000a__x000d__x000a_4.5_x000d__x000a_Wash hand basin heights do not meet the height stated in Table 2 of Technical Annex 2A_x000d__x000a_"/>
        <s v="4.1_x000d__x000a_Drawing shows exposed pipework. Technical Annex 2D requires concealed or tamperproof. Please confirm proposals_x000d__x000a__x000d__x000a_4.2_x000d__x000a_Please remove or correct the ceiling plan which is unreadable at the moment._x000d__x000a__x000d__x000a_4.3_x000d__x000a_Please remove or correct the 'floor finishes plan' which currently provides no information on floor finishes_x000d__x000a_"/>
        <s v="4.1_x000d__x000a_Drawing shows exposed pipework. Technical Annex 2D requires concealed or tamperproof. Please confirm proposals_x000d__x000a__x000d__x000a_4.2_x000d__x000a_Please remove or correct the ceiling plan which is unreadable at the moment._x000d__x000a__x000d__x000a_4.3_x000d__x000a_Please remove or correct the 'floor finishes plan' which currently provides no information on floor finishes_x000d__x000a__x000d__x000a_4.4_x000d__x000a_For WCs with doors opening inwards, please indicate the required 465mm diameter standing space clear of the door swing as required by Approved Document  T _x000d__x000a__x000d__x000a_4.5_x000d__x000a_please add dimensions to the changing room benching so that the numbers of changing spaces can be reviewed. _x000d__x000a__x000d__x000a_4.6_x000d__x000a_Shower drainage currently indicates point drains to every other shower cubicle. This does not comply with the Technical Annex 2F section 12.2.9.3._x000d__x000a__x000d__x000a_4.7_x000d__x000a_Drawings indicate that the shower cubicles are not full height. _x000d__x000a__x000d__x000a_4.8_x000d__x000a_Wash hand basin heights do not meet the height stated in Table 2 of Technical Annex 2A_x000d__x000a_"/>
        <s v="4.1_x000d__x000a_Drawing shows exposed pipework. Technical Annex 2D requires concealed or tamperproof. Please confirm proposals_x000d__x000a__x000d__x000a_4.2_x000d__x000a_Please confirm how the falls are achieved to the gulley. Drawing shows a completely flat floor_x000d__x000a__x000d__x000a_4.3_x000d__x000a_Please remove or correct the 'floor finishes plan' which currently provides no information on floor finishes_x000d__x000a__x000d__x000a_4.4_x000d__x000a_Please remove or correct the ceiling plan which is unreadable at the moment._x000d__x000a__x000d__x000a_4.5_x000d__x000a_Door requires a horizontal grab rail in accordance with diagram 23 of Part M._x000d__x000a_"/>
        <s v="4.1_x000d__x000a_Medical Room is accessed off another room which is poor for pupil privacy. Please review_x000d__x000a__x000d__x000a_4.2_x000d__x000a_Please indicate clear width of all corridor spaces including alongside the light wells. _x000d__x000a__x000d__x000a_4.3_x000d__x000a_Please remove lockers. These are not to be supplied_x000d__x000a__x000d__x000a_4.5_x000d__x000a_Please review location of outward opening door the the accessible WC as the clear width of the corridor must not be affected by the door swing. _x000d__x000a__x000d__x000a_4.6_x000d__x000a_Please revise the view depth of the plan view so that the hall and sports hall are not indicated at this level. _x000d__x000a__x000d__x000a_4.7_x000d__x000a_Please confirm occupancy of the meeting room. It is a very large room for only 6 seats._x000d__x000a__x000d__x000a_4.8_x000d__x000a_Façade setting out appears off as there is a thin section of brickwork alongside the window reveal to gridline S and 3_x000d__x000a__x000d__x000a_4.9_x000d__x000a_Door and FF&amp;E not coordinated to Cleaners Store 3_x000d__x000a__x000d__x000a_4.10_x000d__x000a_Please add up arrows to all staircases_x000d__x000a_"/>
        <s v="4.1_x000d__x000a_Many of the wall type tags incorrectly annotate walls as having zero acoustic rating.  _x000d__x000a_"/>
        <s v="4.1_x000d__x000a_How does this comply with the pattressing requirement stated in Technical Annex 2D 3.1.1.f"/>
        <s v="4.1_x000d__x000a_Patressing to elevation B misses the end of the wall mounted coat hooks"/>
        <s v="4.1_x000d__x000a_Please annotate the evacuation lift_x000d__x000a__x000d__x000a_4.2_x000d__x000a_Lift car appears much larger than the minimum required by GDB 2.14.3.11 a. Please clarify_x000d__x000a__x000d__x000a_4.3_x000d__x000a_How does the fire strategy deal with the escape past the ventilation voids?"/>
        <s v="4.1_x000d__x000a_Drawing is difficult to read due to MEP items visible that should not be displayed in a reflected ceiling plan. Please amend to allow further review_x000d__x000a__x000d__x000a_4.2_x000d__x000a_Along gridline 5, classroom ceiling rafts appear to clash with ceiling grid/ tiles._x000d__x000a__x000d__x000a_4.3_x000d__x000a_Key shows ceiling type C2.2 as blue hatch but the plan shows this as black. Please ensure the plan and the key correlate. Blue would be easier to see"/>
        <s v="4.1_x000d__x000a_Please remove or correct the ceiling plan which is unreadable at the moment._x000d__x000a__x000d__x000a_4.2_x000d__x000a_Please remove or correct the 'floor finishes plan' which currently provides to no information on floor finishes_x000d__x000a__x000d__x000a_4.3_x000d__x000a_Please indicate dimension to underside of ceiling rafts_x000d__x000a__x000d__x000a_4.4_x000d__x000a_3D view indicates an exposed vertical pipework drop that clashes with a desk&quot;_x000d__x000a_"/>
        <s v="4.1_x000d__x000a_Please remove the visible steelwork to the assembly hall and to the sports hall roof areas. Assembly hall steel shows uncoordinated openings to roof vents._x000d__x000a__x000d__x000a_4.2_x000d__x000a_Please indicate dimensions for clear width of corridors e.g. alongside the light wells and the appliance bay_x000d__x000a__x000d__x000a_4.3_x000d__x000a_For WCs, please indicate the required 465mm diameter standing space clear of the door swing as required by Approved Document T _x000d__x000a__x000d__x000a_4.4_x000d__x000a_Access to small group room looks very tight. Please review. Could the adjacent store be relocated to the alongside stair 4 at first floor level in a similar arrangement to the level 2 store alongside stairway 6._x000d__x000a_"/>
        <s v="4.1_x000d__x000a_Many of the wall type tags incorrectly annotate walls as having zero acoustic rating.  "/>
        <s v="4.1_x000d__x000a_Please annotate the evacuation lift_x000d__x000a__x000d__x000a_4.2_x000d__x000a_How does the fire strategy deal with the escape past the ventilation voids?_x000d__x000a_"/>
        <s v="4.1_x000d__x000a_Drawing is difficult to read due to MEP items visible that should not be displayed in a reflected ceiling plan. Please amend to allow further review_x000d__x000a__x000d__x000a_4.2_x000d__x000a_Classroom ceiling rafts appear to clash with ceiling grid/ tiles to the rear of each space._x000d__x000a__x000d__x000a_4.3_x000d__x000a_Key shows ceiling type C2.2 as blue hatch but the plan shows this as black. Please ensure the plan and the key correlate. Blue would be easier to see_x000d__x000a_"/>
        <s v="4.1_x000d__x000a_PV panels are not indicated to the full extent of where they could be accommodated. The roof needs to be optimised for PV panels before external canopies can be justified. _x000d__x000a__x000d__x000a_4.2_x000d__x000a_Gravel fire breaks are not shown. Please refer to Technical Annex 2C 3.2.10 (f). _x000d__x000a__x000d__x000a_4.3_x000d__x000a_Further details of the roof escape hatch are required to confirm compliance with Technical Annex 2C section 3.6._x000d__x000a_"/>
        <s v="4.1_x000d__x000a_Please add levels/ dimensions to all upstands and parapets_x000d__x000a__x000d__x000a_4.2_x000d__x000a_Details annotate 'levelling screed' to the roof - is this the correct type of screed to use on a sloping roof?_x000d__x000a__x000d__x000a_4.3_x000d__x000a_No indication of wall ties_x000d__x000a_"/>
        <s v="4.1_x000d__x000a_Details annotate 'levelling screed' to the roof - is this the correct type of screed to use on a sloping roof?_x000d__x000a__x000d__x000a_4.2_x000d__x000a_Drawing is marked as 'preliminary' - please clarify why this is included for stage 4 review_x000d__x000a_"/>
        <s v="4.1_x000d__x000a_Please annotate each fire exit _x000d__x000a__x000d__x000a_4.2_x000d__x000a_Are sounders and or flashing beacons proposed at roof level?_x000d__x000a__x000d__x000a_4.3_x000d__x000a_PV panels on drawing and in the Key are different_x000d__x000a__x000d__x000a_4.4_x000d__x000a_Please indicate the gate to barrier around the rooflight means of escape as per Technical Annex 2C section 3.6_x000d__x000a_"/>
        <s v="no comments"/>
        <s v="4.1_x000d__x000a_The key indicates that green dimensions are structural opening dimensions. For 1 and 2, how does the structure of each upstand work if the structure it outside of this as indicated i.e. how is the upstand structure supported"/>
        <s v="4.1_x000d__x000a_The annotation refers to 100mm Knauf Rocksil Rainscreen Slab insulation with 50mm cavity but different insulation is indicated on other drawings (125mm Rockwool Nyroc with 25mm cavity)_x000d__x000a__x000d__x000a_4.2_x000d__x000a_Section through lift shaft does not indicate a lift pit or over-run. Are these not required?&quot;_x000d__x000a_"/>
        <s v="4.1_x000d__x000a_Details 4, 8 and 10 show only 3 sides of column encased with BG Firecase. Does this detail provide the required fire protection for the steelwork?_x000d__x000a__x000d__x000a_4.2_x000d__x000a_Detail 4 is not detailed to mitigate sound transfer between rooms and goes against the guidance in diagram ADT 3567/SK1 of the Acoustic Report i.e. external wall linings cannot continue from one room to another as this allows noise transfer._x000d__x000a__x000d__x000a_4.3_x000d__x000a_Detail 3. How does single layer of mineral wall insulation to the SFS work around the cross bracing as shown?_x000d__x000a__x000d__x000a_4.4_x000d__x000a_Details 5 and 11. Does this detail provide the required fire protection for the steelwork?_x000d__x000a__x000d__x000a_4.5_x000d__x000a_Detail 9. Insulation clashing with cross bracing._x000d__x000a_"/>
        <s v="4.1_x000d__x000a_Difficult to comment as not all dimensions are noted on the GA plans but in some cases the clear width indicated on this drawing (indicated in the key) does not match the actual clear width dimension indicated on the GA plan."/>
        <s v="4.1_x000d__x000a_Main entrance automatic doors, as referred to in the Outline Spec, not referenced on this plan. Security strategy needs to note this._x000d__x000a__x000d__x000a_4.2_x000d__x000a_Access control is not shown to the double doors that lead from the main entrance waiting area into the main circulation corridor yet the two corridor doors are shown as having access control. Please clarify how the access control strategy allows visitors to wait in the waiting area without access to the corridor and the library. We suggest that the corridor access control is omitted and the access control required for the waiting area is added. _x000d__x000a__x000d__x000a_4.3_x000d__x000a_Doors that lead to roof access stairs and roof fire exit ladder are not shown as having a lock. _x000d__x000a_"/>
        <s v="4.1_x000d__x000a_Please indicate overall quantity of pupil WCs and overall quantity of staff WCs_x000d__x000a__x000d__x000a_4.2 _x000d__x000a_Some drawings indicate the staff WC opposite the sick bay as being an accessible WC but this drawing shows it as not being accessible. Which is correct?_x000d__x000a__x000d__x000a_4.3_x000d__x000a_The layouts do not appear to comply with the handing requirements of Part M 5.10c. Please review_x000d__x000a_"/>
        <s v="4.1_x000d__x000a_Hard standing area indicated around building perimeter is not actually provided on the landscape drawings_x000d__x000a__x000d__x000a_4.2_x000d__x000a_Please add a note to cover the maintenance strategy for non-accessible roof area over roof access stair_x000d__x000a__x000d__x000a_4.3_x000d__x000a_Please remove hatch to assembly hall and sports hall from the upper floors_x000d__x000a__x000d__x000a_4.4_x000d__x000a_Please list the kitchen fire shutter in section 4 of the scheduled tasks list_x000d__x000a_"/>
        <s v="3.1_x000d__x000a_How are smaller areas of roof proposed to be accessed, cleaned and maintained? Roofs to: LRC, Sports stores, entrance canopy_x000d__x000a__x000d__x000a_For example: roof over access stair. Please strategy for gutter and outlet inspection and cleaning, plus visual inspection of roof._x000d__x000a__x000d__x000a_3.2_x000d__x000a_Need to indicate access and clearances around roof plant / PV's, as well as travel distances_x000d__x000a_"/>
        <s v="3.3_x000d__x000a_Please show proposed parapet levels to AOD_x000d__x000a__x000d__x000a_4.1_x000d__x000a_Main hall appears to show lighting compromising the clear height of the hall_x000d__x000a__x000d__x000a_4.2_x000d__x000a_Sections incorrectly show the topography as completely flat and level with internal FFL. _x000d__x000a__x000d__x000a_4.3_x000d__x000a_Clear height requirement for sports hall is not achieved._x000d__x000a_"/>
        <s v="4.1_x000d__x000a_Main hall appears to show lighting compromising the clear height of the hall_x000d__x000a__x000d__x000a_4.2_x000d__x000a_Section incorrectly shows the topography as completely flat and level with internal FFL. _x000d__x000a__x000d__x000a_4.3_x000d__x000a_Clear height requirement for sports hall is not achieved._x000d__x000a_"/>
        <s v="3.1_x000d__x000a_Consider terminating curtain walling at half landing instead of running down to L00 level if this area under stair will be out of sight and inaccessible? Not best use of £ also consider robustness requirements of ER's (GDB and TA 2C)_x000d__x000a__x000d__x000a_4.1_x000d__x000a_are changing room doors proposed to be fully glazed? Consider the use of glazing film/ graphics/ signage to denote male and female changing rooms and also aid privacy_x000d__x000a__x000d__x000a_4.2_x000d__x000a_how is lighting over the main hall external doors going to be fixed to the glazing?&quot;_x000d__x000a__x000d__x000a_4.3_x000d__x000a_Louvred panels to window system have very mixed appearance potentially caused my a clash from the MEP model_x000d__x000a__x000d__x000a_4.4_x000d__x000a_No brickwork movement joints indicated._x000d__x000a__x000d__x000a_4.5_x000d__x000a_Are the glazed overpanels to sports hall store doors actually required? _x000d__x000a__x000d__x000a_"/>
        <s v="3.1_x000d__x000a_Consider terminating curtain walling at half landing instead of running down to L00 level if this area under stair will be out of sight and inaccessible? Not best use of £ also consider robustness requirements of ER's (GDB and TA 2C)_x000d__x000a__x000d__x000a_4.1_x000d__x000a_are changing room doors proposed to be fully glazed? Consider the use of glazing film/ graphics/ signage to denote male and female changing rooms and also aid privacy_x000d__x000a__x000d__x000a_4.2_x000d__x000a_how is lighting over the main hall external doors going to be fixed to the glazing?_x000d__x000a__x000d__x000a_4.3_x000d__x000a_Louvred panels to window system have very mixed appearance potentially caused my a clash from the MEP model_x000d__x000a__x000d__x000a_4.4_x000d__x000a_No brickwork movement joints indicated._x000d__x000a__x000d__x000a_4.5_x000d__x000a_Are the glazed overpanels to sports hall store doors actually required? &quot;_x000d__x000a_"/>
        <s v="3.1_x000d__x000a_Is signage on canopy sufficiently sized and contrasting for the person on the ground looking upwards? _x000d__x000a__x000d__x000a_4.1_x000d__x000a_Louvred panels to window system have very mixed appearance potentially caused my a clash from the MEP model_x000d__x000a__x000d__x000a_4.2_x000d__x000a_how is lighting over the main entrance external doors going to be fixed to the glazing?_x000d__x000a__x000d__x000a_4.3_x000d__x000a_No brickwork movement joints indicated._x000d__x000a_"/>
        <s v="4.1_x000d__x000a_Please indicate the working at height/ falls hazard of high level maintenance in hall spaces_x000d__x000a_"/>
        <s v="4.1_x000d__x000a_Lighting to main hall is too low and impacts on the clear height requirement_x000d__x000a__x000d__x000a_"/>
        <s v="4.1_x000d__x000a_PV panels shown different in some views. Some are shown north facing._x000d__x000a__x000d__x000a_4.2_x000d__x000a_Principal Entrance image shows ductwork clashing with louvred panels and lighting fixed to glass over main entrance doors._x000d__x000a_"/>
        <s v="4.1_x000d__x000a_Access control required to waiting area door to corridor but not likely to be required to the two sets of double doors within the corridor. Please clarify/ revise_x000d__x000a__x000d__x000a_4.2_x000d__x000a_Exam office and exam store shown on incorrect lock suite_x000d__x000a_"/>
        <s v="3.1_x000d__x000a_Detail 2 (section B-B): Is there barrier matting here? _x000d__x000a__x000d__x000a_3.2_x000d__x000a_Are top hung opening light's automated? Or teleflex?_x000d__x000a__x000d__x000a_4.1_x000d__x000a_Section A-A shows top hung window in ceiling void_x000d__x000a__x000d__x000a_4.2_x000d__x000a_Levelling screed is not correct type of screed to lay on a sloping roof_x000d__x000a__x000d__x000a_4.3_x000d__x000a_Section B-B shows double glazed curtain walling but specification refers to trip glazing._x000d__x000a__x000d__x000a_4.4_x000d__x000a_Section B-B annotates 'recessed concrete slab' to accommodate spring floor build up but this is not shown on the Structural Engineers information. Please coordinate_x000d__x000a__x000d__x000a_4.5_x000d__x000a_Levels not indicated for parapets_x000d__x000a__x000d__x000a_4.6_x000d__x000a_No mention of wall ties for brickwork outer leaf_x000d__x000a_"/>
        <s v="4.1_x000d__x000a_Does this height of brickwork require a shelf angle/ masonry support angle?_x000d__x000a__x000d__x000a_4.2_x000d__x000a_No mention of wall ties for brickwork outer leaf_x000d__x000a__x000d__x000a_4.3_x000d__x000a_Section shows a recess in the ground floor slab rather than a stepped slab. Neither a recess or a stepped slab are shown in the Structural Engineers information. "/>
        <s v="4.1_x000d__x000a_How is fire protection to the steelwork achieved?_x000d__x000a_"/>
        <s v="4.1_x000d__x000a_Please confirm that the curtain walling system achieves the actual clear opening width required for the final exit"/>
        <s v="4.1_x000d__x000a_bottom landing for roof access stair is less than the stair width. Does this meet Part K requirements"/>
        <s v="4.1_x000d__x000a_How are the exposed steel beams and the back of the curtain walling spandrel panels proposed to be finished? "/>
        <s v="4.1_x000d__x000a_How are the exposed steel beams and the back of the curtain walling spandrel panels proposed to be finished?_x000d__x000a__x000d__x000a_4.2_x000d__x000a_How are the handrails supported alongside the curtain walling?_x000d__x000a__x000d__x000a__x000d__x000a_"/>
        <s v="4.1_x000d__x000a_Some door types have structural opening widths and or heights that are not brick dimensions. How does this work?"/>
        <s v="4.1_x000d__x000a_Curtain wall B has a structural opening height that is not a brick dim. How does this work?"/>
        <s v="4.1_x000d__x000a_Curtain wall E has a structural opening height and width that is not a brick dim. How does this work?"/>
        <s v="4.1_x000d__x000a_Is window type 04 actually used? The schedule suggests not_x000d__x000a__x000d__x000a_4.2_x000d__x000a_Is window type 03 clear glazing for the server room? Does this create unwanted solar gain and potential overheating issues?_x000d__x000a__x000d__x000a_4.3_x000d__x000a_Schedule for window type 5 is off the page_x000d__x000a__x000d__x000a_4.4_x000d__x000a_Cill heights in schedules refer to 900mm but there is a stray red dimension of 1050mm that is noted as 'sill height' - is this actually the glazing height. Please clarify_x000d__x000a__x000d__x000a_4.5_x000d__x000a_Do high level opening windows have a teleflex?_x000d__x000a_"/>
        <s v="4.1_x000d__x000a_Please clarify the design intent for glazed screen type 06? What it’s the purpose of this and how does it work with the servery fire shutter?_x000d__x000a__x000d__x000a_4.2_x000d__x000a_What are the fire and acoustic requirements?_x000d__x000a_"/>
        <s v="4.1_x000d__x000a_The drawings do not indicated the correct method of measuring clear opening widths in accordance with diagram 9 of Part M volume 2"/>
        <s v="4.1_x000d__x000a_Structural opening dimensions are not all brick dims. How does this work?"/>
        <s v="4.1 _x000d__x000a_Please specify wall finishes for the spaces currently noted as 'contractor to specify'_x000d__x000a__x000d__x000a_4.2_x000d__x000a_Please clarify the proposal for wall finish type W3.2. The key refers to a brush applied finish but also refers to a 'Hygenik H Panel' and an eggshell paint finish_x000d__x000a__x000d__x000a_4.3_x000d__x000a_Please clarify the proposed finishes to the hygiene room and the changing rooms/ showers. The key refers to ceramic tiling to showers but does not define the extent_x000d__x000a__x000d__x000a_4.4_x000d__x000a_Does the catering kitchen/ food prep room comply with Technical Annex 2D paragraph 9.1.23_x000d__x000a__x000d__x000a_4.5_x000d__x000a_Please add a key to explain the blue dashed lines. If these are to denote splashbacks, please confirm that they meet Technical Annex 2D section 9.2. _x000d__x000a__x000d__x000a_4.6_x000d__x000a_Please include proposals for wall finishes to the corridor light wells. The wall finishes would need to match the corridors but the plans currently just state 'n/a'_x000d__x000a__x000d__x000a_4.7_x000d__x000a_Sports hall acoustic wall finishes appear to measure 2400mm in height and are set 2400mm from FFL. Please clarify that this follows the recommendations of the acoustician as the Acoustic Strategy Report refers to perforated panels from FFL up to 3000mm height. _x000d__x000a__x000d__x000a_4.8_x000d__x000a_Both the wall types and wall finishes plans do not show how the exam store complies with JCQ requirements for security measures. Please refer to GDB 2.3.19.2_x000d__x000a_"/>
        <s v="4.1_x000d__x000a_Please confirm the proposals for floor type F6.1 i.e. timber or vinyl  top surface/ A3 or A4 area elastic rating/ product and thickness_x000d__x000a__x000d__x000a_4.2_x000d__x000a_Please confirm the proposals for floor type F6.2h i.e. timber or vinyl  top surface/ A3 or A4 area elastic rating/ product and thickness_x000d__x000a__x000d__x000a_4.3_x000d__x000a_Please confirm proposals for the flooring currently noted as 'contractor to specify'_x000d__x000a__x000d__x000a_4.4_x000d__x000a_Please clarify the proposals for floor type F7.3h noting that the text currently in the key would result in non-compliant flooring to the changing rooms/ showers_x000d__x000a__x000d__x000a_4.5_x000d__x000a_Please confirm proposals for the flooring currently noted as 'contractor to specify'_x000d__x000a__x000d__x000a_4.6_x000d__x000a_Please remove the colour from the roof areas, MEP risers and light wells as this is misleading _x000d__x000a__x000d__x000a_4.7_x000d__x000a_Please clarify the proposals for skirting. This drawings states pencil round skirting but External Wall details show chamfered. _x000d__x000a__x000d__x000a_4.8_x000d__x000a_Please confirm floor finishes proposals for the lift and stairs. _x000d__x000a__x000d__x000a_4.9_x000d__x000a_Please confirm how and why the floor finish works to the 'control room' within the bleacher seating area_x000d__x000a__x000d__x000a_4.10_x000d__x000a_Please confirm how the two areas are barrier matting are incorporated in the assembly hall floor finish_x000d__x000a__x000d__x000a_4.11_x000d__x000a_Please add barrier matting to the 2no. external doors to the stair cores at ground floor level_x000d__x000a__x000d__x000a_4.12_x000d__x000a_Please confirm product proposed for barrier matting_x000d__x000a__x000d__x000a_4.13_x000d__x000a_Please review rooms where there is a transition in floor finish i.e. pastoral room and SENCo office at first floor level, staff work room at second floor level and ground floor premises office and proposed one floor finish. To be raised as a derogation to be agreed._x000d__x000a_"/>
        <s v="4.1_x000d__x000a_Lift car is oversized compared to the DfE minimum size required by GDB 2.14.3.11 a. Please clarify_x000d__x000a__x000d__x000a_4.2_x000d__x000a_Is a lift over-run required?_x000d__x000a__x000d__x000a_4.3_x000d__x000a_Is the liftshaft blockwork actually being design by a specialist subcontractor as noted on the drawing?_x000d__x000a__x000d__x000a_4.4_x000d__x000a_Is the lift shaft blockwork actually constructed off the screed as drawn?_x000d__x000a__x000d__x000a_4.5_x000d__x000a_Are two forms of waterproofing proposed for the lift pit? To achieve a Grade 3 environment_x000d__x000a__x000d__x000a_4.6_x000d__x000a_The 'ground edge details' indicate a gas membrane. How is the detailed around the lift pit?_x000d__x000a_"/>
        <s v="4.1_x000d__x000a_Please remove or correct the ceiling plan which is unreadable at the moment._x000d__x000a__x000d__x000a_4.2_x000d__x000a_Please remove or correct the 'floor finishes plan' which currently provides to no information on floor finishes_x000d__x000a__x000d__x000a_4.3_x000d__x000a_Lighting indicated in the 3d image is too low and conflicts with the minimum clear height requirement_x000d__x000a__x000d__x000a_4.4_x000d__x000a_Please clarify how access to the lighting and audio controls unit can be accessed. Looks like it is not accessible both when the bleacher seating is in use and also when the bleacher seating is not in use._x000d__x000a_"/>
        <s v="4.1_x000d__x000a_Lighting to main hall is too low and impacts on the clear height requirement_x000d__x000a__x000d__x000a_4.2_x000d__x000a_Exposed pipework along gridline 6A_x000d__x000a__x000d__x000a_4.3_x000d__x000a_How is the air curtain unit fixed. Can this be coordinated with the exposed steelwork so that the air curtains have something to fix to, the pipework could be boxed out and the steelwork hidden on the outside with a spandrel in the curtain walling_x000d__x000a__x000d__x000a_4.4_x000d__x000a_Radiator positions appear to clash with bleacher seating"/>
        <s v="4.1_x000d__x000a_Please add dimensions to the court markings setting out_x000d__x000a__x000d__x000a_4.2_x000d__x000a_Please indicate the location of the rooflights on the ceiling plan and annotate the items _x000d__x000a__x000d__x000a_4.3_x000d__x000a_Is the sports hall lighting over the badminton courts rather than in between the courts_x000d__x000a__x000d__x000a_4.4_x000d__x000a_In reality will the cricket nets clash with the basketball back board as drawn?_x000d__x000a_"/>
        <s v="4.1_x000d__x000a_Floor finishes plan provides no information on floor finishes. Is this drawing required being as there is a separate floor finishes plan intended to provide information on floor finishes?_x000d__x000a__x000d__x000a_4.2_x000d__x000a_3D view indicates clash between dividing curtain and what looks like containment / cable tray._x000d__x000a_"/>
        <s v="4.1 _x000d__x000a_Please add a key for the location of each section._x000d__x000a__x000d__x000a_4.2_x000d__x000a_Please move section 3 so that each room elevation displays properly. This appears to show the cricket nets on gridline S. Fire exit doors on gridline Y are not visible. _x000d__x000a__x000d__x000a_4.3_x000d__x000a_The drawing indicates clash between dividing curtain and what looks like containment / cable tray._x000d__x000a__x000d__x000a_4.4_x000d__x000a_Section 4. Can the first floor glazed screen line up with the door below?_x000d__x000a__x000d__x000a_4.5_x000d__x000a_Clear sports hall height of 7500mm has not been achieved. Currently obstructed by steelwork and MEP_x000d__x000a_"/>
        <s v="4.1_x000d__x000a_Please mark the elevations on the plan&quot;_x000d__x000a__x000d__x000a_4.2_x000d__x000a_How does the panelling work around doors? No doors are indicated_x000d__x000a__x000d__x000a_4.3_x000d__x000a_Extent of acoustic panels does not match the acoustic report recommendations_x000d__x000a_"/>
        <s v="4.1_x000d__x000a_Floor finishes plan provides no information on floor finishes. Is this drawing required being as there is a separate floor finishes plan intended to provide information on floor finishes?_x000d__x000a__x000d__x000a_4.2 _x000d__x000a_Please indicate the required 465mm diameter standing space clear of the door swing as required by Approved Document T _x000d__x000a__x000d__x000a_4.3_x000d__x000a_Drawings appear to show 2no. hand dryers per WC. One at high level_x000d__x000a__x000d__x000a_4.4_x000d__x000a_Reflected ceiling plan is not readable_x000d__x000a__x000d__x000a_4.5_x000d__x000a_Wash hand basin heights do not meet the height stated in Table 2 of Technical Annex 2A_x000d__x000a_"/>
        <s v="4.1_x000d__x000a_The report identifies 560 pages of clashes but contains no information on the proposed remediation or 'owners' of each clash."/>
        <s v="4.1_x000d__x000a_Schedule goes off the page. Is part of it missing?_x000d__x000a__x000d__x000a_4.2_x000d__x000a_Please clarify the difference between the ratings and performance_x000d__x000a_"/>
        <s v="4.1_x000d__x000a_Please clarify why some doors are noted as requiring a 30min fire rating and 30dB acoustic rating_x000d__x000a__x000d__x000a_4.2_x000d__x000a_Structural opening dimensions are not all brick dims. How does this work?_x000d__x000a__x000d__x000a_"/>
        <s v="Not all disciplines models have been intergratd into the Federated Model (catering &amp; Civil) "/>
        <s v="4.1_x000d__x000a_Various comments picked up elsewhere in the drawings pack. For example, hall lighting clashes with clear height requirements, odd pushplates to some doors, some pinboards clashing with dado trunking, ceiling rafts clashing with ceiling grid."/>
        <s v="this document shows the correct car park layouts for this phase. therefore can FS1018-HBC-XX-XX-D-X-0001 be removed?"/>
        <s v="Standard milestone PCSA payment schedule."/>
        <s v="Construction cashflow included."/>
        <s v="A1 Cost summary sheet. The sums entered do not match nor total correctly. The whole schedule needs to be reviewed by contractor and QA correctly."/>
        <s v="Details need updating throughout to reflect current design proposal."/>
        <s v="D1 3. Geo-Environmental notes groundwater risk - drainage design is sealed/lined to prevent groundwater ingress and will not therefore not reduce groundwater around the structure. Geotechnical input required._x000d__x000a_D2 4. No flooding information provided as part of this submission - condition, water levels within watercourse, overland flow routes. Risk of back flow when water level in culvert is high._x000d__x000a_D3. 5. Status of Internal Drainage Board (IDB) approval to be confirmed as it will affect the design requirements._x000d__x000a_D4 5. Works are proposed within 9m of the watercourse culvert. Constructability risk that will need to be managed and agreed with IDB - Foundation and drainage installation. Pre and post construction survey of the culvert may be necessary_x000d__x000a_D5 5. It has been noted that additional survey is required to determine existing drains, condition and levels. At this stage we would expect survey works to be complete especially for location and levels of outfalls._x000d__x000a_D6 6. It has been noted that additional design may be necessary following engagement with IDB and flow rates are yet to be agreed. Therefore the Stage 4 Technical Design is not complete._x000d__x000a_D7 6. Specialist manufacturer design is still required for storage tanks. Proposed tank depth does not reflect manufacturer storage units, shallow depth of cover, flotation risk and proximity to structure are all risks to be managed within the storage tank design._x000d__x000a_D8 7. Foul design is yet to be agreed with Anglian Water, location and levels to be confirmed_x000d__x000a_D9 9. Has a timeline for outstanding surveys, design and approvals been agreed? Extent of survey, repairs to existing network, specialist design, conditions/redesign are significant risks._x000d__x000a_D10 Information available does not include:_x000d__x000a_hydraulic analysis results_x000d__x000a_treatment strategy_x000d__x000a_Emergy shutoff and containment in the eventof a fire ot pollution event to protect downstream watercourse._x000d__x000a_profiles_x000d__x000a_connection details_x000d__x000a_specialist design elements - linear drains, storage tank"/>
        <s v="Consider adding approvals, additional requirements from IDB, surcharged outfall, pollution control/emergency shutoff and remaining design/reliance on specialist designers"/>
        <s v="1. Geotextile and geomembrane specification requirements and testing to be confirmed._x000d__x000a_2. Confirm if non-return and emergency shutoff valves are required._x000d__x000a_3. Confirm any specialist drainage signage required._x000d__x000a_4. Specialist design requirements may need to be included when available."/>
        <s v="Please refer to comments at the end of the uploaded file."/>
        <s v="Please review in light of other comments."/>
        <s v="Typical design intent for column base plates/ HD arrangement must be shown in section and plan for each column type and for columns at the separation joint._x000d__x000a_Some beam levels in staircase still to be confirmed._x000d__x000a_Overall lateral stability strategy is not clear qualitatively. Lost of bracing is concentrated in the sports hall but very few braced bays in the main building. Vertical braces not doubled up along the separation joint on GL - D1/E. In the sports hall there is a significant amount of glazed elevation but no bracing - are any connections that are intended to be moment resisting?"/>
        <s v="Please review in light of other comments, particularly overall stability/bracing, separation joints/ movement joints etc. Is there an intention for a separation joint along GL - S?"/>
        <s v="Piling Notes - Reference to precast piles?_x000d__x000a_Piling Notes - Piling Specification appears incomplete - Provide a full Project Specification covering all relevant aspects from Section B1 of ICESPERW_x000d__x000a_Piling Notes - Is 500mm anchorage sufficient? What bar diameter is this to be?_x000d__x000a_Structural Steelwork Notes - Project Specification should be reviewed against NSSS Section Checklists and all relevant items included._x000d__x000a_Structural Steelwork Notes - Connection loads not available_x000d__x000a_Structural Masonry Notes - typical indicative details for masonry should be included on drawings to supplement these notes."/>
        <s v="1. Due to the size and shape of tank there is a risk of ponding within the tank. Designer and Manufacturer to consider fall across the tank so it can drain out._x000d__x000a_2. Tank Depth of cover = 0.73 could be difficult to get a manufacturers design as they generally specify 0.9 - 1.2m minimum._x000d__x000a_3. clash and constructability risk between building and storage tank_x000d__x000a_4. Potential constructibility risks within and adjacent to IDB maintenance strip to be considered - piling, drainage, plant movement, vibration and loading adjacent to culvert_x000d__x000a_5. Outfall connection - Confirm downstream pipe size, may require access point (SSG) rather than a saddle connection to existing._x000d__x000a_6. As surface water drainage is sealed to prevent ingress from groundwater. Can we confirm that this has been communicated and taken into account for the structure design. Geotech and Structures to confirm._x000d__x000a_7. Acute angle &lt;90deg between incoming and outgoing pipes._x000d__x000a_8. Terminology could be confusing - is Private proposed or an existing asset belonging to others?"/>
        <s v="See comments for sheet FS1018-HEX-ZZ-ZZ-D-C-5200"/>
        <s v="1. Depth, size and gradient of underfloor pipes to be confirmed to ensure there is no clash with foundation and chamber connections can be achieved. Groundwater risk to pipe connections_x000d__x000a_2. Gully connection to FW1a has shallow cover which may affect performance and constructability_x000d__x000a_3. Outfall location, levels and condition will need to be confirmed to prove connection._x000d__x000a_4. Legend - Existing SW sewer linetype scale is not clear._x000d__x000a_5. Terminology could be confusing - is Private proposed or an existing asset belonging to others?"/>
        <s v="1. Details refer to SFA 7th Edition rather than SSG._x000d__x000a_2. orifice plate - size, material, thickness and connection requirements required._x000d__x000a_3. text missing from orifice chamber detail._x000d__x000a_4. wrapping filter drains with impermeable membrane will prevent water in/out. if the aim is to prevent ingress/infiltration then it should state 'trench to be lined with impermeable membrane to prevent ingress of groundwater'. _x000d__x000a_5. Extent of geotextile is not clear._x000d__x000a_Geotextile will be required between sand and aggregate._x000d__x000a_6. Surface water plans appear to show dry swales (TBC) A detail will be required._x000d__x000a_"/>
        <s v="1. storage crate units are typically 400 - 500mm high which doesn't fit with 0.74m depth of tank._x000d__x000a_2. Catchpit - Additional details required: Brick, mortar, steps._x000d__x000a_Are weep pipes proposed for draining lower trench bedding?_x000d__x000a_3. Swale comments:_x000d__x000a_Swale side slope should be shown as 1:3 Max._x000d__x000a_A dry swale detail is required?_x000d__x000a_Is there a max water depth, freeboard or base width? Longitudinal slopes TBC_x000d__x000a_Liner and geotextile not clear due to line thickness, scale and adjacent hatching._x000d__x000a_4. Additional details may be required such as rodding eye, RWP connection, linear drain outlet and siphonic break chamber."/>
        <s v="Permeable block paving - consider nominal fall across geomembrane to ensure water doesn't become perched."/>
        <s v="Detail of roof build-up and framing of roof lights and vents not available._x000d__x000a_Some vertical members shown in blue on Section - 3-3, what are these?_x000d__x000a_Does the main roof rafter not need any stays/restraints in uplift? No details available."/>
        <s v="Please review in light of other comments, particularly overall stability/bracing, separation joints/ movement joints etc. Is there an intention for a separation joint along GL - S?_x000d__x000a_Tying of hollow core to steelwork - can 4x slots be formed in a 200 the hollo core slab?_x000d__x000a_The bearing of hollow core slab on beams appears small - confirm bearing length._x000d__x000a_Due to chamfer of hollo core slabs has the potential of hollow core shearing off been considered in the temporary stage?_x000d__x000a_No detail for precast staircase foundation and its connection._x000d__x000a_No details of any barriers/handrails etc._x000d__x000a_Design intent of masonry supports/curtain walling not clear with the details presented._x000d__x000a_Notes re Co-ordination TBC should be removed at this stage._x000d__x000a_Tall parapets - no connection intent detail available._x000d__x000a_What type of connections are intended generally - no details available._x000d__x000a_Detail through riser beam - open section used - has this beam been designed for torsion. The bearing plate outstand appears large - has this been adequately designed?_x000d__x000a_Potential of instability with hollow core planks in construction stage should be added as a residual CDM risk on all relevant drawings._x000d__x000a_No CDM design risk register available._x000d__x000a_Has precambered effect on dead/screed loads been considered?_x000d__x000a_No vertical and plan bracing connection intent provided."/>
        <s v="Issued on Splash sheet as S3, please ensure when it's issued for Acceptance it's in S5 status. Miss Alignment of model in splash sheet_x000d__x000a_"/>
        <s v="Issued on Splash sheet as S1 for coordination, please ensure when it's issued for Acceptance it's in S5 status_x000d__x000a_"/>
        <s v="Drainage Notes:_x000d__x000a_13. No protection slab detail provided_x000d__x000a_14. three week appication for Section 106 is a programme and approval risk. Survey and design to be completed prior to application_x000d__x000a_16. BS EN 295 current standard is 2013. Confirm strength for pipes 150 - 300 as the requirement appears to be 48kN/m_x000d__x000a_Pavement - Geotechnical and pavement risks appear to be passed on to site. Cost, programme risk and responsibility TBC_x000d__x000a_Pavement Notes:_x000d__x000a_4. Geotechnical and pavement risks appear to be passed on to site. Cost, programme risk and responsibility TBC_x000d__x000a_5. Should there be an instruction here for testing results to be provided, timescale and design updated accordingly._x000d__x000a_6. Works decisions being passed on to site which could bypass the design and review process, Who makes the determination and who takes responsibility?_x000d__x000a_Kerbing notes:_x000d__x000a_Spelling to be checked to reduce confusion."/>
        <s v="Does not indicated  when the information is to be exchanged and with whom; and which task team is responsible for its production. As per  ISO 19650‑2:2018 5.4.2 _x000d__x000a_"/>
        <s v="Ensure the colours of the columns used in the 05_Alphanumerical_COBieFields and refer to PIS for naming conventions _x000d__x000a_Facility Tab - Created by NumberOfStoreys &amp; UPRN marked as N/A require details. _x000d__x000a_Floor - Please Correct Name floor convention from 00 to Level 00 _x000d__x000a_Space -  Name -naming convention is incorrect - See PIS 5.2.5 Space Nomenclature for correct naming convention. Created by, Category , Floor Name, _x000d__x000a_Zone - Created by , Space name incorrect , _x000d__x000a_Type -  Created by , Category, description, asset type, NominalLength, NominalWidth, NominalHeight ,PredefinedType incorrect _x000d__x000a_Component - Name , Created by ,Space, InstallationDate, WarrantyStartDatein correct _x000d__x000a_System -  Name , Category ,ComponentNames,Description _x000d__x000a__x000d__x000a__x000d__x000a_"/>
        <s v="AllDiscipline Models need to listed in the BEP_x000d__x000a_All Federated models and models incorprated in Federated model needs to be listed in BEP_x000d__x000a_ALL MIDP and TIDP 's need to be listed in BEP_x000d__x000a_9.6 Classification - Update as per PIS 4.5.1 Asset Classification_x000d__x000a_9.10 Maximum File Size - please update BIM file sizes as many of the models are larger than 300MB_x000d__x000a_9.11 Volume and model division - 9.11 Volume and model division _x000d__x000a_10.4 Volume Code (Field 3)  - Building Volume code as per Project Information Standard 5.1.4 Functional Breakdown Codes_x000d__x000a_11.1 COBie Workbooks Required  - Add Instruction Workbook required_x000d__x000a_11.6 COBie Data Zones and Zoning Naming - not matching the Project information standards 5.2.6 Zone Nomenclature_x000d__x000a__x000d__x000a_"/>
        <s v="Report needs to be done against models issued with submission. Report submitted on older revision of models_x000d__x000a_"/>
        <s v="Arch,MEP, FFE not matching IFC iisued. Also not listed on BEP so can't confirm namign conventions. See Asset register lcarifications for COBie data issues Landscape model trees misaligned _x000d__x000a_"/>
        <s v="1. In Section 5 of the fire strategy, add the justification of the services riser being located within 'Stair 2' within 'Table 6', for the attention of building control._x000a_2. (Table 15) Has the fire service been consulted with regards to the requirements needed for the load bearing capacity of the roads for the fire vehicle used to attend the site in an emergency? As it will affect the civil engineer's design."/>
        <s v="OFR Response:_x000d__x000a_1. Section 5 - Fire Strategy (Table 6)_x000d__x000a_The service riser is located within the lobby rather than within Stair 2. As this design aligns with standard guidance, it does not constitute a deviation and therefore is not included in Table 6._x000d__x000a__x000d__x000a_OFR Response:_x000d__x000a_2. Table 15 - Fire Service Access_x000d__x000a_Response: OFR has outlined the design expectations for fire vehicle access, including load-bearing capacity and dimensional requirements, as detailed in Table 15. These specifications should be adopted by the civil engineer to ensure compliance._x000d__x000a__x000d__x000a_HEXA Civil Engineer response:_x000d__x000a_2. Table 15-Fire Service Access_x000d__x000a_The fire tender access to the site was considered in the development of the pavement build-ups, and as such the build-ups in the areas that anticipate access by a fire tender has been designed accordingly."/>
        <s v="The document does not have the level of detail expected at RIBA stage 4, please provide full specifications for each of the items listed, i.e. for the litter bin, please provide the make and model, the fixings to be used and confirmation of the colour.  "/>
        <s v="3.1_x000d__x000a_please indicate the proposals for the existing storage container_x000d__x000a_3.2_x000d__x000a_awaiting proposals for location of kerb-side refuse store_x000d__x000a_4.1_x000d__x000a_Areas of landscaping to the perimeter of the building clash with the hardstanding area noted on the architectural drawings required for maintenance of the building. _x000d__x000a_4.2  Please change the colour for the proposed trees vs existing trees, as mentioned many times, it is difficult to tell the difference._x000d__x000a_4.3  Please confirm the status of the tree in the most northern swale, in the TCA car park, as it has a red dotted line to imply that it is being removed but it is also green, which implies it is new – this can not occur as it would be over a drainage pipe._x000d__x000a_4.4  Tree over drainage pipe adjacent to parking space 129._x000d__x000a_4.5  Please coordinate the drainage plan with the landscaping plans as there are a number of swales on the eastern side of the building which are either shown at different sizes, or not shown at all.  Example south of parking bay 16 to the top of the turning head._x000d__x000a_4.6  The drainage plan implies that there will be a swale adjacent to the rear of the dining terrace, please confirm if this is correct._x000d__x000a_4.7  Please be consistent with fence line colouring. Also, please clarify where the 2.4m high fencing is proposed_x000d__x000a__x000d__x000a__x000d__x000a__x000d__x000a_"/>
        <s v="3.1_x000d__x000a_please indicate the proposals for the existing storage container_x000d__x000a_3.2_x000d__x000a_awaiting proposals for location of kerb-side refuse store_x000d__x000a_&quot;4.1_x000d__x000a_Areas of landscaping to the perimeter of the building clash with the hardstanding area noted on the architectural drawings required for maintenance of the building. &quot;_x000d__x000a_&quot;4.2_x000d__x000a_Please indicate the gate swing of the existing site access gates. It looks like the proposed pedestrian crossings will clash with the gates when in the open position. &quot;_x000d__x000a_&quot;4.3_x000d__x000a_Do the refuse collection strategy and the catering delivery require a dropped kerb alongside the service bay to allow for wheeled bins and deliveries trolleys?&quot;_x000d__x000a_4.4  Please check the level indicator arrows on the pedestrian path from Weasenham Lane._x000d__x000a_4.5  Please confirm what the blue bubble to the west of the dining terrace is for?_x000d__x000a__x000d__x000a_"/>
        <s v="&quot;3.1_x000d__x000a_please indicate the proposals for the existing storage container&quot;_x000d__x000a_&quot;3.2_x000d__x000a_awaiting proposals for location of kerb-sied refuse store&quot;_x000d__x000a_&quot;4.1_x000d__x000a_Please clarify what the hatched area is to the left of the existing storage container&quot;_x000d__x000a_"/>
        <s v="&quot;3.1_x000d__x000a_please indicate the proposals for the existing storage container&quot;_x000d__x000a_&quot;4.1_x000d__x000a_Areas of landscaping to the perimeter of the building clash with the hardstanding area noted on the architectural drawings required for maintenance of the building. &quot;_x000d__x000a_&quot;4.2_x000d__x000a_Please clarify what the hatched area is to the left of the existing storage container&quot;_x000d__x000a_4.3  Please confirm what the blue bubble to the west of the building is for?_x000d__x000a_"/>
        <s v="&quot;4.1_x000d__x000a_SuDs area is simply coloured and labelled as SuDs in the key. Please indicate the proposals?&quot;_x000d__x000a_4.2. Please confirm if root protection is actually required for all of the trees on the south east boundary._x000d__x000a_4.3. Please review the colouration of the EV charging parking bays as they appear to be shown as Existing Permeable Concrete Block Retained, which is not correct._x000d__x000a_"/>
        <s v="&quot;4.1_x000d__x000a_SuDs area is simply coloured and labelled as SuDs in the key. Please indicate the proposals?&quot;_x000d__x000a_&quot;4.2_x000d__x000a_Please indicate the fence proposals around the sub-station&quot;_x000d__x000a_"/>
        <s v="&quot;4.1_x000d__x000a_Please indicate the fence proposals around the sub-station&quot;_x000d__x000a_"/>
        <s v="&quot;4.1_x000d__x000a_What is the strategy for providing access and parking for the sub-station?_x000d__x000a_How is this compliant with GDB 2.8.1.14 and raise as a derogation if necessary&quot;_x000d__x000a_&quot;4.2_x000d__x000a_Please add white lining for an additional crossing lining up with northernmost accessible parking bay and running east to the parking space to the eastern run of parking bays.&quot;_x000d__x000a_"/>
        <s v="&quot;4.1_x000d__x000a_Please indicate the access points for both TCA and WFS for accessing any shared sports provision&quot;_x000d__x000a_"/>
        <s v="Need to confirm if green roof is being included or not and extent of it soo that UGF calculation is complete."/>
        <s v="&quot;4.1_x000d__x000a_Please indicate the red line boundary along with the area within the red line boundary.&quot;_x000d__x000a_&quot;4.2_x000d__x000a_Please indicate the historic figures for comparison i.e. control option/ stage 3&quot;_x000d__x000a_"/>
        <s v="&quot;4.1_x000d__x000a_Are there no construction related risks with sharing site access with the temporary school?&quot;_x000d__x000a_&quot;4.2_x000d__x000a_Are there no hazards relating to enabling works/ highways works for section 1.0?&quot;_x000d__x000a_"/>
        <s v="&quot;4.1_x000d__x000a_extent of hard landscaping does not match up with the architectural information - specifically please coordinate the hard standing to the building perimeter for maintenance access.&quot;_x000d__x000a_4.2 Further coordination needed with Portakabin regarding the parking area for Wisbech Free School._x000d__x000a_"/>
        <s v="&quot;4.1_x000d__x000a_unable to access the information via Aconex&quot;_x000d__x000a_&quot;4.2_x000d__x000a_Pedestrian crossings near entrance gates, tactile paving and dropped kerbs are incorrectly shown as areas with no work. &quot;_x000d__x000a_"/>
        <s v="&quot;4.1_x000d__x000a_Soft landscaping clashes with the hard standing zone for maintenance access to the building perimeter shown on the architectural drawings&quot;_x000d__x000a_4.2 Please coordinate the drainage plan with the landscaping plans as there are a number of swales on the eastern side of the building which are either shown at different sizes, or not shown at all.  Example south of parking bay 16 to the top of the turning head._x000d__x000a_"/>
        <s v="&quot;4.1_x000d__x000a_How is the habitat area defined in terms of planting?&quot;_x000d__x000a_"/>
        <s v="&quot;4.1_x000d__x000a_Soft landscaping clashes with the hard standing zone for maintenance access to the building perimeter shown on the architectural drawings&quot;_x000d__x000a_"/>
        <s v="4.1  Shrubs should not be planted in the swale to the north of the TCA car park._x000d__x000a_"/>
        <s v="&quot;4.1_x000d__x000a_Please indicate levels proposals for the swale&quot;_x000d__x000a_"/>
        <s v="&quot;4.1_x000d__x000a_Section 2 has the curved part of the canopy structure missing&quot;_x000d__x000a_"/>
        <s v="4.1 Lack of information on the foundation detail._x000d__x000a_"/>
        <s v="&quot;4.1_x000d__x000a_Please indicate the type of timber cladding proposed&quot;_x000d__x000a_"/>
        <s v="1.Update based on review comments. _x000d__x000a_"/>
        <s v="1. Can a detailed drawing of the reception hatch reception be provided?"/>
        <s v="1.Spur shelving 2 tier racking, impeding access to external double doors._x000d__x000a_2.Hand wash station should be closer to external doors. _x000d__x000a_3.Can the office area be accessed or form part of the off dry store to reduce number of doors and free up walls/dead space in kitchen area._x000d__x000a_4.Door swing to cold room is missing of drawing._x000d__x000a_5. What is the servery and hot/cold provision sufficient for number of pupils moving through? &quot;"/>
        <s v="1.Only space for 14 keyboards allowed, should this be 15? Could the store room door be moved toward window to allow for an additional keyboard._x000d__x000a_2. 2.Can the DDA desk to be one of the desks that face the whiteboard?"/>
        <s v="1.Is there sufficient circulation space between machines and desks._x000d__x000a_2. Please add dimensions to all equipment_x000d__x000a_3. Can the desk layout be better utilised, perhaps rotating the desks 45 degrees so pupils don’t have their back to the whiteboard. With the DDA desk better located near the whiteboard and the teacher not with their back to one of the benches?"/>
        <s v="1. Can the desk be moved to the end and rotated to face the whiteboard, with another circulation for access?_x000d__x000a_2.Can the handwash be moved from behind the door?_x000d__x000a_3.Can an extra sink be included here?_x000d__x000a_4. These sections are not reflective of the floor plan"/>
        <s v="1.The classroom does not accommodate the 28 pupils as per the school request."/>
        <s v="1.Can the DDA desk be moved to face the whiteboard, with enough circulation space to access?"/>
        <s v="1. Is the DDA kitchen compliant with prep space required next to the hob area -600mm? _x000d__x000a_2. The DDA desk is not near the DDA kitchen, can this be relocated?_x000d__x000a_3. Does the hand sink need to be directly behind the door, can this be switched with coat hooks?_x000d__x000a_4. Currently there is central cluster of 3x hobs with no sinks, can these be better distributed?"/>
        <s v="Seating capacity is listed as 138 but shows seating for 144._x000a__x000a_As all pupils need to be seating for lunch, please indicate how this is achieved within the lunch time period and the current seating provided. If more tables are required, can this be accommodated?"/>
        <s v="1.Please update the store room layout to current layout provided."/>
        <s v="1.Please demonstrate the SOA capacity in the drawing?_x000a_2. Can the refrigerated servery units be relocated when not in use?_x000a_3.Where are the chairs being stored when not in use, not shown in drawings?"/>
        <s v="1.Can the floor swing be flipped and the door be moved to the right to improve circulation in the space?"/>
        <s v="1.Is there potential to switch seating and desk area, to avoid glare from the the window?"/>
        <s v="1.Can more space be provided to the desks at the reception desk , taken from the row behind?"/>
        <s v="Rejected, due to concerns raised around the arrangement of the secure line, furniture layout may need to be change."/>
        <s v="One of the walls is missing from the drawing, please can you update so that it is clear."/>
        <s v="Appreciate the trust has specifically removed these._x000d__x000a_Please indicate on each locker drawing the location of the lockers and quantity of lockers that could be provided in that area if later required, with the overall number of lockers also listed for reference. "/>
        <s v="Update title to cleaners store 1_x000d__x000a_"/>
        <s v="Update title to cleaners store 4 _x000d__x000a_"/>
        <s v="1.Has a noticeboard been provided (BOA001)_x000d__x000a_2. The refrigerated servery are located away from he canteen.Is there an agreed plan of how pupils queue and move through the canteen space._x000d__x000a_3.Are 3x tills required and should two of the tills sit back to back to provide better circulation, there is a column in front of the first till. _x000d__x000a__x000d__x000a_"/>
        <s v="1.Can the office area be accessed or form part of the off dry store to reduce number of doors and free up walls/dead space in kitchen area."/>
        <s v="SOA is 2.5m2 however door to freezer reduces useable space _x000d__x000a__x000d__x000a_"/>
        <s v="Incorrect drawing. Needs updating to reflect new design. _x000d__x000a_"/>
        <s v="1. Toilet should be separate from the changing area, _x000d__x000a_2.The COSHH cabinet should be located elsewhere._x000d__x000a__x000d__x000a_"/>
        <s v="1.Update GA to reflect _x000d__x000a_2. Does the occupancy allow for 38 pupils as per the SOA. It appears only 33 have been allowed for. It appears there is sufficent space to add extra benching to come closer to the SOA requirement of 38._x000d__x000a_3. Can circulation space be dimensioned including shower area to enable us to review?_x000d__x000a_"/>
        <s v="Commented on separate drawings. Please revise. "/>
        <s v="Can the door better be located to improve circulation space, due to location of tills?_x000d__x000a_This comment forms part of multiple other comments around the kitchen layout and design. _x000d__x000a_"/>
        <s v="Isolators required for full height fridges, as isolation not accessible"/>
        <s v="1. No section lines for elevations_x000a_2. There is no drinking water, cold water is from a boosted cold water system, see AGL drawings_x000a_3. Service drops to whb on grid line 3A / B are in correct refer to AGL water / drainage drawings_x000a_4. Misspelling of tundish_x000a_5. Supply to to water boiler  on AGL drawings indicate 15 and no 22_x000a_6. Unit clashing with doorway_x000a_7. AGL services to adjust to new appliance location_x000a_8. Floor gully (G), who is positioning the gully? AGL or  Pinnacle?"/>
        <s v="1. Pinnacle services are not in the correct location, refer to AGL Services drawings and are clashing with the doorway._x000a_2. AGL Services are required to be extended to new sink location_x000a_3 AGL Services are required to be adjusted to new sink location_x000a_4. Unit clash with doorway_x000a_5. Misspelling of tundish_x000a_6. There is no drinking water, cold water is from a boosted cold water system, see AGL drawings_x000a_7. How is grease managed? If there is a grease trap, who is supplying the grease trap?"/>
        <s v="1.AGL services are to be adjusted to suite new unit locations_x000a_2.How is grease managed? If there is a grease trap, who is supplying the grease trap? Dishwasher and combi ovens_x000a_3.Floor gully (G), who is positioning the gully? AGL or  Pinnacle? Table clashing with gully"/>
        <s v="SOA is 5m2, 3.28m2 provided._x000d__x000a_"/>
        <s v="1.Update based on review comments. _x000d__x000a_2. Is water fountain would be better located between office and SEN room?"/>
        <s v="No DDA desk shown. Add desk spacing dims. _x000d__x000a_"/>
        <s v="Add desk spacing dims. _x000d__x000a_"/>
        <s v="No DDA desk shown. Add desk spacing dims. _x000d__x000a__x000d__x000a_"/>
        <s v="No DDA desk shown. Add desk spacing dims. _x000d__x000a_. _x000d__x000a_"/>
        <s v="1.Can the middle bank of desk be moved 200cm towards the door to allow for better circulation?_x000d__x000a_"/>
        <s v="1.Can you relocate the DDA desk to the centre bank of desk, so they do not have their back to the whiteboard?_x000d__x000a_2.Can you rotate the teacher's desk to face door?"/>
        <s v="1.Not ideal to access medical room off the SEN room, potential switch with staff workroom?"/>
        <s v="1.Can DAA desk be moved to the other end of the desk bank and dimensions added to demonstrate adequate circulation is provided_x000d__x000a_"/>
        <s v="1. What is proposed occupancy? Is the room area too large for the requirements or is the FF&amp;E provision too little. "/>
        <s v="1.Is this the most appropriate layout, tall shelving near the window, I think a better layout can be achieved. _x000d__x000a_"/>
        <s v="1.Can the layout of the this room with the classroom store near the window be improved?_x000d__x000a_"/>
        <s v="Tambour unit is against a window_x000d__x000a_"/>
        <s v="Can the layout of the this room with the classroom store near the window be improved. Doesn't seem the most logical use of space and daylight._x000d__x000a_"/>
        <s v="Appreciate the trust has specifically removed these._x000d__x000a_Please indicate on each locker drawing the location of the lockers and quantity of lockers that could be provided in that area if later required, with the overall number of lockers also listed for reference. _x000d__x000a_"/>
        <s v="Can DDA face the whiteboard. Add desk spacing dims._x000d__x000a_"/>
        <s v="1.Update based on comments_x000d__x000a_2. Is the water fountain the best location near busy door ways, can this be located near the office with less traffic. Office door be more centrally placed."/>
        <s v="1.Should seating for 6 puplils be provided not 2.Add desk spacing dims_x000d__x000a__x000d__x000a_"/>
        <s v="1.Floating shelving units in the middle of the room away from wall, can a better solution be found._x000d__x000a__x000d__x000a_"/>
        <s v="Iso &amp; elevations do not match plan._x000d__x000a_"/>
        <s v="Is the fume cupboard located in the best location, limited circulation. _x000d__x000a_"/>
        <s v="Door opening does not reflect GA plans, which is correct?_x000d__x000a_"/>
        <s v="To be updated based on review comments"/>
        <s v="Model Number is incorrect in the Splash sheet. Level 01is not displaying in model_x000d__x000a_"/>
        <s v="Not matching native model only level 00 displaying. _x000d__x000a_"/>
        <s v="Drawing number and revision on splash sheet not matching submission_x000d__x000a_"/>
        <s v="Need to confirm details of derogation in respect of biosolar roof space" u="1"/>
        <s v="1. this drawing  shows the phase 1 construction area but uses the phase 3 car park layout (final configuration). HB need to show 2 construction phases and the different car park layouts as presented in the logistics CEM." u="1"/>
        <s v="1. as this is summer works are the notes regarding pedestrian access to be maintained necessary?_x000a_2. re the note about a decision needs to eb made regadring use if link road - Can the link road be released for use from Sept 2026 to improve the bus and pedestrian and vehicle access? 3. what arrangements will be made for Teaching staff parking during this phase of works as the new building will be open. This was raised at CEM meeting" u="1"/>
        <s v="1. more detailed proposals will be needed for phasing of access into staff car park as drawing indicates that this may be blocked. 2. Staff car parking will be needed in the interim period following portacabin decant and reinstatement of portakabin area to provide parking" u="1"/>
        <s v="1. should this drawing be named final layout post handover not site set up phase 3?" u="1"/>
        <s v="1. Line 47 Judicial review and line 49 Discharge of pre commencement conditions can these be run concurrently? 2. line 51 is this a duplicate of line 49 but does suggest condition discharge is running concurrently? 3. line 68 Delivery of  CPS was only partial MEP 17th March and costs etc not received as of 19/3/2025 4. Should CP review evaluation line 69 should be 8 weeks from receipt of full CPS.  5. line 80 should also include a note .. Contract finalisation including any increased DFE budget submissions (CCF)" u="1"/>
        <s v="1. Line 56 - please clarify this task - is this place order or install the substation - NB noted line 224 Legal process for easements and S77 disposal of land has been planned into programme 2. Line 74 power and water on 2a. power on does the activity need more details see my comments re line 56? 2b, this is planned for early in school term - can the service interruptions be planned outside school term ie summer or half term or weekends? 3 ICT fit out needs to be planned with School ICT contractor, also will need the main hall AV as a planned activity as well as the drama rooms etc. 4. Lines 297 and line 310 phase 2 section and 1 and 2 handover are both after school term starts can these be planned for completion prior to school term starts to avoid disruption ie before 1st September 2026 and 2027?" u="1"/>
        <s v="1. see comments regarding Design programme and construction programme. Master programme to eb updated to reflect these comments" u="1"/>
        <s v="1. line 3 - existing drainage culvert - need to update this risk following IDB planning objection 2. Line 11 Sport England response has been received removing objection - needs updating 3. Planning  delay - needs updating / re evaluating due to delays in statutory consultee responses and risk of not making April committee" u="1"/>
        <s v="This is a lift companies sale literature (which is non compliant for a new lift going into a new build building) and is not a lift specification as WSP VT would expect. Front page of document says 29 pages and 12 are submitted. Please provide full lift specification for review. WSP VT can not offer comment as document is incomplete" u="1"/>
        <s v="rejected Pending conclusion of the planning submission" u="1"/>
        <s v="ENCs are unclear at present as the land transaction has yet to be completed with CCC and also the planning  approval has yet to be concluded which may result in s278 or other legal agreements. As these processes are concluded ENCs may arise and this document will need to be updated" u="1"/>
        <s v="Have the internal wall types been developed to take into account the minimum wall thicknesses to satisfy the acoustic requirements, which vary from 250 - 600mm studs?" u="1"/>
        <s v="See comments on FS1018-ADT-ZZ-00-D-J-0004" u="1"/>
        <s v="Refer to comment on document" u="1"/>
        <s v="To be closed out in Stage 4 review - added to  Clarifications log to ensure review is complete in Stage 4" u="1"/>
        <s v="Cables or other electrical equipment shall not be installed in a protected escape route unless part of an essential fire safety or related safety system, general needs lighting, socket- outlets provided for cleaning or maintenance. please refer to the latest BS 7671 18th edition (regulation 422.2). _x000d__x000a__x000d__x000a_Data containment shall be installed at 300mm away from LV submain tray inorder to migitate the electromagnetic interference issue._x000d__x000a__x000d__x000a_Fire alarm cables should have been installed independently of the other cables._x000d__x000a__x000d__x000a_Separate partition required in the services shaft to protect the fire alarm and data tray_x000d__x000a__x000d__x000a_Confirm which DB supply serves the furniture store, plantroom (heat source and water heater)" u="1"/>
        <s v="200lux level to be achived in front of lift._x000d__x000a__x000d__x000a_Confirm the lux level requirements of cold store, food store, kicthe office areas near to food prep area_x000d__x000a__x000d__x000a_Confirm why two lux requirements for music practice rooms?_x000d__x000a__x000d__x000a_It appears that in various areas, the same rooms have different lux requirements (Eg. Confidential Meeting rooms near entrance)" u="1"/>
        <s v="Confirm the location of fire alarm panel._x000d__x000a__x000d__x000a_Confirm the fire alarm detection location of triple height spaces such as assembly halls, sports halls. " u="1"/>
        <s v="Confirm that the door access control is linked to the fire alarm panel for fail-safe operation during emergency evacuation." u="1"/>
        <s v="BS5839-1 says fire alarm sounder should not be used for purposes other than warning of fire, unless the response required is identical to that required in the event of fire (i.e immediate evacuation by use of all escape routes). However, as an established exception, the fire alarm signal may be used in schools to indicate start or finish of predetermined periods. The duration of such signal should not exceed 5s. Please confirm if the PA system and  the class change system are independent of the fire alarm system._x000d__x000a__x000d__x000a_" u="1"/>
        <s v="Would have expected to see PH major routes/ proposed sizes and riser locations. Currently no pipework shown within drawings for review" u="1"/>
        <s v="Would have expected to see major gas routes/ proposed sizes and riser locations in stage 3 design. Currently no pipework shown within drawings for review." u="1"/>
        <s v="Would have expected to see major heating and cooling routes/ proposed sizes and riser locations in stage 3 design. Currently no pipework shown within drawings for review." u="1"/>
        <s v="Would have expected to see major ventilation routes/ proposed sizes and riser locations in stage 3 design. Currently no pipework shown within drawings for review." u="1"/>
        <s v="'- Would have expected to see critical maintenance information including maintenance space requirements, delivery path, etc. Currently only showing “access required” in the drawing._x000d__x000a_- Please confirm the access, maintenance, and replacement strategy for lighting and smoke detection systems in the assembly halls and sports hall." u="1"/>
        <s v="Data containment shall be installed at 300mm away from LV submain tray inorder to migitate the electromagnetic interference issue._x000d__x000a__x000d__x000a_Fire alarm cables should have been installed independently of the other cables._x000d__x000a__x000d__x000a_Separate partition required in the services shaft to protect the fire alarm and data tray" u="1"/>
        <s v="200lux level to be achived in front of lift." u="1"/>
        <s v="Confirm the fire alarm detection location of triple height spaces such as assembly halls, sports halls. " u="1"/>
        <s v="200lux level to be achived in front of lift._x000d__x000a__x000d__x000a_It is noted that the proposed lux level in the stairway is 100 lux, while lower levels have 150 lux. Lux levels should be the same throughout the stairways." u="1"/>
        <s v="Missing major airduct route and attenuator information for Kitchen AHU and extract fan._x000d__x000a_Any electrostatic precipitator for kitchen extract fan?" u="1"/>
        <s v="Label for PV is incorrect. Not clear what initial proposed solar PV array layout looks like. Needs further detail to show this and confirm how it is accommodated with green roof." u="1"/>
        <s v="Please confirm if external emergency lighting is in place along every exit route of the building in line with BS5266-2016" u="1"/>
        <s v="Please confirm if minimum 10 lux level has been achieved on car parks and pathways._x000d__x000a__x000d__x000a_Please confirm if external emergency lighting is in place along every exit route of the building in line with BS5266-2016" u="1"/>
        <s v="Any electrostatic precipitator for kitchen extract fan?" u="1"/>
        <s v="Peak water demand to be reviewed upon final layouts and finalisation of fixtures and fittings. (i.e showers area)" u="1"/>
        <s v="KB Comments: _x0009_have these been provided to the Principal Designer for comment?  _x000d__x000a__x0009_Have the Designers been provided with Pre-Construction Information to inform their Design and DRA’s? _x000d__x000a__x0009_Is the Principal Designer satisfied that the Designers have used the general principles of prevention to eliminate/reduce risk in their design?  _x000d__x000a__x0009_Confusing as comments in the “Action already taken during design process” seem to apply to future actions required by others e.g contractor.  _x000d__x000a__x0009_How has risk been eliminated/reduced through Stage 3 design?  _x000d__x000a__x0009_Confirm/Identify appropriate information from the design that the Principal Designer will need to include in the H&amp;S file for completion._x000d__x000a_" u="1"/>
        <s v="We need one derogation schedule to pick up all derogations across the project. Could this please be resubmitted as a Henry Brothers document, incorporating other disciplines?" u="1"/>
        <s v="Mechanical: Any design development on kitchen ventilation requirement and control strategy?" u="1"/>
        <s v="Please confirm that the total power requirement for electric vehicle charging corresponds to the number of parking bays available on site. Check SoA for GIFA." u="1"/>
        <s v="Gas strategy includes both LPG tank and mains gas as options to supply for science teaching. This is inconsistent with FS1018-AGL-ZZ-00-D-M-5401-Level 00 Gas Strategy-S5-P01 and stated requirement for LPG tank. It is consistent with FS1018-AGL-ZZ-ZZ-G-M-5401-Gas Strategy Schematic-S5-P01. Should have agreed position on this by this stage of design." u="1"/>
        <s v="'- delivery path for large equipment replacement like ASHP and AHU should be provide._x000d__x000a_- Please confirm the access, maintenance, and replacement strategy for lighting and smoke detection systems in the assembly halls and sports hall." u="1"/>
        <s v="Need to remove reference to Newcastle City Council in Section 6. This is not the relevant planning authority. Check any additional planning guidance as issued by the relevant authority." u="1"/>
        <s v="Please confirm if there will be any light switch controls in the teaching wall area." u="1"/>
        <s v="All control valve is missing." u="1"/>
        <s v="Confirm emergency fire man PV isolation switch location._x000d__x000a__x000d__x000a_Lift supply is not shown in the LV schematic. Please confirm._x000d__x000a_" u="1"/>
        <s v="Confirm if PV isolation is controlled through the main fire alarm panel._x000d__x000a__x000d__x000a_Confirm the location of fire man's PV isolation switches_x000d__x000a__x000d__x000a_Define and segregate the areas with Smoke/heat/sounder/detector/beacon locations." u="1"/>
        <s v="See comments against Gateway M and E Proposal Report" u="1"/>
        <s v="Please update with relevant main sizing of plant (cold water storage tank / hot water heaters / CAT 5 / Boosted water pump)" u="1"/>
        <s v="Please confirm the split between roof mounted and canopy mounted panels._x000d__x000a_The canopies proposed do not appear to comply with the DfE specification." u="1"/>
        <s v="Lack of model geometry. Would have expected to see ME and PH major routes, Plumbing fixtures, Electrical fixtures. Only cable tray primary routes and plant room equipment present in model. Empty levels present in the model and incorrect level assignments." u="1"/>
        <s v="Mechanical equipment should be assigned appropriate IFC Type and not remain generic Building Element Proxy type. 133 elements have USERDEFINED or NOTDEFINED predefined type. Empty levels present in the model and incorrect level assignments." u="1"/>
        <s v="Superseded by P02" u="1"/>
        <s v="Superceded by P03" u="1"/>
        <s v="This information should be incorporated into the Asset Register, in this case this was not done because the IFC was not provided to Majenta. COBie sheet populated with Sheets required for Stage 3 . Majority of Facility COBie fields are not compliant with Standardised Values set out in the Project Information Standards. Nor Space name field. External spaces missing from COBie. Zone Sheet not compliant to COBie standard, Name field must be unique and grouped according to the Zones in the PIS. Contact sheet has supplier that is not referenced in other sheets." u="1"/>
        <s v="Refer to comments in TA notes section on SoA._x000a_Note that proposed GIFA is 5009 sq m ie 179 sqm more than the SoA at ITT of 4830 sqm. _x000a_ Note Thermal modelling currently based on GIFA of 4973 sq m" u="1"/>
        <s v="1.0 Please state at the top how proposals satisfy the overall ER's  with respect to Minimum Life Expectancy, U-value requirements etc; 1.1 Please also describe recessed and hit &amp; miss condition. Do these also achieve stated required u-values? ; 1.2 Fibre cement rainscreen described as 'Mechanical fixing with colour-matched screw heads; ' yet drawing describes secret fix' - which is it?; 1.3 does not mentioned top hung opening lights in hall and whether they are automated ; 3.1 BIO-SOLAR ROOF ARRANGEMENT ON HOT MELT ROOFING SYSTEM - ensure proposed roof buildup satisifies ER's TA 2C: 3.2.13 The system shall incorporate, as a minimum, the following (for a flat roof green roof build up): a lightweight growing material tested to BS8616, a filtration layer, drainage board for water storage, a protection layer to the top surface of the underlying waterproofing membrane comprising a bituminous/Hot Melt/Single Ply or Cold Applied liquid waterproofing layer to top of insulation. [Ss_45_40_47_28]; 3.5 MAINTENANCE ACCESS EQUIPMENT: - galvanised stairs described - see comments elsewhere, galvanised finishes not acceptable, see TA 2C 3.5.2 g) Galvanised mild steel balustrades are permitted in non-visually obvious situations [PM_80_60_50] ; 3.6 SYPHONIC RAINWATER DRAINAGE SYSTEM: see comments elsewhere, please draw this for our review; 4.1 FAIR-FACED BLOCKWORK WALLS: identified 'to plant rooms, lift shaft and risers' -  Is Blockwork in lift shafts typical? Also, how does it satisfy fire rating requirements?; 4.0 INTERNAL PARTITION WALLS AND FINISHES - please include additional wall linings required to meet acoustic requiements; 7.1 ENCLOSED STAIRCASES: and 7.3 BALUSTRADING TO STACK VENTILATION VOIDS - how does structural glass balustrading satisfy BWT's requirements for privacy?; What are the internal finishes on the lanterns? ; 10.3 Furniture: Do proposals satisfy requirements of ER's?; 10.4 Fencing: Discrepancies between what is proposed here and proposed on FS1018-ONE-XX-ZZ-D-L-0009-Access Security Strategy-S5-P04; 10.5 Soft Landscaping: How do these satisfy BNG requirements?" u="1"/>
        <s v="1.4 - blinds - confirm blinds comply with dim out and black out in relevant locations in accordance with Annex 3 and Annex 2D. 1.5 Confirm doors external doors are PAS 24 compliant in accordance with Annex 2C 5.1.3.  7.3 Confirm balustrade height is acceptable to Trust based on risk assessment in accordance with Annex 2D 6.1.1c. 10.4 is 4.5m high fence for sprinkler tank achievable/practical? are the gates to be 4.5m high too? how easy will these be to open for the users?" u="1"/>
        <s v="Would like to have seen more of a narrative on how the SSB has evolved through the CEMs, how this has been captured and how it has been addressed;  Would also like to see Next Steps and timescale itemised_x000d__x000a_" u="1"/>
        <s v="See comments on document, and, Schedule does not totalise the Brief / Proposed area though I count the proposed design to be +35 sqm on the brief area. Please compare and contrast with FS1018-CPM-XX-XX-L-A-0001-ScheduleOfAccommodation-S5-P01 as well as GIFA as contained in Revit model and clarify." u="1"/>
        <s v="Refer to comments on attached drawings and the below. _x000a_**--General notes for all GA plans deliverables: I really appreciate Room tag showing both SOA area and Proposed area - note however that some room tags are not legible eg DT Studio (electronics / control), please review; Have all rooms been allocated? What is total GIFA from Revit model? See comments on SoA discrepancies between FS1018-CPM-XX-XX-L-A-0001-ScheduleOfAccommodation-S5-P01 and FS1018-CPM-XX-XX-T-A-5002-DesignDevelopmentReport-S5-P01 ; No dimensions shown to gridlines, rooms, corridors, lifts, or stairs--**External staircase from L00 service yard to L01 roof not permissible under ER's - needs to ascend for internal secured space. See GDB: 2.6.5.2 External staircases are not permitted except when refurbishing Existing Buildings, if there is no alternative, and between changes in roof level for maintenance. [PM_10_20_82]; Ensure all externally opening doors have door guards inline with ER's and Statutory Requirements - ref  TA 2C: 5.1.3 External door hardware, ironmongery or control mechanism provided shall be robust and heavy duty and the following requirements shall be met: i) Door guards shall be installed to opening outward doors. [Ss_25_30_20_25] and Building Regs Part K Diagram 10.2; Noting provision of 'Coat and bag store (lockers)' yet Trust previously advised they did not want these - please clarify your understanding that these are being shown for futureproofing? ; Confirm purpose of cupboard adjacent to Dining Hall doors? Note clash of outward opening doors. ; Please indicate access hatch between 00-2003 | DIN11 and 00-6001 | KIT01; Review appropriateness of proposed kitchen layout and 4 spaces within. Locating them all to the north reduces the usable wall area for the kitchen layout. Also consider environmental health requirements for access to toilets an clean/dirty workstreams. Is it worth trying to cluster these uses either side of the external door?; Confirm use of room located between 00-6041 | TOC12 and 00-4003 | ADM11?; Confirm reason for angled walls between 00-6001c | RES12 and 00-6001d | RES12. Not mentioned in FS1018-ADT-ZZ-ZZ-T-J-0001-AcousticStrategy-S5-P01; Confirm all proposed pupil toilet numbers satisfy ER's. Comment applies to all levels; Confirm all proposed staff toilet numbers satisfy ER's. Comment applies to all levels. ; Confirm dimensions to all toilets meet the ER's and Statutory requirements. Are they consistently sized? Comment applies to all levels.; Please show toilet layouts for 00-6012 | TOC14 and 00-6013 | TOC14 ; Please show shower and changing layouts for 00-6007 | TOC01 and 00-6008 | TOC01; Confirm how separate pupil and staff toilet use will be maintained when they are located alongside one another? ; Delineate clear zone in front of lift; Confirm proposed Lift dimensions satisfy ER's? See GDB 2.14.3.11: In mainstream schools the provision shall be related to the number of pupils and storeys served: [PM_80_50_30] b) for larger school" u="1"/>
        <s v="Refer to comments on the drawings and the below._x000a_Lightwells showing inconsistently - sometimes as void (white) sometimes as circulation (grey) - please clarify as will impact SoA; Are Lightwells coordinated between L00 and L01? Lightwell 1 at G-H/5 seems to offer a view into a riser cupboard below, while Lightwell 3 at N-P1/ 5 offers a view into 00-6010 | TOC02; Please show a coordinated L01 Roof layout, with access routes, actual quantum of PV's indicated, along with syphonic drainage inlets (which need to be located away from access routes to prevent damage), proposed finishes codes to the Roof/Canopies to classrooms annotated, all roof levels, parapet levels ; How does 01-3006 | SEN02 MI Medical treatment room provide hygienic setting as required of GDB 2.3.18.5 d) a medical treatment (nurse’s room) which provides a hygienic environment and provides secure and appropriate storage for medicines if it is used to access 01-4016 | OFF23?; How does access to Services riser shaft from 01-4013 | OFF12 satisfy GDB 2.3.3.2 Access to service risers within small rooms such as offices or stores shall not limit the required occupancy or furniture layout. [PM_10_80] ; Is it appropriate for 01-6062 | PLA13 Server room to be located on the façade line with a window when Server Rooms need to be kept cool and other spaces could benefit from having this window? Is it worth considering swapping with 01-4013 | OFF12 ?" u="1"/>
        <s v="Refer to comments on drawings and the below. _x000a_Please show a coordinated L02 Roof layout, with access routes, actual quantum of PV's indicated, along with syphonic drainage inlets (which need to be located away from access routes to prevent damage), proposed finishes codes to the Roof/Canopies to classrooms annotated, all roof levels, parapet levels ; Check that all area showing in 02-3008 | RES03 is attributed to the room and not circulation; Represent two halls at this level consistently - the Dining Hall is shown as a void, the Sports hall is shown as green fill with rooflights.; How is access from L02 up to Roof level via Stairway 2 restricted? Should route of Northern Stair be flipped and a door added? ; Omit shadows cast by Revit model on GA's" u="1"/>
        <s v="Refer to comments on the drawing and the below._x000a_Review clash of gridlines; Please show a coordinated Main Roof layout, with access routes, actual quantum of PV's indicated, along with syphonic drainage inlets (which need to be located away from access routes to prevent damage), proposed finishes codes to the Roof/Canopies to classrooms annotated, all roof levels, parapet levels, etc; Is proposed quantum of PV's sufficient? As commented elsewhere, this needs to be shown to justify provision of canopies elsewhere.; Is this a BioSolar Green roof in accordance with ER's?  ; Are all rooflights required? See comments elsewhere about appropriate placement of rooms needing/not needing daylight.; Clarify discrepancy between Access Hatch at gridlines E/5 which is shown rectangular at Roof level, but serves a square-shaped space at L02. Is this coordinated?; Need more detail on railing to Secondary Means of Escape Hatch - does it comply with ER's? Note TA 2C: 3.5.4 Non-permanent or collapsible type barriers shall not be acceptable. The provision of free-standing systems which rely on their dead weight only and are not physically fixed to the building structure for stability and strength, shall be acceptable only where there are limitations forming connections through the roof deck to the structure e.g., in modular construction. [PM_10_20_82]" u="1"/>
        <s v="KB Comments: _x0009_Would comment that its more of a RAG list status more than a risk assessment that identifies hazards and the actions taken at design stage to eliminate or reduce and at what stage it applies i.e. construction, operation/maintenance, demolition._x000d__x000a__x0009_would be expecting to see the Principal Designer accumulate project designers’ significant risks into a single CDM Risk Register; _x000d__x000a__x0009_Confirm/Identify appropriate information at design that the Principal Designer will need to include in the H&amp;S file for completion_x000d__x000a_" u="1"/>
        <s v="See comments on the drawing. Circulation widths to wc's is not consistent between L00 (1.5m) and upper floors (1.8m) - all need to be in accordance with ER's ; Clarify annotations of 'principal entrance' and 'pupil entrance' - is this pupil entrance just from the Hard/Soft play or is this their entrance upon arrival to school? Please see comments on Landscape drawing FS1018-ONE-XX-ZZ-D-L-0009-Access Security Strategy-S5-P04 Please indicate Entrances for Staff / Pupils / Public / Community" u="1"/>
        <s v="See comments on the drawing and, Are 00-6009 | TOC02 and 00-6010 | TOC02 intended for community use also? Otherwise, where can accessible changing and changing places activities take place?; Are all aspects of ER's satisfied with regards to Passive Supervision? GDB 1.8.4.1 d) toilets that are positioned for easy access and to facilitate passive supervision. [Ac_25_90_60])." u="1"/>
        <s v="See comments on drawing and, 7 toilets denoted at eastern cluster - contrast with GA's which show 8.; 5M &amp; 5F showers denoted - does this satisfy ER's? Ref BB103: Normally in secondary schools it is sufficient to provide changing facilities for half a year group with equal and separate facilities for boys and girls in co-educational schools. Showers should generally be in the form of separate cubicles, with about one for every seven pupils changing. At least one accessible changing area (with a sanitary fitting, wash basin and shower) should be provided, although this may be also be used by staff. See point made elsewhere - please show layout" u="1"/>
        <s v="See comments on drawing and, &quot;Access &amp; Maintenance Strategy Legend lists Building Fabric elements - but Access and Maintenance Strategy ought to also highlight the major risks represented and steps taken to design out / reduce / mitigate said risks. Some immediate specific risks that stand out: _x000a_1/ access from L00 up to L01 roof (covered elsewhere here) _x000a_2/ area under stairs posing collision risk _x000a_3/ open voids to L01 / L02 with respect to falling, fire, throwing things down to L00 etc&quot;" u="1"/>
        <s v="See comments on drawings and, How are smaller areas of roof proposed to be accessed, cleaned and maintained? Roofs to: LRC, Sports stores, entrance canopy; Zone for polewashing for windows indicated but how are areas at L01 and above accessed for maintenance? Can you get a MEWP along the entire perimeter of the façade?; Show how MEWPS gain access to large internal hall spaces?; Need to indicate access and clearances around roof plant / PV's, as well as travel distances" u="1"/>
        <s v="See comments on drawing and, Key plan denotes Sections AA-EE, yet only sections AA-DD shown. Section EE missing and rather important. Also section through LRC and entrance is key. Please provide.; Please show floor levels to AOD, not AFFL (on the basis that your NGL may vary) - and then dim between floors; Please show proposed parapet levels to AOD; Section BB: What are the internal finishes on the lanterns? They look dark - could be oppressive at the top of a building.; Section CC: Please show stair tread numbers, rise/going, levels at half landings, clear heights; Section CC: How is area under stair at L00 to be dealt with, noting it is unusable and a hazard if left open?; Section CC: Consider relationship of openings/glazing/louvres to stair flights in both stair cores in relation to user experience, guarding as outlined in B Regs AD Part K Diagram 3.1 and elevation composition.; Sections CC and DD: Confirm all parapet heights are 1100mm for safe access" u="1"/>
        <s v="See comments on drawing and, &quot;**---General notes for all GA elevation deliverables: Please omit shadows/rendered trees/bins/other fencing in front etc, we would like to see the full building elevations rather than a rendered Revit model cut line; Legend note 1 - 5: Please provide further information on selection of Buff and Dark Grey brickwork; Legend note 1 - 5: Please further detail on proposed wall depths/build ups to show head/jamb/cill details of recessed and hit &amp; miss scenarios ; Legend note 6: Please provide further detail on proposed rainscreen system; Legend note 12: Galvanised - see ER's TA 2C 3.5.2 g) Galvanised mild steel balustrades are permitted in non-visually obvious _x000a_situations [PM_80_60_50] - the proposed locations would be considered visually obvious; Please provide Sample board showing all proposed finishes; See previous comments about fencing heights - look low on these elevations--**; Please show External doors accurately - Doors to L00 Kitchen and Roof Plant shown as glazed (Note does say 'PPC Aluminium Doors (Louvred/Solid/Glazed)' but it should be drawn accurately)&quot;" u="1"/>
        <s v="See comments on drawing and, At stair cores: consider relationship of openings/glazing/louvres to stair flights in elevation and in section; What are the various finishes to curtain walling at stair cores? Legend says 'PPC Aluminium Curtain Walling System (Dark Grey)' but elevation indicates light glazing and spandrel at L001, and dark glazing and spandrel at L01 and L02 - can you provide more detail? ; Consider terminating curtain walling at half landing instead of running down to L00 level if this area under stair will be out of sight and inaccessible? Not best use of £ also consider robustness requirements of ER's (GDB and TA 2C); Consider terminating Curtain walling at underside of Roof slab level? Currently shown running up past the Roof FFL to form part of the parapet? Improbable and not best use of £. Please review composition of elevations if maintaining a common datum between both stair cores is important to you." u="1"/>
        <s v="See comments on drawing and, Please confirm what the main entrance doors will be made from? Proposal looks like internal double doors, but presume this is a function of Revit modelling view range.; Is signage on canopy sufficiently sized and contrasting for the person on the ground looking upwards?" u="1"/>
        <s v="Can you tabulate the risks to show: Risk rating (based on Probability x Impact) and proposed steps to eliminate, reduce, mitigate." u="1"/>
        <s v="See comments on drawing and Ceilings in LRC look low - are they? GA Sections do not cover this area." u="1"/>
        <s v="See comments on drawing and, Is proposed roof a Bio Solar Green Roof in line with DfE ER's? TA 2C 3.2.1 All roofs shall comprise a bio-solar green roofing system, maximised with photovoltaics (PVs) to meet the requirements in Technical Annex 2G, Technical Annex 2H  and Technical Annex 2J. [PM_10_20_90]; Parapet detail annotates a 'Recessed feature brickwork' - yet the elevation shows hit and miss brickwork. Is it recessed or is it hit and miss? ; Detail 2: Is there barrier matting here? ; Are 2 x Top hung opening light's automated? ; Please provide more details of fibre cement rainscreen cladding; Confirm Thermal / Fire / Acoustic requirements have been achieved - provide all systems testing and certification" u="1"/>
        <s v="See comments on drawings and, Can I ask for these strategy drawings to show L00 at the bottom of the page and go up the page L01 L02, as your other strategy drawings? Mix of methods is inconsistent. Comment applies also to FS1018-CPM-ZZ-ZZ-D-A-4004-GAFloorFinishesStrategy-S5-P01 and FS1018-CPM-ZZ-ZZ-D-A-4007-GACeilingFinishesStrategy-S5-P01; Note that room fills denoting wall finishes missing from L00, please show.; How does your code W2.2 map to Internal Wall Finishes Table 2 in TA 2D? Do you mean 2.2h? ; Showers are shown as W2.2 but shouldn't they be W3.3 as per Table 2 in TA 2D? Ie Wet areas not humid areas? ; Please provide further detail on W6.1h proposed finish to Sports Hall. ; How are acoustic requirements outlined in FS1018-ADT-ZZ-ZZ-T-J-0001-AcousticStrategy-S5-P01 satisfied in proposals for both Main Hall and Sports Hall? Eg in Sports Hall acoustic strategy says 'The current proposal is to have plywood wall finishes including perforated panels at low level, on a sub frame with mineral wool backing.'" u="1"/>
        <s v="See comments on drawing and, Note that room fills denoting floor finishes missing from L00, please show.; F1.1 Carpet is proposed for Stairs - is this correct?; F2.1 Vinyl to Server room - is this correct; Are F3.2i and F3.4 the same floor finish, with the only difference being in the skirting?; F3.4 for 'Light practical' in Art and Science? Wouldn't these be Heavy practical as outlined in TA 2D Table 5a?; Is there any F5 for Heavy practical? Not on legend besides F5.4 in Plantrooms; Do codes F6.1 (activity studio) and F6.2h (multi purpose hall) match the plans? ; No finish to cupboard from secondary access; Acoustic underlay denoted on legend but not shown on plans." u="1"/>
        <s v="See comments on drawings and, Need to see proposed FCL's for each room; Do External Stores require a ceiling C1.1? ; Please clarify note in Ceiling 1.1 (600x600 grid ceiling) and Ceiling 1.2 (600x600 hygienic grid ceiling)  'in classrooms ceiling C3.2 provided to area outside of raft' - what does this mean, given that C3.2 is described as an emulsion painted concrete soffit to humid areas. Are you saying that the substrate is emulsion painted concrete soffit with raft ceilings? ; Ceiling type C1.1e described as 'PPC perforated profiled structural metal deck' - how does this satisfy acoustic requirements contained in Acoustic Strategy FS1018-ADT-ZZ-ZZ-T-J-0001-AcousticStrategy-S5-P01 'In the sports hall there will be a perforated liner tray to the roof, overlaid with mineral wool insulation and with insulation to the troughs, to achieve minimum absorption Class C.'; You have multiple ceiling codes for 2.2, 2.2/2.3, 2.3. Is Ceiling code 2.2/2.3 confusing things? ER's clear on what is needed where. This is why you need to draw your shower layouts - typically these are classed as wet areas (C2.3), with the changing space classed as a humid area (C2.2)" u="1"/>
        <s v="Report identifies 2400 clashes. Report does not evidence sufficient issue/clash resolution progress during the stage.  Report should be presented in a more actionable format.  All images are corrupt in the report." u="1"/>
        <s v="Better spatial coordination would be expected by Stage 3, 2,400 clashes is impracticle and not acceptable. Structural elements not well coordinated with architecture (especially doors and structural elements. Internal walls not aligned with column and bracing positions. Instances of furniture interfering with architectural doorways and structural elements. Library entrance, threshold between outside and inside missing geometry." u="1"/>
        <s v="Object assignment to correct levels requires review as a_x000d__x000a_it appears there are objects which should be on different levels." u="1"/>
        <s v="modelling erros apparent (ie. ceiling passing through wall, gaps in external walls). 92 elements have USERDEFINED or NOTDEFINED predefined type and 341 with empty field. Object assignment to correct levels requires review. COBie Facility information not consistently available in the IFC properties, COBie Zones missing from architectural IFC." u="1"/>
        <s v="Model not detatched from central. Status on Flysheet is at S1." u="1"/>
        <s v="Video does not play." u="1"/>
        <s v="TR Comments:- Need to revisit proposed server and hub room location taking into account comments in lines 8, 9, 11, 12_x000d__x000a_- Is there a window in the server room _x000d__x000a_" u="1"/>
        <s v="TR Comments:- Need to revisit proposed server and hub room location taking into account comments in lines 8, 9, 11, 12" u="1"/>
        <s v="TR Comments:- Need to revisit in line with changes that need to be made   _x000d__x000a_" u="1"/>
        <s v="See attached Comment sheet from Tony Roman - DfE ICT Advisor. Comments are logged against specific sections of the report which together ghave generated a Rejected vote." u="1"/>
        <s v="Test Approval" u="1"/>
        <s v="Test " u="1"/>
        <s v="Please provide a plan showing the site set-up during Phase 2 of the project." u="1"/>
        <s v="Wtihin the phasing plan, we would expect to see the following:_x000d__x000a_Details of the logistics for the different phases (compound, materials storage, hoarding, traffic management, etc.)_x000d__x000a_Access points for staff, pupils, visitors, emergency services, contractors and deliveries._x000d__x000a_Generally, there are three different phases of the project:_x000d__x000a_1: Phase 1 only, pre-Phase 2_x000d__x000a_2: Phase 1 and 2 taking place in tandem_x000d__x000a_3: Phase 1 only, post-Phase 2" u="1"/>
        <s v="See email sent 20/10/23 - files in MIDP not matching CDE - 2 DEIR Items missing - 103 &amp; 180." u="1"/>
        <s v="the following items are either not matching CDE or not submitted - see email sent FS1018-AGL-ZZ-XX-T-Z-0003_x000d__x000a_FS1018-AGL-ZZ-XX-T-Z-0003_x000d__x000a_FS1018-AGL-ZZ-XX-T-Z-0003_x000d__x000a_FS1018-AGL-ZZ-ZZ-D-Z-5801_x000d__x000a_FS1018-CPM-ZZ-ZZ-D-A-2141_x000d__x000a_FS1018-CPM-XX-XX-T-A-5002_x000d__x000a_FS1018-DSI-XX-XX-T-G-0001_x000d__x000a_FS1018-EVR-XX-XX-D-O-0001_x000d__x000a_FS1018-EVR-XX-XX-T-O-0003_x000d__x000a_FS1018-HEX-ZZ-ZZ-M-C-0003_x000d__x000a_FS1018-HEX-ZZ-ZZ-D-C-5200_x000d__x000a_FS1018-HEX-ZZ-ZZ-D-C-5201_x000d__x000a_FS1018-HEX-ZZ-ZZ-D-C-5205_x000d__x000a_FS1018-HEX-ZZ-ZZ-D-C-5210_x000d__x000a_FS1018-HEX-ZZ-ZZ-D-C-5211_x000d__x000a_FS1018-ONE-ZZ-ZZ-M-L-0001_x000d__x000a_FS1018-PIN-ZZ-00-D-O-5021_x000d__x000a_" u="1"/>
        <s v="Programme needs updating following late issue of Stage 3 information to DfE._x000d__x000a_Additional comments on mark-up." u="1"/>
        <s v="Review required following late issue of Stage 3 information and to assess potential routes to allow the school to open in September 2025." u="1"/>
        <s v="As comments on design and construction programmes. Additional comments on mark-up." u="1"/>
        <s v="We would expect to see risks for:_x000d__x000a_Local incinerator and how this could impact on the design_x000d__x000a_Objections to the planning application from locals or Cambridgeshire, or others_x000d__x000a_Delay to securing the land from the existing PFI agreement" u="1"/>
        <s v="Separate review meetings ongoing." u="1"/>
        <s v="This document needs to provide proposed sub-contractors for each package of work, typically three per package." u="1"/>
        <s v="This needs to focus more on the management of the different sub-contractors, not so much the design and DfE teams." u="1"/>
        <s v="Test" u="1"/>
        <s v="Refer to mark-up." u="1"/>
        <s v="KB Comments: _x0009_have these been provided to the Principal Designer for comment?  _x000d__x000a__x0009_Have the Designers been provided with Pre-Construction Information to inform their Design and DRA’s? _x000d__x000a__x0009_Is the Principal Designer satisfied that the Designers have used the general principles of prevention to eliminate/reduce risk in their design?  _x000d__x000a__x0009_Confusing as some of the potential hazards identified aren’t “hazards” e.g. Additional Site Investigation; _x000d__x000a__x0009_Have the Designers been provided with Pre-Construction Information to inform their Design and DRA’s?_x000d__x000a__x0009_What actions has been taken by Design at Stage 3 level to eliminate/reduce risk_x000d__x000a__x0009_Identify appropriate information from the design that the Principal Designer will need to include in the H&amp;S file for completion._x000d__x000a_" u="1"/>
        <s v="MT Comments: PV loading on roof mentioned but no description how fixing is achieved or lefection tollerance for cells" u="1"/>
        <s v="MT Comments: What is the purpose of the internal slab thickenings over the GB'S?" u="1"/>
        <s v="MT Comments: uplift seams high on all piles will this exist? " u="1"/>
        <s v="Flow arrows on pipelines would make it easier to read the drawing and understand the philosophy" u="1"/>
        <s v="Foul network gradients are very slack, 1:100-1:150. The connection to the sewer in Weasenham Lane should be investigated." u="1"/>
        <s v="MT/IH Comments: Add drawing showing 3D views of the building frame including the the bracing system " u="1"/>
        <s v="MT /IHComments: Add drawing showing 3D views of the building frame including the the bracing system " u="1"/>
        <s v="MT/IH Comments: Confirm the detail showing cranked rebar welded on the top flange of the UC Beam is adequate and in the zone  the shear plane of the UC section- the rebar appears high and cracked further back from the shear plane. Tie beam can also be slim flor by being grounted in parralel to PCC units " u="1"/>
        <s v="Status on Flysheet is at S1 Work in Progress and revision 1. Should be updated to match requirements set out in  Project Information Standard. File name reference on splash screen does not match file name. Unnecessary site floor plan view." u="1"/>
        <s v="Model reference on flysheet not aligned to file name." u="1"/>
        <s v="COBie &amp; IFC Issues evident. 783 elements have USERDEFINED or NOTDEFINED predefined type and 392 elements with empty field. Object assignment to correct levels requires review (in level 00 there are objects that should be assigned to other levels)." u="1"/>
        <s v="Objects not assigned to correct levels - requires review (eg. level 00 there are objects that should be assigned to other levels), naming of levels should align to Project Information Standard." u="1"/>
        <s v="Asset Register only contains contact information for STR &amp; CVL engineer, no architectural. No other Contact, No Facility, Floor, Space or Zone data. Architectural was submitted separately but should be included in this file." u="1"/>
        <s v="Rejected on the basis of quality of COBie data in the submission in the Federated Model and Asset Register." u="1"/>
        <s v="File is in WIP word format with WIP Comments from HBC contained within the file. Requires correcting all document refs - remnants of SRP1062 which is not this project. Project Directory incomplete. 5.5 CDE Configuration section is incomplete. 5.7 Security section is incomplete. 5.8 Federation Strategy incomplete. 7.5 Capability &amp; Capacity references Willmott Dixon?. 8.1 Software Requirements references solibri/Navisworks for federation - but Federation strategy also mentions Dalux? 8.5 Coordinates - all tbc. 8.7 L.O.I Need - incomplete. 9.7 Role Codes - I is spare but has been used for Interior Architecture in the P.I.S. 10.2 Management of OBie section and 10.3 Asset Register are incomplete. 3.1 Project Details require review to align with Project Information Standard. 5.6 PM Uniclass Table Version for file metadata should be specified in BEP. 6.6 Clash management and resolution progress should detail clash detection identification process; issue management process,_x000d__x000a_clash resolution workshops. 6.8 Native model files for each discipline should be identified in BEP to confirm software compatibility. 8.6 PM Uniclass Table Version for file metadata should be specified in BEP to align with Project Information Standard. 9.5 Level elevations should be confirmed in the BEP." u="1"/>
        <s v="Report footer block contains wrong document number." u="1"/>
        <s v="Model contains no classifications, COBie settings or checking rules to evidence checks." u="1"/>
        <s v="See comments on drawings. Significant strategy requirements from fire engineer have not been addressed in layouts. Layouts to be updated as a matter of priority." u="1"/>
        <s v="See comments on document." u="1"/>
        <s v="Please provide detail re Canopies finishes, if they are required for PV's; More detail needed on Sprinkler tank: '4.5m high close board timber cladding attached to galvanised steel frame with matching manually lockable gates. Concrete base.'; More detail needed on Bin Store: 1.8m high close board timber cladding attached to galvanised steel frame with matching manually lockable gates. Concrete base'; Please show Bin Store gate detail ; Please show detail of proposed Door Guard" u="1"/>
        <s v="Confirm retention of existing fences is acceptable for Trust." u="1"/>
        <s v="See comments on drawing" u="1"/>
        <s v="Please show an overall legend plan and a box call out to indicate this part drawings relative location. Comment Applies to all 5 part drawings; Confirm heights of all existing Fencing and denote on drawing. Comment Applies to all 5 part drawings; How does 2m high security fencing satisfy ER's? Annex 2C 8.1.2 Secure Line fencing shall be designed to meet the security requirements in the SSB. Secure line fencing shall: a) be a minimum of 2.4m in height in Mainstream Schools and Special Schools unless specified otherwise in the SSB [Ss_25_14]" u="1"/>
        <s v="See comments on drawing. Please indicate Entrances for Staff / Pupils / Public / Community; Can Sports Hall be used by Community Use as a standalone facility after hours? If so, how does access strategy help this? Is gate to North East to be used or do users have to use the Main Building Entrance? ; Is a continuous clear access width to rear of school achievable from within school grounds? eg gate to north east of school provides the primary point of entry to the back of the school (secondary double gate access from Weasenham lane), yet is by means of a single gate - however gates within this secure area are double. How does this narrowing satisfy access / egress requirements for fire / maintenance etc? Can a MEWP get through the outer single secure gate?" u="1"/>
        <s v="Subject to updates to base drawing following action of comments on overall site plan." u="1"/>
        <s v="See comments on drawing. _x000a_How do proposals satisfy the BNG requirements contained in the ER's and/or those of the statutory guidance required from Nov 2023?_x000a_No Green Roof contribution included in UGF calculations. Extensive green roof entry needs including. No evidence of how proposed approach meets BNG requirements in comparison with baseline (i.e. what UGF baseline is). Where are any  solar PV canopies (if required) going to be accommodated?" u="1"/>
        <s v="Confirm how stated proposals of 24073 sq m satisfy BB103 minimum requirement of 35000 sq m?" u="1"/>
        <s v="&quot;Are the hazards mentioned specific to this site? _x000a_Eg 2.2 Risk: Pedestrians at risk from moving vehicles, Mitigation:  Pedestrian routes set back from carriageways - as mentioned previously, wouldn't another mitigation be to provide pedestrian crossings from all car spaces? _x000a_Eg 2.3 Pupils (injury), Contact with Dogs (aggressive) - is contact with dogs a specific risk on this site? &quot;" u="1"/>
        <s v="See comments on existing trees, car spaces, fencing and proposed bin store" u="1"/>
        <s v="TA Civil engineer to review levels for suitability for drainage" u="1"/>
        <s v="To be updated following overall landscape revisions" u="1"/>
        <s v="To be updated with overall landscape revisions" u="1"/>
        <s v="To be updated along with overall landscape revisions" u="1"/>
        <s v="Some surfacing missing at Library entrance. " u="1"/>
        <s v="Some surfacing missing at Library entrance. Some planting is visible in the Nwc model but not in the Ifc model. 348 elements have USERDEFINED or NOTDEFINED predefined type and 20 elements with empty field. Model should only contain 1 site instance." u="1"/>
        <s v="Model reference on flysheet not aligned to file name. Status code missing and splash screen sheet is missing. Unnecessary views not removed from model. Some surfacing missing at Library entrance. Some planting is visible in the Nwc model but not in the Ifc model. " u="1"/>
        <s v="See comments on drawing." u="1"/>
        <s v="See comments on drawing. &quot;Many observations on Kitchen layout:_x000a_•Can a walk in freezer be accessed from a cold store under Healthy &amp; Safety legislation? _x000a_•How does door to walk in freezer open if racking is in the way&gt;?_x000a_•How does the user gain access to the rear of racking in Dry Store?_x000a_•Are there some power sockets on top of the central prep area?_x000a_•Is there an additional fridge under a worktop?_x000a_•Is there sufficient work surface for preparation? _x000a_•Do distances between eqipment satisfy requirement for safe working? _x000a_•Toilet and changing area not resolved - all shown in one space, but toilet and lockers need to be separate._x000a_•Are there any chemicals being used? Is there an external chemical store? Do these satisfy COSSH requirements? ; Can further dining seating be provided, if required? _x000a_&quot;" u="1"/>
        <s v="Model reference on starting sheet not aligned to file name. 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 u="1"/>
        <s v="O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None of the modelled elements have IFC predefined types assigned (2485 elements). Object assignment to correct levels requires review (in Level 01 there are objects that should be assigned to Level 02), naming of levels should align to Project Information Standard." u="1"/>
        <s v="nly typical rooms appear to be modelled with many spaces on upper levels empty. Space objects to be modelled to align with room extents (Ie space should be contained between surrounding walls, floor and ceiling). Esp. Space height must be paid attention to. Space objects should not be clashing with each other. Object assignment to correct levels requires review (in Level 01 there are objects that should be assigned to Level 02), naming of levels should align to Project Information Standard." u="1"/>
        <s v="The whole model is duplicated within FS1018-PIN-ZZ-ZZ-M-O-0002 FFE IFC MODEL. This either requires omitting this model and mapping the DEIR deliverables of both to this file. Or splitting the model into two - one with catering and one with FFE" u="1"/>
        <s v="Please can the drawing be updated to show the man writing in his left hand as this would be more exciting" u="1"/>
        <s v="1. this drawing shows the phase 1 construction area but uses the phase 3 car park layout (final configuration). HB need to show 2 construction phases and the different car park layouts as presented in the logistics CEM." u="1"/>
        <s v="The cow is brown and suspicious-looking" u="1"/>
        <s v="Black and white is very pretentious, please add colour." u="1"/>
        <s v="1. as this is summer works are the notes regarding pedestrian access to be maintained necessary? _x000d__x000a_2. re the note about a decision needs to eb made regadring use if link road - Can the link road be released for use from Sept 2026 to improve the bus and pedestrian and vehicle access? _x000d__x000a_3. what arrangements will be made for Teaching staff parking during this phase of works as the new building will be open. This was raised at CEM meeting" u="1"/>
        <s v="Really cute cat, looks peaceful and content with life" u="1"/>
        <s v="1. more detailed proposals will be needed for phasing of access into staff car park as drawing indicates that this may be blocked. _x000d__x000a_2. Staff car parking will be needed in the interim period following portacabin decant and reinstatement of portakabin area to provide parking" u="1"/>
        <s v="Most shifty-eyed looking monkey I've ever seen. Hate it, frightening." u="1"/>
        <s v="I do like carrots however can we have them washed? I'm not going to eat those muddy carrots" u="1"/>
        <s v="Yes they are clean now but now there's too many of them. What am I, a rabbit?" u="1"/>
        <s v="Actuallly, you are wrong. It is better value for money to get this many." u="1"/>
        <s v="Nope, the number of carrots must be halved otherwise I will turn orange. Source: https://en.wikipedia.org/wiki/Carotenosis" u="1"/>
      </sharedItems>
    </cacheField>
    <cacheField name="Latest revision?" numFmtId="0">
      <sharedItems/>
    </cacheField>
    <cacheField name="(Helper) Num + Title" numFmtId="0">
      <sharedItems count="859">
        <s v="FS1018-ADT-ZZ-00-D-J-0001          BB93 Acoustic Criteria Ground Floor"/>
        <s v="FS1018-ADT-ZZ-00-D-J-0004          Acoustic Wall Types Ground Floor"/>
        <s v="FS1018-ADT-ZZ-01-D-J-0002          BB93 Acoustic Criteria First Floor"/>
        <s v="FS1018-ADT-ZZ-01-D-J-0005          Acoustic Wall Types First Floor"/>
        <s v="FS1018-ADT-ZZ-02-D-J-0003          BB93 Acoustic Criteria Second Floor"/>
        <s v="FS1018-ADT-ZZ-02-D-J-0006          Acoustic Wall Types Second Floor"/>
        <s v="FS1018-ADT-ZZ-ZZ-T-J-0001          Acoustic Strategy"/>
        <s v="FS1018-ADT-ZZ-ZZ-T-Y-0002          Environmental Noise Impact Assessment"/>
        <s v="FS1018-AGL-ZZ-00-D-E-6110          Level 00 Containment Sheet 1"/>
        <s v="FS1018-AGL-ZZ-00-D-E-6111          Level 00 Containment Sheet 2"/>
        <s v="FS1018-AGL-ZZ-00-D-E-6112          Level 00 Containment Sheet 3"/>
        <s v="FS1018-AGL-ZZ-00-D-E-6114          Building Electrical Switchroom Details"/>
        <s v="FS1018-AGL-ZZ-00-D-E-6210          Level 00 Small Power And Data Sheet 1"/>
        <s v="FS1018-AGL-ZZ-00-D-E-6211          Level 00 Small Power And Data Sheet 2"/>
        <s v="FS1018-AGL-ZZ-00-D-E-6212          Level 00 Small Power And Data Sheet 3"/>
        <s v="FS1018-AGL-ZZ-00-D-E-6213          Level 00 MSER Sheet 1"/>
        <s v="FS1018-AGL-ZZ-00-D-E-6214          Level 00 MSER Sheet 2"/>
        <s v="FS1018-AGL-ZZ-00-D-E-6215          Level 00 MSER Sheet 3"/>
        <s v="FS1018-AGL-ZZ-00-D-E-6310          Level 00 Lighting Sheet 1"/>
        <s v="FS1018-AGL-ZZ-00-D-E-6311          Level 00 Lighting Sheet 2"/>
        <s v="FS1018-AGL-ZZ-00-D-E-6312          Level 00 Lighting Sheet 3"/>
        <s v="FS1018-AGL-ZZ-00-D-E-6810          Level 00 Fire Alarm Sheet 1"/>
        <s v="FS1018-AGL-ZZ-00-D-E-6811          Level 00 Fire Alarm Sheet 2"/>
        <s v="FS1018-AGL-ZZ-00-D-E-6812          Level 00 Fire Alarm Sheet 3"/>
        <s v="FS1018-AGL-ZZ-00-D-E-6820          Level 00 Fire Alarm Zoning Sheet 1"/>
        <s v="FS1018-AGL-ZZ-00-D-E-6821          Level 00 Fire Alarm Zoning Sheet 2"/>
        <s v="FS1018-AGL-ZZ-00-D-E-6822          Level 00 Fire Alarm Zoning Sheet 3"/>
        <s v="FS1018-AGL-ZZ-00-D-E-6840          Level 00 Security Sheet 1"/>
        <s v="FS1018-AGL-ZZ-00-D-E-6841          Level 00 Security Sheet 2"/>
        <s v="FS1018-AGL-ZZ-00-D-E-6842          Level 00 Security Sheet 3"/>
        <s v="FS1018-AGL-ZZ-00-D-E-9001          Photovoltaic Canopies"/>
        <s v="FS1018-AGL-ZZ-00-D-M-5210          Level 00 Above Ground Drainage Sheet 1"/>
        <s v="FS1018-AGL-ZZ-00-D-M-5211          Level 00 Above Ground Drainage Sheet 2"/>
        <s v="FS1018-AGL-ZZ-00-D-M-5212          Level 00 Above Ground Drainage Sheet 3"/>
        <s v="FS1018-AGL-ZZ-00-D-M-5310          Level 00 Domestic Water Services Sheet 1"/>
        <s v="FS1018-AGL-ZZ-00-D-M-5311          Level 00 Domestic Water Services Sheet 2"/>
        <s v="FS1018-AGL-ZZ-00-D-M-5312          Level 00 Domestic Water Services Sheet 3"/>
        <s v="FS1018-AGL-ZZ-00-D-M-5410          Level 00 Gas"/>
        <s v="FS1018-AGL-ZZ-00-D-M-5610          Level 00 Heating and Cooling Sheet 1"/>
        <s v="FS1018-AGL-ZZ-00-D-M-5611          Level 00 Heating and Cooling Sheet 2"/>
        <s v="FS1018-AGL-ZZ-00-D-M-5612          Level 00 Heating and Cooling Sheet 3"/>
        <s v="FS1018-AGL-ZZ-00-D-M-5710          Level 00 Ventilation Sheet 1"/>
        <s v="FS1018-AGL-ZZ-00-D-M-5711          Level 00 Ventilation Sheet 2"/>
        <s v="FS1018-AGL-ZZ-00-D-M-5712          Level 00 Ventilation Sheet 3"/>
        <s v="FS1018-AGL-ZZ-00-D-M-5810          Level 00 Plantroom Sheet 1"/>
        <s v="FS1018-AGL-ZZ-00-D-M-5811          Level 00 Plantroom Sheet 2"/>
        <s v="FS1018-AGL-ZZ-00-D-Z-6010          Level 00 Builderswork Sheet 1"/>
        <s v="FS1018-AGL-ZZ-00-D-Z-6011          Level 00 Builderswork Sheet 2"/>
        <s v="FS1018-AGL-ZZ-00-D-Z-6012          Level 00 Builderswork Sheet 3"/>
        <s v="FS1018-AGL-ZZ-00-D-Z-9610          Level 00 Reflected Ceiling Plan Sheet 1"/>
        <s v="FS1018-AGL-ZZ-00-D-Z-9611          Level 00 Reflected Ceiling Plan Sheet 2"/>
        <s v="FS1018-AGL-ZZ-00-D-Z-9612          Level 00 Reflected Ceiling Plan Sheet 3"/>
        <s v="FS1018-AGL-ZZ-01-D-E-6110          Level 01 Containment Sheet 1"/>
        <s v="FS1018-AGL-ZZ-01-D-E-6111          Level 01 Containment Sheet 2"/>
        <s v="FS1018-AGL-ZZ-01-D-E-6210          Level 01 Small Power And Data Sheet 1"/>
        <s v="FS1018-AGL-ZZ-01-D-E-6211          Level 01 Small Power And Data Sheet 2"/>
        <s v="FS1018-AGL-ZZ-01-D-E-6212          Level 01 MSER Sheet 1"/>
        <s v="FS1018-AGL-ZZ-01-D-E-6213          Level 01 MSER Sheet 2"/>
        <s v="FS1018-AGL-ZZ-01-D-E-6310          Level 01 Lighting Sheet 1"/>
        <s v="FS1018-AGL-ZZ-01-D-E-6311          Level 01 Lighting Sheet 2"/>
        <s v="FS1018-AGL-ZZ-01-D-E-6810          Level 01 Fire Alarm Sheet 1"/>
        <s v="FS1018-AGL-ZZ-01-D-E-6811          Level 01 Fire Alarm Sheet 2"/>
        <s v="FS1018-AGL-ZZ-01-D-E-6820          Level 01 Fire Alarm Zoning Sheet 1"/>
        <s v="FS1018-AGL-ZZ-01-D-E-6821          Level 01 Fire Alarm Zoning Sheet 2"/>
        <s v="FS1018-AGL-ZZ-01-D-E-6840          Level 01 Security Sheet 1"/>
        <s v="FS1018-AGL-ZZ-01-D-E-6841          Level 01 Security Sheet 2"/>
        <s v="FS1018-AGL-ZZ-01-D-M-5210          Level 01 Above Ground Drainage Sheet 1"/>
        <s v="FS1018-AGL-ZZ-01-D-M-5211          Level 01 Above Ground Drainage Sheet 2"/>
        <s v="FS1018-AGL-ZZ-01-D-M-5310          Level 01 Domestic Water Services Sheet 1"/>
        <s v="FS1018-AGL-ZZ-01-D-M-5311          Level 01 Domestic Water Services Sheet 2"/>
        <s v="FS1018-AGL-ZZ-01-D-M-5410          Level 01 Gas"/>
        <s v="FS1018-AGL-ZZ-01-D-M-5610          Level 01 Heating and Cooling Sheet 1"/>
        <s v="FS1018-AGL-ZZ-01-D-M-5611          Level 01 Heating and Cooling Sheet 2"/>
        <s v="FS1018-AGL-ZZ-01-D-M-5710          Level 01 Ventilation Sheet 1"/>
        <s v="FS1018-AGL-ZZ-01-D-M-5711          Level 01 Ventilation Sheet 2"/>
        <s v="FS1018-AGL-ZZ-01-D-Z-6010          Level 01 Builderswork Sheet 1"/>
        <s v="FS1018-AGL-ZZ-01-D-Z-6011          Level 01 Builderswork Sheet 2"/>
        <s v="FS1018-AGL-ZZ-01-D-Z-9610          Level 01 Reflected Ceiling Plan Sheet 1"/>
        <s v="FS1018-AGL-ZZ-01-D-Z-9611          Level 01 Reflected Ceiling Plan Sheet 2"/>
        <s v="FS1018-AGL-ZZ-02-D-E-6110          Level 02 Containment Sheet 1"/>
        <s v="FS1018-AGL-ZZ-02-D-E-6111          Level 02 Containment Sheet 2"/>
        <s v="FS1018-AGL-ZZ-02-D-E-6210          Level 02 Small Power And Data Sheet 1"/>
        <s v="FS1018-AGL-ZZ-02-D-E-6211          Level 02 Small Power And Data Sheet 2"/>
        <s v="FS1018-AGL-ZZ-02-D-E-6212          Level 02 MSER Sheet 1"/>
        <s v="FS1018-AGL-ZZ-02-D-E-6213          Level 02 MSER Sheet 2"/>
        <s v="FS1018-AGL-ZZ-02-D-E-6310          Level 02 Lighting Sheet 1"/>
        <s v="FS1018-AGL-ZZ-02-D-E-6311          Level 02 Lighting Sheet 2"/>
        <s v="FS1018-AGL-ZZ-02-D-E-6810          Level 02 Fire Alarm Sheet 1"/>
        <s v="FS1018-AGL-ZZ-02-D-E-6811          Level 02 Fire Alarm Sheet 2"/>
        <s v="FS1018-AGL-ZZ-02-D-E-6820          Level 02 Fire Alarm Zoning Sheet 1"/>
        <s v="FS1018-AGL-ZZ-02-D-E-6821          Level 02 Fire Alarm Zoning Sheet 2"/>
        <s v="FS1018-AGL-ZZ-02-D-E-6840          Level 02 Security Sheet 1"/>
        <s v="FS1018-AGL-ZZ-02-D-E-6841          Level 02 Security Sheet 2"/>
        <s v="FS1018-AGL-ZZ-02-D-M-5210          Level 02 Above Ground Drainage Sheet 1"/>
        <s v="FS1018-AGL-ZZ-02-D-M-5211          Level 02 Above Ground Drainage Sheet 2"/>
        <s v="FS1018-AGL-ZZ-02-D-M-5310          Level 02 Domestic Water Services Sheet 1"/>
        <s v="FS1018-AGL-ZZ-02-D-M-5311          Level 02 Domestic Water Services Sheet 2"/>
        <s v="FS1018-AGL-ZZ-02-D-M-5410          Level 02 Gas"/>
        <s v="FS1018-AGL-ZZ-02-D-M-5610          Level 02 Heating and Cooling Sheet 1"/>
        <s v="FS1018-AGL-ZZ-02-D-M-5611          Level 02 Heating and Cooling Sheet 2"/>
        <s v="FS1018-AGL-ZZ-02-D-M-5710          Level 02 Ventilation Sheet 1"/>
        <s v="FS1018-AGL-ZZ-02-D-M-5711          Level 02 Ventilation Sheet 2"/>
        <s v="FS1018-AGL-ZZ-02-D-Z-6010          Level 02 Builderswork Sheet 1"/>
        <s v="FS1018-AGL-ZZ-02-D-Z-6011          Level 02 Builderswork Sheet 2"/>
        <s v="FS1018-AGL-ZZ-02-D-Z-9610          Level 02 Reflected Ceiling Plan Sheet 1"/>
        <s v="FS1018-AGL-ZZ-02-D-Z-9611          Level 02 Reflected Ceiling Plan Sheet 2"/>
        <s v="FS1018-AGL-ZZ-RF-D-E-6213          Roof Level MSER"/>
        <s v="FS1018-AGL-ZZ-RF-D-E-6810          Roof Level Fire Alarm Sheet 1"/>
        <s v="FS1018-AGL-ZZ-RF-D-E-6811          Roof Level Fire Alarm Sheet 2"/>
        <s v="FS1018-AGL-ZZ-RF-D-E-6840          Roof Level Security Sheet 1"/>
        <s v="FS1018-AGL-ZZ-RF-D-E-6841          Roof Level Security Sheet 2"/>
        <s v="FS1018-AGL-ZZ-RF-D-E-6842          Roof Level Security Sheet 3"/>
        <s v="FS1018-AGL-ZZ-RF-D-E-9001          Photovoltaic"/>
        <s v="FS1018-AGL-ZZ-RF-D-M-5210          Roof Level Above Ground Drainage Sheet 1"/>
        <s v="FS1018-AGL-ZZ-RF-D-M-5211          Roof Level Above Ground Drainage Sheet 2"/>
        <s v="FS1018-AGL-ZZ-RF-D-M-5212          Roof Level Above Ground Drainage Sheet 3"/>
        <s v="FS1018-AGL-ZZ-RF-D-M-5310          Roof Level Domestic Water Services Sheet 1"/>
        <s v="FS1018-AGL-ZZ-RF-D-M-5311          Roof Level Domestic Water Services Sheet 2"/>
        <s v="FS1018-AGL-ZZ-RF-D-M-5312          Roof Level Domestic Water Services Sheet 3"/>
        <s v="FS1018-AGL-ZZ-RF-D-M-5710          Roof Level Ventilation Sheet 1"/>
        <s v="FS1018-AGL-ZZ-RF-D-M-5711          Roof Level Ventilation Sheet 2"/>
        <s v="FS1018-AGL-ZZ-RF-D-M-5712          Roof Level Ventilation Sheet 3"/>
        <s v="FS1018-AGL-ZZ-RF-D-Z-5810          Roof Level Plantroom Sheet 1"/>
        <s v="FS1018-AGL-ZZ-RF-D-Z-5811          Roof Level Plantroom Sheet 2"/>
        <s v="FS1018-AGL-ZZ-RF-D-Z-5812          Roof Level Plantroom Sheet 3"/>
        <s v="FS1018-AGL-ZZ-RF-D-Z-6010          Roof Level Builderswork Sheet 1"/>
        <s v="FS1018-AGL-ZZ-RF-D-Z-6011          Roof Level Builderswork Sheet 2"/>
        <s v="FS1018-AGL-ZZ-RF-D-Z-6012          Roof Level Builderswork Sheet 3"/>
        <s v="FS1018-AGL-ZZ-XX-D-E-9001          External Lighting"/>
        <s v="FS1018-AGL-ZZ-XX-D-E-9002          External Lighting Lux Levels"/>
        <s v="FS1018-AGL-ZZ-XX-D-E-9511          DNO Services Drawing and Proposal"/>
        <s v="FS1018-AGL-ZZ-XX-D-Z-5810          External Compound"/>
        <s v="FS1018-AGL-ZZ-XX-D-Z-9510          External Services"/>
        <s v="FS1018-AGL-ZZ-XX-L-E-0001          Proposed Manufacturers Electrical Schedule"/>
        <s v="FS1018-AGL-ZZ-XX-L-E-0002          Cable Calculation &amp; Schedule Report"/>
        <s v="FS1018-AGL-ZZ-XX-L-E-0003          Containment Calculations"/>
        <s v="FS1018-AGL-ZZ-XX-L-E-0004          Lighting Calculations"/>
        <s v="FS1018-AGL-ZZ-XX-L-E-0005          Exit Signage Calculation"/>
        <s v="FS1018-AGL-ZZ-XX-L-E-9602          Luminaire Schedule"/>
        <s v="FS1018-AGL-ZZ-XX-L-M-0003          Domestic Water Services Calculations"/>
        <s v="FS1018-AGL-ZZ-XX-L-M-0004          Ventilation Calculations"/>
        <s v="FS1018-AGL-ZZ-XX-L-M-0005          Gas Calculations"/>
        <s v="FS1018-AGL-ZZ-XX-L-M-0006          Above Ground Drainage Calculations"/>
        <s v="FS1018-AGL-ZZ-XX-L-M-0007          Heating Calculations"/>
        <s v="FS1018-AGL-ZZ-XX-L-M-0008          Heat Source Calculations"/>
        <s v="FS1018-AGL-ZZ-XX-L-M-9604          Heat Pump Schedule"/>
        <s v="FS1018-AGL-ZZ-XX-L-M-9605          Buffer Vessel Schedule"/>
        <s v="FS1018-AGL-ZZ-XX-L-M-9607          Plate Heat Exchanger Schedule"/>
        <s v="FS1018-AGL-ZZ-XX-L-M-9608          Water Heater Schedule"/>
        <s v="FS1018-AGL-ZZ-XX-L-M-9609          Air &amp; Dirt Separator Schedule"/>
        <s v="FS1018-AGL-ZZ-XX-L-M-9610          Dosing Pot Schedule"/>
        <s v="FS1018-AGL-ZZ-XX-L-M-9613          Water Filter Schedule"/>
        <s v="FS1018-AGL-ZZ-XX-L-M-9614          Water Softener Schedule"/>
        <s v="FS1018-AGL-ZZ-XX-L-M-9617          Leak Detection Schedule"/>
        <s v="FS1018-AGL-ZZ-XX-L-M-9619          Gas Meter Schedule"/>
        <s v="FS1018-AGL-ZZ-XX-L-M-9620          Water Meter Schedule"/>
        <s v="FS1018-AGL-ZZ-XX-L-M-9621          Heat Meter Schedule"/>
        <s v="FS1018-AGL-ZZ-XX-L-M-9623          Gas Solenoid Valve Schedule"/>
        <s v="FS1018-AGL-ZZ-XX-L-M-9624          Gas Detection &amp; Proving Panel Schedule"/>
        <s v="FS1018-AGL-ZZ-XX-L-M-9625          Pressurisation Unit Schedule"/>
        <s v="FS1018-AGL-ZZ-XX-L-M-9627          Storage Tank Schedule"/>
        <s v="FS1018-AGL-ZZ-XX-L-M-9628          Booster Set Schedule"/>
        <s v="FS1018-AGL-ZZ-XX-L-M-9630          Pump Schedule"/>
        <s v="FS1018-AGL-ZZ-XX-L-M-9634          Local Water Heater Schedule"/>
        <s v="FS1018-AGL-ZZ-XX-L-M-9637          Radiator Schedule"/>
        <s v="FS1018-AGL-ZZ-XX-L-M-9641          Underfloor Heating Schedule"/>
        <s v="FS1018-AGL-ZZ-XX-L-M-9642          Underfloor Heating Manifold Schedule"/>
        <s v="FS1018-AGL-ZZ-XX-L-M-9644          Overdoor Heater Schedule"/>
        <s v="FS1018-AGL-ZZ-XX-L-M-9647          Electric Heater Schedule"/>
        <s v="FS1018-AGL-ZZ-XX-L-M-9649          Fan Convector Schedule"/>
        <s v="FS1018-AGL-ZZ-XX-L-M-9652          Air Handling Unit Schedule"/>
        <s v="FS1018-AGL-ZZ-XX-L-M-9653          Heat Recovery Unit Schedule"/>
        <s v="FS1018-AGL-ZZ-XX-L-M-9654          Hybrid Ventilation Unit Schedule"/>
        <s v="FS1018-AGL-ZZ-XX-L-M-9655          Fan Schedule"/>
        <s v="FS1018-AGL-ZZ-XX-L-M-9658          Louvre Schedule"/>
        <s v="FS1018-AGL-ZZ-XX-L-M-9659          Supply Diffuser Schedule"/>
        <s v="FS1018-AGL-ZZ-XX-L-M-9660          Extract Grille Schedule"/>
        <s v="FS1018-AGL-ZZ-XX-L-M-9661          Attenuator Schedule"/>
        <s v="FS1018-AGL-ZZ-XX-L-M-9662          Transfer Grille Schedule"/>
        <s v="FS1018-AGL-ZZ-XX-L-M-9671          Heating Coil Schedule (LTHW)"/>
        <s v="FS1018-AGL-ZZ-XX-L-M-9675          Smoke-activated Fire Damper Schedule"/>
        <s v="FS1018-AGL-ZZ-XX-L-M-9678          Passive Stack Ventilator Schedule"/>
        <s v="FS1018-AGL-ZZ-XX-L-M-9681          DX Indoor Unit Schedule"/>
        <s v="FS1018-AGL-ZZ-XX-L-M-9682          DX Outdoor Unit Schedule"/>
        <s v="FS1018-AGL-ZZ-XX-L-Z-0001          Designers MEP Risk Assessment"/>
        <s v="FS1018-AGL-ZZ-XX-L-Z-0004          Heat Loss Calculations"/>
        <s v="FS1018-AGL-ZZ-XX-T-E-0001          Electrical Specification"/>
        <s v="FS1018-AGL-ZZ-XX-T-E-0003          Electrical Maximum Demand"/>
        <s v="FS1018-AGL-ZZ-XX-T-M-0001          Mechanical Specification"/>
        <s v="FS1018-AGL-ZZ-XX-T-Z-0002          Plant Access Maintenance And Replacement Strategy"/>
        <s v="FS1018-AGL-ZZ-XX-T-Z-0006          NBS Project Description"/>
        <s v="FS1018-AGL-ZZ-XX-T-Z-0007          Thermal Modelling, Compliance &amp; Sustainability Report"/>
        <s v="FS1018-AGL-ZZ-ZZ-D-E-9001          Lightning Protection"/>
        <s v="FS1018-AGL-ZZ-ZZ-D-Z-6115          Server and Hub Room"/>
        <s v="FS1018-AGL-ZZ-ZZ-D-Z-9610          Typical D&amp;T Classroom"/>
        <s v="FS1018-AGL-ZZ-ZZ-D-Z-9611          Typical Food Room"/>
        <s v="FS1018-AGL-ZZ-ZZ-D-Z-9612          Typical ICT Classroom"/>
        <s v="FS1018-AGL-ZZ-ZZ-D-Z-9613          Typical Riser"/>
        <s v="FS1018-AGL-ZZ-ZZ-D-Z-9614          Typical Science Room"/>
        <s v="FS1018-AGL-ZZ-ZZ-G-E-6010          LV Schematic Sheet 1"/>
        <s v="FS1018-AGL-ZZ-ZZ-G-E-6011          LV Schematic Sheet 2"/>
        <s v="FS1018-AGL-ZZ-ZZ-G-E-6811          Fire Alarm Schematic"/>
        <s v="FS1018-AGL-ZZ-ZZ-G-M-5010          Controls Schematic"/>
        <s v="FS1018-AGL-ZZ-ZZ-G-M-5210          Above Ground Drainage Schematic Sheet 1"/>
        <s v="FS1018-AGL-ZZ-ZZ-G-M-5211          Above Ground Drainage Schematic Sheet 2"/>
        <s v="FS1018-AGL-ZZ-ZZ-G-M-5310          Domestic Water Services Schematic"/>
        <s v="FS1018-AGL-ZZ-ZZ-G-M-5410          Gas Schematic"/>
        <s v="FS1018-AGL-ZZ-ZZ-G-M-5610          Heating &amp; Cooling Schematic Sheet 1"/>
        <s v="FS1018-AGL-ZZ-ZZ-G-M-5611          Heating &amp; Cooling Schematic Sheet 2"/>
        <s v="FS1018-AGL-ZZ-ZZ-G-M-5612          Heating &amp; Cooling Schematic Sheet 3"/>
        <s v="FS1018-AGL-ZZ-ZZ-G-M-5613          Heating &amp; Cooling Schematic Sheet 4"/>
        <s v="FS1018-AGL-ZZ-ZZ-G-M-5710          Ventilation Schematic Sheet 1"/>
        <s v="FS1018-AGL-ZZ-ZZ-G-M-5711          Ventilation Schematic Sheet 2"/>
        <s v="FS1018-AGL-ZZ-ZZ-G-M-5812          Plantroom Schematic"/>
        <s v="FS1018-AGL-ZZ-ZZ-M-Z-0001          MEP Model Revit"/>
        <s v="FS1018-AGL-ZZ-ZZ-M-Z-0002          MEP Model IFC"/>
        <s v="FS1018-AGL-ZZ-ZZ-M-Z-0003          MEP Model NWC"/>
        <s v="FS1018-CPM-XX-XX-L-A-0001          Schedule Of Accommodation"/>
        <s v="FS1018-CPM-XX-XX-T-A-0005          Teaching Block Finishes"/>
        <s v="FS1018-CPM-XX-XX-T-A-0010          Outline Specification"/>
        <s v="FS1018-CPM-XX-XX-T-A-5001          Stage 4 Report"/>
        <s v="FS1018-CPM-XX-XX-T-A-5002          Design Development Report"/>
        <s v="FS1018-CPM-XX-XX-T-A-5003          Pre-Construction Information"/>
        <s v="FS1018-CPM-XX-ZZ-L-A-0000          Building Model COBie Report"/>
        <s v="FS1018-CPM-ZZ-00-D-A-2001          GA Proposed L00 Floor Plan"/>
        <s v="FS1018-CPM-ZZ-00-D-A-2142          Ground Edge Details"/>
        <s v="FS1018-CPM-ZZ-00-D-A-2200          Wall And Partition Types L00"/>
        <s v="FS1018-CPM-ZZ-00-D-A-2900          Fire Strategy L00"/>
        <s v="FS1018-CPM-ZZ-00-D-A-3001          External Door Schedules Sheet 01"/>
        <s v="FS1018-CPM-ZZ-00-D-A-3050          Internal Doors Level 00 Sheet 01"/>
        <s v="FS1018-CPM-ZZ-00-D-A-3051          Internal Doors Level 00 Sheet 02"/>
        <s v="FS1018-CPM-ZZ-00-D-A-3052          Internal Doors Level 00 Sheet 03"/>
        <s v="FS1018-CPM-ZZ-00-D-A-3053          Internal Doors Level 00 Sheet 04"/>
        <s v="FS1018-CPM-ZZ-00-D-A-3054          Internal Doors Level 00 Sheet 05"/>
        <s v="FS1018-CPM-ZZ-00-D-A-3500          Reflected Ceiling L00"/>
        <s v="FS1018-CPM-ZZ-00-D-A-6807          Room Elevations Hygiene Room"/>
        <s v="FS1018-CPM-ZZ-00-D-A-6808          Room Elecations Pupil WC'S"/>
        <s v="FS1018-CPM-ZZ-00-D-A-6809          Room Elevations Pupils And Staff WC"/>
        <s v="FS1018-CPM-ZZ-00-D-A-6810          Room Elevations Accessible WC"/>
        <s v="FS1018-CPM-ZZ-00-D-A-6811          Room Elevations Changing Room"/>
        <s v="FS1018-CPM-ZZ-00-D-A-6812          Room Elevations Accessible Changing Room"/>
        <s v="FS1018-CPM-ZZ-01-D-A-2002          GA Proposed L01 Floor Plan"/>
        <s v="FS1018-CPM-ZZ-01-D-A-2201          Wall And Partition Types L01"/>
        <s v="FS1018-CPM-ZZ-01-D-A-2250          Patressing Plan For Typical Classroom"/>
        <s v="FS1018-CPM-ZZ-01-D-A-2251          Patressing Plan For Art Room"/>
        <s v="FS1018-CPM-ZZ-01-D-A-2901          Fire Strategy L01"/>
        <s v="FS1018-CPM-ZZ-01-D-A-3501          Reflected Ceiling L01"/>
        <s v="FS1018-CPM-ZZ-01-D-A-6800          Room Elevations Classroom"/>
        <s v="FS1018-CPM-ZZ-02-D-A-2003          GA Proposed L02 Floor Plan"/>
        <s v="FS1018-CPM-ZZ-02-D-A-2202          Wall And Partition Types L02"/>
        <s v="FS1018-CPM-ZZ-02-D-A-2902          Fire Strategy L02"/>
        <s v="FS1018-CPM-ZZ-02-D-A-3502          Reflected Ceiling L02"/>
        <s v="FS1018-CPM-ZZ-RF-D-A-2023          GA Proposed Roof Plan"/>
        <s v="FS1018-CPM-ZZ-RF-D-A-2144          Roof Details Sheet 1"/>
        <s v="FS1018-CPM-ZZ-RF-D-A-2145          Roof Details Sheet 2"/>
        <s v="FS1018-CPM-ZZ-RF-D-A-2903          Fire Strategy Rf"/>
        <s v="FS1018-CPM-ZZ-RF-D-A-3100          Rooflight Elevations Sheet 1"/>
        <s v="FS1018-CPM-ZZ-RF-D-A-3101          Rooflights And Hatch Plan"/>
        <s v="FS1018-CPM-ZZ-XX-D-A-2146          3D Section"/>
        <s v="FS1018-CPM-ZZ-XX-D-A-2210          Partition Detail Plans"/>
        <s v="FS1018-CPM-ZZ-XX-L-A-0020          CDM Design Risk Assessment"/>
        <s v="FS1018-CPM-ZZ-ZZ-D-A-0050          Circulation Strategy"/>
        <s v="FS1018-CPM-ZZ-ZZ-D-A-0051          Zoning And Security Strategy"/>
        <s v="FS1018-CPM-ZZ-ZZ-D-A-0052          Sanitary And Hygiene Strategy"/>
        <s v="FS1018-CPM-ZZ-ZZ-D-A-0053          Access And Maintenance Strategy"/>
        <s v="FS1018-CPM-ZZ-ZZ-D-A-0054          Cleaning And Maintenance Strategy"/>
        <s v="FS1018-CPM-ZZ-ZZ-D-A-0060          Proposed Room Cluster Diagram"/>
        <s v="FS1018-CPM-ZZ-ZZ-D-A-2001          GA Proposed Section Aa, Bb, Cc, Dd"/>
        <s v="FS1018-CPM-ZZ-ZZ-D-A-2002          GA Proposed Section EE"/>
        <s v="FS1018-CPM-ZZ-ZZ-D-A-2010          GA Proposed Elevations Sheet 1"/>
        <s v="FS1018-CPM-ZZ-ZZ-D-A-2011          GA Proposed Elevations Sheet 02"/>
        <s v="FS1018-CPM-ZZ-ZZ-D-A-2012          GA Proposed Elevations Sheet 03"/>
        <s v="FS1018-CPM-ZZ-ZZ-D-A-2025          Hazard Identification Plan"/>
        <s v="FS1018-CPM-ZZ-ZZ-D-A-2031          Internal Views"/>
        <s v="FS1018-CPM-ZZ-ZZ-D-A-2032          External Views"/>
        <s v="FS1018-CPM-ZZ-ZZ-D-A-2040          Lock Suiting Strategy"/>
        <s v="FS1018-CPM-ZZ-ZZ-D-A-2140          Construction Building Sections Sheet 1"/>
        <s v="FS1018-CPM-ZZ-ZZ-D-A-2141          Construction Building Sections Sheet 2"/>
        <s v="FS1018-CPM-ZZ-ZZ-D-A-2143          External Wall Details Sheet 1"/>
        <s v="FS1018-CPM-ZZ-ZZ-D-A-2144          External Wall Details Sheet 2"/>
        <s v="FS1018-CPM-ZZ-ZZ-D-A-2401          Typical Staircase Sheet 01"/>
        <s v="FS1018-CPM-ZZ-ZZ-D-A-2402          Typical Staircase Sheet 02"/>
        <s v="FS1018-CPM-ZZ-ZZ-D-A-2403          Typical Staircase Sheet 03"/>
        <s v="FS1018-CPM-ZZ-ZZ-D-A-2404          Typical Staircase Sheet 04"/>
        <s v="FS1018-CPM-ZZ-ZZ-D-A-2405          Typical Staircase Sheet 05"/>
        <s v="FS1018-CPM-ZZ-ZZ-D-A-3002          External Door Schedues Sheet 02"/>
        <s v="FS1018-CPM-ZZ-ZZ-D-A-3010          Curtain Wall Panelling Elevations Sheet 01"/>
        <s v="FS1018-CPM-ZZ-ZZ-D-A-3011          Curtain Wall Panelling Elevations Sheet 02"/>
        <s v="FS1018-CPM-ZZ-ZZ-D-A-3020          External Windows Elevation And Schedule"/>
        <s v="FS1018-CPM-ZZ-ZZ-D-A-3021          Internal Glazed Panel Elevations And Schedule"/>
        <s v="FS1018-CPM-ZZ-ZZ-D-A-3055          Internal Doors Level 00 Sheet 06"/>
        <s v="FS1018-CPM-ZZ-ZZ-D-A-3062          Window Schedule"/>
        <s v="FS1018-CPM-ZZ-ZZ-D-A-4001          GA Wall Finishes Strategy"/>
        <s v="FS1018-CPM-ZZ-ZZ-D-A-4004          GA Floor Finishes Strategy"/>
        <s v="FS1018-CPM-ZZ-ZZ-D-A-6601          Lift Pit Details"/>
        <s v="FS1018-CPM-ZZ-ZZ-D-A-6801          Room Elevations Assembly Dining Sheet 1"/>
        <s v="FS1018-CPM-ZZ-ZZ-D-A-6802          Room Elevations Assembly Dining Sheet 2"/>
        <s v="FS1018-CPM-ZZ-ZZ-D-A-6803          Room Elevations Sports Hall Sheet 1"/>
        <s v="FS1018-CPM-ZZ-ZZ-D-A-6804          Room Elevations Sports Hall Sheet 2"/>
        <s v="FS1018-CPM-ZZ-ZZ-D-A-6805          Room Elevations Sports Hall Sheet 3"/>
        <s v="FS1018-CPM-ZZ-ZZ-D-A-6806          Room Elevations Sports Hall Acoustic Panel Set Out"/>
        <s v="FS1018-CPM-ZZ-ZZ-D-A-6813          Room Elevations Pupil WC'S L01 And L02"/>
        <s v="FS1018-CPM-ZZ-ZZ-L-A-0001          Clash Report"/>
        <s v="FS1018-CPM-ZZ-ZZ-L-A-3060          Internal Door Schedule"/>
        <s v="FS1018-CPM-ZZ-ZZ-L-A-3061          External Door Schedule"/>
        <s v="FS1018-CPM-ZZ-ZZ-M-A-0002          Federated Model"/>
        <s v="FS1018-CPM-ZZ-ZZ-M-A-0003          Architectural Model NWC"/>
        <s v="FS1018-CPM-ZZ-ZZ-M-A-0004          Architectural Model IFC"/>
        <s v="FS1018-CPM-ZZ-ZZ-M-A-0005          Architectural Model Revit"/>
        <s v="FS1018-CPM-ZZ-ZZ-V-A-0001          External Flythrough Video"/>
        <s v="FS1018-CPM-ZZ-ZZ-V-A-0002          Internal Flythrough Video"/>
        <s v="FS1018-EVR-XX-XX-D-O-0001          Server Room Location"/>
        <s v="FS1018-EVR-XX-XX-D-O-0002          ICT Plans"/>
        <s v="FS1018-EVR-XX-XX-D-O-0003          Wireless Heat Maps"/>
        <s v="FS1018-EVR-XX-XX-D-O-0004          Server Cabinet Layout"/>
        <s v="FS1018-EVR-XX-XX-G-O-0001          ICT Network Diagrams"/>
        <s v="FS1018-EVR-XX-XX-L-O-0001          ICT Equipment List"/>
        <s v="FS1018-EVR-XX-XX-L-O-0002          ICT Cost Matrix"/>
        <s v="FS1018-EVR-XX-XX-L-O-0003          ICT Small Power and Data Schedule"/>
        <s v="FS1018-EVR-XX-XX-L-O-0004          ICT Construction Programme"/>
        <s v="FS1018-EVR-XX-XX-T-O-0002          ICT Calculations"/>
        <s v="FS1018-EVR-XX-XX-T-O-0004          ICT Contractor's Proposals"/>
        <s v="FS1018-EVR-XX-XX-T-O-0005          Post Award ICT Meetings (PAM) Agendas"/>
        <s v="FS1018-EVR-XX-XX-T-O-0006          User Acceptance Testing (UAT) Schedule"/>
        <s v="FS1018-EVR-XX-XX-T-O-0007          Post Award ICT Meetings (PAM) Minutes"/>
        <s v="FS1018-HBC-XX-XX-D-X-0001          Site Construction Plan"/>
        <s v="FS1018-HBC-XX-XX-D-X-0003          Site Set Up Plan Phase 1"/>
        <s v="FS1018-HBC-XX-XX-D-X-0004          Site Set Up Plan Phase 2 Section 1"/>
        <s v="FS1018-HBC-XX-XX-D-X-0005          Site Set Up Plan Phase 2 Section 2"/>
        <s v="FS1018-HBC-XX-XX-D-X-0006          Site Set Up Plan Phase 3"/>
        <s v="FS1018-HBC-XX-XX-L-X-0001          MIDP"/>
        <s v="FS1018-HBC-XX-XX-L-X-0003          Design Programme"/>
        <s v="FS1018-HBC-XX-XX-L-X-0004          Construction Programme"/>
        <s v="FS1018-HBC-XX-XX-L-X-0005          Master Programme"/>
        <s v="FS1018-HBC-XX-XX-L-X-0006          Works Package Procurement Programme"/>
        <s v="FS1018-HBC-XX-XX-L-X-0007          Risk Register"/>
        <s v="FS1018-HBC-XX-XX-L-X-0008          PCSA"/>
        <s v="FS1018-HBC-XX-XX-L-X-0009          PCSA Milestone Schedule"/>
        <s v="FS1018-HBC-XX-XX-L-X-0010          PCSA Certificate Of Completion"/>
        <s v="FS1018-HBC-XX-XX-L-X-0011          Cashflow Forecast"/>
        <s v="FS1018-HBC-XX-XX-L-X-0012          Framework Pricing Schedule"/>
        <s v="FS1018-HBC-XX-XX-L-X-0013          DFE KPIs"/>
        <s v="FS1018-HBC-XX-XX-L-X-0014          Supplier Directory CV"/>
        <s v="FS1018-HBC-XX-XX-L-X-0016          Handover Training Plan"/>
        <s v="FS1018-HBC-XX-XX-L-X-0018          HB Social Value KPIs"/>
        <s v="FS1018-HBC-XX-XX-L-X-0019          Site Organisation Chart"/>
        <s v="FS1018-HBC-XX-XX-L-X-0020          Commissioning Programme"/>
        <s v="FS1018-HBC-XX-XX-L-X-1001          Quality Management Plan"/>
        <s v="FS1018-HBC-XX-XX-L-X-1002          Sustainable Estate Strategy"/>
        <s v="FS1018-HBC-XX-XX-L-X-1003          Lift Specification"/>
        <s v="FS1018-HBC-XX-XX-L-X-1004          Project Execution Plan"/>
        <s v="FS1018-HBC-XX-XX-L-X-3000          Derogations Schedule"/>
        <s v="FS1018-HBC-XX-XX-L-X-4000          Planning Condition Tracker"/>
        <s v="FS1018-HBC-XX-XX-T-X-0001          Construction Phasing Plan"/>
        <s v="FS1018-HBC-XX-XX-T-X-0012          Cost Plan Summary"/>
        <s v="FS1018-HBC-XX-XX-T-X-0024          CEM7 Meeting Minutes"/>
        <s v="FS1018-HBC-XX-XX-T-X-0025          CEM8 Meeting Minutes"/>
        <s v="FS1018-HBC-XX-XX-T-X-0026          CEM8-9A Meeting Minutes"/>
        <s v="FS1018-HBC-XX-XX-T-X-0027          CEM09 Meeting Minutes"/>
        <s v="FS1018-HBC-XX-XX-T-X-0028          CEM10 Meeting Minutes"/>
        <s v="FS1018-HBC-XX-XX-T-X-0029          CEM10A Meeting Minutes"/>
        <s v="FS1018-HBC-XX-XX-T-X-0030          CEM11 Meeting Minutes"/>
        <s v="FS1018-HBC-XX-XX-T-X-0031          CEM12 Meeting Minutes"/>
        <s v="FS1018-HBC-XX-XX-T-X-0033          CEM07 Agenda"/>
        <s v="FS1018-HBC-XX-XX-T-X-0034          CEM08 Agenda"/>
        <s v="FS1018-HBC-XX-XX-T-X-0035          CEM09 Agenda"/>
        <s v="FS1018-HBC-XX-XX-T-X-0036          CEM08-9A Agenda"/>
        <s v="FS1018-HBC-XX-XX-T-X-0037          CEM10 Meeting Agenda"/>
        <s v="FS1018-HBC-XX-XX-T-X-0038          CEM10A Agenda"/>
        <s v="FS1018-HBC-XX-XX-T-X-0039          CEM11 Agenda"/>
        <s v="FS1018-HBC-XX-XX-T-X-0040          CEM12 Agenda"/>
        <s v="FS1018-HBC-XX-XX-T-X-0042          Employer Necessary Consents"/>
        <s v="FS1018-HBC-XX-XX-T-X-0043          Construction Method Statement"/>
        <s v="FS1018-HBC-XX-XX-T-X-0044          Handover Strategy"/>
        <s v="FS1018-HBC-XX-XX-T-X-0045          Thermal Assessment"/>
        <s v="FS1018-HEX-XX-XX-T-C-0004          Civil Design Philosophy"/>
        <s v="FS1018-HEX-XX-XX-T-C-0010          Risk Register"/>
        <s v="FS1018-HEX-XX-XX-T-C-0011          Drainage Specification"/>
        <s v="FS1018-HEX-XX-XX-T-C-0012          Earthworks Specification"/>
        <s v="FS1018-HEX-XX-XX-T-H-0001          Transport Assessment"/>
        <s v="FS1018-HEX-XX-XX-T-S-0003          Structural Design Philosophy"/>
        <s v="FS1018-HEX-XX-XX-T-S-0004          Concrete Specification"/>
        <s v="FS1018-HEX-XX-XX-T-S-0005          Steelwork Specification"/>
        <s v="FS1018-HEX-XX-XX-T-S-0006          Piling Specification"/>
        <s v="FS1018-HEX-ZZ-00-D-S-0101          Foundation Layout"/>
        <s v="FS1018-HEX-ZZ-00-D-S-0102          Foundation Details"/>
        <s v="FS1018-HEX-ZZ-00-D-S-0200          Ground Floor Column Plan"/>
        <s v="FS1018-HEX-ZZ-01-D-S-0201          First Floor Steelwork Layout"/>
        <s v="FS1018-HEX-ZZ-02-D-S-0202          Second Floor Steelwork Layout"/>
        <s v="FS1018-HEX-ZZ-RF-D-S-0203          Main Roof Steelwork Layout"/>
        <s v="FS1018-HEX-ZZ-RF-D-S-0204          Hall Roof Steelwork Layouts"/>
        <s v="FS1018-HEX-ZZ-RF-D-S-0205          Parapet Steelwork Layout"/>
        <s v="FS1018-HEX-ZZ-XX-D-S-0001          Project Notes"/>
        <s v="FS1018-HEX-ZZ-ZZ-D-C-5200          Surface Water Drainage Layout Sheet 1"/>
        <s v="FS1018-HEX-ZZ-ZZ-D-C-5201          Surface Water Drainage Layout Sheet 2"/>
        <s v="FS1018-HEX-ZZ-ZZ-D-C-5205          Foul Water Drainage Layout"/>
        <s v="FS1018-HEX-ZZ-ZZ-D-C-5210          Drainage Construction Details Sheet 1"/>
        <s v="FS1018-HEX-ZZ-ZZ-D-C-5211          Drainage Construction Details Sheet 2"/>
        <s v="FS1018-HEX-ZZ-ZZ-D-C-9000          Earthworks Analysis"/>
        <s v="FS1018-HEX-ZZ-ZZ-D-C-9020          External Works Layout Sheet 1"/>
        <s v="FS1018-HEX-ZZ-ZZ-D-C-9021          External Works Layout Sheet 2"/>
        <s v="FS1018-HEX-ZZ-ZZ-D-C-9025          External Works Construction Details"/>
        <s v="FS1018-HEX-ZZ-ZZ-D-S-0501          Building Elevations Sheet 01 Of 02"/>
        <s v="FS1018-HEX-ZZ-ZZ-D-S-0502          Building Elevations Sheet 02 Of 02"/>
        <s v="FS1018-HEX-ZZ-ZZ-D-S-0503          Bracing Elevations"/>
        <s v="FS1018-HEX-ZZ-ZZ-D-S-0601          Building Sections"/>
        <s v="FS1018-HEX-ZZ-ZZ-D-S-0602          Structural Sections and Details"/>
        <s v="FS1018-HEX-ZZ-ZZ-D-S-0801          3D Views"/>
        <s v="FS1018-HEX-ZZ-ZZ-M-C-0001          Native Civil Model"/>
        <s v="FS1018-HEX-ZZ-ZZ-M-C-0002          IFC SPF Civil Model"/>
        <s v="FS1018-HEX-ZZ-ZZ-M-C-0003          Navisworks Civil Model"/>
        <s v="FS1018-HEX-ZZ-ZZ-M-S-0001          Native Structural Model"/>
        <s v="FS1018-HEX-ZZ-ZZ-M-S-0002          IFC SPF Structural Model"/>
        <s v="FS1018-HEX-ZZ-ZZ-M-S-0003          Navis Structural Model"/>
        <s v="FS1018-HEX-ZZ-ZZ-T-C-0001          General Notes"/>
        <s v="FS1018-MAJ-XX-XX-L-X-0090          Detailed Responsibility Matrix"/>
        <s v="FS1018-MAJ-XX-XX-L-X-8001          Asset Register"/>
        <s v="FS1018-MAJ-XX-XX-L-X-8002          COBie QC Report"/>
        <s v="FS1018-MAJ-XX-XX-T-X-0001          BIM Execution Plan"/>
        <s v="FS1018-MAJ-XX-XX-T-X-1001          Information Managers Report"/>
        <s v="FS1018-MAJ-ZZ-ZZ-M-X-0001          Federated Information Model"/>
        <s v="FS1018-OFR-XX-ZZ-G-K-0001          Fire Strategy Report"/>
        <s v="FS1018-ONE-XX-XX-T-L-0001          Outline Specification"/>
        <s v="FS1018-ONE-XX-XX-T-L-0002          Design Development Schedule"/>
        <s v="FS1018-ONE-XX-ZZ-D-L-0001          Location Plan"/>
        <s v="FS1018-ONE-XX-ZZ-D-L-0002          Existing Site Plan"/>
        <s v="FS1018-ONE-XX-ZZ-D-L-0003          Whole Site Plan"/>
        <s v="FS1018-ONE-XX-ZZ-D-L-0004          Site Landscaping Plan 1 of 5"/>
        <s v="FS1018-ONE-XX-ZZ-D-L-0005          Site Landscaping Plan 2 of 5"/>
        <s v="FS1018-ONE-XX-ZZ-D-L-0006          Site Landscaping Plan 3 of 5"/>
        <s v="FS1018-ONE-XX-ZZ-D-L-0007          Site Landscaping Plan 4 of 5"/>
        <s v="FS1018-ONE-XX-ZZ-D-L-0008          Site Landscaping Plan 5 of 5"/>
        <s v="FS1018-ONE-XX-ZZ-D-L-0009          Access and Security Strategy"/>
        <s v="FS1018-ONE-XX-ZZ-D-L-0010          Circulation Strategy"/>
        <s v="FS1018-ONE-XX-ZZ-D-L-0011          External Sports Provision"/>
        <s v="FS1018-ONE-XX-ZZ-D-L-0012          Green Infrastructure Plan"/>
        <s v="FS1018-ONE-XX-ZZ-D-L-0013          BB103 Guidance"/>
        <s v="FS1018-ONE-XX-ZZ-D-L-0014          Hazard Identification Plan"/>
        <s v="FS1018-ONE-XX-ZZ-D-L-0015          Refurbishment Remodelling Strategy"/>
        <s v="FS1018-ONE-XX-ZZ-D-L-0017          Site Sections"/>
        <s v="FS1018-ONE-XX-ZZ-D-L-0021          Existing Site Plan 1 of 5"/>
        <s v="FS1018-ONE-XX-ZZ-D-L-0022          Existing Site Plan 2 of 5"/>
        <s v="FS1018-ONE-XX-ZZ-D-L-0023          Existing Site Plan 3 of 5"/>
        <s v="FS1018-ONE-XX-ZZ-D-L-0024          Existing Site Plan 4 of 5"/>
        <s v="FS1018-ONE-XX-ZZ-D-L-0025          Existing Site Plan 5 of 5"/>
        <s v="FS1018-ONE-XX-ZZ-D-L-0201          Detailed Planting Plan Sheet 1 of 5"/>
        <s v="FS1018-ONE-XX-ZZ-D-L-0202          Detailed Planting Plan Sheet 2 of 5"/>
        <s v="FS1018-ONE-XX-ZZ-D-L-0203          Detailed Planting Plan Sheet 3 of 5"/>
        <s v="FS1018-ONE-XX-ZZ-D-L-0204          Detailed Planting Plan Sheet 4 of 5"/>
        <s v="FS1018-ONE-XX-ZZ-D-L-0205          Detailed Planting Plan Sheet 5 of 5"/>
        <s v="FS1018-ONE-XX-ZZ-D-L-0401          Outline Levels Plan 1 of 5"/>
        <s v="FS1018-ONE-XX-ZZ-D-L-0402          Outline Levels Plan 2 of 5"/>
        <s v="FS1018-ONE-XX-ZZ-D-L-0403          Outline Levels Plan 3 of 5"/>
        <s v="FS1018-ONE-XX-ZZ-D-L-0404          Outline Levels Plan 4 of 5"/>
        <s v="FS1018-ONE-XX-ZZ-D-L-0405          Outline Levels Plan 5 of 5"/>
        <s v="FS1018-ONE-XX-ZZ-D-L-0601          Landscape Details Sheet 1"/>
        <s v="FS1018-ONE-XX-ZZ-D-L-0602          Landscape Details Sheet 2"/>
        <s v="FS1018-ONE-XX-ZZ-D-L-0603          Landscape Details Sheet 3"/>
        <s v="FS1018-ONE-ZZ-XX-T-L-0004          Security Statement"/>
        <s v="FS1018-ONE-ZZ-ZZ-M-L-0001          Landscape Model"/>
        <s v="FS1018-ONE-ZZ-ZZ-M-L-0002          Landscape Model"/>
        <s v="FS1018-ONE-ZZ-ZZ-M-L-0003          Landscape Model"/>
        <s v="FS1018-PIN-XX-XX-L-O-0003          Task Team Risk Register"/>
        <s v="FS1018-PIN-ZZ-00-D-O-0001          Ground Floor GA 1 Of 2"/>
        <s v="FS1018-PIN-ZZ-00-D-O-0002          Ground Floor GA 2 Of 2"/>
        <s v="FS1018-PIN-ZZ-00-D-O-0006          Lobby 1"/>
        <s v="FS1018-PIN-ZZ-00-D-O-0601          Food Prep Area, Kitchen Servery And Wash Up 1"/>
        <s v="FS1018-PIN-ZZ-00-D-O-1109          Music Room"/>
        <s v="FS1018-PIN-ZZ-00-D-O-1110          DT Workshop 1"/>
        <s v="FS1018-PIN-ZZ-00-D-O-1111          Food Room 1 Option 1"/>
        <s v="FS1018-PIN-ZZ-00-D-O-1112          DT Studio Graphic Products"/>
        <s v="FS1018-PIN-ZZ-00-D-O-1113          DT Studio Electronics And Control"/>
        <s v="FS1018-PIN-ZZ-00-D-O-1211          Food Room 1"/>
        <s v="FS1018-PIN-ZZ-00-D-O-2001          Assembly Hall, Dining Layout"/>
        <s v="FS1018-PIN-ZZ-00-D-O-2002          Sports Hall Exam Layout"/>
        <s v="FS1018-PIN-ZZ-00-D-O-2003          Assembly Hall, Assembly Layout"/>
        <s v="FS1018-PIN-ZZ-00-D-O-3002          Sports Hall Sport Layout"/>
        <s v="FS1018-PIN-ZZ-00-D-O-3004          LRC"/>
        <s v="FS1018-PIN-ZZ-00-D-O-4003          Enclosed Office, Admin Head 1"/>
        <s v="FS1018-PIN-ZZ-00-D-O-4004          Enclosed Office, Admin PA 1"/>
        <s v="FS1018-PIN-ZZ-00-D-O-4005          Reprographics Room 1"/>
        <s v="FS1018-PIN-ZZ-00-D-O-4006          Enclosed Office, With Recep Desk And Window 1"/>
        <s v="FS1018-PIN-ZZ-00-D-O-4008          Reception Area, Entrance 50% Circulation"/>
        <s v="FS1018-PIN-ZZ-00-D-O-4009          Confidential Meeting Room Interview 1"/>
        <s v="FS1018-PIN-ZZ-00-D-O-4015          Office With Meeting Area, 2 Person 4"/>
        <s v="FS1018-PIN-ZZ-00-D-O-4018          Staff Workroom Premises 1 And Equipment Store, Maintenance 1"/>
        <s v="FS1018-PIN-ZZ-00-D-O-5003          Confidential Meeting Room Interview 1"/>
        <s v="FS1018-PIN-ZZ-00-D-O-5007          DT Prep Room 1"/>
        <s v="FS1018-PIN-ZZ-00-D-O-5008          Food Prep Room 1"/>
        <s v="FS1018-PIN-ZZ-00-D-O-5009          Teaching Resources Store Off DT Studio"/>
        <s v="FS1018-PIN-ZZ-00-D-O-5011          Teaching Resources Store Off DT Studio"/>
        <s v="FS1018-PIN-ZZ-00-D-O-5013          Teaching Resources Store Music 1"/>
        <s v="FS1018-PIN-ZZ-00-D-O-5018          Sports Equipment Store, Internal Sports Hall 1"/>
        <s v="FS1018-PIN-ZZ-00-D-O-5019          Sports Equipment Store, External 1"/>
        <s v="FS1018-PIN-ZZ-00-D-O-5103          Secure Storeroom 1"/>
        <s v="FS1018-PIN-ZZ-00-D-O-5109          Coats And Bag Store Lockers 1"/>
        <s v="FS1018-PIN-ZZ-00-D-O-5114          Cleaners Store"/>
        <s v="FS1018-PIN-ZZ-00-D-O-5117          Cleaners Store"/>
        <s v="FS1018-PIN-ZZ-00-D-O-6001          Dining And Catering"/>
        <s v="FS1018-PIN-ZZ-00-D-O-6002          Office, Kitchen 1"/>
        <s v="FS1018-PIN-ZZ-00-D-O-6003          Food Store, Kitchen Dry 1"/>
        <s v="FS1018-PIN-ZZ-00-D-O-6004          Cold Store, Kitchen 1"/>
        <s v="FS1018-PIN-ZZ-00-D-O-6005          Cold Store, Kitchen Freezer 1"/>
        <s v="FS1018-PIN-ZZ-00-D-O-6006          Toilet (With Changing Area) 1"/>
        <s v="FS1018-PIN-ZZ-00-D-O-6007          Changing Room, With Showers Pupils 1 And Toilets, Suite Pupils, Other 1"/>
        <s v="FS1018-PIN-ZZ-00-D-O-6008          Changing Room, With Showers Pupils 2 And Toilets, Suite Pupils, Other 2"/>
        <s v="FS1018-PIN-ZZ-00-D-O-6009          Music Practice Room 2"/>
        <s v="FS1018-PIN-ZZ-00-D-O-6011          Hygiene Room 1"/>
        <s v="FS1018-PIN-ZZ-00-D-O-6042          First Aid Post Sick Bay 1 And Stairway 7"/>
        <s v="FS1018-PIN-ZZ-00-D-O-6069          Circulation Space Horizontal On And Coats And Bag Store Lockers 1"/>
        <s v="FS1018-PIN-ZZ-00-D-O-7001          Dining And Catering 3D"/>
        <s v="FS1018-PIN-ZZ-00-D-O-7003          Dishwashing"/>
        <s v="FS1018-PIN-ZZ-00-D-O-7101          Food Prep Area, Kitchen Servery And Wash Up 1 Electrical Plan"/>
        <s v="FS1018-PIN-ZZ-00-D-O-7201          Food Prep Area, Kitchen Servery And Wash Up 1 Electrical Elevations"/>
        <s v="FS1018-PIN-ZZ-00-D-O-7301          Food Prep Area, Kitchen Servery And Wash Up 1 Mechanical Plan"/>
        <s v="FS1018-PIN-ZZ-00-D-O-7401          Food Prep Area, Kitchen Servery And Wash Up 1 Mechanical Elevations"/>
        <s v="FS1018-PIN-ZZ-00-D-O-7501          Dishwash Services Requirements"/>
        <s v="FS1018-PIN-ZZ-00-D-O-8001          Music Practice Room 1"/>
        <s v="FS1018-PIN-ZZ-00-D-O-8003          Music Practice Room Extensive 1"/>
        <s v="FS1018-PIN-ZZ-00-D-O-9001          Classroom Store, Room Off Sen Room 1"/>
        <s v="FS1018-PIN-ZZ-00-D-O-9003          Teaching Resources Store Music 2"/>
        <s v="FS1018-PIN-ZZ-01-D-O-1000          First Floor GA 1 Of 2"/>
        <s v="FS1018-PIN-ZZ-01-D-O-1001          First Floor GA 2 Of 2"/>
        <s v="FS1018-PIN-ZZ-01-D-O-1002          Classroom General 2"/>
        <s v="FS1018-PIN-ZZ-01-D-O-1003          Classroom General 3"/>
        <s v="FS1018-PIN-ZZ-01-D-O-1004          Classroom General 4"/>
        <s v="FS1018-PIN-ZZ-01-D-O-1005          Classroom General 5"/>
        <s v="FS1018-PIN-ZZ-01-D-O-1006          Classroom General 6"/>
        <s v="FS1018-PIN-ZZ-01-D-O-1007          Classroom General 7"/>
        <s v="FS1018-PIN-ZZ-01-D-O-1008          Classroom General 8"/>
        <s v="FS1018-PIN-ZZ-01-D-O-1009          Classroom General 9"/>
        <s v="FS1018-PIN-ZZ-01-D-O-1021          Classroom General 1"/>
        <s v="FS1018-PIN-ZZ-01-D-O-1101          ICT Rich Classroom 1"/>
        <s v="FS1018-PIN-ZZ-01-D-O-1102          ICT Rich Classroom 2"/>
        <s v="FS1018-PIN-ZZ-01-D-O-1108          Art Room General"/>
        <s v="FS1018-PIN-ZZ-01-D-O-3006          Medical Treatment Mi Room 1 And 3007 Sen Resource Space 1"/>
        <s v="FS1018-PIN-ZZ-01-D-O-3009          Small Group Room Large Sen Etc. 1"/>
        <s v="FS1018-PIN-ZZ-01-D-O-4002          Meeting Room Conference 1"/>
        <s v="FS1018-PIN-ZZ-01-D-O-4007          Office Pastoral 1 And 5002 Teaching Resources Store It Gt Off Corridor 2"/>
        <s v="FS1018-PIN-ZZ-01-D-O-4012          Office With Meeting Area, 2 Person 1"/>
        <s v="FS1018-PIN-ZZ-01-D-O-4013          Office With Meeting Area, 2 Person 2"/>
        <s v="FS1018-PIN-ZZ-01-D-O-4016          Office Senco, Learning Support 1"/>
        <s v="FS1018-PIN-ZZ-01-D-O-4017          Staff Workroom ICT Technicians 1"/>
        <s v="FS1018-PIN-ZZ-01-D-O-5006          Teaching Resources Store Off Art Room 1"/>
        <s v="FS1018-PIN-ZZ-01-D-O-5017          Classroom Store, Room Off Sen Room 1"/>
        <s v="FS1018-PIN-ZZ-01-D-O-5104          Secure Storeroom 2"/>
        <s v="FS1018-PIN-ZZ-01-D-O-5110          Coats And Bag Store Lockers 2"/>
        <s v="FS1018-PIN-ZZ-01-D-O-5111          Coats And Bag Store Lockers 3"/>
        <s v="FS1018-PIN-ZZ-01-D-O-5112          Coats And Bag Store Lockers 4"/>
        <s v="FS1018-PIN-ZZ-01-D-O-5113          Coats And Bag Store Lockers 5"/>
        <s v="FS1018-PIN-ZZ-01-D-O-5116          Cleaners' Store 3"/>
        <s v="FS1018-PIN-ZZ-02-D-O-1010          Classroom General 10"/>
        <s v="FS1018-PIN-ZZ-02-D-O-1011          Classroom General 11"/>
        <s v="FS1018-PIN-ZZ-02-D-O-1012          Classroom General 12"/>
        <s v="FS1018-PIN-ZZ-02-D-O-1013          Classroom General 13"/>
        <s v="FS1018-PIN-ZZ-02-D-O-1014          Classroom General 14"/>
        <s v="FS1018-PIN-ZZ-02-D-O-1015          Classroom General 15"/>
        <s v="FS1018-PIN-ZZ-02-D-O-1016          Classroom General 16"/>
        <s v="FS1018-PIN-ZZ-02-D-O-1042          6042P Stairway 7 And 5113A Coats And Bag Store Lockers 5"/>
        <s v="FS1018-PIN-ZZ-02-D-O-1103          Science Laboratories Restrictive, Extg 1"/>
        <s v="FS1018-PIN-ZZ-02-D-O-1104          Science Laboratories Restrictive, Extg 2"/>
        <s v="FS1018-PIN-ZZ-02-D-O-1105          Science Laboratories Restrictive, Extg 3"/>
        <s v="FS1018-PIN-ZZ-02-D-O-1106          Science Laboratories Restrictive, Extg 4"/>
        <s v="FS1018-PIN-ZZ-02-D-O-1107          Science Laboratories Restrictive, Extg 5"/>
        <s v="FS1018-PIN-ZZ-02-D-O-2000          Second Floor GA"/>
        <s v="FS1018-PIN-ZZ-02-D-O-2042          6042O Stairway 7 And 5113B Coats And Bag Store Lockers 5"/>
        <s v="FS1018-PIN-ZZ-02-D-O-3008          Small Group Room Medium 1 And 6042T Stairway 7"/>
        <s v="FS1018-PIN-ZZ-02-D-O-3042          6042N Stairway 7, 5113C And 5113D Coats And Bag Store Lockers 5"/>
        <s v="FS1018-PIN-ZZ-02-D-O-4001          Staff Workroom Teaching Staff 1 And Teaching Resources Store It Gt Off Corridor 3"/>
        <s v="FS1018-PIN-ZZ-02-D-O-4014          Office With Meeting Area, 2 Person 3"/>
        <s v="FS1018-PIN-ZZ-02-D-O-5004          Science Prep Option 1"/>
        <s v="FS1018-PIN-ZZ-02-D-O-5005          Chemical Store 1"/>
        <s v="FS1018-PIN-ZZ-02-D-O-5020          Science Prep"/>
        <s v="FS1018-PIN-ZZ-02-D-O-5102          General Storeroom Central Stock 1"/>
        <s v="FS1018-PIN-ZZ-02-D-O-5115          Cleaners' Store 2"/>
        <s v="FS1018-PIN-ZZ-02-D-O-6113          Coats And Bags Store Lockers 5"/>
        <s v="FS1018-PIN-ZZ-02-D-O-7113          Coats And Bags Store Lockers 5"/>
        <s v="FS1018-PIN-ZZ-02-D-O-8113          Coats And Bags Store Lockers 5"/>
        <s v="FS1018-PIN-ZZ-02-D-O-9113          Coats And Bags Store Lockers 5"/>
        <s v="FS1018-PIN-ZZ-ZZ-L-O-0005          FFE Gap Analysis and Occupancy Schedule"/>
        <s v="FS1018-PIN-ZZ-ZZ-L-O-0006          Catering Equipment Schedule"/>
        <s v="FS1018-PIN-ZZ-ZZ-L-O-0007          FFE Cost Plan"/>
        <s v="FS1018-PIN-ZZ-ZZ-M-O-0001          FFE Revit Model"/>
        <s v="FS1018-PIN-ZZ-ZZ-M-O-0002          FFE IFC Model"/>
        <s v="FS1018-PIN-ZZ-ZZ-M-O-0003          FFE Navis Model"/>
        <s v="FS1018-PIN-ZZ-ZZ-M-O-0004          Catering IFC Model"/>
        <s v="FS1018-PIN-ZZ-ZZ-M-O-0005          Catering Revit Model"/>
        <s v="FS1018-PIN-ZZ-ZZ-M-O-0006          CATERING NWC MODEL"/>
        <s v="FS1018-ADT-ZZ-00-D-J-0001          Acoustic criteria - ground floor" u="1"/>
        <s v="FS1018-ADT-ZZ-00-D-J-0004          Acoustic  wall types - ground floor" u="1"/>
        <s v="FS1018-ADT-ZZ-01-D-J-0002          Acoustic criteria - first floor" u="1"/>
        <s v="FS1018-ADT-ZZ-01-D-J-0005          Acoustic wall types - first floor" u="1"/>
        <s v="FS1018-ADT-ZZ-02-D-J-0003          Acoustic criteria - second floor" u="1"/>
        <s v="FS1018-ADT-ZZ-02-D-J-0006          Acoustic wall types - second floor" u="1"/>
        <s v="FS1018-ADT-ZZ-ZZ-T-J-0001          Stage 3 acoustic strategy" u="1"/>
        <s v="FS1018-AGL-XX-XX-L-X-0007          Risk Register" u="1"/>
        <s v="FS1018-AGL-ZZ-00-D-E-6101          Level 00 Distribution Strategy" u="1"/>
        <s v="FS1018-AGL-ZZ-00-D-E-6301          Level 00 Lighting Lux Levels Strategy" u="1"/>
        <s v="FS1018-AGL-ZZ-00-D-E-6302          Level 00 Lighting Controls Strategy" u="1"/>
        <s v="FS1018-AGL-ZZ-00-D-E-6801          Level 00 Fire Alarm Strategy" u="1"/>
        <s v="FS1018-AGL-ZZ-00-D-E-6802          Level 00 CCTV and Access Control Strategy" u="1"/>
        <s v="FS1018-AGL-ZZ-00-D-E-6803          Level 00 PA Strategy" u="1"/>
        <s v="FS1018-AGL-ZZ-00-D-M-5201          Level 00 Above Ground Drainage Strategy" u="1"/>
        <s v="FS1018-AGL-ZZ-00-D-M-5301          Level 00 Domestic Water Services Strategy" u="1"/>
        <s v="FS1018-AGL-ZZ-00-D-M-5401          Level 00 Gas Strategy" u="1"/>
        <s v="FS1018-AGL-ZZ-00-D-M-5601          Level 00 Heating and Cooling Strategy" u="1"/>
        <s v="FS1018-AGL-ZZ-00-D-M-5701          Level 00 Ventilation Strategy" u="1"/>
        <s v="FS1018-AGL-ZZ-00-D-Z-9501          Level 00 Plant Access and Maintenance Strategy" u="1"/>
        <s v="FS1018-AGL-ZZ-01-D-E-6101          Level 01 Distribution Strategy" u="1"/>
        <s v="FS1018-AGL-ZZ-01-D-E-6301          Level 01 Lighting Lux Levels Strategy" u="1"/>
        <s v="FS1018-AGL-ZZ-01-D-E-6302          Level 01 Lighting Controls Strategy" u="1"/>
        <s v="FS1018-AGL-ZZ-01-D-E-6801          Level 01 Fire Alarm Strategy" u="1"/>
        <s v="FS1018-AGL-ZZ-01-D-E-6802          Level 01 CCTV and Access Control Strategy" u="1"/>
        <s v="FS1018-AGL-ZZ-01-D-E-6803          Level 01 PA Strategy" u="1"/>
        <s v="FS1018-AGL-ZZ-01-D-M-5201          Level 01 Above Ground Drainage Strategy" u="1"/>
        <s v="FS1018-AGL-ZZ-01-D-M-5301          Level 01 Domestic Water Services Strategy" u="1"/>
        <s v="FS1018-AGL-ZZ-01-D-M-5401          Level 01 Gas Strategy" u="1"/>
        <s v="FS1018-AGL-ZZ-01-D-M-5601          Level 01 Heating and Cooling Strategy" u="1"/>
        <s v="FS1018-AGL-ZZ-01-D-M-5701          Level 01 Ventilation Strategy" u="1"/>
        <s v="FS1018-AGL-ZZ-01-D-Z-9501          Level 01 Plant Access and Maintenance Strategy" u="1"/>
        <s v="FS1018-AGL-ZZ-02-D-E-6101          Level 02 Distribution Strategy" u="1"/>
        <s v="FS1018-AGL-ZZ-02-D-E-6301          Level 02 Lighting Lux Levels Strategy" u="1"/>
        <s v="FS1018-AGL-ZZ-02-D-E-6302          Level 02 Lighting Controls Strategy" u="1"/>
        <s v="FS1018-AGL-ZZ-02-D-E-6801          Level 02 Fire Alarm Strategy" u="1"/>
        <s v="FS1018-AGL-ZZ-02-D-E-6802          Level 02 CCTV and Access Control Strategy" u="1"/>
        <s v="FS1018-AGL-ZZ-02-D-E-6803          Level 02 PA Strategy" u="1"/>
        <s v="FS1018-AGL-ZZ-02-D-M-5201          Level 02 Above Ground Drainage Strategy" u="1"/>
        <s v="FS1018-AGL-ZZ-02-D-M-5301          Level 02 Domestic Water Services Strategy" u="1"/>
        <s v="FS1018-AGL-ZZ-02-D-M-5401          Level 02 Gas Strategy" u="1"/>
        <s v="FS1018-AGL-ZZ-02-D-M-5601          Level 02 Heating and Cooling Strategy" u="1"/>
        <s v="FS1018-AGL-ZZ-02-D-M-5701          Level 02 Ventilation Strategy" u="1"/>
        <s v="FS1018-AGL-ZZ-02-D-Z-9501          Level 02 Plant Access and Maintenance Strategy" u="1"/>
        <s v="FS1018-AGL-ZZ-RF-D-M-5301          Roof Level Domestic Water Services Strategy" u="1"/>
        <s v="FS1018-AGL-ZZ-RF-D-M-5801          Roof Level Plantroom Strategy" u="1"/>
        <s v="FS1018-AGL-ZZ-RF-D-Z-6101          Roof Level Mechanical and Electrical Strategy" u="1"/>
        <s v="FS1018-AGL-ZZ-XX-D-E-6802          External Access Control Strategy" u="1"/>
        <s v="FS1018-AGL-ZZ-XX-L-M-0001          Proposed Manufacturers Mechanical Schedule" u="1"/>
        <s v="FS1018-AGL-ZZ-XX-L-M-0002          Peak Water Demand BS EN 806" u="1"/>
        <s v="FS1018-AGL-ZZ-XX-L-Z-0002          Derogation Schedule" u="1"/>
        <s v="FS1018-AGL-ZZ-XX-L-Z-0003          M and E Design Development Report" u="1"/>
        <s v="FS1018-AGL-ZZ-XX-T-Z-0001          Gateway M and E Proposal Report" u="1"/>
        <s v="FS1018-AGL-ZZ-XX-T-Z-0002          M and E Plant Access Maintenance and Replacement Strategy" u="1"/>
        <s v="FS1018-AGL-ZZ-XX-T-Z-0003          Thermal Modelling and Compliance Report" u="1"/>
        <s v="FS1018-AGL-ZZ-ZZ-D-E-7205          Typical Teachers Wall Detail" u="1"/>
        <s v="FS1018-AGL-ZZ-ZZ-D-Z-5002          Typical Riser and Corridor Details" u="1"/>
        <s v="FS1018-AGL-ZZ-ZZ-D-Z-5801          Level 00 Plantroom and Server Room Strategy" u="1"/>
        <s v="FS1018-AGL-ZZ-ZZ-D-Z-7201          Typical Classroom Strategy" u="1"/>
        <s v="FS1018-AGL-ZZ-ZZ-D-Z-7202          Typical Science Room Strategy" u="1"/>
        <s v="FS1018-AGL-ZZ-ZZ-D-Z-7203          Typical ICT Classroom Strategy" u="1"/>
        <s v="FS1018-AGL-ZZ-ZZ-D-Z-7204          Typical DT Classroom Strategy" u="1"/>
        <s v="FS1018-AGL-ZZ-ZZ-G-E-6001          LV Schematic" u="1"/>
        <s v="FS1018-AGL-ZZ-ZZ-G-E-6801          Fire Alarm Strategy Schematic" u="1"/>
        <s v="FS1018-AGL-ZZ-ZZ-G-M-5001          Controls Strategy Schematic" u="1"/>
        <s v="FS1018-AGL-ZZ-ZZ-G-M-5401          Gas Strategy Schematic" u="1"/>
        <s v="FS1018-AGL-ZZ-ZZ-G-M-5701          Ventilation Strategy Schematic" u="1"/>
        <s v="FS1018-AGL-ZZ-ZZ-G-M-5801          Heating and Domestic Water Plant Strategy Schematic" u="1"/>
        <s v="FS1018-AGL-ZZ-ZZ-G-M-9600          PV Proposal" u="1"/>
        <s v="FS1018-AGL-ZZ-ZZ-M-Z-0001          MEPModel Revit" u="1"/>
        <s v="FS1018-AGL-ZZ-ZZ-M-Z-0002          MEPModel IFC" u="1"/>
        <s v="FS1018-AGL-ZZ-ZZ-M-Z-0003          MEPModel NWC" u="1"/>
        <s v="FS1018-AMT-XX-XX-L-O-0001          Preliminary Ecological Appraisal" u="1"/>
        <s v="FS1018-AMT-XX-XX-L-O-0002          Tree Survey and Constraints Report" u="1"/>
        <s v="FS1018-CPM-01-XX-T-A-0005          Teaching Block Finishes" u="1"/>
        <s v="FS1018-CPM-01-XX-T-A-0010          Outline Specification" u="1"/>
        <s v="FS1018-CPM-01-ZZ-L-A-0000          Building Model COBie" u="1"/>
        <s v="FS1018-CPM-XX-XX-T-A-0010          OutlineSpecification" u="1"/>
        <s v="FS1018-CPM-XX-XX-T-A-0020          Design and Access Statement" u="1"/>
        <s v="FS1018-CPM-XX-XX-T-A-5001          Stage 3 Report" u="1"/>
        <s v="FS1018-CPM-XX-ZZ-L-A-0000          Building Model COBie" u="1"/>
        <s v="FS1018-CPM-ZZ-00-D-A-0001          Reflected Ceiling Plan L00" u="1"/>
        <s v="FS1018-CPM-ZZ-00-D-A-2001          GA Proposed Floor Plan L00" u="1"/>
        <s v="FS1018-CPM-ZZ-01-D-A-0001          Reflected CeilingPlan L01" u="1"/>
        <s v="FS1018-CPM-ZZ-01-D-A-2002          GA Proposed Floor Plan L01" u="1"/>
        <s v="FS1018-CPM-ZZ-02-D-A-0001          Reflected Ceiling Plan L02" u="1"/>
        <s v="FS1018-CPM-ZZ-02-D-A-2003          GA Proposed Floor Plan L02" u="1"/>
        <s v="FS1018-CPM-ZZ-ZZ-D-A-0051          Zoning &amp; Security Strategy" u="1"/>
        <s v="FS1018-CPM-ZZ-ZZ-D-A-0052          Sanitary &amp; Hygiene Strategy" u="1"/>
        <s v="FS1018-CPM-ZZ-ZZ-D-A-0053          Access &amp; Maintenance Strategy" u="1"/>
        <s v="FS1018-CPM-ZZ-ZZ-D-A-0054          Cleaning &amp; Maintenance Strategy" u="1"/>
        <s v="FS1018-CPM-ZZ-ZZ-D-A-2001          GA Proposed Sections AABBCCDD" u="1"/>
        <s v="FS1018-CPM-ZZ-ZZ-D-A-2002          GA Proposed Section EE 1 To 125" u="1"/>
        <s v="FS1018-CPM-ZZ-ZZ-D-A-2005          GA Proposed Section EE" u="1"/>
        <s v="FS1018-CPM-ZZ-ZZ-D-A-2010          GA Proposed Elevations Sheet 01" u="1"/>
        <s v="FS1018-CPM-ZZ-ZZ-D-A-2011          GA Proposed Elevations Sheet 2" u="1"/>
        <s v="FS1018-CPM-ZZ-ZZ-D-A-2013          GA Proposed Elevations SE 1 To 125" u="1"/>
        <s v="FS1018-CPM-ZZ-ZZ-D-A-2014          GA Proposed Elevations NW 1 to 125" u="1"/>
        <s v="FS1018-CPM-ZZ-ZZ-D-A-2031          Visuals Sheet 01 External" u="1"/>
        <s v="FS1018-CPM-ZZ-ZZ-D-A-2032          Visuals Sheet 02 Internal" u="1"/>
        <s v="FS1018-CPM-ZZ-ZZ-D-A-2141          Construction Building Sections" u="1"/>
        <s v="FS1018-CPM-ZZ-ZZ-D-A-4007          GA Ceiling Finishes Strategy" u="1"/>
        <s v="FS1018-CPM-ZZ-ZZ-M-A-0003          Building Model Navisworks" u="1"/>
        <s v="FS1018-CPM-ZZ-ZZ-M-A-0004          Building Model IFC" u="1"/>
        <s v="FS1018-CPM-ZZ-ZZ-M-A-0005          Building Model Revit" u="1"/>
        <s v="FS1018-CPM-ZZ-ZZ-V-A-0001          Flythrough Video" u="1"/>
        <s v="FS1018-DSI-XX-XX-T-G-0001          GI Geo Environmental Assesment" u="1"/>
        <s v="FS1018-EVR-XX-XX-T-O-0001          ICT Decant Plan" u="1"/>
        <s v="FS1018-EVR-XX-XX-T-O-0003          Draft ICT CPs" u="1"/>
        <s v="FS1018-GLE-XX-XX-T-Z-0001          PV System Calculation" u="1"/>
        <s v="FS1018-HBC-XX-XX-D-R-9999          DfE Wisbech - Blank TEST Document" u="1"/>
        <s v="FS1018-HBC-XX-XX-D-X-0001          Site Set Up Plan" u="1"/>
        <s v="FS1018-HBC-XX-XX-D-X-0002          Site Phasing Plan" u="1"/>
        <s v="FS1018-HBC-XX-XX-D-X-0003          Phase1" u="1"/>
        <s v="FS1018-HBC-XX-XX-D-X-0004          Site Set Up Plan Phase 2" u="1"/>
        <s v="FS1018-HBC-XX-XX-D-X-0004          Phase2" u="1"/>
        <s v="FS1018-HBC-XX-XX-D-X-0005          Roof Plan PV Annotations Mark up" u="1"/>
        <s v="FS1018-HBC-XX-XX-L-X-0006          Work Package Procurement Plan" u="1"/>
        <s v="FS1018-HBC-XX-XX-L-X-0012          Framewok Pricing Schedule" u="1"/>
        <s v="FS1018-HBC-XX-XX-L-X-0013          KPI Key Performance Indicator" u="1"/>
        <s v="FS1018-HBC-XX-XX-L-X-0015          Supplier Directory Organisation Chart" u="1"/>
        <s v="FS1018-HBC-XX-XX-L-X-0017          Supplier Chain Directory" u="1"/>
        <s v="FS1018-HBC-XX-XX-L-X-2003          HB Workflow Comment Tracker" u="1"/>
        <s v="FS1018-HBC-XX-XX-T-R-0001          CDE Guide - Aconex" u="1"/>
        <s v="FS1018-HBC-XX-XX-T-X-0017          CEM1 Meeting Minutes" u="1"/>
        <s v="FS1018-HBC-XX-XX-T-X-0018          CEM2 Meeting Minutes" u="1"/>
        <s v="FS1018-HBC-XX-XX-T-X-0019          CEM3 Meeting Minutes" u="1"/>
        <s v="FS1018-HBC-XX-XX-T-X-0020          CEM4 Meeting Minutes" u="1"/>
        <s v="FS1018-HBC-XX-XX-T-X-0021          CEM5 Meeting Minutes" u="1"/>
        <s v="FS1018-HBC-XX-XX-T-X-0022          CEM6 Meeting Minutes" u="1"/>
        <s v="FS1018-HBC-XX-XX-T-X-0023          ICT Meeting Minutes" u="1"/>
        <s v="FS1018-HEX-XX-00-T-H-0002          Framework School Travel Plan" u="1"/>
        <s v="FS1018-HEX-XX-XX-T-C-0001          Flood Risk Assessment" u="1"/>
        <s v="FS1018-HEX-XX-XX-T-C-0002          SuDS Operations and Maintenance Manual" u="1"/>
        <s v="FS1018-HEX-ZZ-ZZ-D-S-0602          STRUCTURAL SECTIONS &amp; DETAILS" u="1"/>
        <s v="FS1018-HEX-ZZ-ZZ-M-C-0003          Navisowrks Civil Model" u="1"/>
        <s v="FS1018-MAJ-XX-XX-L-X-0090          DetailedResponsibilityMatrix" u="1"/>
        <s v="FS1018-MAJ-XX-XX-L-X-8001          AssetRegister" u="1"/>
        <s v="FS1018-MAJ-XX-XX-L-X-8002          COBieQCReport" u="1"/>
        <s v="FS1018-MAJ-XX-XX-T-X-1001          InformationManagersReport" u="1"/>
        <s v="FS1018-MAJ-ZZ-ZZ-M-X-0001          FederatedInformationModel" u="1"/>
        <s v="FS1018-OFR-XX-00-D-K-0001          Fire Safety Mark" u="1"/>
        <s v="FS1018-OFR-XX-00-D-K-0001          Fire Strategy Markup" u="1"/>
        <s v="FS1018-OFR-XX-01-D-K-0001          Fire Safety Mark" u="1"/>
        <s v="FS1018-OFR-XX-01-D-K-0001          Fire Strategy Markup" u="1"/>
        <s v="FS1018-OFR-XX-02-D-K-0001          Fire Safety Mark" u="1"/>
        <s v="FS1018-OFR-XX-02-D-K-0001          Fire Strategy Markup" u="1"/>
        <s v="FS1018-OFR-XX-RF-D-K-0001          Fire Strategy Markup" u="1"/>
        <s v="FS1018-OFR-XX-XX-D-K-0001          Fire Safety Mark" u="1"/>
        <s v="FS1018-OFR-XX-XX-D-K-0001          Fire Strategy Markup" u="1"/>
        <s v="FS1018-ONE-00-XX-T-L-0001          OutlineSpecification" u="1"/>
        <s v="FS1018-ONE-XX-XX-T-L-0003          Risk Register" u="1"/>
        <s v="FS1018-ONE-XX-ZZ-D-L-0009          Access Security Strategy" u="1"/>
        <s v="FS1018-ONE-XX-ZZ-D-L-0009          Access and Security Strategy (with external fences)" u="1"/>
        <s v="FS1018-ONE-XX-ZZ-D-L-0201          Detailed Planting Plan Sheet 1of 5" u="1"/>
        <s v="FS1018-ONE-XX-ZZ-D-L-0202          Detailed Planting Plan Sheet 2of 5" u="1"/>
        <s v="FS1018-ONE-XX-ZZ-D-L-0203          Detailed Planting Plan Sheet 3of 5" u="1"/>
        <s v="FS1018-ONE-XX-ZZ-D-L-0204          Detailed Planting Plan Sheet 4of 5" u="1"/>
        <s v="FS1018-ONE-XX-ZZ-D-L-0205          Detailed Planting Plan Sheet 5of 5" u="1"/>
        <s v="FS1018-ONE-XX-ZZ-D-L-0401          Outline Levels Plan 1of 5" u="1"/>
        <s v="FS1018-ONE-XX-ZZ-D-L-0402          Outline Levels Plan 2of 5" u="1"/>
        <s v="FS1018-ONE-XX-ZZ-D-L-0403          Outline Levels Plan 3of 5" u="1"/>
        <s v="FS1018-ONE-XX-ZZ-D-L-0404          Outline Levels Plan 4of 5" u="1"/>
        <s v="FS1018-ONE-XX-ZZ-D-L-0405          Outline Levels Plan 5of 5" u="1"/>
        <s v="FS1018-ONE-ZZ-ZZ-M-L-0001          Landscape ModelLandscapeModel" u="1"/>
        <s v="FS1018-ONE-ZZ-ZZ-M-L-0002          LandscapeModel" u="1"/>
        <s v="FS1018-ONE-ZZ-ZZ-M-L-0003          LandscapeModel" u="1"/>
        <s v="FS1018-PIN-ZZ-00-D-O-0001          GROUND FLOOR GA (1 OF 2)" u="1"/>
        <s v="FS1018-PIN-ZZ-00-D-O-0002          GROUND FLOOR GA (2 OF 2)" u="1"/>
        <s v="FS1018-PIN-ZZ-00-D-O-0601          Food Prep Area, Kitchen (Servery And Wash Up) 1" u="1"/>
        <s v="FS1018-PIN-ZZ-00-D-O-1111          FOOD ROOM 1" u="1"/>
        <s v="FS1018-PIN-ZZ-00-D-O-1112          DT STUDIO (GRAPHIC PRODUCTS)" u="1"/>
        <s v="FS1018-PIN-ZZ-00-D-O-1113          DT STUDIO (ELECTRONICS &amp; CONTROL)" u="1"/>
        <s v="FS1018-PIN-ZZ-00-D-O-2001          ASSEMBLY HALL, SECONDARY" u="1"/>
        <s v="FS1018-PIN-ZZ-00-D-O-2002          SPORTS HALL (EXAM LAYOUT)" u="1"/>
        <s v="FS1018-PIN-ZZ-00-D-O-2003          ASSEMBLY HALL, SECONDARY LAYOUT 2" u="1"/>
        <s v="FS1018-PIN-ZZ-00-D-O-3001          LRC OPTION 1" u="1"/>
        <s v="FS1018-PIN-ZZ-00-D-O-3002          Sports Hall (Sport Layout)" u="1"/>
        <s v="FS1018-PIN-ZZ-00-D-O-4003          Enclosed Office, Admin (Head) 1" u="1"/>
        <s v="FS1018-PIN-ZZ-00-D-O-4004          Enclosed Office, Admin (Pa)1" u="1"/>
        <s v="FS1018-PIN-ZZ-00-D-O-4006          Enclosed Office, With Recep Desk (And Window) 1" u="1"/>
        <s v="FS1018-PIN-ZZ-00-D-O-4008          Reception Area, Entrance (50% Circulation)" u="1"/>
        <s v="FS1018-PIN-ZZ-00-D-O-4009          Confidential Meeting Room (Interview) 1" u="1"/>
        <s v="FS1018-PIN-ZZ-00-D-O-4015          Office (With Meeting Area, 2 Person) 4" u="1"/>
        <s v="FS1018-PIN-ZZ-00-D-O-4018          Staff Workroom (Premises) 1 And Equipment Store, Maintenance 1" u="1"/>
        <s v="FS1018-PIN-ZZ-00-D-O-5001          Assembly Hall, Secondary Option 2" u="1"/>
        <s v="FS1018-PIN-ZZ-00-D-O-5003          Confidential Meeting Room (Interview) 1" u="1"/>
        <s v="FS1018-PIN-ZZ-00-D-O-5009          Teaching Resources Store (Off Dt Studio)" u="1"/>
        <s v="FS1018-PIN-ZZ-00-D-O-5011          Teaching Resources Store (Off Dt Studio)" u="1"/>
        <s v="FS1018-PIN-ZZ-00-D-O-5013          Teaching Resources Store (Music) 1" u="1"/>
        <s v="FS1018-PIN-ZZ-00-D-O-5018          Sports Equipment Store, Internal (Sports Hall) 1" u="1"/>
        <s v="FS1018-PIN-ZZ-00-D-O-5021          DT STUDIO (GRAPHIC PRODUCTS) OPTION 2" u="1"/>
        <s v="FS1018-PIN-ZZ-00-D-O-5109          Coats And Bag Store (Lockers) 1" u="1"/>
        <s v="FS1018-PIN-ZZ-00-D-O-6003          Food Store, Kitchen (Dry) 1" u="1"/>
        <s v="FS1018-PIN-ZZ-00-D-O-6005          Cold Store, Kithen (Freezer) 1" u="1"/>
        <s v="FS1018-PIN-ZZ-00-D-O-6006          Toilet, Kitchen (With Changing Area) 1" u="1"/>
        <s v="FS1018-PIN-ZZ-00-D-O-6007          Changing Room, With Showers (Pupils) 1 And Toilets, Suite (Pupils, Other) 1" u="1"/>
        <s v="FS1018-PIN-ZZ-00-D-O-6008          Changing Room, With Showers (Pupils) 2 And Toilets, Suite (Pupils, Other) 2" u="1"/>
        <s v="FS1018-PIN-ZZ-00-D-O-6042          First Aid Post (Sick Bay) 1 And Stairway 7" u="1"/>
        <s v="FS1018-PIN-ZZ-00-D-O-6069          Circulation Space (Horizontal) On And Coats And Bag Store (Lockers) 1" u="1"/>
        <s v="FS1018-PIN-ZZ-00-D-O-8003          Music Practice Room (Extensive) 1" u="1"/>
        <s v="FS1018-PIN-ZZ-00-D-O-9001          Classroom Store, Room (Off Sen Room) 1" u="1"/>
        <s v="FS1018-PIN-ZZ-00-D-O-9003          Teaching Resources Store (Music) 2" u="1"/>
        <s v="FS1018-PIN-ZZ-01-D-O-1000          FIRST FLOOR GA (1 OF 2)" u="1"/>
        <s v="FS1018-PIN-ZZ-01-D-O-1001          FIRST FLOOR GA (2 OF 2)" u="1"/>
        <s v="FS1018-PIN-ZZ-01-D-O-1002          Classroom (General) 2" u="1"/>
        <s v="FS1018-PIN-ZZ-01-D-O-1003          Classroom (General) 3" u="1"/>
        <s v="FS1018-PIN-ZZ-01-D-O-1004          Classroom (General) 4" u="1"/>
        <s v="FS1018-PIN-ZZ-01-D-O-1005          Classroom (General) 5" u="1"/>
        <s v="FS1018-PIN-ZZ-01-D-O-1006          Classroom (General) 6" u="1"/>
        <s v="FS1018-PIN-ZZ-01-D-O-1007          GENERAL CLASSROOM" u="1"/>
        <s v="FS1018-PIN-ZZ-01-D-O-1007          Classroom (General) 7" u="1"/>
        <s v="FS1018-PIN-ZZ-01-D-O-1008          Classroom (General) 8" u="1"/>
        <s v="FS1018-PIN-ZZ-01-D-O-1009          Classroom (General) 9" u="1"/>
        <s v="FS1018-PIN-ZZ-01-D-O-1021          CLASSROOM (GENERAL) 1" u="1"/>
        <s v="FS1018-PIN-ZZ-01-D-O-1108          ART ROOM (GENERAL)" u="1"/>
        <s v="FS1018-PIN-ZZ-01-D-O-3006          Medical Treatment (Mi) Room 1 &amp; 3007 Sen Resource Space 1" u="1"/>
        <s v="FS1018-PIN-ZZ-01-D-O-3009          Small Group Room (Large Sen Etc.) 1" u="1"/>
        <s v="FS1018-PIN-ZZ-01-D-O-4002          Meeting Room (Conference) 1" u="1"/>
        <s v="FS1018-PIN-ZZ-01-D-O-4007          Office (Pastoral) 1 And 5002 Teaching Resources Store (Itgt Off Corridor) 2" u="1"/>
        <s v="FS1018-PIN-ZZ-01-D-O-4012          Office (With Meeting Area, 2 Person) 1" u="1"/>
        <s v="FS1018-PIN-ZZ-01-D-O-4013          Office (With Meeting Area, 2 Person) 2" u="1"/>
        <s v="FS1018-PIN-ZZ-01-D-O-4016          Office (Senco, Learning Support) 1" u="1"/>
        <s v="FS1018-PIN-ZZ-01-D-O-4017          Staff Workroom (Ict Technicians) 1" u="1"/>
        <s v="FS1018-PIN-ZZ-01-D-O-5006          Teaching Resources Store (Off Art Room) 1" u="1"/>
        <s v="FS1018-PIN-ZZ-01-D-O-5017          Classroom Store, Room (Off Sen Room) 1" u="1"/>
        <s v="FS1018-PIN-ZZ-01-D-O-5042          66042K Stairway 7 And 5112 Coats And Bag Store (Lockers) 4" u="1"/>
        <s v="FS1018-PIN-ZZ-01-D-O-5110          Coats And Bag Store (Lockers) 2" u="1"/>
        <s v="FS1018-PIN-ZZ-01-D-O-5111          Coats And Bag Store (Lockers) 3" u="1"/>
        <s v="FS1018-PIN-ZZ-01-D-O-5112          Coats And Bag Store (Lockers) 4" u="1"/>
        <s v="FS1018-PIN-ZZ-01-D-O-5113          Coats And Bag Store (Lockers) 5" u="1"/>
        <s v="FS1018-PIN-ZZ-01-D-O-7042          66042L Stairway 7 And 5113 Coats And Bag Store (Lockers) 5" u="1"/>
        <s v="FS1018-PIN-ZZ-01-D-O-8042          66042I Stairway 7 And 5110 Coats And Bag Store (Lockers) 2" u="1"/>
        <s v="FS1018-PIN-ZZ-01-D-O-9042          66042J Circulation Space (Horizontal) On And 5111 Coats And Bag Store (Lockers) 3" u="1"/>
        <s v="FS1018-PIN-ZZ-02-D-O-1010          Classroom (General) 10" u="1"/>
        <s v="FS1018-PIN-ZZ-02-D-O-1011          Classroom (General) 11" u="1"/>
        <s v="FS1018-PIN-ZZ-02-D-O-1012          Classroom (General) 12" u="1"/>
        <s v="FS1018-PIN-ZZ-02-D-O-1013          Classroom (General) 13" u="1"/>
        <s v="FS1018-PIN-ZZ-02-D-O-1014          Classroom (General) 14" u="1"/>
        <s v="FS1018-PIN-ZZ-02-D-O-1015          Classroom (General) 15" u="1"/>
        <s v="FS1018-PIN-ZZ-02-D-O-1016          Classroom (General) 16" u="1"/>
        <s v="FS1018-PIN-ZZ-02-D-O-1042          66042P Stairway 7 &amp; 5113A Coats And Bag Store (Lockers) 5" u="1"/>
        <s v="FS1018-PIN-ZZ-02-D-O-1103          SCIENCE LABORATORIES (RESTRICTIVE, EXTG) 1" u="1"/>
        <s v="FS1018-PIN-ZZ-02-D-O-1104          Science Laboratories (Restrictive, Extg) 2" u="1"/>
        <s v="FS1018-PIN-ZZ-02-D-O-1105          Science Laboratories (Restrictive, Extg) 3" u="1"/>
        <s v="FS1018-PIN-ZZ-02-D-O-1106          SCIENCE LAB" u="1"/>
        <s v="FS1018-PIN-ZZ-02-D-O-1106          Science Laboratories (Restrictive, Extg) 4" u="1"/>
        <s v="FS1018-PIN-ZZ-02-D-O-1107          Science Laboratories (Restrictive, Extg) 5" u="1"/>
        <s v="FS1018-PIN-ZZ-02-D-O-2042          6042O Stairway 7 &amp; 5113B Coats And Bag Store (Lockers) 5" u="1"/>
        <s v="FS1018-PIN-ZZ-02-D-O-3008          Small Group Room (Medium) 1 and 6042T Stairway 7" u="1"/>
        <s v="FS1018-PIN-ZZ-02-D-O-3042          6042N Stairway 7, 5113C and 5113D Coats And Bag Store (Lockers) 5" u="1"/>
        <s v="FS1018-PIN-ZZ-02-D-O-4001          STAFF WORKROOM" u="1"/>
        <s v="FS1018-PIN-ZZ-02-D-O-4001          Staff Workroom (Teaching Staff) 1 And Teaching Resources Store (Itgt Off Corridor) 3" u="1"/>
        <s v="FS1018-PIN-ZZ-02-D-O-4011          Office (2 Person) 1" u="1"/>
        <s v="FS1018-PIN-ZZ-02-D-O-4014          Office (With Meeting Area, 2 Person) 3" u="1"/>
        <s v="FS1018-PIN-ZZ-02-D-O-5004          SCIENCE PREP" u="1"/>
        <s v="FS1018-PIN-ZZ-02-D-O-5020          Science Prep Option 2" u="1"/>
        <s v="FS1018-PIN-ZZ-02-D-O-5102          General Storeroom (Central Stock) 1" u="1"/>
        <s v="FS1018-PIN-ZZ-02-D-O-6113          Coats And Bags Store (Lockers) 5" u="1"/>
        <s v="FS1018-PIN-ZZ-02-D-O-7113          Coats And Bags Store (Lockers) 5" u="1"/>
        <s v="FS1018-PIN-ZZ-02-D-O-8113          Coats And Bags Store (Lockers) 5" u="1"/>
        <s v="FS1018-PIN-ZZ-02-D-O-9113          Coats And Bags Store (Lockers) 5" u="1"/>
        <s v="FS1018-PIN-ZZ-ZZ-L-O-0005          Wisbech Secondary School Occupancy Schedule" u="1"/>
        <s v="DRW-000001          Dummy 1" u="1"/>
        <s v="DRW-000002          Dummy 2 New Title" u="1"/>
        <s v="DRW-000003          Dummy 3" u="1"/>
        <s v="DRW-000004          Dummy 4" u="1"/>
        <s v="DRW-000005          Dummy 5" u="1"/>
        <s v="DRW-000006          Dummy 6" u="1"/>
        <s v="DRW-000007          Dummy 8 - Superseded" u="1"/>
        <s v="PLN-000001          Dummy 7" u="1"/>
      </sharedItems>
    </cacheField>
    <cacheField name="(Helper) Hyperlink" numFmtId="0">
      <sharedItems/>
    </cacheField>
  </cacheFields>
  <extLst>
    <ext xmlns:x14="http://schemas.microsoft.com/office/spreadsheetml/2009/9/main" uri="{725AE2AE-9491-48be-B2B4-4EB974FC3084}">
      <x14:pivotCacheDefinition pivotCacheId="811636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
  <r>
    <s v="FS1018-ADT-ZZ-00-D-J-0001"/>
    <x v="0"/>
    <x v="0"/>
    <x v="0"/>
    <x v="0"/>
  </r>
  <r>
    <s v="FS1018-ADT-ZZ-00-D-J-0004"/>
    <x v="1"/>
    <x v="1"/>
    <x v="0"/>
    <x v="1"/>
  </r>
  <r>
    <s v="FS1018-ADT-ZZ-01-D-J-0002"/>
    <x v="1"/>
    <x v="1"/>
    <x v="0"/>
    <x v="1"/>
  </r>
  <r>
    <s v="FS1018-ADT-ZZ-01-D-J-0005"/>
    <x v="1"/>
    <x v="1"/>
    <x v="0"/>
    <x v="1"/>
  </r>
  <r>
    <s v="FS1018-ADT-ZZ-02-D-J-0003"/>
    <x v="1"/>
    <x v="1"/>
    <x v="0"/>
    <x v="1"/>
  </r>
  <r>
    <s v="FS1018-ADT-ZZ-02-D-J-0006"/>
    <x v="1"/>
    <x v="1"/>
    <x v="0"/>
    <x v="1"/>
  </r>
  <r>
    <s v="FS1018-ADT-ZZ-ZZ-T-J-0001"/>
    <x v="0"/>
    <x v="0"/>
    <x v="0"/>
    <x v="0"/>
  </r>
  <r>
    <s v="FS1018-ADT-ZZ-ZZ-T-Y-0002"/>
    <x v="1"/>
    <x v="1"/>
    <x v="0"/>
    <x v="1"/>
  </r>
  <r>
    <s v="FS1018-AGL-ZZ-00-D-E-6110"/>
    <x v="1"/>
    <x v="1"/>
    <x v="0"/>
    <x v="1"/>
  </r>
  <r>
    <s v="FS1018-AGL-ZZ-00-D-E-6111"/>
    <x v="1"/>
    <x v="1"/>
    <x v="0"/>
    <x v="1"/>
  </r>
  <r>
    <s v="FS1018-AGL-ZZ-00-D-E-6112"/>
    <x v="0"/>
    <x v="0"/>
    <x v="0"/>
    <x v="0"/>
  </r>
  <r>
    <s v="FS1018-AGL-ZZ-00-D-E-6114"/>
    <x v="1"/>
    <x v="1"/>
    <x v="0"/>
    <x v="1"/>
  </r>
  <r>
    <s v="FS1018-AGL-ZZ-00-D-E-6210"/>
    <x v="1"/>
    <x v="1"/>
    <x v="0"/>
    <x v="1"/>
  </r>
  <r>
    <s v="FS1018-AGL-ZZ-00-D-E-6211"/>
    <x v="1"/>
    <x v="1"/>
    <x v="0"/>
    <x v="1"/>
  </r>
  <r>
    <s v="FS1018-AGL-ZZ-00-D-E-6212"/>
    <x v="0"/>
    <x v="2"/>
    <x v="0"/>
    <x v="0"/>
  </r>
  <r>
    <s v="FS1018-AGL-ZZ-00-D-E-6213"/>
    <x v="1"/>
    <x v="1"/>
    <x v="0"/>
    <x v="1"/>
  </r>
  <r>
    <s v="FS1018-AGL-ZZ-00-D-E-6214"/>
    <x v="1"/>
    <x v="1"/>
    <x v="0"/>
    <x v="1"/>
  </r>
  <r>
    <s v="FS1018-AGL-ZZ-00-D-E-6215"/>
    <x v="1"/>
    <x v="1"/>
    <x v="0"/>
    <x v="1"/>
  </r>
  <r>
    <s v="FS1018-AGL-ZZ-00-D-E-6310"/>
    <x v="0"/>
    <x v="0"/>
    <x v="0"/>
    <x v="0"/>
  </r>
  <r>
    <s v="FS1018-AGL-ZZ-00-D-E-6311"/>
    <x v="0"/>
    <x v="0"/>
    <x v="0"/>
    <x v="0"/>
  </r>
  <r>
    <s v="FS1018-AGL-ZZ-00-D-E-6312"/>
    <x v="0"/>
    <x v="0"/>
    <x v="0"/>
    <x v="0"/>
  </r>
  <r>
    <s v="FS1018-AGL-ZZ-00-D-E-6810"/>
    <x v="1"/>
    <x v="1"/>
    <x v="0"/>
    <x v="1"/>
  </r>
  <r>
    <s v="FS1018-AGL-ZZ-00-D-E-6811"/>
    <x v="1"/>
    <x v="1"/>
    <x v="0"/>
    <x v="1"/>
  </r>
  <r>
    <s v="FS1018-AGL-ZZ-00-D-E-6812"/>
    <x v="0"/>
    <x v="2"/>
    <x v="0"/>
    <x v="0"/>
  </r>
  <r>
    <s v="FS1018-AGL-ZZ-00-D-E-6820"/>
    <x v="1"/>
    <x v="1"/>
    <x v="0"/>
    <x v="1"/>
  </r>
  <r>
    <s v="FS1018-AGL-ZZ-00-D-E-6821"/>
    <x v="1"/>
    <x v="1"/>
    <x v="0"/>
    <x v="1"/>
  </r>
  <r>
    <s v="FS1018-AGL-ZZ-00-D-E-6822"/>
    <x v="1"/>
    <x v="1"/>
    <x v="0"/>
    <x v="1"/>
  </r>
  <r>
    <s v="FS1018-AGL-ZZ-00-D-E-6840"/>
    <x v="0"/>
    <x v="2"/>
    <x v="0"/>
    <x v="0"/>
  </r>
  <r>
    <s v="FS1018-AGL-ZZ-00-D-E-6841"/>
    <x v="1"/>
    <x v="1"/>
    <x v="0"/>
    <x v="1"/>
  </r>
  <r>
    <s v="FS1018-AGL-ZZ-00-D-E-6842"/>
    <x v="1"/>
    <x v="1"/>
    <x v="0"/>
    <x v="1"/>
  </r>
  <r>
    <s v="FS1018-AGL-ZZ-00-D-E-9001"/>
    <x v="0"/>
    <x v="0"/>
    <x v="0"/>
    <x v="0"/>
  </r>
  <r>
    <s v="FS1018-AGL-ZZ-00-D-M-5210"/>
    <x v="0"/>
    <x v="2"/>
    <x v="0"/>
    <x v="0"/>
  </r>
  <r>
    <s v="FS1018-AGL-ZZ-00-D-M-5211"/>
    <x v="0"/>
    <x v="2"/>
    <x v="0"/>
    <x v="0"/>
  </r>
  <r>
    <s v="FS1018-AGL-ZZ-00-D-M-5212"/>
    <x v="0"/>
    <x v="2"/>
    <x v="0"/>
    <x v="0"/>
  </r>
  <r>
    <s v="FS1018-AGL-ZZ-00-D-M-5310"/>
    <x v="0"/>
    <x v="2"/>
    <x v="0"/>
    <x v="0"/>
  </r>
  <r>
    <s v="FS1018-AGL-ZZ-00-D-M-5311"/>
    <x v="1"/>
    <x v="1"/>
    <x v="0"/>
    <x v="1"/>
  </r>
  <r>
    <s v="FS1018-AGL-ZZ-00-D-M-5312"/>
    <x v="1"/>
    <x v="1"/>
    <x v="0"/>
    <x v="1"/>
  </r>
  <r>
    <s v="FS1018-AGL-ZZ-00-D-M-5410"/>
    <x v="1"/>
    <x v="1"/>
    <x v="0"/>
    <x v="1"/>
  </r>
  <r>
    <s v="FS1018-AGL-ZZ-00-D-M-5610"/>
    <x v="0"/>
    <x v="0"/>
    <x v="0"/>
    <x v="0"/>
  </r>
  <r>
    <s v="FS1018-AGL-ZZ-00-D-M-5611"/>
    <x v="0"/>
    <x v="0"/>
    <x v="0"/>
    <x v="0"/>
  </r>
  <r>
    <s v="FS1018-AGL-ZZ-00-D-M-5612"/>
    <x v="0"/>
    <x v="0"/>
    <x v="0"/>
    <x v="0"/>
  </r>
  <r>
    <s v="FS1018-AGL-ZZ-00-D-M-5710"/>
    <x v="0"/>
    <x v="0"/>
    <x v="0"/>
    <x v="0"/>
  </r>
  <r>
    <s v="FS1018-AGL-ZZ-00-D-M-5711"/>
    <x v="0"/>
    <x v="0"/>
    <x v="0"/>
    <x v="0"/>
  </r>
  <r>
    <s v="FS1018-AGL-ZZ-00-D-M-5712"/>
    <x v="0"/>
    <x v="0"/>
    <x v="0"/>
    <x v="0"/>
  </r>
  <r>
    <s v="FS1018-AGL-ZZ-00-D-M-5810"/>
    <x v="0"/>
    <x v="2"/>
    <x v="0"/>
    <x v="0"/>
  </r>
  <r>
    <s v="FS1018-AGL-ZZ-00-D-M-5811"/>
    <x v="1"/>
    <x v="1"/>
    <x v="0"/>
    <x v="1"/>
  </r>
  <r>
    <s v="FS1018-AGL-ZZ-00-D-Z-6010"/>
    <x v="1"/>
    <x v="1"/>
    <x v="0"/>
    <x v="1"/>
  </r>
  <r>
    <s v="FS1018-AGL-ZZ-00-D-Z-6011"/>
    <x v="1"/>
    <x v="1"/>
    <x v="0"/>
    <x v="1"/>
  </r>
  <r>
    <s v="FS1018-AGL-ZZ-00-D-Z-6012"/>
    <x v="1"/>
    <x v="1"/>
    <x v="0"/>
    <x v="1"/>
  </r>
  <r>
    <s v="FS1018-AGL-ZZ-00-D-Z-9610"/>
    <x v="1"/>
    <x v="1"/>
    <x v="0"/>
    <x v="1"/>
  </r>
  <r>
    <s v="FS1018-AGL-ZZ-00-D-Z-9611"/>
    <x v="1"/>
    <x v="1"/>
    <x v="0"/>
    <x v="1"/>
  </r>
  <r>
    <s v="FS1018-AGL-ZZ-00-D-Z-9612"/>
    <x v="1"/>
    <x v="1"/>
    <x v="0"/>
    <x v="1"/>
  </r>
  <r>
    <s v="FS1018-AGL-ZZ-01-D-E-6110"/>
    <x v="0"/>
    <x v="2"/>
    <x v="0"/>
    <x v="0"/>
  </r>
  <r>
    <s v="FS1018-AGL-ZZ-01-D-E-6111"/>
    <x v="1"/>
    <x v="1"/>
    <x v="0"/>
    <x v="1"/>
  </r>
  <r>
    <s v="FS1018-AGL-ZZ-01-D-E-6210"/>
    <x v="0"/>
    <x v="2"/>
    <x v="0"/>
    <x v="0"/>
  </r>
  <r>
    <s v="FS1018-AGL-ZZ-01-D-E-6211"/>
    <x v="0"/>
    <x v="2"/>
    <x v="0"/>
    <x v="0"/>
  </r>
  <r>
    <s v="FS1018-AGL-ZZ-01-D-E-6212"/>
    <x v="1"/>
    <x v="1"/>
    <x v="0"/>
    <x v="1"/>
  </r>
  <r>
    <s v="FS1018-AGL-ZZ-01-D-E-6213"/>
    <x v="1"/>
    <x v="1"/>
    <x v="0"/>
    <x v="1"/>
  </r>
  <r>
    <s v="FS1018-AGL-ZZ-01-D-E-6310"/>
    <x v="1"/>
    <x v="1"/>
    <x v="0"/>
    <x v="1"/>
  </r>
  <r>
    <s v="FS1018-AGL-ZZ-01-D-E-6311"/>
    <x v="1"/>
    <x v="1"/>
    <x v="0"/>
    <x v="1"/>
  </r>
  <r>
    <s v="FS1018-AGL-ZZ-01-D-E-6810"/>
    <x v="1"/>
    <x v="1"/>
    <x v="0"/>
    <x v="1"/>
  </r>
  <r>
    <s v="FS1018-AGL-ZZ-01-D-E-6811"/>
    <x v="1"/>
    <x v="1"/>
    <x v="0"/>
    <x v="1"/>
  </r>
  <r>
    <s v="FS1018-AGL-ZZ-01-D-E-6820"/>
    <x v="0"/>
    <x v="0"/>
    <x v="0"/>
    <x v="0"/>
  </r>
  <r>
    <s v="FS1018-AGL-ZZ-01-D-E-6821"/>
    <x v="0"/>
    <x v="0"/>
    <x v="0"/>
    <x v="0"/>
  </r>
  <r>
    <s v="FS1018-AGL-ZZ-01-D-E-6840"/>
    <x v="1"/>
    <x v="1"/>
    <x v="0"/>
    <x v="1"/>
  </r>
  <r>
    <s v="FS1018-AGL-ZZ-01-D-E-6841"/>
    <x v="1"/>
    <x v="1"/>
    <x v="0"/>
    <x v="1"/>
  </r>
  <r>
    <s v="FS1018-AGL-ZZ-01-D-M-5210"/>
    <x v="0"/>
    <x v="2"/>
    <x v="0"/>
    <x v="0"/>
  </r>
  <r>
    <s v="FS1018-AGL-ZZ-01-D-M-5211"/>
    <x v="0"/>
    <x v="2"/>
    <x v="0"/>
    <x v="0"/>
  </r>
  <r>
    <s v="FS1018-AGL-ZZ-01-D-M-5310"/>
    <x v="1"/>
    <x v="1"/>
    <x v="0"/>
    <x v="1"/>
  </r>
  <r>
    <s v="FS1018-AGL-ZZ-01-D-M-5311"/>
    <x v="1"/>
    <x v="1"/>
    <x v="0"/>
    <x v="1"/>
  </r>
  <r>
    <s v="FS1018-AGL-ZZ-01-D-M-5410"/>
    <x v="0"/>
    <x v="2"/>
    <x v="0"/>
    <x v="0"/>
  </r>
  <r>
    <s v="FS1018-AGL-ZZ-01-D-M-5610"/>
    <x v="0"/>
    <x v="0"/>
    <x v="0"/>
    <x v="0"/>
  </r>
  <r>
    <s v="FS1018-AGL-ZZ-01-D-M-5611"/>
    <x v="0"/>
    <x v="0"/>
    <x v="0"/>
    <x v="0"/>
  </r>
  <r>
    <s v="FS1018-AGL-ZZ-01-D-M-5710"/>
    <x v="0"/>
    <x v="0"/>
    <x v="0"/>
    <x v="0"/>
  </r>
  <r>
    <s v="FS1018-AGL-ZZ-01-D-M-5711"/>
    <x v="0"/>
    <x v="0"/>
    <x v="0"/>
    <x v="0"/>
  </r>
  <r>
    <s v="FS1018-AGL-ZZ-01-D-Z-6010"/>
    <x v="1"/>
    <x v="1"/>
    <x v="0"/>
    <x v="1"/>
  </r>
  <r>
    <s v="FS1018-AGL-ZZ-01-D-Z-6011"/>
    <x v="1"/>
    <x v="1"/>
    <x v="0"/>
    <x v="1"/>
  </r>
  <r>
    <s v="FS1018-AGL-ZZ-01-D-Z-9610"/>
    <x v="1"/>
    <x v="1"/>
    <x v="0"/>
    <x v="1"/>
  </r>
  <r>
    <s v="FS1018-AGL-ZZ-01-D-Z-9611"/>
    <x v="1"/>
    <x v="1"/>
    <x v="0"/>
    <x v="1"/>
  </r>
  <r>
    <s v="FS1018-AGL-ZZ-02-D-E-6110"/>
    <x v="0"/>
    <x v="0"/>
    <x v="0"/>
    <x v="0"/>
  </r>
  <r>
    <s v="FS1018-AGL-ZZ-02-D-E-6111"/>
    <x v="1"/>
    <x v="1"/>
    <x v="0"/>
    <x v="1"/>
  </r>
  <r>
    <s v="FS1018-AGL-ZZ-02-D-E-6210"/>
    <x v="1"/>
    <x v="1"/>
    <x v="0"/>
    <x v="1"/>
  </r>
  <r>
    <s v="FS1018-AGL-ZZ-02-D-E-6211"/>
    <x v="1"/>
    <x v="1"/>
    <x v="0"/>
    <x v="1"/>
  </r>
  <r>
    <s v="FS1018-AGL-ZZ-02-D-E-6212"/>
    <x v="1"/>
    <x v="1"/>
    <x v="0"/>
    <x v="1"/>
  </r>
  <r>
    <s v="FS1018-AGL-ZZ-02-D-E-6213"/>
    <x v="1"/>
    <x v="1"/>
    <x v="0"/>
    <x v="1"/>
  </r>
  <r>
    <s v="FS1018-AGL-ZZ-02-D-E-6310"/>
    <x v="1"/>
    <x v="1"/>
    <x v="0"/>
    <x v="1"/>
  </r>
  <r>
    <s v="FS1018-AGL-ZZ-02-D-E-6311"/>
    <x v="1"/>
    <x v="1"/>
    <x v="0"/>
    <x v="1"/>
  </r>
  <r>
    <s v="FS1018-AGL-ZZ-02-D-E-6810"/>
    <x v="1"/>
    <x v="1"/>
    <x v="0"/>
    <x v="1"/>
  </r>
  <r>
    <s v="FS1018-AGL-ZZ-02-D-E-6811"/>
    <x v="1"/>
    <x v="1"/>
    <x v="0"/>
    <x v="1"/>
  </r>
  <r>
    <s v="FS1018-AGL-ZZ-02-D-E-6820"/>
    <x v="0"/>
    <x v="0"/>
    <x v="0"/>
    <x v="0"/>
  </r>
  <r>
    <s v="FS1018-AGL-ZZ-02-D-E-6821"/>
    <x v="0"/>
    <x v="0"/>
    <x v="0"/>
    <x v="0"/>
  </r>
  <r>
    <s v="FS1018-AGL-ZZ-02-D-E-6840"/>
    <x v="1"/>
    <x v="1"/>
    <x v="0"/>
    <x v="1"/>
  </r>
  <r>
    <s v="FS1018-AGL-ZZ-02-D-E-6841"/>
    <x v="1"/>
    <x v="1"/>
    <x v="0"/>
    <x v="1"/>
  </r>
  <r>
    <s v="FS1018-AGL-ZZ-02-D-M-5210"/>
    <x v="0"/>
    <x v="2"/>
    <x v="0"/>
    <x v="0"/>
  </r>
  <r>
    <s v="FS1018-AGL-ZZ-02-D-M-5211"/>
    <x v="0"/>
    <x v="2"/>
    <x v="0"/>
    <x v="0"/>
  </r>
  <r>
    <s v="FS1018-AGL-ZZ-02-D-M-5310"/>
    <x v="1"/>
    <x v="1"/>
    <x v="0"/>
    <x v="1"/>
  </r>
  <r>
    <s v="FS1018-AGL-ZZ-02-D-M-5311"/>
    <x v="1"/>
    <x v="1"/>
    <x v="0"/>
    <x v="1"/>
  </r>
  <r>
    <s v="FS1018-AGL-ZZ-02-D-M-5410"/>
    <x v="0"/>
    <x v="2"/>
    <x v="0"/>
    <x v="0"/>
  </r>
  <r>
    <s v="FS1018-AGL-ZZ-02-D-M-5610"/>
    <x v="0"/>
    <x v="0"/>
    <x v="0"/>
    <x v="0"/>
  </r>
  <r>
    <s v="FS1018-AGL-ZZ-02-D-M-5611"/>
    <x v="0"/>
    <x v="0"/>
    <x v="0"/>
    <x v="0"/>
  </r>
  <r>
    <s v="FS1018-AGL-ZZ-02-D-M-5710"/>
    <x v="1"/>
    <x v="1"/>
    <x v="0"/>
    <x v="1"/>
  </r>
  <r>
    <s v="FS1018-AGL-ZZ-02-D-M-5711"/>
    <x v="0"/>
    <x v="0"/>
    <x v="0"/>
    <x v="0"/>
  </r>
  <r>
    <s v="FS1018-AGL-ZZ-02-D-Z-6010"/>
    <x v="1"/>
    <x v="1"/>
    <x v="0"/>
    <x v="1"/>
  </r>
  <r>
    <s v="FS1018-AGL-ZZ-02-D-Z-6011"/>
    <x v="1"/>
    <x v="1"/>
    <x v="0"/>
    <x v="1"/>
  </r>
  <r>
    <s v="FS1018-AGL-ZZ-02-D-Z-9610"/>
    <x v="1"/>
    <x v="1"/>
    <x v="0"/>
    <x v="1"/>
  </r>
  <r>
    <s v="FS1018-AGL-ZZ-02-D-Z-9611"/>
    <x v="1"/>
    <x v="1"/>
    <x v="0"/>
    <x v="1"/>
  </r>
  <r>
    <s v="FS1018-AGL-ZZ-RF-D-E-6213"/>
    <x v="0"/>
    <x v="0"/>
    <x v="0"/>
    <x v="0"/>
  </r>
  <r>
    <s v="FS1018-AGL-ZZ-RF-D-E-6810"/>
    <x v="1"/>
    <x v="1"/>
    <x v="0"/>
    <x v="1"/>
  </r>
  <r>
    <s v="FS1018-AGL-ZZ-RF-D-E-6811"/>
    <x v="1"/>
    <x v="1"/>
    <x v="0"/>
    <x v="1"/>
  </r>
  <r>
    <s v="FS1018-AGL-ZZ-RF-D-E-6840"/>
    <x v="1"/>
    <x v="1"/>
    <x v="0"/>
    <x v="1"/>
  </r>
  <r>
    <s v="FS1018-AGL-ZZ-RF-D-E-6841"/>
    <x v="1"/>
    <x v="1"/>
    <x v="0"/>
    <x v="1"/>
  </r>
  <r>
    <s v="FS1018-AGL-ZZ-RF-D-E-6842"/>
    <x v="1"/>
    <x v="1"/>
    <x v="0"/>
    <x v="1"/>
  </r>
  <r>
    <s v="FS1018-AGL-ZZ-RF-D-E-9001"/>
    <x v="0"/>
    <x v="0"/>
    <x v="0"/>
    <x v="0"/>
  </r>
  <r>
    <s v="FS1018-AGL-ZZ-RF-D-M-5210"/>
    <x v="1"/>
    <x v="1"/>
    <x v="0"/>
    <x v="1"/>
  </r>
  <r>
    <s v="FS1018-AGL-ZZ-RF-D-M-5211"/>
    <x v="1"/>
    <x v="1"/>
    <x v="0"/>
    <x v="1"/>
  </r>
  <r>
    <s v="FS1018-AGL-ZZ-RF-D-M-5212"/>
    <x v="1"/>
    <x v="1"/>
    <x v="0"/>
    <x v="1"/>
  </r>
  <r>
    <s v="FS1018-AGL-ZZ-RF-D-M-5310"/>
    <x v="1"/>
    <x v="1"/>
    <x v="0"/>
    <x v="1"/>
  </r>
  <r>
    <s v="FS1018-AGL-ZZ-RF-D-M-5311"/>
    <x v="1"/>
    <x v="1"/>
    <x v="0"/>
    <x v="1"/>
  </r>
  <r>
    <s v="FS1018-AGL-ZZ-RF-D-M-5312"/>
    <x v="1"/>
    <x v="1"/>
    <x v="0"/>
    <x v="1"/>
  </r>
  <r>
    <s v="FS1018-AGL-ZZ-RF-D-M-5710"/>
    <x v="1"/>
    <x v="1"/>
    <x v="0"/>
    <x v="1"/>
  </r>
  <r>
    <s v="FS1018-AGL-ZZ-RF-D-M-5711"/>
    <x v="1"/>
    <x v="1"/>
    <x v="0"/>
    <x v="1"/>
  </r>
  <r>
    <s v="FS1018-AGL-ZZ-RF-D-M-5712"/>
    <x v="1"/>
    <x v="1"/>
    <x v="0"/>
    <x v="1"/>
  </r>
  <r>
    <s v="FS1018-AGL-ZZ-RF-D-Z-5810"/>
    <x v="1"/>
    <x v="1"/>
    <x v="0"/>
    <x v="1"/>
  </r>
  <r>
    <s v="FS1018-AGL-ZZ-RF-D-Z-5811"/>
    <x v="1"/>
    <x v="1"/>
    <x v="0"/>
    <x v="1"/>
  </r>
  <r>
    <s v="FS1018-AGL-ZZ-RF-D-Z-5812"/>
    <x v="1"/>
    <x v="1"/>
    <x v="0"/>
    <x v="1"/>
  </r>
  <r>
    <s v="FS1018-AGL-ZZ-RF-D-Z-6010"/>
    <x v="1"/>
    <x v="1"/>
    <x v="0"/>
    <x v="1"/>
  </r>
  <r>
    <s v="FS1018-AGL-ZZ-RF-D-Z-6011"/>
    <x v="1"/>
    <x v="1"/>
    <x v="0"/>
    <x v="1"/>
  </r>
  <r>
    <s v="FS1018-AGL-ZZ-RF-D-Z-6012"/>
    <x v="1"/>
    <x v="1"/>
    <x v="0"/>
    <x v="1"/>
  </r>
  <r>
    <s v="FS1018-AGL-ZZ-XX-D-E-9001"/>
    <x v="0"/>
    <x v="2"/>
    <x v="0"/>
    <x v="0"/>
  </r>
  <r>
    <s v="FS1018-AGL-ZZ-XX-D-E-9002"/>
    <x v="1"/>
    <x v="1"/>
    <x v="0"/>
    <x v="1"/>
  </r>
  <r>
    <s v="FS1018-AGL-ZZ-XX-D-E-9511"/>
    <x v="1"/>
    <x v="1"/>
    <x v="0"/>
    <x v="1"/>
  </r>
  <r>
    <s v="FS1018-AGL-ZZ-XX-D-Z-5810"/>
    <x v="1"/>
    <x v="1"/>
    <x v="0"/>
    <x v="1"/>
  </r>
  <r>
    <s v="FS1018-AGL-ZZ-XX-D-Z-9510"/>
    <x v="1"/>
    <x v="1"/>
    <x v="0"/>
    <x v="1"/>
  </r>
  <r>
    <s v="FS1018-AGL-ZZ-XX-L-E-0001"/>
    <x v="1"/>
    <x v="1"/>
    <x v="0"/>
    <x v="1"/>
  </r>
  <r>
    <s v="FS1018-AGL-ZZ-XX-L-E-0002"/>
    <x v="1"/>
    <x v="1"/>
    <x v="0"/>
    <x v="1"/>
  </r>
  <r>
    <s v="FS1018-AGL-ZZ-XX-L-E-0003"/>
    <x v="1"/>
    <x v="1"/>
    <x v="0"/>
    <x v="1"/>
  </r>
  <r>
    <s v="FS1018-AGL-ZZ-XX-L-E-0004"/>
    <x v="0"/>
    <x v="0"/>
    <x v="0"/>
    <x v="0"/>
  </r>
  <r>
    <s v="FS1018-AGL-ZZ-XX-L-E-0005"/>
    <x v="1"/>
    <x v="1"/>
    <x v="0"/>
    <x v="1"/>
  </r>
  <r>
    <s v="FS1018-AGL-ZZ-XX-L-E-9602"/>
    <x v="1"/>
    <x v="1"/>
    <x v="0"/>
    <x v="1"/>
  </r>
  <r>
    <s v="FS1018-AGL-ZZ-XX-L-M-0003"/>
    <x v="0"/>
    <x v="2"/>
    <x v="0"/>
    <x v="0"/>
  </r>
  <r>
    <s v="FS1018-AGL-ZZ-XX-L-M-0004"/>
    <x v="1"/>
    <x v="1"/>
    <x v="0"/>
    <x v="1"/>
  </r>
  <r>
    <s v="FS1018-AGL-ZZ-XX-L-M-0005"/>
    <x v="1"/>
    <x v="1"/>
    <x v="0"/>
    <x v="1"/>
  </r>
  <r>
    <s v="FS1018-AGL-ZZ-XX-L-M-0006"/>
    <x v="1"/>
    <x v="1"/>
    <x v="0"/>
    <x v="1"/>
  </r>
  <r>
    <s v="FS1018-AGL-ZZ-XX-L-M-0007"/>
    <x v="1"/>
    <x v="1"/>
    <x v="0"/>
    <x v="1"/>
  </r>
  <r>
    <s v="FS1018-AGL-ZZ-XX-L-M-0008"/>
    <x v="1"/>
    <x v="1"/>
    <x v="0"/>
    <x v="1"/>
  </r>
  <r>
    <s v="FS1018-AGL-ZZ-XX-L-M-9604"/>
    <x v="0"/>
    <x v="0"/>
    <x v="0"/>
    <x v="0"/>
  </r>
  <r>
    <s v="FS1018-AGL-ZZ-XX-L-M-9605"/>
    <x v="1"/>
    <x v="1"/>
    <x v="0"/>
    <x v="1"/>
  </r>
  <r>
    <s v="FS1018-AGL-ZZ-XX-L-M-9607"/>
    <x v="1"/>
    <x v="1"/>
    <x v="0"/>
    <x v="1"/>
  </r>
  <r>
    <s v="FS1018-AGL-ZZ-XX-L-M-9608"/>
    <x v="1"/>
    <x v="1"/>
    <x v="0"/>
    <x v="1"/>
  </r>
  <r>
    <s v="FS1018-AGL-ZZ-XX-L-M-9609"/>
    <x v="0"/>
    <x v="2"/>
    <x v="0"/>
    <x v="0"/>
  </r>
  <r>
    <s v="FS1018-AGL-ZZ-XX-L-M-9610"/>
    <x v="1"/>
    <x v="1"/>
    <x v="0"/>
    <x v="1"/>
  </r>
  <r>
    <s v="FS1018-AGL-ZZ-XX-L-M-9613"/>
    <x v="0"/>
    <x v="2"/>
    <x v="0"/>
    <x v="0"/>
  </r>
  <r>
    <s v="FS1018-AGL-ZZ-XX-L-M-9614"/>
    <x v="1"/>
    <x v="1"/>
    <x v="0"/>
    <x v="1"/>
  </r>
  <r>
    <s v="FS1018-AGL-ZZ-XX-L-M-9617"/>
    <x v="1"/>
    <x v="1"/>
    <x v="0"/>
    <x v="1"/>
  </r>
  <r>
    <s v="FS1018-AGL-ZZ-XX-L-M-9619"/>
    <x v="1"/>
    <x v="1"/>
    <x v="0"/>
    <x v="1"/>
  </r>
  <r>
    <s v="FS1018-AGL-ZZ-XX-L-M-9620"/>
    <x v="1"/>
    <x v="1"/>
    <x v="0"/>
    <x v="1"/>
  </r>
  <r>
    <s v="FS1018-AGL-ZZ-XX-L-M-9621"/>
    <x v="1"/>
    <x v="1"/>
    <x v="0"/>
    <x v="1"/>
  </r>
  <r>
    <s v="FS1018-AGL-ZZ-XX-L-M-9623"/>
    <x v="1"/>
    <x v="1"/>
    <x v="0"/>
    <x v="1"/>
  </r>
  <r>
    <s v="FS1018-AGL-ZZ-XX-L-M-9624"/>
    <x v="1"/>
    <x v="1"/>
    <x v="0"/>
    <x v="1"/>
  </r>
  <r>
    <s v="FS1018-AGL-ZZ-XX-L-M-9625"/>
    <x v="1"/>
    <x v="1"/>
    <x v="0"/>
    <x v="1"/>
  </r>
  <r>
    <s v="FS1018-AGL-ZZ-XX-L-M-9627"/>
    <x v="1"/>
    <x v="1"/>
    <x v="0"/>
    <x v="1"/>
  </r>
  <r>
    <s v="FS1018-AGL-ZZ-XX-L-M-9628"/>
    <x v="1"/>
    <x v="1"/>
    <x v="0"/>
    <x v="1"/>
  </r>
  <r>
    <s v="FS1018-AGL-ZZ-XX-L-M-9630"/>
    <x v="1"/>
    <x v="1"/>
    <x v="0"/>
    <x v="1"/>
  </r>
  <r>
    <s v="FS1018-AGL-ZZ-XX-L-M-9634"/>
    <x v="1"/>
    <x v="1"/>
    <x v="0"/>
    <x v="1"/>
  </r>
  <r>
    <s v="FS1018-AGL-ZZ-XX-L-M-9637"/>
    <x v="1"/>
    <x v="1"/>
    <x v="0"/>
    <x v="1"/>
  </r>
  <r>
    <s v="FS1018-AGL-ZZ-XX-L-M-9641"/>
    <x v="1"/>
    <x v="1"/>
    <x v="0"/>
    <x v="1"/>
  </r>
  <r>
    <s v="FS1018-AGL-ZZ-XX-L-M-9642"/>
    <x v="1"/>
    <x v="1"/>
    <x v="0"/>
    <x v="1"/>
  </r>
  <r>
    <s v="FS1018-AGL-ZZ-XX-L-M-9644"/>
    <x v="1"/>
    <x v="1"/>
    <x v="0"/>
    <x v="1"/>
  </r>
  <r>
    <s v="FS1018-AGL-ZZ-XX-L-M-9647"/>
    <x v="1"/>
    <x v="1"/>
    <x v="0"/>
    <x v="1"/>
  </r>
  <r>
    <s v="FS1018-AGL-ZZ-XX-L-M-9649"/>
    <x v="1"/>
    <x v="1"/>
    <x v="0"/>
    <x v="1"/>
  </r>
  <r>
    <s v="FS1018-AGL-ZZ-XX-L-M-9652"/>
    <x v="1"/>
    <x v="1"/>
    <x v="0"/>
    <x v="1"/>
  </r>
  <r>
    <s v="FS1018-AGL-ZZ-XX-L-M-9653"/>
    <x v="1"/>
    <x v="1"/>
    <x v="0"/>
    <x v="1"/>
  </r>
  <r>
    <s v="FS1018-AGL-ZZ-XX-L-M-9654"/>
    <x v="1"/>
    <x v="1"/>
    <x v="0"/>
    <x v="1"/>
  </r>
  <r>
    <s v="FS1018-AGL-ZZ-XX-L-M-9655"/>
    <x v="1"/>
    <x v="1"/>
    <x v="0"/>
    <x v="1"/>
  </r>
  <r>
    <s v="FS1018-AGL-ZZ-XX-L-M-9658"/>
    <x v="1"/>
    <x v="1"/>
    <x v="0"/>
    <x v="1"/>
  </r>
  <r>
    <s v="FS1018-AGL-ZZ-XX-L-M-9659"/>
    <x v="1"/>
    <x v="1"/>
    <x v="0"/>
    <x v="1"/>
  </r>
  <r>
    <s v="FS1018-AGL-ZZ-XX-L-M-9660"/>
    <x v="1"/>
    <x v="1"/>
    <x v="0"/>
    <x v="1"/>
  </r>
  <r>
    <s v="FS1018-AGL-ZZ-XX-L-M-9661"/>
    <x v="1"/>
    <x v="1"/>
    <x v="0"/>
    <x v="1"/>
  </r>
  <r>
    <s v="FS1018-AGL-ZZ-XX-L-M-9662"/>
    <x v="1"/>
    <x v="1"/>
    <x v="0"/>
    <x v="1"/>
  </r>
  <r>
    <s v="FS1018-AGL-ZZ-XX-L-M-9671"/>
    <x v="1"/>
    <x v="1"/>
    <x v="0"/>
    <x v="1"/>
  </r>
  <r>
    <s v="FS1018-AGL-ZZ-XX-L-M-9675"/>
    <x v="0"/>
    <x v="0"/>
    <x v="0"/>
    <x v="0"/>
  </r>
  <r>
    <s v="FS1018-AGL-ZZ-XX-L-M-9678"/>
    <x v="1"/>
    <x v="1"/>
    <x v="0"/>
    <x v="1"/>
  </r>
  <r>
    <s v="FS1018-AGL-ZZ-XX-L-M-9681"/>
    <x v="1"/>
    <x v="1"/>
    <x v="0"/>
    <x v="1"/>
  </r>
  <r>
    <s v="FS1018-AGL-ZZ-XX-L-M-9682"/>
    <x v="1"/>
    <x v="1"/>
    <x v="0"/>
    <x v="1"/>
  </r>
  <r>
    <s v="FS1018-AGL-ZZ-XX-L-Z-0001"/>
    <x v="1"/>
    <x v="1"/>
    <x v="0"/>
    <x v="1"/>
  </r>
  <r>
    <s v="FS1018-AGL-ZZ-XX-L-Z-0004"/>
    <x v="1"/>
    <x v="1"/>
    <x v="0"/>
    <x v="1"/>
  </r>
  <r>
    <s v="FS1018-AGL-ZZ-XX-T-E-0001"/>
    <x v="0"/>
    <x v="2"/>
    <x v="0"/>
    <x v="0"/>
  </r>
  <r>
    <s v="FS1018-AGL-ZZ-XX-T-E-0003"/>
    <x v="0"/>
    <x v="2"/>
    <x v="0"/>
    <x v="0"/>
  </r>
  <r>
    <s v="FS1018-AGL-ZZ-XX-T-M-0001"/>
    <x v="0"/>
    <x v="0"/>
    <x v="0"/>
    <x v="0"/>
  </r>
  <r>
    <s v="FS1018-AGL-ZZ-XX-T-Z-0002"/>
    <x v="0"/>
    <x v="0"/>
    <x v="0"/>
    <x v="0"/>
  </r>
  <r>
    <s v="FS1018-AGL-ZZ-XX-T-Z-0006"/>
    <x v="1"/>
    <x v="1"/>
    <x v="0"/>
    <x v="1"/>
  </r>
  <r>
    <s v="FS1018-AGL-ZZ-XX-T-Z-0007"/>
    <x v="0"/>
    <x v="0"/>
    <x v="0"/>
    <x v="0"/>
  </r>
  <r>
    <s v="FS1018-AGL-ZZ-ZZ-D-E-9001"/>
    <x v="1"/>
    <x v="1"/>
    <x v="0"/>
    <x v="1"/>
  </r>
  <r>
    <s v="FS1018-AGL-ZZ-ZZ-D-Z-6115"/>
    <x v="0"/>
    <x v="0"/>
    <x v="0"/>
    <x v="0"/>
  </r>
  <r>
    <s v="FS1018-AGL-ZZ-ZZ-D-Z-9610"/>
    <x v="1"/>
    <x v="1"/>
    <x v="0"/>
    <x v="1"/>
  </r>
  <r>
    <s v="FS1018-AGL-ZZ-ZZ-D-Z-9611"/>
    <x v="1"/>
    <x v="1"/>
    <x v="0"/>
    <x v="1"/>
  </r>
  <r>
    <s v="FS1018-AGL-ZZ-ZZ-D-Z-9612"/>
    <x v="1"/>
    <x v="1"/>
    <x v="0"/>
    <x v="1"/>
  </r>
  <r>
    <s v="FS1018-AGL-ZZ-ZZ-D-Z-9613"/>
    <x v="1"/>
    <x v="1"/>
    <x v="0"/>
    <x v="1"/>
  </r>
  <r>
    <s v="FS1018-AGL-ZZ-ZZ-D-Z-9614"/>
    <x v="1"/>
    <x v="1"/>
    <x v="0"/>
    <x v="1"/>
  </r>
  <r>
    <s v="FS1018-AGL-ZZ-ZZ-G-E-6010"/>
    <x v="0"/>
    <x v="0"/>
    <x v="0"/>
    <x v="0"/>
  </r>
  <r>
    <s v="FS1018-AGL-ZZ-ZZ-G-E-6011"/>
    <x v="1"/>
    <x v="1"/>
    <x v="0"/>
    <x v="1"/>
  </r>
  <r>
    <s v="FS1018-AGL-ZZ-ZZ-G-E-6811"/>
    <x v="1"/>
    <x v="1"/>
    <x v="0"/>
    <x v="1"/>
  </r>
  <r>
    <s v="FS1018-AGL-ZZ-ZZ-G-M-5010"/>
    <x v="1"/>
    <x v="1"/>
    <x v="0"/>
    <x v="1"/>
  </r>
  <r>
    <s v="FS1018-AGL-ZZ-ZZ-G-M-5210"/>
    <x v="0"/>
    <x v="2"/>
    <x v="0"/>
    <x v="0"/>
  </r>
  <r>
    <s v="FS1018-AGL-ZZ-ZZ-G-M-5211"/>
    <x v="0"/>
    <x v="2"/>
    <x v="0"/>
    <x v="0"/>
  </r>
  <r>
    <s v="FS1018-AGL-ZZ-ZZ-G-M-5310"/>
    <x v="1"/>
    <x v="1"/>
    <x v="0"/>
    <x v="1"/>
  </r>
  <r>
    <s v="FS1018-AGL-ZZ-ZZ-G-M-5410"/>
    <x v="0"/>
    <x v="2"/>
    <x v="0"/>
    <x v="0"/>
  </r>
  <r>
    <s v="FS1018-AGL-ZZ-ZZ-G-M-5610"/>
    <x v="0"/>
    <x v="2"/>
    <x v="0"/>
    <x v="0"/>
  </r>
  <r>
    <s v="FS1018-AGL-ZZ-ZZ-G-M-5611"/>
    <x v="0"/>
    <x v="2"/>
    <x v="0"/>
    <x v="0"/>
  </r>
  <r>
    <s v="FS1018-AGL-ZZ-ZZ-G-M-5612"/>
    <x v="0"/>
    <x v="2"/>
    <x v="0"/>
    <x v="0"/>
  </r>
  <r>
    <s v="FS1018-AGL-ZZ-ZZ-G-M-5613"/>
    <x v="0"/>
    <x v="2"/>
    <x v="0"/>
    <x v="0"/>
  </r>
  <r>
    <s v="FS1018-AGL-ZZ-ZZ-G-M-5710"/>
    <x v="1"/>
    <x v="1"/>
    <x v="0"/>
    <x v="1"/>
  </r>
  <r>
    <s v="FS1018-AGL-ZZ-ZZ-G-M-5711"/>
    <x v="1"/>
    <x v="1"/>
    <x v="0"/>
    <x v="1"/>
  </r>
  <r>
    <s v="FS1018-AGL-ZZ-ZZ-G-M-5812"/>
    <x v="0"/>
    <x v="2"/>
    <x v="0"/>
    <x v="0"/>
  </r>
  <r>
    <s v="FS1018-AGL-ZZ-ZZ-M-Z-0001"/>
    <x v="1"/>
    <x v="1"/>
    <x v="0"/>
    <x v="1"/>
  </r>
  <r>
    <s v="FS1018-AGL-ZZ-ZZ-M-Z-0002"/>
    <x v="1"/>
    <x v="1"/>
    <x v="0"/>
    <x v="1"/>
  </r>
  <r>
    <s v="FS1018-AGL-ZZ-ZZ-M-Z-0003"/>
    <x v="1"/>
    <x v="1"/>
    <x v="0"/>
    <x v="1"/>
  </r>
  <r>
    <s v="FS1018-CPM-XX-XX-L-A-0001"/>
    <x v="0"/>
    <x v="0"/>
    <x v="0"/>
    <x v="0"/>
  </r>
  <r>
    <s v="FS1018-CPM-XX-XX-T-A-0005"/>
    <x v="0"/>
    <x v="0"/>
    <x v="0"/>
    <x v="0"/>
  </r>
  <r>
    <s v="FS1018-CPM-XX-XX-T-A-0010"/>
    <x v="0"/>
    <x v="0"/>
    <x v="0"/>
    <x v="0"/>
  </r>
  <r>
    <s v="FS1018-CPM-XX-XX-T-A-5001"/>
    <x v="0"/>
    <x v="0"/>
    <x v="0"/>
    <x v="0"/>
  </r>
  <r>
    <s v="FS1018-CPM-XX-XX-T-A-5002"/>
    <x v="0"/>
    <x v="0"/>
    <x v="0"/>
    <x v="0"/>
  </r>
  <r>
    <s v="FS1018-CPM-XX-XX-T-A-5003"/>
    <x v="0"/>
    <x v="3"/>
    <x v="0"/>
    <x v="0"/>
  </r>
  <r>
    <s v="FS1018-CPM-XX-ZZ-L-A-0000"/>
    <x v="0"/>
    <x v="0"/>
    <x v="0"/>
    <x v="0"/>
  </r>
  <r>
    <s v="FS1018-CPM-ZZ-00-D-A-2001"/>
    <x v="0"/>
    <x v="0"/>
    <x v="0"/>
    <x v="0"/>
  </r>
  <r>
    <s v="FS1018-CPM-ZZ-00-D-A-2142"/>
    <x v="0"/>
    <x v="0"/>
    <x v="0"/>
    <x v="0"/>
  </r>
  <r>
    <s v="FS1018-CPM-ZZ-00-D-A-2200"/>
    <x v="0"/>
    <x v="0"/>
    <x v="0"/>
    <x v="0"/>
  </r>
  <r>
    <s v="FS1018-CPM-ZZ-00-D-A-2900"/>
    <x v="0"/>
    <x v="0"/>
    <x v="0"/>
    <x v="0"/>
  </r>
  <r>
    <s v="FS1018-CPM-ZZ-00-D-A-3001"/>
    <x v="0"/>
    <x v="0"/>
    <x v="0"/>
    <x v="0"/>
  </r>
  <r>
    <s v="FS1018-CPM-ZZ-00-D-A-3050"/>
    <x v="0"/>
    <x v="0"/>
    <x v="0"/>
    <x v="0"/>
  </r>
  <r>
    <s v="FS1018-CPM-ZZ-00-D-A-3051"/>
    <x v="0"/>
    <x v="0"/>
    <x v="0"/>
    <x v="0"/>
  </r>
  <r>
    <s v="FS1018-CPM-ZZ-00-D-A-3052"/>
    <x v="0"/>
    <x v="0"/>
    <x v="0"/>
    <x v="0"/>
  </r>
  <r>
    <s v="FS1018-CPM-ZZ-00-D-A-3053"/>
    <x v="0"/>
    <x v="0"/>
    <x v="0"/>
    <x v="0"/>
  </r>
  <r>
    <s v="FS1018-CPM-ZZ-00-D-A-3054"/>
    <x v="0"/>
    <x v="0"/>
    <x v="0"/>
    <x v="0"/>
  </r>
  <r>
    <s v="FS1018-CPM-ZZ-00-D-A-3500"/>
    <x v="0"/>
    <x v="0"/>
    <x v="0"/>
    <x v="0"/>
  </r>
  <r>
    <s v="FS1018-CPM-ZZ-00-D-A-6807"/>
    <x v="0"/>
    <x v="0"/>
    <x v="0"/>
    <x v="0"/>
  </r>
  <r>
    <s v="FS1018-CPM-ZZ-00-D-A-6808"/>
    <x v="0"/>
    <x v="0"/>
    <x v="0"/>
    <x v="0"/>
  </r>
  <r>
    <s v="FS1018-CPM-ZZ-00-D-A-6809"/>
    <x v="0"/>
    <x v="0"/>
    <x v="0"/>
    <x v="0"/>
  </r>
  <r>
    <s v="FS1018-CPM-ZZ-00-D-A-6810"/>
    <x v="0"/>
    <x v="0"/>
    <x v="0"/>
    <x v="0"/>
  </r>
  <r>
    <s v="FS1018-CPM-ZZ-00-D-A-6811"/>
    <x v="0"/>
    <x v="0"/>
    <x v="0"/>
    <x v="0"/>
  </r>
  <r>
    <s v="FS1018-CPM-ZZ-00-D-A-6812"/>
    <x v="0"/>
    <x v="0"/>
    <x v="0"/>
    <x v="0"/>
  </r>
  <r>
    <s v="FS1018-CPM-ZZ-01-D-A-2002"/>
    <x v="0"/>
    <x v="0"/>
    <x v="0"/>
    <x v="0"/>
  </r>
  <r>
    <s v="FS1018-CPM-ZZ-01-D-A-2201"/>
    <x v="0"/>
    <x v="0"/>
    <x v="0"/>
    <x v="0"/>
  </r>
  <r>
    <s v="FS1018-CPM-ZZ-01-D-A-2250"/>
    <x v="0"/>
    <x v="0"/>
    <x v="0"/>
    <x v="0"/>
  </r>
  <r>
    <s v="FS1018-CPM-ZZ-01-D-A-2251"/>
    <x v="0"/>
    <x v="0"/>
    <x v="0"/>
    <x v="0"/>
  </r>
  <r>
    <s v="FS1018-CPM-ZZ-01-D-A-2901"/>
    <x v="0"/>
    <x v="0"/>
    <x v="0"/>
    <x v="0"/>
  </r>
  <r>
    <s v="FS1018-CPM-ZZ-01-D-A-3501"/>
    <x v="0"/>
    <x v="0"/>
    <x v="0"/>
    <x v="0"/>
  </r>
  <r>
    <s v="FS1018-CPM-ZZ-01-D-A-6800"/>
    <x v="0"/>
    <x v="0"/>
    <x v="0"/>
    <x v="0"/>
  </r>
  <r>
    <s v="FS1018-CPM-ZZ-02-D-A-2003"/>
    <x v="0"/>
    <x v="0"/>
    <x v="0"/>
    <x v="0"/>
  </r>
  <r>
    <s v="FS1018-CPM-ZZ-02-D-A-2202"/>
    <x v="0"/>
    <x v="0"/>
    <x v="0"/>
    <x v="0"/>
  </r>
  <r>
    <s v="FS1018-CPM-ZZ-02-D-A-2902"/>
    <x v="0"/>
    <x v="0"/>
    <x v="0"/>
    <x v="0"/>
  </r>
  <r>
    <s v="FS1018-CPM-ZZ-02-D-A-3502"/>
    <x v="0"/>
    <x v="0"/>
    <x v="0"/>
    <x v="0"/>
  </r>
  <r>
    <s v="FS1018-CPM-ZZ-RF-D-A-2023"/>
    <x v="0"/>
    <x v="0"/>
    <x v="0"/>
    <x v="0"/>
  </r>
  <r>
    <s v="FS1018-CPM-ZZ-RF-D-A-2144"/>
    <x v="0"/>
    <x v="0"/>
    <x v="0"/>
    <x v="0"/>
  </r>
  <r>
    <s v="FS1018-CPM-ZZ-RF-D-A-2145"/>
    <x v="0"/>
    <x v="0"/>
    <x v="0"/>
    <x v="0"/>
  </r>
  <r>
    <s v="FS1018-CPM-ZZ-RF-D-A-2903"/>
    <x v="0"/>
    <x v="0"/>
    <x v="0"/>
    <x v="0"/>
  </r>
  <r>
    <s v="FS1018-CPM-ZZ-RF-D-A-3100"/>
    <x v="1"/>
    <x v="1"/>
    <x v="0"/>
    <x v="1"/>
  </r>
  <r>
    <s v="FS1018-CPM-ZZ-RF-D-A-3101"/>
    <x v="0"/>
    <x v="0"/>
    <x v="0"/>
    <x v="0"/>
  </r>
  <r>
    <s v="FS1018-CPM-ZZ-XX-D-A-2146"/>
    <x v="0"/>
    <x v="0"/>
    <x v="0"/>
    <x v="0"/>
  </r>
  <r>
    <s v="FS1018-CPM-ZZ-XX-D-A-2210"/>
    <x v="0"/>
    <x v="0"/>
    <x v="0"/>
    <x v="0"/>
  </r>
  <r>
    <s v="FS1018-CPM-ZZ-XX-L-A-0020"/>
    <x v="0"/>
    <x v="3"/>
    <x v="0"/>
    <x v="0"/>
  </r>
  <r>
    <s v="FS1018-CPM-ZZ-ZZ-D-A-0050"/>
    <x v="0"/>
    <x v="0"/>
    <x v="0"/>
    <x v="0"/>
  </r>
  <r>
    <s v="FS1018-CPM-ZZ-ZZ-D-A-0051"/>
    <x v="0"/>
    <x v="0"/>
    <x v="0"/>
    <x v="0"/>
  </r>
  <r>
    <s v="FS1018-CPM-ZZ-ZZ-D-A-0052"/>
    <x v="0"/>
    <x v="0"/>
    <x v="0"/>
    <x v="0"/>
  </r>
  <r>
    <s v="FS1018-CPM-ZZ-ZZ-D-A-0053"/>
    <x v="0"/>
    <x v="0"/>
    <x v="0"/>
    <x v="0"/>
  </r>
  <r>
    <s v="FS1018-CPM-ZZ-ZZ-D-A-0054"/>
    <x v="0"/>
    <x v="0"/>
    <x v="0"/>
    <x v="0"/>
  </r>
  <r>
    <s v="FS1018-CPM-ZZ-ZZ-D-A-0060"/>
    <x v="1"/>
    <x v="1"/>
    <x v="0"/>
    <x v="1"/>
  </r>
  <r>
    <s v="FS1018-CPM-ZZ-ZZ-D-A-2001"/>
    <x v="0"/>
    <x v="0"/>
    <x v="0"/>
    <x v="0"/>
  </r>
  <r>
    <s v="FS1018-CPM-ZZ-ZZ-D-A-2002"/>
    <x v="0"/>
    <x v="0"/>
    <x v="0"/>
    <x v="0"/>
  </r>
  <r>
    <s v="FS1018-CPM-ZZ-ZZ-D-A-2010"/>
    <x v="0"/>
    <x v="0"/>
    <x v="0"/>
    <x v="0"/>
  </r>
  <r>
    <s v="FS1018-CPM-ZZ-ZZ-D-A-2011"/>
    <x v="0"/>
    <x v="0"/>
    <x v="0"/>
    <x v="0"/>
  </r>
  <r>
    <s v="FS1018-CPM-ZZ-ZZ-D-A-2012"/>
    <x v="0"/>
    <x v="0"/>
    <x v="0"/>
    <x v="0"/>
  </r>
  <r>
    <s v="FS1018-CPM-ZZ-ZZ-D-A-2025"/>
    <x v="0"/>
    <x v="0"/>
    <x v="0"/>
    <x v="0"/>
  </r>
  <r>
    <s v="FS1018-CPM-ZZ-ZZ-D-A-2031"/>
    <x v="0"/>
    <x v="0"/>
    <x v="0"/>
    <x v="0"/>
  </r>
  <r>
    <s v="FS1018-CPM-ZZ-ZZ-D-A-2032"/>
    <x v="0"/>
    <x v="0"/>
    <x v="0"/>
    <x v="0"/>
  </r>
  <r>
    <s v="FS1018-CPM-ZZ-ZZ-D-A-2040"/>
    <x v="0"/>
    <x v="0"/>
    <x v="0"/>
    <x v="0"/>
  </r>
  <r>
    <s v="FS1018-CPM-ZZ-ZZ-D-A-2140"/>
    <x v="0"/>
    <x v="0"/>
    <x v="0"/>
    <x v="0"/>
  </r>
  <r>
    <s v="FS1018-CPM-ZZ-ZZ-D-A-2141"/>
    <x v="0"/>
    <x v="0"/>
    <x v="0"/>
    <x v="0"/>
  </r>
  <r>
    <s v="FS1018-CPM-ZZ-ZZ-D-A-2143"/>
    <x v="0"/>
    <x v="0"/>
    <x v="0"/>
    <x v="0"/>
  </r>
  <r>
    <s v="FS1018-CPM-ZZ-ZZ-D-A-2144"/>
    <x v="0"/>
    <x v="0"/>
    <x v="0"/>
    <x v="0"/>
  </r>
  <r>
    <s v="FS1018-CPM-ZZ-ZZ-D-A-2401"/>
    <x v="0"/>
    <x v="0"/>
    <x v="0"/>
    <x v="0"/>
  </r>
  <r>
    <s v="FS1018-CPM-ZZ-ZZ-D-A-2402"/>
    <x v="0"/>
    <x v="0"/>
    <x v="0"/>
    <x v="0"/>
  </r>
  <r>
    <s v="FS1018-CPM-ZZ-ZZ-D-A-2403"/>
    <x v="0"/>
    <x v="0"/>
    <x v="0"/>
    <x v="0"/>
  </r>
  <r>
    <s v="FS1018-CPM-ZZ-ZZ-D-A-2404"/>
    <x v="0"/>
    <x v="0"/>
    <x v="0"/>
    <x v="0"/>
  </r>
  <r>
    <s v="FS1018-CPM-ZZ-ZZ-D-A-2405"/>
    <x v="0"/>
    <x v="0"/>
    <x v="0"/>
    <x v="0"/>
  </r>
  <r>
    <s v="FS1018-CPM-ZZ-ZZ-D-A-3002"/>
    <x v="0"/>
    <x v="0"/>
    <x v="0"/>
    <x v="0"/>
  </r>
  <r>
    <s v="FS1018-CPM-ZZ-ZZ-D-A-3010"/>
    <x v="0"/>
    <x v="0"/>
    <x v="0"/>
    <x v="0"/>
  </r>
  <r>
    <s v="FS1018-CPM-ZZ-ZZ-D-A-3011"/>
    <x v="0"/>
    <x v="0"/>
    <x v="0"/>
    <x v="0"/>
  </r>
  <r>
    <s v="FS1018-CPM-ZZ-ZZ-D-A-3020"/>
    <x v="0"/>
    <x v="0"/>
    <x v="0"/>
    <x v="0"/>
  </r>
  <r>
    <s v="FS1018-CPM-ZZ-ZZ-D-A-3021"/>
    <x v="0"/>
    <x v="0"/>
    <x v="0"/>
    <x v="0"/>
  </r>
  <r>
    <s v="FS1018-CPM-ZZ-ZZ-D-A-3055"/>
    <x v="0"/>
    <x v="0"/>
    <x v="0"/>
    <x v="0"/>
  </r>
  <r>
    <s v="FS1018-CPM-ZZ-ZZ-D-A-3062"/>
    <x v="0"/>
    <x v="0"/>
    <x v="0"/>
    <x v="0"/>
  </r>
  <r>
    <s v="FS1018-CPM-ZZ-ZZ-D-A-4001"/>
    <x v="0"/>
    <x v="0"/>
    <x v="0"/>
    <x v="0"/>
  </r>
  <r>
    <s v="FS1018-CPM-ZZ-ZZ-D-A-4004"/>
    <x v="0"/>
    <x v="0"/>
    <x v="0"/>
    <x v="0"/>
  </r>
  <r>
    <s v="FS1018-CPM-ZZ-ZZ-D-A-6601"/>
    <x v="0"/>
    <x v="0"/>
    <x v="0"/>
    <x v="0"/>
  </r>
  <r>
    <s v="FS1018-CPM-ZZ-ZZ-D-A-6801"/>
    <x v="0"/>
    <x v="0"/>
    <x v="0"/>
    <x v="0"/>
  </r>
  <r>
    <s v="FS1018-CPM-ZZ-ZZ-D-A-6802"/>
    <x v="0"/>
    <x v="0"/>
    <x v="0"/>
    <x v="0"/>
  </r>
  <r>
    <s v="FS1018-CPM-ZZ-ZZ-D-A-6803"/>
    <x v="0"/>
    <x v="0"/>
    <x v="0"/>
    <x v="0"/>
  </r>
  <r>
    <s v="FS1018-CPM-ZZ-ZZ-D-A-6804"/>
    <x v="0"/>
    <x v="0"/>
    <x v="0"/>
    <x v="0"/>
  </r>
  <r>
    <s v="FS1018-CPM-ZZ-ZZ-D-A-6805"/>
    <x v="0"/>
    <x v="0"/>
    <x v="0"/>
    <x v="0"/>
  </r>
  <r>
    <s v="FS1018-CPM-ZZ-ZZ-D-A-6806"/>
    <x v="0"/>
    <x v="0"/>
    <x v="0"/>
    <x v="0"/>
  </r>
  <r>
    <s v="FS1018-CPM-ZZ-ZZ-D-A-6813"/>
    <x v="0"/>
    <x v="0"/>
    <x v="0"/>
    <x v="0"/>
  </r>
  <r>
    <s v="FS1018-CPM-ZZ-ZZ-L-A-0001"/>
    <x v="0"/>
    <x v="0"/>
    <x v="0"/>
    <x v="0"/>
  </r>
  <r>
    <s v="FS1018-CPM-ZZ-ZZ-L-A-3060"/>
    <x v="0"/>
    <x v="0"/>
    <x v="0"/>
    <x v="0"/>
  </r>
  <r>
    <s v="FS1018-CPM-ZZ-ZZ-L-A-3061"/>
    <x v="0"/>
    <x v="0"/>
    <x v="0"/>
    <x v="0"/>
  </r>
  <r>
    <s v="FS1018-CPM-ZZ-ZZ-M-A-0002"/>
    <x v="0"/>
    <x v="0"/>
    <x v="0"/>
    <x v="0"/>
  </r>
  <r>
    <s v="FS1018-CPM-ZZ-ZZ-M-A-0003"/>
    <x v="1"/>
    <x v="1"/>
    <x v="0"/>
    <x v="1"/>
  </r>
  <r>
    <s v="FS1018-CPM-ZZ-ZZ-M-A-0004"/>
    <x v="1"/>
    <x v="1"/>
    <x v="0"/>
    <x v="1"/>
  </r>
  <r>
    <s v="FS1018-CPM-ZZ-ZZ-M-A-0005"/>
    <x v="1"/>
    <x v="1"/>
    <x v="0"/>
    <x v="1"/>
  </r>
  <r>
    <s v="FS1018-CPM-ZZ-ZZ-V-A-0001"/>
    <x v="1"/>
    <x v="1"/>
    <x v="0"/>
    <x v="1"/>
  </r>
  <r>
    <s v="FS1018-CPM-ZZ-ZZ-V-A-0002"/>
    <x v="0"/>
    <x v="0"/>
    <x v="0"/>
    <x v="0"/>
  </r>
  <r>
    <s v="FS1018-EVR-XX-XX-D-O-0001"/>
    <x v="0"/>
    <x v="3"/>
    <x v="0"/>
    <x v="0"/>
  </r>
  <r>
    <s v="FS1018-EVR-XX-XX-D-O-0002"/>
    <x v="0"/>
    <x v="3"/>
    <x v="0"/>
    <x v="0"/>
  </r>
  <r>
    <s v="FS1018-EVR-XX-XX-D-O-0003"/>
    <x v="0"/>
    <x v="3"/>
    <x v="0"/>
    <x v="0"/>
  </r>
  <r>
    <s v="FS1018-EVR-XX-XX-D-O-0004"/>
    <x v="0"/>
    <x v="3"/>
    <x v="0"/>
    <x v="0"/>
  </r>
  <r>
    <s v="FS1018-EVR-XX-XX-G-O-0001"/>
    <x v="0"/>
    <x v="3"/>
    <x v="0"/>
    <x v="0"/>
  </r>
  <r>
    <s v="FS1018-EVR-XX-XX-L-O-0001"/>
    <x v="0"/>
    <x v="3"/>
    <x v="0"/>
    <x v="0"/>
  </r>
  <r>
    <s v="FS1018-EVR-XX-XX-L-O-0002"/>
    <x v="0"/>
    <x v="3"/>
    <x v="0"/>
    <x v="0"/>
  </r>
  <r>
    <s v="FS1018-EVR-XX-XX-L-O-0003"/>
    <x v="0"/>
    <x v="3"/>
    <x v="0"/>
    <x v="0"/>
  </r>
  <r>
    <s v="FS1018-EVR-XX-XX-L-O-0004"/>
    <x v="0"/>
    <x v="3"/>
    <x v="0"/>
    <x v="0"/>
  </r>
  <r>
    <s v="FS1018-EVR-XX-XX-T-O-0002"/>
    <x v="0"/>
    <x v="3"/>
    <x v="0"/>
    <x v="0"/>
  </r>
  <r>
    <s v="FS1018-EVR-XX-XX-T-O-0004"/>
    <x v="0"/>
    <x v="3"/>
    <x v="0"/>
    <x v="0"/>
  </r>
  <r>
    <s v="FS1018-EVR-XX-XX-T-O-0005"/>
    <x v="0"/>
    <x v="3"/>
    <x v="0"/>
    <x v="0"/>
  </r>
  <r>
    <s v="FS1018-EVR-XX-XX-T-O-0006"/>
    <x v="0"/>
    <x v="3"/>
    <x v="0"/>
    <x v="0"/>
  </r>
  <r>
    <s v="FS1018-EVR-XX-XX-T-O-0007"/>
    <x v="0"/>
    <x v="3"/>
    <x v="0"/>
    <x v="0"/>
  </r>
  <r>
    <s v="FS1018-HBC-XX-XX-D-X-0001"/>
    <x v="0"/>
    <x v="3"/>
    <x v="0"/>
    <x v="0"/>
  </r>
  <r>
    <s v="FS1018-HBC-XX-XX-D-X-0003"/>
    <x v="1"/>
    <x v="1"/>
    <x v="0"/>
    <x v="1"/>
  </r>
  <r>
    <s v="FS1018-HBC-XX-XX-D-X-0004"/>
    <x v="0"/>
    <x v="3"/>
    <x v="0"/>
    <x v="0"/>
  </r>
  <r>
    <s v="FS1018-HBC-XX-XX-D-X-0005"/>
    <x v="0"/>
    <x v="3"/>
    <x v="0"/>
    <x v="0"/>
  </r>
  <r>
    <s v="FS1018-HBC-XX-XX-D-X-0006"/>
    <x v="0"/>
    <x v="3"/>
    <x v="0"/>
    <x v="0"/>
  </r>
  <r>
    <s v="FS1018-HBC-XX-XX-L-X-0001"/>
    <x v="0"/>
    <x v="3"/>
    <x v="0"/>
    <x v="0"/>
  </r>
  <r>
    <s v="FS1018-HBC-XX-XX-L-X-0003"/>
    <x v="0"/>
    <x v="3"/>
    <x v="0"/>
    <x v="0"/>
  </r>
  <r>
    <s v="FS1018-HBC-XX-XX-L-X-0004"/>
    <x v="0"/>
    <x v="3"/>
    <x v="0"/>
    <x v="0"/>
  </r>
  <r>
    <s v="FS1018-HBC-XX-XX-L-X-0005"/>
    <x v="0"/>
    <x v="3"/>
    <x v="0"/>
    <x v="0"/>
  </r>
  <r>
    <s v="FS1018-HBC-XX-XX-L-X-0006"/>
    <x v="0"/>
    <x v="3"/>
    <x v="0"/>
    <x v="0"/>
  </r>
  <r>
    <s v="FS1018-HBC-XX-XX-L-X-0007"/>
    <x v="0"/>
    <x v="3"/>
    <x v="0"/>
    <x v="0"/>
  </r>
  <r>
    <s v="FS1018-HBC-XX-XX-L-X-0008"/>
    <x v="1"/>
    <x v="1"/>
    <x v="0"/>
    <x v="1"/>
  </r>
  <r>
    <s v="FS1018-HBC-XX-XX-L-X-0009"/>
    <x v="1"/>
    <x v="1"/>
    <x v="0"/>
    <x v="1"/>
  </r>
  <r>
    <s v="FS1018-HBC-XX-XX-L-X-0010"/>
    <x v="1"/>
    <x v="1"/>
    <x v="0"/>
    <x v="1"/>
  </r>
  <r>
    <s v="FS1018-HBC-XX-XX-L-X-0011"/>
    <x v="1"/>
    <x v="1"/>
    <x v="0"/>
    <x v="1"/>
  </r>
  <r>
    <s v="FS1018-HBC-XX-XX-L-X-0012"/>
    <x v="0"/>
    <x v="3"/>
    <x v="0"/>
    <x v="0"/>
  </r>
  <r>
    <s v="FS1018-HBC-XX-XX-L-X-0013"/>
    <x v="0"/>
    <x v="3"/>
    <x v="0"/>
    <x v="0"/>
  </r>
  <r>
    <s v="FS1018-HBC-XX-XX-L-X-0014"/>
    <x v="0"/>
    <x v="3"/>
    <x v="0"/>
    <x v="0"/>
  </r>
  <r>
    <s v="FS1018-HBC-XX-XX-L-X-0016"/>
    <x v="0"/>
    <x v="3"/>
    <x v="0"/>
    <x v="0"/>
  </r>
  <r>
    <s v="FS1018-HBC-XX-XX-L-X-0018"/>
    <x v="0"/>
    <x v="3"/>
    <x v="0"/>
    <x v="0"/>
  </r>
  <r>
    <s v="FS1018-HBC-XX-XX-L-X-0019"/>
    <x v="0"/>
    <x v="3"/>
    <x v="0"/>
    <x v="0"/>
  </r>
  <r>
    <s v="FS1018-HBC-XX-XX-L-X-0020"/>
    <x v="0"/>
    <x v="3"/>
    <x v="0"/>
    <x v="0"/>
  </r>
  <r>
    <s v="FS1018-HBC-XX-XX-L-X-1001"/>
    <x v="1"/>
    <x v="1"/>
    <x v="0"/>
    <x v="1"/>
  </r>
  <r>
    <s v="FS1018-HBC-XX-XX-L-X-1002"/>
    <x v="0"/>
    <x v="0"/>
    <x v="0"/>
    <x v="0"/>
  </r>
  <r>
    <s v="FS1018-HBC-XX-XX-L-X-1003"/>
    <x v="0"/>
    <x v="3"/>
    <x v="0"/>
    <x v="0"/>
  </r>
  <r>
    <s v="FS1018-HBC-XX-XX-L-X-1004"/>
    <x v="0"/>
    <x v="3"/>
    <x v="0"/>
    <x v="0"/>
  </r>
  <r>
    <s v="FS1018-HBC-XX-XX-L-X-3000"/>
    <x v="0"/>
    <x v="3"/>
    <x v="0"/>
    <x v="0"/>
  </r>
  <r>
    <s v="FS1018-HBC-XX-XX-L-X-4000"/>
    <x v="0"/>
    <x v="3"/>
    <x v="0"/>
    <x v="0"/>
  </r>
  <r>
    <s v="FS1018-HBC-XX-XX-T-X-0001"/>
    <x v="0"/>
    <x v="3"/>
    <x v="0"/>
    <x v="0"/>
  </r>
  <r>
    <s v="FS1018-HBC-XX-XX-T-X-0012"/>
    <x v="0"/>
    <x v="3"/>
    <x v="0"/>
    <x v="0"/>
  </r>
  <r>
    <s v="FS1018-HBC-XX-XX-T-X-0024"/>
    <x v="1"/>
    <x v="1"/>
    <x v="0"/>
    <x v="1"/>
  </r>
  <r>
    <s v="FS1018-HBC-XX-XX-T-X-0025"/>
    <x v="1"/>
    <x v="1"/>
    <x v="0"/>
    <x v="1"/>
  </r>
  <r>
    <s v="FS1018-HBC-XX-XX-T-X-0026"/>
    <x v="1"/>
    <x v="1"/>
    <x v="0"/>
    <x v="1"/>
  </r>
  <r>
    <s v="FS1018-HBC-XX-XX-T-X-0027"/>
    <x v="1"/>
    <x v="1"/>
    <x v="0"/>
    <x v="1"/>
  </r>
  <r>
    <s v="FS1018-HBC-XX-XX-T-X-0028"/>
    <x v="1"/>
    <x v="1"/>
    <x v="0"/>
    <x v="1"/>
  </r>
  <r>
    <s v="FS1018-HBC-XX-XX-T-X-0029"/>
    <x v="1"/>
    <x v="1"/>
    <x v="0"/>
    <x v="1"/>
  </r>
  <r>
    <s v="FS1018-HBC-XX-XX-T-X-0030"/>
    <x v="1"/>
    <x v="1"/>
    <x v="0"/>
    <x v="1"/>
  </r>
  <r>
    <s v="FS1018-HBC-XX-XX-T-X-0031"/>
    <x v="1"/>
    <x v="1"/>
    <x v="0"/>
    <x v="1"/>
  </r>
  <r>
    <s v="FS1018-HBC-XX-XX-T-X-0033"/>
    <x v="1"/>
    <x v="1"/>
    <x v="0"/>
    <x v="1"/>
  </r>
  <r>
    <s v="FS1018-HBC-XX-XX-T-X-0034"/>
    <x v="1"/>
    <x v="1"/>
    <x v="0"/>
    <x v="1"/>
  </r>
  <r>
    <s v="FS1018-HBC-XX-XX-T-X-0035"/>
    <x v="1"/>
    <x v="1"/>
    <x v="0"/>
    <x v="1"/>
  </r>
  <r>
    <s v="FS1018-HBC-XX-XX-T-X-0036"/>
    <x v="1"/>
    <x v="1"/>
    <x v="0"/>
    <x v="1"/>
  </r>
  <r>
    <s v="FS1018-HBC-XX-XX-T-X-0037"/>
    <x v="1"/>
    <x v="1"/>
    <x v="0"/>
    <x v="1"/>
  </r>
  <r>
    <s v="FS1018-HBC-XX-XX-T-X-0038"/>
    <x v="1"/>
    <x v="1"/>
    <x v="0"/>
    <x v="1"/>
  </r>
  <r>
    <s v="FS1018-HBC-XX-XX-T-X-0039"/>
    <x v="1"/>
    <x v="1"/>
    <x v="0"/>
    <x v="1"/>
  </r>
  <r>
    <s v="FS1018-HBC-XX-XX-T-X-0040"/>
    <x v="1"/>
    <x v="1"/>
    <x v="0"/>
    <x v="1"/>
  </r>
  <r>
    <s v="FS1018-HBC-XX-XX-T-X-0042"/>
    <x v="0"/>
    <x v="3"/>
    <x v="0"/>
    <x v="0"/>
  </r>
  <r>
    <s v="FS1018-HBC-XX-XX-T-X-0043"/>
    <x v="0"/>
    <x v="3"/>
    <x v="0"/>
    <x v="0"/>
  </r>
  <r>
    <s v="FS1018-HBC-XX-XX-T-X-0044"/>
    <x v="0"/>
    <x v="3"/>
    <x v="0"/>
    <x v="0"/>
  </r>
  <r>
    <s v="FS1018-HBC-XX-XX-T-X-0045"/>
    <x v="1"/>
    <x v="1"/>
    <x v="0"/>
    <x v="1"/>
  </r>
  <r>
    <s v="FS1018-HEX-XX-XX-T-C-0004"/>
    <x v="0"/>
    <x v="0"/>
    <x v="0"/>
    <x v="0"/>
  </r>
  <r>
    <s v="FS1018-HEX-XX-XX-T-C-0010"/>
    <x v="0"/>
    <x v="0"/>
    <x v="0"/>
    <x v="0"/>
  </r>
  <r>
    <s v="FS1018-HEX-XX-XX-T-C-0011"/>
    <x v="0"/>
    <x v="0"/>
    <x v="0"/>
    <x v="0"/>
  </r>
  <r>
    <s v="FS1018-HEX-XX-XX-T-C-0012"/>
    <x v="0"/>
    <x v="3"/>
    <x v="0"/>
    <x v="0"/>
  </r>
  <r>
    <s v="FS1018-HEX-XX-XX-T-H-0001"/>
    <x v="0"/>
    <x v="3"/>
    <x v="0"/>
    <x v="0"/>
  </r>
  <r>
    <s v="FS1018-HEX-XX-XX-T-S-0003"/>
    <x v="0"/>
    <x v="0"/>
    <x v="0"/>
    <x v="0"/>
  </r>
  <r>
    <s v="FS1018-HEX-XX-XX-T-S-0004"/>
    <x v="0"/>
    <x v="0"/>
    <x v="0"/>
    <x v="0"/>
  </r>
  <r>
    <s v="FS1018-HEX-XX-XX-T-S-0005"/>
    <x v="0"/>
    <x v="0"/>
    <x v="0"/>
    <x v="0"/>
  </r>
  <r>
    <s v="FS1018-HEX-XX-XX-T-S-0006"/>
    <x v="0"/>
    <x v="0"/>
    <x v="0"/>
    <x v="0"/>
  </r>
  <r>
    <s v="FS1018-HEX-ZZ-00-D-S-0101"/>
    <x v="0"/>
    <x v="0"/>
    <x v="0"/>
    <x v="0"/>
  </r>
  <r>
    <s v="FS1018-HEX-ZZ-00-D-S-0102"/>
    <x v="0"/>
    <x v="0"/>
    <x v="0"/>
    <x v="0"/>
  </r>
  <r>
    <s v="FS1018-HEX-ZZ-00-D-S-0200"/>
    <x v="0"/>
    <x v="0"/>
    <x v="0"/>
    <x v="0"/>
  </r>
  <r>
    <s v="FS1018-HEX-ZZ-01-D-S-0201"/>
    <x v="0"/>
    <x v="0"/>
    <x v="0"/>
    <x v="0"/>
  </r>
  <r>
    <s v="FS1018-HEX-ZZ-02-D-S-0202"/>
    <x v="0"/>
    <x v="0"/>
    <x v="0"/>
    <x v="0"/>
  </r>
  <r>
    <s v="FS1018-HEX-ZZ-RF-D-S-0203"/>
    <x v="0"/>
    <x v="0"/>
    <x v="0"/>
    <x v="0"/>
  </r>
  <r>
    <s v="FS1018-HEX-ZZ-RF-D-S-0204"/>
    <x v="0"/>
    <x v="0"/>
    <x v="0"/>
    <x v="0"/>
  </r>
  <r>
    <s v="FS1018-HEX-ZZ-RF-D-S-0205"/>
    <x v="0"/>
    <x v="0"/>
    <x v="0"/>
    <x v="0"/>
  </r>
  <r>
    <s v="FS1018-HEX-ZZ-XX-D-S-0001"/>
    <x v="0"/>
    <x v="0"/>
    <x v="0"/>
    <x v="0"/>
  </r>
  <r>
    <s v="FS1018-HEX-ZZ-ZZ-D-C-5200"/>
    <x v="0"/>
    <x v="0"/>
    <x v="0"/>
    <x v="0"/>
  </r>
  <r>
    <s v="FS1018-HEX-ZZ-ZZ-D-C-5201"/>
    <x v="0"/>
    <x v="0"/>
    <x v="0"/>
    <x v="0"/>
  </r>
  <r>
    <s v="FS1018-HEX-ZZ-ZZ-D-C-5205"/>
    <x v="0"/>
    <x v="0"/>
    <x v="0"/>
    <x v="0"/>
  </r>
  <r>
    <s v="FS1018-HEX-ZZ-ZZ-D-C-5210"/>
    <x v="0"/>
    <x v="0"/>
    <x v="0"/>
    <x v="0"/>
  </r>
  <r>
    <s v="FS1018-HEX-ZZ-ZZ-D-C-5211"/>
    <x v="0"/>
    <x v="0"/>
    <x v="0"/>
    <x v="0"/>
  </r>
  <r>
    <s v="FS1018-HEX-ZZ-ZZ-D-C-9000"/>
    <x v="0"/>
    <x v="3"/>
    <x v="0"/>
    <x v="0"/>
  </r>
  <r>
    <s v="FS1018-HEX-ZZ-ZZ-D-C-9020"/>
    <x v="0"/>
    <x v="3"/>
    <x v="0"/>
    <x v="0"/>
  </r>
  <r>
    <s v="FS1018-HEX-ZZ-ZZ-D-C-9021"/>
    <x v="0"/>
    <x v="3"/>
    <x v="0"/>
    <x v="0"/>
  </r>
  <r>
    <s v="FS1018-HEX-ZZ-ZZ-D-C-9025"/>
    <x v="0"/>
    <x v="0"/>
    <x v="0"/>
    <x v="0"/>
  </r>
  <r>
    <s v="FS1018-HEX-ZZ-ZZ-D-S-0501"/>
    <x v="0"/>
    <x v="0"/>
    <x v="0"/>
    <x v="0"/>
  </r>
  <r>
    <s v="FS1018-HEX-ZZ-ZZ-D-S-0502"/>
    <x v="0"/>
    <x v="0"/>
    <x v="0"/>
    <x v="0"/>
  </r>
  <r>
    <s v="FS1018-HEX-ZZ-ZZ-D-S-0503"/>
    <x v="0"/>
    <x v="0"/>
    <x v="0"/>
    <x v="0"/>
  </r>
  <r>
    <s v="FS1018-HEX-ZZ-ZZ-D-S-0601"/>
    <x v="0"/>
    <x v="0"/>
    <x v="0"/>
    <x v="0"/>
  </r>
  <r>
    <s v="FS1018-HEX-ZZ-ZZ-D-S-0602"/>
    <x v="0"/>
    <x v="0"/>
    <x v="0"/>
    <x v="0"/>
  </r>
  <r>
    <s v="FS1018-HEX-ZZ-ZZ-D-S-0801"/>
    <x v="0"/>
    <x v="0"/>
    <x v="0"/>
    <x v="0"/>
  </r>
  <r>
    <s v="FS1018-HEX-ZZ-ZZ-M-C-0001"/>
    <x v="0"/>
    <x v="0"/>
    <x v="0"/>
    <x v="0"/>
  </r>
  <r>
    <s v="FS1018-HEX-ZZ-ZZ-M-C-0002"/>
    <x v="1"/>
    <x v="1"/>
    <x v="0"/>
    <x v="1"/>
  </r>
  <r>
    <s v="FS1018-HEX-ZZ-ZZ-M-C-0003"/>
    <x v="1"/>
    <x v="1"/>
    <x v="0"/>
    <x v="1"/>
  </r>
  <r>
    <s v="FS1018-HEX-ZZ-ZZ-M-S-0001"/>
    <x v="0"/>
    <x v="0"/>
    <x v="0"/>
    <x v="0"/>
  </r>
  <r>
    <s v="FS1018-HEX-ZZ-ZZ-M-S-0002"/>
    <x v="1"/>
    <x v="1"/>
    <x v="0"/>
    <x v="1"/>
  </r>
  <r>
    <s v="FS1018-HEX-ZZ-ZZ-M-S-0003"/>
    <x v="1"/>
    <x v="1"/>
    <x v="0"/>
    <x v="1"/>
  </r>
  <r>
    <s v="FS1018-HEX-ZZ-ZZ-T-C-0001"/>
    <x v="0"/>
    <x v="0"/>
    <x v="0"/>
    <x v="0"/>
  </r>
  <r>
    <s v="FS1018-MAJ-XX-XX-L-X-0090"/>
    <x v="0"/>
    <x v="0"/>
    <x v="0"/>
    <x v="0"/>
  </r>
  <r>
    <s v="FS1018-MAJ-XX-XX-L-X-8001"/>
    <x v="0"/>
    <x v="0"/>
    <x v="0"/>
    <x v="0"/>
  </r>
  <r>
    <s v="FS1018-MAJ-XX-XX-L-X-8002"/>
    <x v="0"/>
    <x v="0"/>
    <x v="0"/>
    <x v="0"/>
  </r>
  <r>
    <s v="FS1018-MAJ-XX-XX-T-X-0001"/>
    <x v="0"/>
    <x v="0"/>
    <x v="0"/>
    <x v="0"/>
  </r>
  <r>
    <s v="FS1018-MAJ-XX-XX-T-X-1001"/>
    <x v="0"/>
    <x v="0"/>
    <x v="0"/>
    <x v="0"/>
  </r>
  <r>
    <s v="FS1018-MAJ-ZZ-ZZ-M-X-0001"/>
    <x v="0"/>
    <x v="0"/>
    <x v="0"/>
    <x v="0"/>
  </r>
  <r>
    <s v="FS1018-OFR-XX-ZZ-G-K-0001"/>
    <x v="0"/>
    <x v="2"/>
    <x v="0"/>
    <x v="0"/>
  </r>
  <r>
    <s v="FS1018-ONE-XX-XX-T-L-0001"/>
    <x v="0"/>
    <x v="0"/>
    <x v="0"/>
    <x v="0"/>
  </r>
  <r>
    <s v="FS1018-ONE-XX-XX-T-L-0002"/>
    <x v="0"/>
    <x v="3"/>
    <x v="0"/>
    <x v="0"/>
  </r>
  <r>
    <s v="FS1018-ONE-XX-ZZ-D-L-0001"/>
    <x v="1"/>
    <x v="1"/>
    <x v="0"/>
    <x v="1"/>
  </r>
  <r>
    <s v="FS1018-ONE-XX-ZZ-D-L-0002"/>
    <x v="1"/>
    <x v="1"/>
    <x v="0"/>
    <x v="1"/>
  </r>
  <r>
    <s v="FS1018-ONE-XX-ZZ-D-L-0003"/>
    <x v="0"/>
    <x v="0"/>
    <x v="0"/>
    <x v="0"/>
  </r>
  <r>
    <s v="FS1018-ONE-XX-ZZ-D-L-0004"/>
    <x v="0"/>
    <x v="0"/>
    <x v="0"/>
    <x v="0"/>
  </r>
  <r>
    <s v="FS1018-ONE-XX-ZZ-D-L-0005"/>
    <x v="0"/>
    <x v="0"/>
    <x v="0"/>
    <x v="0"/>
  </r>
  <r>
    <s v="FS1018-ONE-XX-ZZ-D-L-0006"/>
    <x v="0"/>
    <x v="0"/>
    <x v="0"/>
    <x v="0"/>
  </r>
  <r>
    <s v="FS1018-ONE-XX-ZZ-D-L-0007"/>
    <x v="0"/>
    <x v="0"/>
    <x v="0"/>
    <x v="0"/>
  </r>
  <r>
    <s v="FS1018-ONE-XX-ZZ-D-L-0008"/>
    <x v="0"/>
    <x v="0"/>
    <x v="0"/>
    <x v="0"/>
  </r>
  <r>
    <s v="FS1018-ONE-XX-ZZ-D-L-0009"/>
    <x v="0"/>
    <x v="0"/>
    <x v="0"/>
    <x v="0"/>
  </r>
  <r>
    <s v="FS1018-ONE-XX-ZZ-D-L-0010"/>
    <x v="0"/>
    <x v="0"/>
    <x v="0"/>
    <x v="0"/>
  </r>
  <r>
    <s v="FS1018-ONE-XX-ZZ-D-L-0011"/>
    <x v="0"/>
    <x v="0"/>
    <x v="0"/>
    <x v="0"/>
  </r>
  <r>
    <s v="FS1018-ONE-XX-ZZ-D-L-0012"/>
    <x v="0"/>
    <x v="0"/>
    <x v="0"/>
    <x v="0"/>
  </r>
  <r>
    <s v="FS1018-ONE-XX-ZZ-D-L-0013"/>
    <x v="0"/>
    <x v="0"/>
    <x v="0"/>
    <x v="0"/>
  </r>
  <r>
    <s v="FS1018-ONE-XX-ZZ-D-L-0014"/>
    <x v="0"/>
    <x v="0"/>
    <x v="0"/>
    <x v="0"/>
  </r>
  <r>
    <s v="FS1018-ONE-XX-ZZ-D-L-0015"/>
    <x v="0"/>
    <x v="0"/>
    <x v="0"/>
    <x v="0"/>
  </r>
  <r>
    <s v="FS1018-ONE-XX-ZZ-D-L-0017"/>
    <x v="0"/>
    <x v="0"/>
    <x v="0"/>
    <x v="0"/>
  </r>
  <r>
    <s v="FS1018-ONE-XX-ZZ-D-L-0021"/>
    <x v="1"/>
    <x v="1"/>
    <x v="0"/>
    <x v="1"/>
  </r>
  <r>
    <s v="FS1018-ONE-XX-ZZ-D-L-0022"/>
    <x v="1"/>
    <x v="1"/>
    <x v="0"/>
    <x v="1"/>
  </r>
  <r>
    <s v="FS1018-ONE-XX-ZZ-D-L-0023"/>
    <x v="1"/>
    <x v="1"/>
    <x v="0"/>
    <x v="1"/>
  </r>
  <r>
    <s v="FS1018-ONE-XX-ZZ-D-L-0024"/>
    <x v="1"/>
    <x v="1"/>
    <x v="0"/>
    <x v="1"/>
  </r>
  <r>
    <s v="FS1018-ONE-XX-ZZ-D-L-0025"/>
    <x v="1"/>
    <x v="1"/>
    <x v="0"/>
    <x v="1"/>
  </r>
  <r>
    <s v="FS1018-ONE-XX-ZZ-D-L-0201"/>
    <x v="0"/>
    <x v="0"/>
    <x v="0"/>
    <x v="0"/>
  </r>
  <r>
    <s v="FS1018-ONE-XX-ZZ-D-L-0202"/>
    <x v="0"/>
    <x v="0"/>
    <x v="0"/>
    <x v="0"/>
  </r>
  <r>
    <s v="FS1018-ONE-XX-ZZ-D-L-0203"/>
    <x v="0"/>
    <x v="0"/>
    <x v="0"/>
    <x v="0"/>
  </r>
  <r>
    <s v="FS1018-ONE-XX-ZZ-D-L-0204"/>
    <x v="1"/>
    <x v="1"/>
    <x v="0"/>
    <x v="1"/>
  </r>
  <r>
    <s v="FS1018-ONE-XX-ZZ-D-L-0205"/>
    <x v="0"/>
    <x v="0"/>
    <x v="0"/>
    <x v="0"/>
  </r>
  <r>
    <s v="FS1018-ONE-XX-ZZ-D-L-0401"/>
    <x v="1"/>
    <x v="1"/>
    <x v="0"/>
    <x v="1"/>
  </r>
  <r>
    <s v="FS1018-ONE-XX-ZZ-D-L-0402"/>
    <x v="1"/>
    <x v="1"/>
    <x v="0"/>
    <x v="1"/>
  </r>
  <r>
    <s v="FS1018-ONE-XX-ZZ-D-L-0403"/>
    <x v="1"/>
    <x v="1"/>
    <x v="0"/>
    <x v="1"/>
  </r>
  <r>
    <s v="FS1018-ONE-XX-ZZ-D-L-0404"/>
    <x v="0"/>
    <x v="0"/>
    <x v="0"/>
    <x v="0"/>
  </r>
  <r>
    <s v="FS1018-ONE-XX-ZZ-D-L-0405"/>
    <x v="0"/>
    <x v="0"/>
    <x v="0"/>
    <x v="0"/>
  </r>
  <r>
    <s v="FS1018-ONE-XX-ZZ-D-L-0601"/>
    <x v="0"/>
    <x v="0"/>
    <x v="0"/>
    <x v="0"/>
  </r>
  <r>
    <s v="FS1018-ONE-XX-ZZ-D-L-0602"/>
    <x v="0"/>
    <x v="0"/>
    <x v="0"/>
    <x v="0"/>
  </r>
  <r>
    <s v="FS1018-ONE-XX-ZZ-D-L-0603"/>
    <x v="0"/>
    <x v="0"/>
    <x v="0"/>
    <x v="0"/>
  </r>
  <r>
    <s v="FS1018-ONE-ZZ-XX-T-L-0004"/>
    <x v="0"/>
    <x v="3"/>
    <x v="0"/>
    <x v="0"/>
  </r>
  <r>
    <s v="FS1018-ONE-ZZ-ZZ-M-L-0001"/>
    <x v="1"/>
    <x v="1"/>
    <x v="0"/>
    <x v="1"/>
  </r>
  <r>
    <s v="FS1018-ONE-ZZ-ZZ-M-L-0002"/>
    <x v="1"/>
    <x v="1"/>
    <x v="0"/>
    <x v="1"/>
  </r>
  <r>
    <s v="FS1018-ONE-ZZ-ZZ-M-L-0003"/>
    <x v="1"/>
    <x v="1"/>
    <x v="0"/>
    <x v="1"/>
  </r>
  <r>
    <s v="FS1018-PIN-XX-XX-L-O-0003"/>
    <x v="0"/>
    <x v="3"/>
    <x v="0"/>
    <x v="0"/>
  </r>
  <r>
    <s v="FS1018-PIN-ZZ-00-D-O-0001"/>
    <x v="0"/>
    <x v="0"/>
    <x v="0"/>
    <x v="0"/>
  </r>
  <r>
    <s v="FS1018-PIN-ZZ-00-D-O-0002"/>
    <x v="0"/>
    <x v="0"/>
    <x v="0"/>
    <x v="0"/>
  </r>
  <r>
    <s v="FS1018-PIN-ZZ-00-D-O-0006"/>
    <x v="0"/>
    <x v="0"/>
    <x v="0"/>
    <x v="0"/>
  </r>
  <r>
    <s v="FS1018-PIN-ZZ-00-D-O-0601"/>
    <x v="0"/>
    <x v="0"/>
    <x v="0"/>
    <x v="0"/>
  </r>
  <r>
    <s v="FS1018-PIN-ZZ-00-D-O-1109"/>
    <x v="0"/>
    <x v="0"/>
    <x v="0"/>
    <x v="0"/>
  </r>
  <r>
    <s v="FS1018-PIN-ZZ-00-D-O-1110"/>
    <x v="0"/>
    <x v="0"/>
    <x v="0"/>
    <x v="0"/>
  </r>
  <r>
    <s v="FS1018-PIN-ZZ-00-D-O-1111"/>
    <x v="0"/>
    <x v="0"/>
    <x v="0"/>
    <x v="0"/>
  </r>
  <r>
    <s v="FS1018-PIN-ZZ-00-D-O-1112"/>
    <x v="0"/>
    <x v="0"/>
    <x v="0"/>
    <x v="0"/>
  </r>
  <r>
    <s v="FS1018-PIN-ZZ-00-D-O-1113"/>
    <x v="0"/>
    <x v="0"/>
    <x v="0"/>
    <x v="0"/>
  </r>
  <r>
    <s v="FS1018-PIN-ZZ-00-D-O-1211"/>
    <x v="0"/>
    <x v="0"/>
    <x v="0"/>
    <x v="0"/>
  </r>
  <r>
    <s v="FS1018-PIN-ZZ-00-D-O-2001"/>
    <x v="0"/>
    <x v="0"/>
    <x v="0"/>
    <x v="0"/>
  </r>
  <r>
    <s v="FS1018-PIN-ZZ-00-D-O-2002"/>
    <x v="0"/>
    <x v="0"/>
    <x v="0"/>
    <x v="0"/>
  </r>
  <r>
    <s v="FS1018-PIN-ZZ-00-D-O-2003"/>
    <x v="0"/>
    <x v="0"/>
    <x v="0"/>
    <x v="0"/>
  </r>
  <r>
    <s v="FS1018-PIN-ZZ-00-D-O-3002"/>
    <x v="1"/>
    <x v="1"/>
    <x v="0"/>
    <x v="1"/>
  </r>
  <r>
    <s v="FS1018-PIN-ZZ-00-D-O-3004"/>
    <x v="0"/>
    <x v="0"/>
    <x v="0"/>
    <x v="0"/>
  </r>
  <r>
    <s v="FS1018-PIN-ZZ-00-D-O-4003"/>
    <x v="0"/>
    <x v="0"/>
    <x v="0"/>
    <x v="0"/>
  </r>
  <r>
    <s v="FS1018-PIN-ZZ-00-D-O-4004"/>
    <x v="1"/>
    <x v="1"/>
    <x v="0"/>
    <x v="1"/>
  </r>
  <r>
    <s v="FS1018-PIN-ZZ-00-D-O-4005"/>
    <x v="1"/>
    <x v="1"/>
    <x v="0"/>
    <x v="1"/>
  </r>
  <r>
    <s v="FS1018-PIN-ZZ-00-D-O-4006"/>
    <x v="0"/>
    <x v="0"/>
    <x v="0"/>
    <x v="0"/>
  </r>
  <r>
    <s v="FS1018-PIN-ZZ-00-D-O-4008"/>
    <x v="0"/>
    <x v="0"/>
    <x v="0"/>
    <x v="0"/>
  </r>
  <r>
    <s v="FS1018-PIN-ZZ-00-D-O-4009"/>
    <x v="1"/>
    <x v="1"/>
    <x v="0"/>
    <x v="1"/>
  </r>
  <r>
    <s v="FS1018-PIN-ZZ-00-D-O-4015"/>
    <x v="0"/>
    <x v="0"/>
    <x v="0"/>
    <x v="0"/>
  </r>
  <r>
    <s v="FS1018-PIN-ZZ-00-D-O-4018"/>
    <x v="1"/>
    <x v="1"/>
    <x v="0"/>
    <x v="1"/>
  </r>
  <r>
    <s v="FS1018-PIN-ZZ-00-D-O-5003"/>
    <x v="0"/>
    <x v="0"/>
    <x v="0"/>
    <x v="0"/>
  </r>
  <r>
    <s v="FS1018-PIN-ZZ-00-D-O-5007"/>
    <x v="1"/>
    <x v="1"/>
    <x v="0"/>
    <x v="1"/>
  </r>
  <r>
    <s v="FS1018-PIN-ZZ-00-D-O-5008"/>
    <x v="1"/>
    <x v="1"/>
    <x v="0"/>
    <x v="1"/>
  </r>
  <r>
    <s v="FS1018-PIN-ZZ-00-D-O-5009"/>
    <x v="1"/>
    <x v="1"/>
    <x v="0"/>
    <x v="1"/>
  </r>
  <r>
    <s v="FS1018-PIN-ZZ-00-D-O-5011"/>
    <x v="1"/>
    <x v="1"/>
    <x v="0"/>
    <x v="1"/>
  </r>
  <r>
    <s v="FS1018-PIN-ZZ-00-D-O-5013"/>
    <x v="1"/>
    <x v="1"/>
    <x v="0"/>
    <x v="1"/>
  </r>
  <r>
    <s v="FS1018-PIN-ZZ-00-D-O-5018"/>
    <x v="1"/>
    <x v="1"/>
    <x v="0"/>
    <x v="1"/>
  </r>
  <r>
    <s v="FS1018-PIN-ZZ-00-D-O-5019"/>
    <x v="1"/>
    <x v="1"/>
    <x v="0"/>
    <x v="1"/>
  </r>
  <r>
    <s v="FS1018-PIN-ZZ-00-D-O-5103"/>
    <x v="1"/>
    <x v="1"/>
    <x v="0"/>
    <x v="1"/>
  </r>
  <r>
    <s v="FS1018-PIN-ZZ-00-D-O-5109"/>
    <x v="0"/>
    <x v="2"/>
    <x v="0"/>
    <x v="0"/>
  </r>
  <r>
    <s v="FS1018-PIN-ZZ-00-D-O-5114"/>
    <x v="0"/>
    <x v="2"/>
    <x v="0"/>
    <x v="0"/>
  </r>
  <r>
    <s v="FS1018-PIN-ZZ-00-D-O-5117"/>
    <x v="0"/>
    <x v="2"/>
    <x v="0"/>
    <x v="0"/>
  </r>
  <r>
    <s v="FS1018-PIN-ZZ-00-D-O-6001"/>
    <x v="0"/>
    <x v="0"/>
    <x v="0"/>
    <x v="0"/>
  </r>
  <r>
    <s v="FS1018-PIN-ZZ-00-D-O-6002"/>
    <x v="0"/>
    <x v="0"/>
    <x v="0"/>
    <x v="0"/>
  </r>
  <r>
    <s v="FS1018-PIN-ZZ-00-D-O-6003"/>
    <x v="0"/>
    <x v="0"/>
    <x v="0"/>
    <x v="0"/>
  </r>
  <r>
    <s v="FS1018-PIN-ZZ-00-D-O-6004"/>
    <x v="0"/>
    <x v="0"/>
    <x v="0"/>
    <x v="0"/>
  </r>
  <r>
    <s v="FS1018-PIN-ZZ-00-D-O-6005"/>
    <x v="0"/>
    <x v="0"/>
    <x v="0"/>
    <x v="0"/>
  </r>
  <r>
    <s v="FS1018-PIN-ZZ-00-D-O-6006"/>
    <x v="0"/>
    <x v="0"/>
    <x v="0"/>
    <x v="0"/>
  </r>
  <r>
    <s v="FS1018-PIN-ZZ-00-D-O-6007"/>
    <x v="0"/>
    <x v="0"/>
    <x v="0"/>
    <x v="0"/>
  </r>
  <r>
    <s v="FS1018-PIN-ZZ-00-D-O-6008"/>
    <x v="0"/>
    <x v="0"/>
    <x v="0"/>
    <x v="0"/>
  </r>
  <r>
    <s v="FS1018-PIN-ZZ-00-D-O-6009"/>
    <x v="1"/>
    <x v="1"/>
    <x v="0"/>
    <x v="1"/>
  </r>
  <r>
    <s v="FS1018-PIN-ZZ-00-D-O-6011"/>
    <x v="1"/>
    <x v="1"/>
    <x v="0"/>
    <x v="1"/>
  </r>
  <r>
    <s v="FS1018-PIN-ZZ-00-D-O-6042"/>
    <x v="1"/>
    <x v="1"/>
    <x v="0"/>
    <x v="1"/>
  </r>
  <r>
    <s v="FS1018-PIN-ZZ-00-D-O-6069"/>
    <x v="0"/>
    <x v="2"/>
    <x v="0"/>
    <x v="0"/>
  </r>
  <r>
    <s v="FS1018-PIN-ZZ-00-D-O-7001"/>
    <x v="0"/>
    <x v="0"/>
    <x v="0"/>
    <x v="0"/>
  </r>
  <r>
    <s v="FS1018-PIN-ZZ-00-D-O-7003"/>
    <x v="0"/>
    <x v="0"/>
    <x v="0"/>
    <x v="0"/>
  </r>
  <r>
    <s v="FS1018-PIN-ZZ-00-D-O-7101"/>
    <x v="0"/>
    <x v="0"/>
    <x v="0"/>
    <x v="0"/>
  </r>
  <r>
    <s v="FS1018-PIN-ZZ-00-D-O-7201"/>
    <x v="0"/>
    <x v="0"/>
    <x v="0"/>
    <x v="0"/>
  </r>
  <r>
    <s v="FS1018-PIN-ZZ-00-D-O-7301"/>
    <x v="0"/>
    <x v="0"/>
    <x v="0"/>
    <x v="0"/>
  </r>
  <r>
    <s v="FS1018-PIN-ZZ-00-D-O-7401"/>
    <x v="0"/>
    <x v="0"/>
    <x v="0"/>
    <x v="0"/>
  </r>
  <r>
    <s v="FS1018-PIN-ZZ-00-D-O-7501"/>
    <x v="0"/>
    <x v="0"/>
    <x v="0"/>
    <x v="0"/>
  </r>
  <r>
    <s v="FS1018-PIN-ZZ-00-D-O-8001"/>
    <x v="1"/>
    <x v="1"/>
    <x v="0"/>
    <x v="1"/>
  </r>
  <r>
    <s v="FS1018-PIN-ZZ-00-D-O-8003"/>
    <x v="1"/>
    <x v="1"/>
    <x v="0"/>
    <x v="1"/>
  </r>
  <r>
    <s v="FS1018-PIN-ZZ-00-D-O-9001"/>
    <x v="0"/>
    <x v="0"/>
    <x v="0"/>
    <x v="0"/>
  </r>
  <r>
    <s v="FS1018-PIN-ZZ-00-D-O-9003"/>
    <x v="1"/>
    <x v="1"/>
    <x v="0"/>
    <x v="1"/>
  </r>
  <r>
    <s v="FS1018-PIN-ZZ-01-D-O-1000"/>
    <x v="0"/>
    <x v="0"/>
    <x v="0"/>
    <x v="0"/>
  </r>
  <r>
    <s v="FS1018-PIN-ZZ-01-D-O-1001"/>
    <x v="0"/>
    <x v="0"/>
    <x v="0"/>
    <x v="0"/>
  </r>
  <r>
    <s v="FS1018-PIN-ZZ-01-D-O-1002"/>
    <x v="0"/>
    <x v="0"/>
    <x v="0"/>
    <x v="0"/>
  </r>
  <r>
    <s v="FS1018-PIN-ZZ-01-D-O-1003"/>
    <x v="0"/>
    <x v="0"/>
    <x v="0"/>
    <x v="0"/>
  </r>
  <r>
    <s v="FS1018-PIN-ZZ-01-D-O-1004"/>
    <x v="0"/>
    <x v="0"/>
    <x v="0"/>
    <x v="0"/>
  </r>
  <r>
    <s v="FS1018-PIN-ZZ-01-D-O-1005"/>
    <x v="0"/>
    <x v="0"/>
    <x v="0"/>
    <x v="0"/>
  </r>
  <r>
    <s v="FS1018-PIN-ZZ-01-D-O-1006"/>
    <x v="0"/>
    <x v="0"/>
    <x v="0"/>
    <x v="0"/>
  </r>
  <r>
    <s v="FS1018-PIN-ZZ-01-D-O-1007"/>
    <x v="0"/>
    <x v="0"/>
    <x v="0"/>
    <x v="0"/>
  </r>
  <r>
    <s v="FS1018-PIN-ZZ-01-D-O-1008"/>
    <x v="0"/>
    <x v="0"/>
    <x v="0"/>
    <x v="0"/>
  </r>
  <r>
    <s v="FS1018-PIN-ZZ-01-D-O-1009"/>
    <x v="0"/>
    <x v="0"/>
    <x v="0"/>
    <x v="0"/>
  </r>
  <r>
    <s v="FS1018-PIN-ZZ-01-D-O-1021"/>
    <x v="0"/>
    <x v="0"/>
    <x v="0"/>
    <x v="0"/>
  </r>
  <r>
    <s v="FS1018-PIN-ZZ-01-D-O-1101"/>
    <x v="0"/>
    <x v="0"/>
    <x v="0"/>
    <x v="0"/>
  </r>
  <r>
    <s v="FS1018-PIN-ZZ-01-D-O-1102"/>
    <x v="0"/>
    <x v="0"/>
    <x v="0"/>
    <x v="0"/>
  </r>
  <r>
    <s v="FS1018-PIN-ZZ-01-D-O-1108"/>
    <x v="1"/>
    <x v="1"/>
    <x v="0"/>
    <x v="1"/>
  </r>
  <r>
    <s v="FS1018-PIN-ZZ-01-D-O-3006"/>
    <x v="0"/>
    <x v="0"/>
    <x v="0"/>
    <x v="0"/>
  </r>
  <r>
    <s v="FS1018-PIN-ZZ-01-D-O-3009"/>
    <x v="0"/>
    <x v="0"/>
    <x v="0"/>
    <x v="0"/>
  </r>
  <r>
    <s v="FS1018-PIN-ZZ-01-D-O-4002"/>
    <x v="0"/>
    <x v="0"/>
    <x v="0"/>
    <x v="0"/>
  </r>
  <r>
    <s v="FS1018-PIN-ZZ-01-D-O-4007"/>
    <x v="0"/>
    <x v="0"/>
    <x v="0"/>
    <x v="0"/>
  </r>
  <r>
    <s v="FS1018-PIN-ZZ-01-D-O-4012"/>
    <x v="1"/>
    <x v="1"/>
    <x v="0"/>
    <x v="1"/>
  </r>
  <r>
    <s v="FS1018-PIN-ZZ-01-D-O-4013"/>
    <x v="1"/>
    <x v="1"/>
    <x v="0"/>
    <x v="1"/>
  </r>
  <r>
    <s v="FS1018-PIN-ZZ-01-D-O-4016"/>
    <x v="0"/>
    <x v="0"/>
    <x v="0"/>
    <x v="0"/>
  </r>
  <r>
    <s v="FS1018-PIN-ZZ-01-D-O-4017"/>
    <x v="0"/>
    <x v="0"/>
    <x v="0"/>
    <x v="0"/>
  </r>
  <r>
    <s v="FS1018-PIN-ZZ-01-D-O-5006"/>
    <x v="1"/>
    <x v="1"/>
    <x v="0"/>
    <x v="1"/>
  </r>
  <r>
    <s v="FS1018-PIN-ZZ-01-D-O-5017"/>
    <x v="0"/>
    <x v="0"/>
    <x v="0"/>
    <x v="0"/>
  </r>
  <r>
    <s v="FS1018-PIN-ZZ-01-D-O-5104"/>
    <x v="1"/>
    <x v="1"/>
    <x v="0"/>
    <x v="1"/>
  </r>
  <r>
    <s v="FS1018-PIN-ZZ-01-D-O-5110"/>
    <x v="0"/>
    <x v="2"/>
    <x v="0"/>
    <x v="0"/>
  </r>
  <r>
    <s v="FS1018-PIN-ZZ-01-D-O-5111"/>
    <x v="0"/>
    <x v="2"/>
    <x v="0"/>
    <x v="0"/>
  </r>
  <r>
    <s v="FS1018-PIN-ZZ-01-D-O-5112"/>
    <x v="0"/>
    <x v="2"/>
    <x v="0"/>
    <x v="0"/>
  </r>
  <r>
    <s v="FS1018-PIN-ZZ-01-D-O-5113"/>
    <x v="0"/>
    <x v="2"/>
    <x v="0"/>
    <x v="0"/>
  </r>
  <r>
    <s v="FS1018-PIN-ZZ-01-D-O-5116"/>
    <x v="1"/>
    <x v="1"/>
    <x v="0"/>
    <x v="1"/>
  </r>
  <r>
    <s v="FS1018-PIN-ZZ-02-D-O-1010"/>
    <x v="0"/>
    <x v="0"/>
    <x v="0"/>
    <x v="0"/>
  </r>
  <r>
    <s v="FS1018-PIN-ZZ-02-D-O-1011"/>
    <x v="0"/>
    <x v="0"/>
    <x v="0"/>
    <x v="0"/>
  </r>
  <r>
    <s v="FS1018-PIN-ZZ-02-D-O-1012"/>
    <x v="0"/>
    <x v="0"/>
    <x v="0"/>
    <x v="0"/>
  </r>
  <r>
    <s v="FS1018-PIN-ZZ-02-D-O-1013"/>
    <x v="0"/>
    <x v="0"/>
    <x v="0"/>
    <x v="0"/>
  </r>
  <r>
    <s v="FS1018-PIN-ZZ-02-D-O-1014"/>
    <x v="0"/>
    <x v="0"/>
    <x v="0"/>
    <x v="0"/>
  </r>
  <r>
    <s v="FS1018-PIN-ZZ-02-D-O-1015"/>
    <x v="0"/>
    <x v="0"/>
    <x v="0"/>
    <x v="0"/>
  </r>
  <r>
    <s v="FS1018-PIN-ZZ-02-D-O-1016"/>
    <x v="0"/>
    <x v="0"/>
    <x v="0"/>
    <x v="0"/>
  </r>
  <r>
    <s v="FS1018-PIN-ZZ-02-D-O-1042"/>
    <x v="0"/>
    <x v="2"/>
    <x v="0"/>
    <x v="0"/>
  </r>
  <r>
    <s v="FS1018-PIN-ZZ-02-D-O-1103"/>
    <x v="0"/>
    <x v="0"/>
    <x v="0"/>
    <x v="0"/>
  </r>
  <r>
    <s v="FS1018-PIN-ZZ-02-D-O-1104"/>
    <x v="0"/>
    <x v="0"/>
    <x v="0"/>
    <x v="0"/>
  </r>
  <r>
    <s v="FS1018-PIN-ZZ-02-D-O-1105"/>
    <x v="0"/>
    <x v="0"/>
    <x v="0"/>
    <x v="0"/>
  </r>
  <r>
    <s v="FS1018-PIN-ZZ-02-D-O-1106"/>
    <x v="0"/>
    <x v="0"/>
    <x v="0"/>
    <x v="0"/>
  </r>
  <r>
    <s v="FS1018-PIN-ZZ-02-D-O-1107"/>
    <x v="0"/>
    <x v="0"/>
    <x v="0"/>
    <x v="0"/>
  </r>
  <r>
    <s v="FS1018-PIN-ZZ-02-D-O-2000"/>
    <x v="0"/>
    <x v="0"/>
    <x v="0"/>
    <x v="0"/>
  </r>
  <r>
    <s v="FS1018-PIN-ZZ-02-D-O-2042"/>
    <x v="0"/>
    <x v="2"/>
    <x v="0"/>
    <x v="0"/>
  </r>
  <r>
    <s v="FS1018-PIN-ZZ-02-D-O-3008"/>
    <x v="0"/>
    <x v="0"/>
    <x v="0"/>
    <x v="0"/>
  </r>
  <r>
    <s v="FS1018-PIN-ZZ-02-D-O-3042"/>
    <x v="0"/>
    <x v="2"/>
    <x v="0"/>
    <x v="0"/>
  </r>
  <r>
    <s v="FS1018-PIN-ZZ-02-D-O-4001"/>
    <x v="0"/>
    <x v="0"/>
    <x v="0"/>
    <x v="0"/>
  </r>
  <r>
    <s v="FS1018-PIN-ZZ-02-D-O-4014"/>
    <x v="0"/>
    <x v="0"/>
    <x v="0"/>
    <x v="0"/>
  </r>
  <r>
    <s v="FS1018-PIN-ZZ-02-D-O-5004"/>
    <x v="0"/>
    <x v="0"/>
    <x v="0"/>
    <x v="0"/>
  </r>
  <r>
    <s v="FS1018-PIN-ZZ-02-D-O-5005"/>
    <x v="1"/>
    <x v="1"/>
    <x v="0"/>
    <x v="1"/>
  </r>
  <r>
    <s v="FS1018-PIN-ZZ-02-D-O-5020"/>
    <x v="0"/>
    <x v="0"/>
    <x v="0"/>
    <x v="0"/>
  </r>
  <r>
    <s v="FS1018-PIN-ZZ-02-D-O-5102"/>
    <x v="1"/>
    <x v="1"/>
    <x v="0"/>
    <x v="1"/>
  </r>
  <r>
    <s v="FS1018-PIN-ZZ-02-D-O-5115"/>
    <x v="0"/>
    <x v="0"/>
    <x v="0"/>
    <x v="0"/>
  </r>
  <r>
    <s v="FS1018-PIN-ZZ-02-D-O-6113"/>
    <x v="0"/>
    <x v="2"/>
    <x v="0"/>
    <x v="0"/>
  </r>
  <r>
    <s v="FS1018-PIN-ZZ-02-D-O-7113"/>
    <x v="0"/>
    <x v="2"/>
    <x v="0"/>
    <x v="0"/>
  </r>
  <r>
    <s v="FS1018-PIN-ZZ-02-D-O-8113"/>
    <x v="0"/>
    <x v="2"/>
    <x v="0"/>
    <x v="0"/>
  </r>
  <r>
    <s v="FS1018-PIN-ZZ-02-D-O-9113"/>
    <x v="0"/>
    <x v="2"/>
    <x v="0"/>
    <x v="0"/>
  </r>
  <r>
    <s v="FS1018-PIN-ZZ-ZZ-L-O-0005"/>
    <x v="0"/>
    <x v="0"/>
    <x v="0"/>
    <x v="0"/>
  </r>
  <r>
    <s v="FS1018-PIN-ZZ-ZZ-L-O-0006"/>
    <x v="0"/>
    <x v="0"/>
    <x v="0"/>
    <x v="0"/>
  </r>
  <r>
    <s v="FS1018-PIN-ZZ-ZZ-L-O-0007"/>
    <x v="0"/>
    <x v="0"/>
    <x v="0"/>
    <x v="0"/>
  </r>
  <r>
    <s v="FS1018-PIN-ZZ-ZZ-M-O-0001"/>
    <x v="0"/>
    <x v="3"/>
    <x v="0"/>
    <x v="0"/>
  </r>
  <r>
    <s v="FS1018-PIN-ZZ-ZZ-M-O-0002"/>
    <x v="1"/>
    <x v="1"/>
    <x v="0"/>
    <x v="1"/>
  </r>
  <r>
    <s v="FS1018-PIN-ZZ-ZZ-M-O-0003"/>
    <x v="1"/>
    <x v="1"/>
    <x v="0"/>
    <x v="1"/>
  </r>
  <r>
    <s v="FS1018-PIN-ZZ-ZZ-M-O-0004"/>
    <x v="1"/>
    <x v="1"/>
    <x v="0"/>
    <x v="1"/>
  </r>
  <r>
    <s v="FS1018-PIN-ZZ-ZZ-M-O-0005"/>
    <x v="0"/>
    <x v="0"/>
    <x v="0"/>
    <x v="0"/>
  </r>
  <r>
    <s v="FS1018-PIN-ZZ-ZZ-M-O-0006"/>
    <x v="1"/>
    <x v="1"/>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4">
  <r>
    <x v="0"/>
    <s v="BB93 Acoustic Criteria Ground Floor"/>
    <x v="0"/>
    <s v="In Progress"/>
    <x v="0"/>
    <x v="0"/>
    <x v="0"/>
    <x v="0"/>
    <x v="0"/>
    <b v="1"/>
    <x v="0"/>
    <s v="FS1018-ADT-ZZ-00-D-J-0001"/>
  </r>
  <r>
    <x v="0"/>
    <s v="BB93 Acoustic Criteria Ground Floor"/>
    <x v="0"/>
    <s v="In Progress"/>
    <x v="1"/>
    <x v="1"/>
    <x v="1"/>
    <x v="1"/>
    <x v="1"/>
    <b v="1"/>
    <x v="0"/>
    <s v="FS1018-ADT-ZZ-00-D-J-0001"/>
  </r>
  <r>
    <x v="1"/>
    <s v="Acoustic Wall Types Ground Floor"/>
    <x v="0"/>
    <s v="Completed"/>
    <x v="0"/>
    <x v="0"/>
    <x v="2"/>
    <x v="0"/>
    <x v="2"/>
    <b v="1"/>
    <x v="1"/>
    <s v="FS1018-ADT-ZZ-00-D-J-0004"/>
  </r>
  <r>
    <x v="2"/>
    <s v="BB93 Acoustic Criteria First Floor"/>
    <x v="0"/>
    <s v="Completed"/>
    <x v="0"/>
    <x v="0"/>
    <x v="2"/>
    <x v="0"/>
    <x v="2"/>
    <b v="1"/>
    <x v="2"/>
    <s v="FS1018-ADT-ZZ-01-D-J-0002"/>
  </r>
  <r>
    <x v="3"/>
    <s v="Acoustic Wall Types First Floor"/>
    <x v="0"/>
    <s v="Completed"/>
    <x v="0"/>
    <x v="0"/>
    <x v="2"/>
    <x v="0"/>
    <x v="2"/>
    <b v="1"/>
    <x v="3"/>
    <s v="FS1018-ADT-ZZ-01-D-J-0005"/>
  </r>
  <r>
    <x v="4"/>
    <s v="BB93 Acoustic Criteria Second Floor"/>
    <x v="0"/>
    <s v="Completed"/>
    <x v="0"/>
    <x v="0"/>
    <x v="2"/>
    <x v="0"/>
    <x v="2"/>
    <b v="1"/>
    <x v="4"/>
    <s v="FS1018-ADT-ZZ-02-D-J-0003"/>
  </r>
  <r>
    <x v="5"/>
    <s v="Acoustic Wall Types Second Floor"/>
    <x v="0"/>
    <s v="Completed"/>
    <x v="0"/>
    <x v="0"/>
    <x v="2"/>
    <x v="0"/>
    <x v="2"/>
    <b v="1"/>
    <x v="5"/>
    <s v="FS1018-ADT-ZZ-02-D-J-0006"/>
  </r>
  <r>
    <x v="6"/>
    <s v="Acoustic Strategy"/>
    <x v="0"/>
    <s v="In Progress"/>
    <x v="0"/>
    <x v="0"/>
    <x v="0"/>
    <x v="0"/>
    <x v="3"/>
    <b v="1"/>
    <x v="6"/>
    <s v="FS1018-ADT-ZZ-ZZ-T-J-0001"/>
  </r>
  <r>
    <x v="6"/>
    <s v="Acoustic Strategy"/>
    <x v="0"/>
    <s v="In Progress"/>
    <x v="1"/>
    <x v="1"/>
    <x v="1"/>
    <x v="1"/>
    <x v="1"/>
    <b v="1"/>
    <x v="6"/>
    <s v="FS1018-ADT-ZZ-ZZ-T-J-0001"/>
  </r>
  <r>
    <x v="7"/>
    <s v="Environmental Noise Impact Assessment"/>
    <x v="0"/>
    <s v="Completed"/>
    <x v="0"/>
    <x v="0"/>
    <x v="2"/>
    <x v="0"/>
    <x v="4"/>
    <b v="1"/>
    <x v="7"/>
    <s v="FS1018-ADT-ZZ-ZZ-T-Y-0002"/>
  </r>
  <r>
    <x v="8"/>
    <s v="Level 00 Containment Sheet 1"/>
    <x v="1"/>
    <s v="Completed"/>
    <x v="2"/>
    <x v="0"/>
    <x v="2"/>
    <x v="2"/>
    <x v="2"/>
    <b v="1"/>
    <x v="8"/>
    <s v="FS1018-AGL-ZZ-00-D-E-6110"/>
  </r>
  <r>
    <x v="9"/>
    <s v="Level 00 Containment Sheet 2"/>
    <x v="1"/>
    <s v="Completed"/>
    <x v="2"/>
    <x v="0"/>
    <x v="2"/>
    <x v="2"/>
    <x v="2"/>
    <b v="1"/>
    <x v="9"/>
    <s v="FS1018-AGL-ZZ-00-D-E-6111"/>
  </r>
  <r>
    <x v="10"/>
    <s v="Level 00 Containment Sheet 3"/>
    <x v="1"/>
    <s v="In Progress"/>
    <x v="2"/>
    <x v="0"/>
    <x v="0"/>
    <x v="2"/>
    <x v="5"/>
    <b v="1"/>
    <x v="10"/>
    <s v="FS1018-AGL-ZZ-00-D-E-6112"/>
  </r>
  <r>
    <x v="10"/>
    <s v="Level 00 Containment Sheet 3"/>
    <x v="1"/>
    <s v="In Progress"/>
    <x v="3"/>
    <x v="1"/>
    <x v="1"/>
    <x v="1"/>
    <x v="1"/>
    <b v="1"/>
    <x v="10"/>
    <s v="FS1018-AGL-ZZ-00-D-E-6112"/>
  </r>
  <r>
    <x v="11"/>
    <s v="Building Electrical Switchroom Details"/>
    <x v="1"/>
    <s v="Completed"/>
    <x v="2"/>
    <x v="0"/>
    <x v="2"/>
    <x v="2"/>
    <x v="2"/>
    <b v="1"/>
    <x v="11"/>
    <s v="FS1018-AGL-ZZ-00-D-E-6114"/>
  </r>
  <r>
    <x v="12"/>
    <s v="Level 00 Small Power And Data Sheet 1"/>
    <x v="1"/>
    <s v="Completed"/>
    <x v="2"/>
    <x v="0"/>
    <x v="2"/>
    <x v="2"/>
    <x v="2"/>
    <b v="1"/>
    <x v="12"/>
    <s v="FS1018-AGL-ZZ-00-D-E-6210"/>
  </r>
  <r>
    <x v="13"/>
    <s v="Level 00 Small Power And Data Sheet 2"/>
    <x v="1"/>
    <s v="Completed"/>
    <x v="2"/>
    <x v="0"/>
    <x v="2"/>
    <x v="2"/>
    <x v="2"/>
    <b v="1"/>
    <x v="13"/>
    <s v="FS1018-AGL-ZZ-00-D-E-6211"/>
  </r>
  <r>
    <x v="14"/>
    <s v="Level 00 Small Power And Data Sheet 3"/>
    <x v="1"/>
    <s v="In Progress"/>
    <x v="2"/>
    <x v="0"/>
    <x v="3"/>
    <x v="2"/>
    <x v="6"/>
    <b v="1"/>
    <x v="14"/>
    <s v="FS1018-AGL-ZZ-00-D-E-6212"/>
  </r>
  <r>
    <x v="14"/>
    <s v="Level 00 Small Power And Data Sheet 3"/>
    <x v="1"/>
    <s v="In Progress"/>
    <x v="3"/>
    <x v="1"/>
    <x v="1"/>
    <x v="1"/>
    <x v="1"/>
    <b v="1"/>
    <x v="14"/>
    <s v="FS1018-AGL-ZZ-00-D-E-6212"/>
  </r>
  <r>
    <x v="15"/>
    <s v="Level 00 MSER Sheet 1"/>
    <x v="1"/>
    <s v="Completed"/>
    <x v="2"/>
    <x v="0"/>
    <x v="2"/>
    <x v="2"/>
    <x v="2"/>
    <b v="1"/>
    <x v="15"/>
    <s v="FS1018-AGL-ZZ-00-D-E-6213"/>
  </r>
  <r>
    <x v="16"/>
    <s v="Level 00 MSER Sheet 2"/>
    <x v="1"/>
    <s v="Completed"/>
    <x v="2"/>
    <x v="0"/>
    <x v="2"/>
    <x v="2"/>
    <x v="2"/>
    <b v="1"/>
    <x v="16"/>
    <s v="FS1018-AGL-ZZ-00-D-E-6214"/>
  </r>
  <r>
    <x v="17"/>
    <s v="Level 00 MSER Sheet 3"/>
    <x v="1"/>
    <s v="Completed"/>
    <x v="2"/>
    <x v="0"/>
    <x v="2"/>
    <x v="2"/>
    <x v="2"/>
    <b v="1"/>
    <x v="17"/>
    <s v="FS1018-AGL-ZZ-00-D-E-6215"/>
  </r>
  <r>
    <x v="18"/>
    <s v="Level 00 Lighting Sheet 1"/>
    <x v="1"/>
    <s v="In Progress"/>
    <x v="2"/>
    <x v="0"/>
    <x v="0"/>
    <x v="2"/>
    <x v="7"/>
    <b v="1"/>
    <x v="18"/>
    <s v="FS1018-AGL-ZZ-00-D-E-6310"/>
  </r>
  <r>
    <x v="18"/>
    <s v="Level 00 Lighting Sheet 1"/>
    <x v="1"/>
    <s v="In Progress"/>
    <x v="3"/>
    <x v="1"/>
    <x v="1"/>
    <x v="1"/>
    <x v="1"/>
    <b v="1"/>
    <x v="18"/>
    <s v="FS1018-AGL-ZZ-00-D-E-6310"/>
  </r>
  <r>
    <x v="19"/>
    <s v="Level 00 Lighting Sheet 2"/>
    <x v="1"/>
    <s v="In Progress"/>
    <x v="2"/>
    <x v="0"/>
    <x v="0"/>
    <x v="2"/>
    <x v="8"/>
    <b v="1"/>
    <x v="19"/>
    <s v="FS1018-AGL-ZZ-00-D-E-6311"/>
  </r>
  <r>
    <x v="19"/>
    <s v="Level 00 Lighting Sheet 2"/>
    <x v="1"/>
    <s v="In Progress"/>
    <x v="3"/>
    <x v="1"/>
    <x v="1"/>
    <x v="1"/>
    <x v="1"/>
    <b v="1"/>
    <x v="19"/>
    <s v="FS1018-AGL-ZZ-00-D-E-6311"/>
  </r>
  <r>
    <x v="20"/>
    <s v="Level 00 Lighting Sheet 3"/>
    <x v="1"/>
    <s v="In Progress"/>
    <x v="2"/>
    <x v="0"/>
    <x v="0"/>
    <x v="2"/>
    <x v="9"/>
    <b v="1"/>
    <x v="20"/>
    <s v="FS1018-AGL-ZZ-00-D-E-6312"/>
  </r>
  <r>
    <x v="20"/>
    <s v="Level 00 Lighting Sheet 3"/>
    <x v="1"/>
    <s v="In Progress"/>
    <x v="3"/>
    <x v="1"/>
    <x v="1"/>
    <x v="1"/>
    <x v="1"/>
    <b v="1"/>
    <x v="20"/>
    <s v="FS1018-AGL-ZZ-00-D-E-6312"/>
  </r>
  <r>
    <x v="21"/>
    <s v="Level 00 Fire Alarm Sheet 1"/>
    <x v="1"/>
    <s v="Completed"/>
    <x v="2"/>
    <x v="0"/>
    <x v="2"/>
    <x v="2"/>
    <x v="2"/>
    <b v="1"/>
    <x v="21"/>
    <s v="FS1018-AGL-ZZ-00-D-E-6810"/>
  </r>
  <r>
    <x v="22"/>
    <s v="Level 00 Fire Alarm Sheet 2"/>
    <x v="1"/>
    <s v="Completed"/>
    <x v="2"/>
    <x v="0"/>
    <x v="2"/>
    <x v="2"/>
    <x v="2"/>
    <b v="1"/>
    <x v="22"/>
    <s v="FS1018-AGL-ZZ-00-D-E-6811"/>
  </r>
  <r>
    <x v="23"/>
    <s v="Level 00 Fire Alarm Sheet 3"/>
    <x v="1"/>
    <s v="In Progress"/>
    <x v="2"/>
    <x v="0"/>
    <x v="3"/>
    <x v="2"/>
    <x v="10"/>
    <b v="1"/>
    <x v="23"/>
    <s v="FS1018-AGL-ZZ-00-D-E-6812"/>
  </r>
  <r>
    <x v="23"/>
    <s v="Level 00 Fire Alarm Sheet 3"/>
    <x v="1"/>
    <s v="In Progress"/>
    <x v="3"/>
    <x v="1"/>
    <x v="1"/>
    <x v="1"/>
    <x v="1"/>
    <b v="1"/>
    <x v="23"/>
    <s v="FS1018-AGL-ZZ-00-D-E-6812"/>
  </r>
  <r>
    <x v="24"/>
    <s v="Level 00 Fire Alarm Zoning Sheet 1"/>
    <x v="1"/>
    <s v="Completed"/>
    <x v="2"/>
    <x v="0"/>
    <x v="2"/>
    <x v="2"/>
    <x v="2"/>
    <b v="1"/>
    <x v="24"/>
    <s v="FS1018-AGL-ZZ-00-D-E-6820"/>
  </r>
  <r>
    <x v="25"/>
    <s v="Level 00 Fire Alarm Zoning Sheet 2"/>
    <x v="1"/>
    <s v="Completed"/>
    <x v="2"/>
    <x v="0"/>
    <x v="2"/>
    <x v="2"/>
    <x v="2"/>
    <b v="1"/>
    <x v="25"/>
    <s v="FS1018-AGL-ZZ-00-D-E-6821"/>
  </r>
  <r>
    <x v="26"/>
    <s v="Level 00 Fire Alarm Zoning Sheet 3"/>
    <x v="1"/>
    <s v="Completed"/>
    <x v="2"/>
    <x v="0"/>
    <x v="2"/>
    <x v="2"/>
    <x v="2"/>
    <b v="1"/>
    <x v="26"/>
    <s v="FS1018-AGL-ZZ-00-D-E-6822"/>
  </r>
  <r>
    <x v="27"/>
    <s v="Level 00 Security Sheet 1"/>
    <x v="1"/>
    <s v="In Progress"/>
    <x v="2"/>
    <x v="0"/>
    <x v="3"/>
    <x v="2"/>
    <x v="11"/>
    <b v="1"/>
    <x v="27"/>
    <s v="FS1018-AGL-ZZ-00-D-E-6840"/>
  </r>
  <r>
    <x v="27"/>
    <s v="Level 00 Security Sheet 1"/>
    <x v="1"/>
    <s v="In Progress"/>
    <x v="3"/>
    <x v="1"/>
    <x v="1"/>
    <x v="1"/>
    <x v="1"/>
    <b v="1"/>
    <x v="27"/>
    <s v="FS1018-AGL-ZZ-00-D-E-6840"/>
  </r>
  <r>
    <x v="28"/>
    <s v="Level 00 Security Sheet 2"/>
    <x v="1"/>
    <s v="Completed"/>
    <x v="2"/>
    <x v="0"/>
    <x v="2"/>
    <x v="2"/>
    <x v="2"/>
    <b v="1"/>
    <x v="28"/>
    <s v="FS1018-AGL-ZZ-00-D-E-6841"/>
  </r>
  <r>
    <x v="29"/>
    <s v="Level 00 Security Sheet 3"/>
    <x v="1"/>
    <s v="Completed"/>
    <x v="2"/>
    <x v="0"/>
    <x v="2"/>
    <x v="2"/>
    <x v="2"/>
    <b v="1"/>
    <x v="29"/>
    <s v="FS1018-AGL-ZZ-00-D-E-6842"/>
  </r>
  <r>
    <x v="30"/>
    <s v="Photovoltaic Canopies"/>
    <x v="1"/>
    <s v="In Progress"/>
    <x v="2"/>
    <x v="0"/>
    <x v="0"/>
    <x v="0"/>
    <x v="12"/>
    <b v="1"/>
    <x v="30"/>
    <s v="FS1018-AGL-ZZ-00-D-E-9001"/>
  </r>
  <r>
    <x v="30"/>
    <s v="Photovoltaic Canopies"/>
    <x v="1"/>
    <s v="In Progress"/>
    <x v="1"/>
    <x v="1"/>
    <x v="1"/>
    <x v="1"/>
    <x v="1"/>
    <b v="1"/>
    <x v="30"/>
    <s v="FS1018-AGL-ZZ-00-D-E-9001"/>
  </r>
  <r>
    <x v="31"/>
    <s v="Level 00 Above Ground Drainage Sheet 1"/>
    <x v="0"/>
    <s v="In Progress"/>
    <x v="2"/>
    <x v="0"/>
    <x v="3"/>
    <x v="3"/>
    <x v="13"/>
    <b v="1"/>
    <x v="31"/>
    <s v="FS1018-AGL-ZZ-00-D-M-5210"/>
  </r>
  <r>
    <x v="31"/>
    <s v="Level 00 Above Ground Drainage Sheet 1"/>
    <x v="0"/>
    <s v="In Progress"/>
    <x v="4"/>
    <x v="1"/>
    <x v="1"/>
    <x v="1"/>
    <x v="1"/>
    <b v="1"/>
    <x v="31"/>
    <s v="FS1018-AGL-ZZ-00-D-M-5210"/>
  </r>
  <r>
    <x v="32"/>
    <s v="Level 00 Above Ground Drainage Sheet 2"/>
    <x v="0"/>
    <s v="In Progress"/>
    <x v="2"/>
    <x v="0"/>
    <x v="3"/>
    <x v="3"/>
    <x v="14"/>
    <b v="1"/>
    <x v="32"/>
    <s v="FS1018-AGL-ZZ-00-D-M-5211"/>
  </r>
  <r>
    <x v="32"/>
    <s v="Level 00 Above Ground Drainage Sheet 2"/>
    <x v="0"/>
    <s v="In Progress"/>
    <x v="4"/>
    <x v="1"/>
    <x v="1"/>
    <x v="1"/>
    <x v="1"/>
    <b v="1"/>
    <x v="32"/>
    <s v="FS1018-AGL-ZZ-00-D-M-5211"/>
  </r>
  <r>
    <x v="33"/>
    <s v="Level 00 Above Ground Drainage Sheet 3"/>
    <x v="0"/>
    <s v="In Progress"/>
    <x v="2"/>
    <x v="0"/>
    <x v="3"/>
    <x v="3"/>
    <x v="15"/>
    <b v="1"/>
    <x v="33"/>
    <s v="FS1018-AGL-ZZ-00-D-M-5212"/>
  </r>
  <r>
    <x v="33"/>
    <s v="Level 00 Above Ground Drainage Sheet 3"/>
    <x v="0"/>
    <s v="In Progress"/>
    <x v="4"/>
    <x v="1"/>
    <x v="1"/>
    <x v="1"/>
    <x v="1"/>
    <b v="1"/>
    <x v="33"/>
    <s v="FS1018-AGL-ZZ-00-D-M-5212"/>
  </r>
  <r>
    <x v="34"/>
    <s v="Level 00 Domestic Water Services Sheet 1"/>
    <x v="0"/>
    <s v="In Progress"/>
    <x v="2"/>
    <x v="0"/>
    <x v="3"/>
    <x v="3"/>
    <x v="16"/>
    <b v="1"/>
    <x v="34"/>
    <s v="FS1018-AGL-ZZ-00-D-M-5310"/>
  </r>
  <r>
    <x v="34"/>
    <s v="Level 00 Domestic Water Services Sheet 1"/>
    <x v="0"/>
    <s v="In Progress"/>
    <x v="4"/>
    <x v="1"/>
    <x v="1"/>
    <x v="1"/>
    <x v="1"/>
    <b v="1"/>
    <x v="34"/>
    <s v="FS1018-AGL-ZZ-00-D-M-5310"/>
  </r>
  <r>
    <x v="35"/>
    <s v="Level 00 Domestic Water Services Sheet 2"/>
    <x v="0"/>
    <s v="Completed"/>
    <x v="2"/>
    <x v="0"/>
    <x v="2"/>
    <x v="3"/>
    <x v="1"/>
    <b v="1"/>
    <x v="35"/>
    <s v="FS1018-AGL-ZZ-00-D-M-5311"/>
  </r>
  <r>
    <x v="36"/>
    <s v="Level 00 Domestic Water Services Sheet 3"/>
    <x v="0"/>
    <s v="Completed"/>
    <x v="2"/>
    <x v="0"/>
    <x v="2"/>
    <x v="3"/>
    <x v="1"/>
    <b v="1"/>
    <x v="36"/>
    <s v="FS1018-AGL-ZZ-00-D-M-5312"/>
  </r>
  <r>
    <x v="37"/>
    <s v="Level 00 Gas"/>
    <x v="0"/>
    <s v="Completed"/>
    <x v="2"/>
    <x v="0"/>
    <x v="2"/>
    <x v="3"/>
    <x v="1"/>
    <b v="1"/>
    <x v="37"/>
    <s v="FS1018-AGL-ZZ-00-D-M-5410"/>
  </r>
  <r>
    <x v="38"/>
    <s v="Level 00 Heating and Cooling Sheet 1"/>
    <x v="1"/>
    <s v="In Progress"/>
    <x v="2"/>
    <x v="0"/>
    <x v="0"/>
    <x v="4"/>
    <x v="17"/>
    <b v="1"/>
    <x v="38"/>
    <s v="FS1018-AGL-ZZ-00-D-M-5610"/>
  </r>
  <r>
    <x v="38"/>
    <s v="Level 00 Heating and Cooling Sheet 1"/>
    <x v="1"/>
    <s v="In Progress"/>
    <x v="5"/>
    <x v="1"/>
    <x v="1"/>
    <x v="1"/>
    <x v="1"/>
    <b v="1"/>
    <x v="38"/>
    <s v="FS1018-AGL-ZZ-00-D-M-5610"/>
  </r>
  <r>
    <x v="39"/>
    <s v="Level 00 Heating and Cooling Sheet 2"/>
    <x v="1"/>
    <s v="In Progress"/>
    <x v="2"/>
    <x v="0"/>
    <x v="0"/>
    <x v="4"/>
    <x v="18"/>
    <b v="1"/>
    <x v="39"/>
    <s v="FS1018-AGL-ZZ-00-D-M-5611"/>
  </r>
  <r>
    <x v="39"/>
    <s v="Level 00 Heating and Cooling Sheet 2"/>
    <x v="1"/>
    <s v="In Progress"/>
    <x v="5"/>
    <x v="1"/>
    <x v="1"/>
    <x v="1"/>
    <x v="1"/>
    <b v="1"/>
    <x v="39"/>
    <s v="FS1018-AGL-ZZ-00-D-M-5611"/>
  </r>
  <r>
    <x v="40"/>
    <s v="Level 00 Heating and Cooling Sheet 3"/>
    <x v="1"/>
    <s v="In Progress"/>
    <x v="2"/>
    <x v="0"/>
    <x v="0"/>
    <x v="4"/>
    <x v="18"/>
    <b v="1"/>
    <x v="40"/>
    <s v="FS1018-AGL-ZZ-00-D-M-5612"/>
  </r>
  <r>
    <x v="40"/>
    <s v="Level 00 Heating and Cooling Sheet 3"/>
    <x v="1"/>
    <s v="In Progress"/>
    <x v="5"/>
    <x v="1"/>
    <x v="1"/>
    <x v="1"/>
    <x v="1"/>
    <b v="1"/>
    <x v="40"/>
    <s v="FS1018-AGL-ZZ-00-D-M-5612"/>
  </r>
  <r>
    <x v="41"/>
    <s v="Level 00 Ventilation Sheet 1"/>
    <x v="0"/>
    <s v="In Progress"/>
    <x v="2"/>
    <x v="0"/>
    <x v="0"/>
    <x v="4"/>
    <x v="19"/>
    <b v="1"/>
    <x v="41"/>
    <s v="FS1018-AGL-ZZ-00-D-M-5710"/>
  </r>
  <r>
    <x v="41"/>
    <s v="Level 00 Ventilation Sheet 1"/>
    <x v="0"/>
    <s v="In Progress"/>
    <x v="5"/>
    <x v="1"/>
    <x v="1"/>
    <x v="1"/>
    <x v="1"/>
    <b v="1"/>
    <x v="41"/>
    <s v="FS1018-AGL-ZZ-00-D-M-5710"/>
  </r>
  <r>
    <x v="42"/>
    <s v="Level 00 Ventilation Sheet 2"/>
    <x v="0"/>
    <s v="In Progress"/>
    <x v="2"/>
    <x v="0"/>
    <x v="0"/>
    <x v="4"/>
    <x v="20"/>
    <b v="1"/>
    <x v="42"/>
    <s v="FS1018-AGL-ZZ-00-D-M-5711"/>
  </r>
  <r>
    <x v="42"/>
    <s v="Level 00 Ventilation Sheet 2"/>
    <x v="0"/>
    <s v="In Progress"/>
    <x v="5"/>
    <x v="1"/>
    <x v="1"/>
    <x v="1"/>
    <x v="1"/>
    <b v="1"/>
    <x v="42"/>
    <s v="FS1018-AGL-ZZ-00-D-M-5711"/>
  </r>
  <r>
    <x v="43"/>
    <s v="Level 00 Ventilation Sheet 3"/>
    <x v="0"/>
    <s v="In Progress"/>
    <x v="2"/>
    <x v="0"/>
    <x v="0"/>
    <x v="4"/>
    <x v="21"/>
    <b v="1"/>
    <x v="43"/>
    <s v="FS1018-AGL-ZZ-00-D-M-5712"/>
  </r>
  <r>
    <x v="43"/>
    <s v="Level 00 Ventilation Sheet 3"/>
    <x v="0"/>
    <s v="In Progress"/>
    <x v="5"/>
    <x v="1"/>
    <x v="1"/>
    <x v="1"/>
    <x v="1"/>
    <b v="1"/>
    <x v="43"/>
    <s v="FS1018-AGL-ZZ-00-D-M-5712"/>
  </r>
  <r>
    <x v="44"/>
    <s v="Level 00 Plantroom Sheet 1"/>
    <x v="1"/>
    <s v="In Progress"/>
    <x v="2"/>
    <x v="0"/>
    <x v="3"/>
    <x v="4"/>
    <x v="22"/>
    <b v="1"/>
    <x v="44"/>
    <s v="FS1018-AGL-ZZ-00-D-M-5810"/>
  </r>
  <r>
    <x v="44"/>
    <s v="Level 00 Plantroom Sheet 1"/>
    <x v="1"/>
    <s v="In Progress"/>
    <x v="5"/>
    <x v="1"/>
    <x v="1"/>
    <x v="1"/>
    <x v="1"/>
    <b v="1"/>
    <x v="44"/>
    <s v="FS1018-AGL-ZZ-00-D-M-5810"/>
  </r>
  <r>
    <x v="45"/>
    <s v="Level 00 Plantroom Sheet 2"/>
    <x v="1"/>
    <s v="Completed"/>
    <x v="2"/>
    <x v="0"/>
    <x v="2"/>
    <x v="4"/>
    <x v="2"/>
    <b v="1"/>
    <x v="45"/>
    <s v="FS1018-AGL-ZZ-00-D-M-5811"/>
  </r>
  <r>
    <x v="46"/>
    <s v="Level 00 Builderswork Sheet 1"/>
    <x v="1"/>
    <s v="Completed"/>
    <x v="2"/>
    <x v="0"/>
    <x v="2"/>
    <x v="4"/>
    <x v="2"/>
    <b v="1"/>
    <x v="46"/>
    <s v="FS1018-AGL-ZZ-00-D-Z-6010"/>
  </r>
  <r>
    <x v="47"/>
    <s v="Level 00 Builderswork Sheet 2"/>
    <x v="1"/>
    <s v="Completed"/>
    <x v="2"/>
    <x v="0"/>
    <x v="2"/>
    <x v="4"/>
    <x v="2"/>
    <b v="1"/>
    <x v="47"/>
    <s v="FS1018-AGL-ZZ-00-D-Z-6011"/>
  </r>
  <r>
    <x v="48"/>
    <s v="Level 00 Builderswork Sheet 3"/>
    <x v="1"/>
    <s v="Completed"/>
    <x v="2"/>
    <x v="0"/>
    <x v="2"/>
    <x v="4"/>
    <x v="2"/>
    <b v="1"/>
    <x v="48"/>
    <s v="FS1018-AGL-ZZ-00-D-Z-6012"/>
  </r>
  <r>
    <x v="49"/>
    <s v="Level 00 Reflected Ceiling Plan Sheet 1"/>
    <x v="1"/>
    <s v="Completed"/>
    <x v="2"/>
    <x v="0"/>
    <x v="2"/>
    <x v="4"/>
    <x v="2"/>
    <b v="1"/>
    <x v="49"/>
    <s v="FS1018-AGL-ZZ-00-D-Z-9610"/>
  </r>
  <r>
    <x v="50"/>
    <s v="Level 00 Reflected Ceiling Plan Sheet 2"/>
    <x v="1"/>
    <s v="Completed"/>
    <x v="2"/>
    <x v="0"/>
    <x v="2"/>
    <x v="4"/>
    <x v="2"/>
    <b v="1"/>
    <x v="50"/>
    <s v="FS1018-AGL-ZZ-00-D-Z-9611"/>
  </r>
  <r>
    <x v="51"/>
    <s v="Level 00 Reflected Ceiling Plan Sheet 3"/>
    <x v="1"/>
    <s v="Completed"/>
    <x v="2"/>
    <x v="0"/>
    <x v="2"/>
    <x v="4"/>
    <x v="2"/>
    <b v="1"/>
    <x v="51"/>
    <s v="FS1018-AGL-ZZ-00-D-Z-9612"/>
  </r>
  <r>
    <x v="52"/>
    <s v="Level 01 Containment Sheet 1"/>
    <x v="1"/>
    <s v="In Progress"/>
    <x v="2"/>
    <x v="0"/>
    <x v="3"/>
    <x v="2"/>
    <x v="23"/>
    <b v="1"/>
    <x v="52"/>
    <s v="FS1018-AGL-ZZ-01-D-E-6110"/>
  </r>
  <r>
    <x v="52"/>
    <s v="Level 01 Containment Sheet 1"/>
    <x v="1"/>
    <s v="In Progress"/>
    <x v="3"/>
    <x v="1"/>
    <x v="1"/>
    <x v="1"/>
    <x v="1"/>
    <b v="1"/>
    <x v="52"/>
    <s v="FS1018-AGL-ZZ-01-D-E-6110"/>
  </r>
  <r>
    <x v="53"/>
    <s v="Level 01 Containment Sheet 2"/>
    <x v="1"/>
    <s v="Completed"/>
    <x v="2"/>
    <x v="0"/>
    <x v="2"/>
    <x v="2"/>
    <x v="2"/>
    <b v="1"/>
    <x v="53"/>
    <s v="FS1018-AGL-ZZ-01-D-E-6111"/>
  </r>
  <r>
    <x v="54"/>
    <s v="Level 01 Small Power And Data Sheet 1"/>
    <x v="1"/>
    <s v="In Progress"/>
    <x v="2"/>
    <x v="0"/>
    <x v="3"/>
    <x v="2"/>
    <x v="24"/>
    <b v="1"/>
    <x v="54"/>
    <s v="FS1018-AGL-ZZ-01-D-E-6210"/>
  </r>
  <r>
    <x v="54"/>
    <s v="Level 01 Small Power And Data Sheet 1"/>
    <x v="1"/>
    <s v="In Progress"/>
    <x v="3"/>
    <x v="1"/>
    <x v="1"/>
    <x v="1"/>
    <x v="1"/>
    <b v="1"/>
    <x v="54"/>
    <s v="FS1018-AGL-ZZ-01-D-E-6210"/>
  </r>
  <r>
    <x v="55"/>
    <s v="Level 01 Small Power And Data Sheet 2"/>
    <x v="1"/>
    <s v="In Progress"/>
    <x v="2"/>
    <x v="0"/>
    <x v="3"/>
    <x v="2"/>
    <x v="25"/>
    <b v="1"/>
    <x v="55"/>
    <s v="FS1018-AGL-ZZ-01-D-E-6211"/>
  </r>
  <r>
    <x v="55"/>
    <s v="Level 01 Small Power And Data Sheet 2"/>
    <x v="1"/>
    <s v="In Progress"/>
    <x v="3"/>
    <x v="1"/>
    <x v="1"/>
    <x v="1"/>
    <x v="1"/>
    <b v="1"/>
    <x v="55"/>
    <s v="FS1018-AGL-ZZ-01-D-E-6211"/>
  </r>
  <r>
    <x v="56"/>
    <s v="Level 01 MSER Sheet 1"/>
    <x v="1"/>
    <s v="Completed"/>
    <x v="2"/>
    <x v="0"/>
    <x v="2"/>
    <x v="2"/>
    <x v="2"/>
    <b v="1"/>
    <x v="56"/>
    <s v="FS1018-AGL-ZZ-01-D-E-6212"/>
  </r>
  <r>
    <x v="57"/>
    <s v="Level 01 MSER Sheet 2"/>
    <x v="1"/>
    <s v="Completed"/>
    <x v="2"/>
    <x v="0"/>
    <x v="2"/>
    <x v="2"/>
    <x v="2"/>
    <b v="1"/>
    <x v="57"/>
    <s v="FS1018-AGL-ZZ-01-D-E-6213"/>
  </r>
  <r>
    <x v="58"/>
    <s v="Level 01 Lighting Sheet 1"/>
    <x v="1"/>
    <s v="Completed"/>
    <x v="2"/>
    <x v="0"/>
    <x v="2"/>
    <x v="2"/>
    <x v="2"/>
    <b v="1"/>
    <x v="58"/>
    <s v="FS1018-AGL-ZZ-01-D-E-6310"/>
  </r>
  <r>
    <x v="59"/>
    <s v="Level 01 Lighting Sheet 2"/>
    <x v="1"/>
    <s v="Completed"/>
    <x v="2"/>
    <x v="0"/>
    <x v="2"/>
    <x v="2"/>
    <x v="2"/>
    <b v="1"/>
    <x v="59"/>
    <s v="FS1018-AGL-ZZ-01-D-E-6311"/>
  </r>
  <r>
    <x v="60"/>
    <s v="Level 01 Fire Alarm Sheet 1"/>
    <x v="1"/>
    <s v="Completed"/>
    <x v="2"/>
    <x v="0"/>
    <x v="2"/>
    <x v="2"/>
    <x v="2"/>
    <b v="1"/>
    <x v="60"/>
    <s v="FS1018-AGL-ZZ-01-D-E-6810"/>
  </r>
  <r>
    <x v="61"/>
    <s v="Level 01 Fire Alarm Sheet 2"/>
    <x v="1"/>
    <s v="Completed"/>
    <x v="2"/>
    <x v="0"/>
    <x v="2"/>
    <x v="2"/>
    <x v="2"/>
    <b v="1"/>
    <x v="61"/>
    <s v="FS1018-AGL-ZZ-01-D-E-6811"/>
  </r>
  <r>
    <x v="62"/>
    <s v="Level 01 Fire Alarm Zoning Sheet 1"/>
    <x v="1"/>
    <s v="In Progress"/>
    <x v="2"/>
    <x v="0"/>
    <x v="0"/>
    <x v="2"/>
    <x v="26"/>
    <b v="1"/>
    <x v="62"/>
    <s v="FS1018-AGL-ZZ-01-D-E-6820"/>
  </r>
  <r>
    <x v="62"/>
    <s v="Level 01 Fire Alarm Zoning Sheet 1"/>
    <x v="1"/>
    <s v="In Progress"/>
    <x v="3"/>
    <x v="1"/>
    <x v="1"/>
    <x v="1"/>
    <x v="1"/>
    <b v="1"/>
    <x v="62"/>
    <s v="FS1018-AGL-ZZ-01-D-E-6820"/>
  </r>
  <r>
    <x v="63"/>
    <s v="Level 01 Fire Alarm Zoning Sheet 2"/>
    <x v="1"/>
    <s v="In Progress"/>
    <x v="2"/>
    <x v="0"/>
    <x v="0"/>
    <x v="2"/>
    <x v="26"/>
    <b v="1"/>
    <x v="63"/>
    <s v="FS1018-AGL-ZZ-01-D-E-6821"/>
  </r>
  <r>
    <x v="63"/>
    <s v="Level 01 Fire Alarm Zoning Sheet 2"/>
    <x v="1"/>
    <s v="In Progress"/>
    <x v="3"/>
    <x v="1"/>
    <x v="1"/>
    <x v="1"/>
    <x v="1"/>
    <b v="1"/>
    <x v="63"/>
    <s v="FS1018-AGL-ZZ-01-D-E-6821"/>
  </r>
  <r>
    <x v="64"/>
    <s v="Level 01 Security Sheet 1"/>
    <x v="1"/>
    <s v="Completed"/>
    <x v="2"/>
    <x v="0"/>
    <x v="2"/>
    <x v="2"/>
    <x v="2"/>
    <b v="1"/>
    <x v="64"/>
    <s v="FS1018-AGL-ZZ-01-D-E-6840"/>
  </r>
  <r>
    <x v="65"/>
    <s v="Level 01 Security Sheet 2"/>
    <x v="1"/>
    <s v="Completed"/>
    <x v="2"/>
    <x v="0"/>
    <x v="2"/>
    <x v="2"/>
    <x v="2"/>
    <b v="1"/>
    <x v="65"/>
    <s v="FS1018-AGL-ZZ-01-D-E-6841"/>
  </r>
  <r>
    <x v="66"/>
    <s v="Level 01 Above Ground Drainage Sheet 1"/>
    <x v="0"/>
    <s v="In Progress"/>
    <x v="2"/>
    <x v="0"/>
    <x v="3"/>
    <x v="3"/>
    <x v="27"/>
    <b v="1"/>
    <x v="66"/>
    <s v="FS1018-AGL-ZZ-01-D-M-5210"/>
  </r>
  <r>
    <x v="66"/>
    <s v="Level 01 Above Ground Drainage Sheet 1"/>
    <x v="0"/>
    <s v="In Progress"/>
    <x v="4"/>
    <x v="1"/>
    <x v="1"/>
    <x v="1"/>
    <x v="1"/>
    <b v="1"/>
    <x v="66"/>
    <s v="FS1018-AGL-ZZ-01-D-M-5210"/>
  </r>
  <r>
    <x v="67"/>
    <s v="Level 01 Above Ground Drainage Sheet 2"/>
    <x v="0"/>
    <s v="In Progress"/>
    <x v="2"/>
    <x v="0"/>
    <x v="3"/>
    <x v="3"/>
    <x v="28"/>
    <b v="1"/>
    <x v="67"/>
    <s v="FS1018-AGL-ZZ-01-D-M-5211"/>
  </r>
  <r>
    <x v="67"/>
    <s v="Level 01 Above Ground Drainage Sheet 2"/>
    <x v="0"/>
    <s v="In Progress"/>
    <x v="4"/>
    <x v="1"/>
    <x v="1"/>
    <x v="1"/>
    <x v="1"/>
    <b v="1"/>
    <x v="67"/>
    <s v="FS1018-AGL-ZZ-01-D-M-5211"/>
  </r>
  <r>
    <x v="68"/>
    <s v="Level 01 Domestic Water Services Sheet 1"/>
    <x v="0"/>
    <s v="Completed"/>
    <x v="2"/>
    <x v="0"/>
    <x v="2"/>
    <x v="3"/>
    <x v="1"/>
    <b v="1"/>
    <x v="68"/>
    <s v="FS1018-AGL-ZZ-01-D-M-5310"/>
  </r>
  <r>
    <x v="69"/>
    <s v="Level 01 Domestic Water Services Sheet 2"/>
    <x v="0"/>
    <s v="Completed"/>
    <x v="2"/>
    <x v="0"/>
    <x v="2"/>
    <x v="3"/>
    <x v="1"/>
    <b v="1"/>
    <x v="69"/>
    <s v="FS1018-AGL-ZZ-01-D-M-5311"/>
  </r>
  <r>
    <x v="70"/>
    <s v="Level 01 Gas"/>
    <x v="0"/>
    <s v="In Progress"/>
    <x v="2"/>
    <x v="0"/>
    <x v="3"/>
    <x v="3"/>
    <x v="29"/>
    <b v="1"/>
    <x v="70"/>
    <s v="FS1018-AGL-ZZ-01-D-M-5410"/>
  </r>
  <r>
    <x v="70"/>
    <s v="Level 01 Gas"/>
    <x v="0"/>
    <s v="In Progress"/>
    <x v="4"/>
    <x v="1"/>
    <x v="1"/>
    <x v="1"/>
    <x v="1"/>
    <b v="1"/>
    <x v="70"/>
    <s v="FS1018-AGL-ZZ-01-D-M-5410"/>
  </r>
  <r>
    <x v="71"/>
    <s v="Level 01 Heating and Cooling Sheet 1"/>
    <x v="1"/>
    <s v="In Progress"/>
    <x v="2"/>
    <x v="0"/>
    <x v="0"/>
    <x v="4"/>
    <x v="30"/>
    <b v="1"/>
    <x v="71"/>
    <s v="FS1018-AGL-ZZ-01-D-M-5610"/>
  </r>
  <r>
    <x v="71"/>
    <s v="Level 01 Heating and Cooling Sheet 1"/>
    <x v="1"/>
    <s v="In Progress"/>
    <x v="5"/>
    <x v="1"/>
    <x v="1"/>
    <x v="1"/>
    <x v="1"/>
    <b v="1"/>
    <x v="71"/>
    <s v="FS1018-AGL-ZZ-01-D-M-5610"/>
  </r>
  <r>
    <x v="72"/>
    <s v="Level 01 Heating and Cooling Sheet 2"/>
    <x v="1"/>
    <s v="In Progress"/>
    <x v="2"/>
    <x v="0"/>
    <x v="0"/>
    <x v="4"/>
    <x v="30"/>
    <b v="1"/>
    <x v="72"/>
    <s v="FS1018-AGL-ZZ-01-D-M-5611"/>
  </r>
  <r>
    <x v="72"/>
    <s v="Level 01 Heating and Cooling Sheet 2"/>
    <x v="1"/>
    <s v="In Progress"/>
    <x v="5"/>
    <x v="1"/>
    <x v="1"/>
    <x v="1"/>
    <x v="1"/>
    <b v="1"/>
    <x v="72"/>
    <s v="FS1018-AGL-ZZ-01-D-M-5611"/>
  </r>
  <r>
    <x v="73"/>
    <s v="Level 01 Ventilation Sheet 1"/>
    <x v="0"/>
    <s v="In Progress"/>
    <x v="2"/>
    <x v="0"/>
    <x v="0"/>
    <x v="4"/>
    <x v="31"/>
    <b v="1"/>
    <x v="73"/>
    <s v="FS1018-AGL-ZZ-01-D-M-5710"/>
  </r>
  <r>
    <x v="73"/>
    <s v="Level 01 Ventilation Sheet 1"/>
    <x v="0"/>
    <s v="In Progress"/>
    <x v="5"/>
    <x v="1"/>
    <x v="1"/>
    <x v="1"/>
    <x v="1"/>
    <b v="1"/>
    <x v="73"/>
    <s v="FS1018-AGL-ZZ-01-D-M-5710"/>
  </r>
  <r>
    <x v="74"/>
    <s v="Level 01 Ventilation Sheet 2"/>
    <x v="0"/>
    <s v="In Progress"/>
    <x v="2"/>
    <x v="0"/>
    <x v="0"/>
    <x v="4"/>
    <x v="32"/>
    <b v="1"/>
    <x v="74"/>
    <s v="FS1018-AGL-ZZ-01-D-M-5711"/>
  </r>
  <r>
    <x v="74"/>
    <s v="Level 01 Ventilation Sheet 2"/>
    <x v="0"/>
    <s v="In Progress"/>
    <x v="5"/>
    <x v="1"/>
    <x v="1"/>
    <x v="1"/>
    <x v="1"/>
    <b v="1"/>
    <x v="74"/>
    <s v="FS1018-AGL-ZZ-01-D-M-5711"/>
  </r>
  <r>
    <x v="75"/>
    <s v="Level 01 Builderswork Sheet 1"/>
    <x v="1"/>
    <s v="Completed"/>
    <x v="2"/>
    <x v="0"/>
    <x v="2"/>
    <x v="4"/>
    <x v="2"/>
    <b v="1"/>
    <x v="75"/>
    <s v="FS1018-AGL-ZZ-01-D-Z-6010"/>
  </r>
  <r>
    <x v="76"/>
    <s v="Level 01 Builderswork Sheet 2"/>
    <x v="1"/>
    <s v="Completed"/>
    <x v="2"/>
    <x v="0"/>
    <x v="2"/>
    <x v="4"/>
    <x v="2"/>
    <b v="1"/>
    <x v="76"/>
    <s v="FS1018-AGL-ZZ-01-D-Z-6011"/>
  </r>
  <r>
    <x v="77"/>
    <s v="Level 01 Reflected Ceiling Plan Sheet 1"/>
    <x v="1"/>
    <s v="Completed"/>
    <x v="2"/>
    <x v="0"/>
    <x v="2"/>
    <x v="4"/>
    <x v="2"/>
    <b v="1"/>
    <x v="77"/>
    <s v="FS1018-AGL-ZZ-01-D-Z-9610"/>
  </r>
  <r>
    <x v="78"/>
    <s v="Level 01 Reflected Ceiling Plan Sheet 2"/>
    <x v="1"/>
    <s v="Completed"/>
    <x v="2"/>
    <x v="0"/>
    <x v="2"/>
    <x v="4"/>
    <x v="2"/>
    <b v="1"/>
    <x v="78"/>
    <s v="FS1018-AGL-ZZ-01-D-Z-9611"/>
  </r>
  <r>
    <x v="79"/>
    <s v="Level 02 Containment Sheet 1"/>
    <x v="1"/>
    <s v="In Progress"/>
    <x v="2"/>
    <x v="0"/>
    <x v="0"/>
    <x v="2"/>
    <x v="33"/>
    <b v="1"/>
    <x v="79"/>
    <s v="FS1018-AGL-ZZ-02-D-E-6110"/>
  </r>
  <r>
    <x v="79"/>
    <s v="Level 02 Containment Sheet 1"/>
    <x v="1"/>
    <s v="In Progress"/>
    <x v="3"/>
    <x v="1"/>
    <x v="1"/>
    <x v="1"/>
    <x v="1"/>
    <b v="1"/>
    <x v="79"/>
    <s v="FS1018-AGL-ZZ-02-D-E-6110"/>
  </r>
  <r>
    <x v="80"/>
    <s v="Level 02 Containment Sheet 2"/>
    <x v="1"/>
    <s v="Completed"/>
    <x v="2"/>
    <x v="0"/>
    <x v="2"/>
    <x v="2"/>
    <x v="2"/>
    <b v="1"/>
    <x v="80"/>
    <s v="FS1018-AGL-ZZ-02-D-E-6111"/>
  </r>
  <r>
    <x v="81"/>
    <s v="Level 02 Small Power And Data Sheet 1"/>
    <x v="1"/>
    <s v="Completed"/>
    <x v="2"/>
    <x v="0"/>
    <x v="2"/>
    <x v="2"/>
    <x v="2"/>
    <b v="1"/>
    <x v="81"/>
    <s v="FS1018-AGL-ZZ-02-D-E-6210"/>
  </r>
  <r>
    <x v="82"/>
    <s v="Level 02 Small Power And Data Sheet 2"/>
    <x v="1"/>
    <s v="Completed"/>
    <x v="2"/>
    <x v="0"/>
    <x v="2"/>
    <x v="2"/>
    <x v="2"/>
    <b v="1"/>
    <x v="82"/>
    <s v="FS1018-AGL-ZZ-02-D-E-6211"/>
  </r>
  <r>
    <x v="83"/>
    <s v="Level 02 MSER Sheet 1"/>
    <x v="1"/>
    <s v="Completed"/>
    <x v="2"/>
    <x v="0"/>
    <x v="2"/>
    <x v="2"/>
    <x v="2"/>
    <b v="1"/>
    <x v="83"/>
    <s v="FS1018-AGL-ZZ-02-D-E-6212"/>
  </r>
  <r>
    <x v="84"/>
    <s v="Level 02 MSER Sheet 2"/>
    <x v="1"/>
    <s v="Completed"/>
    <x v="2"/>
    <x v="0"/>
    <x v="2"/>
    <x v="2"/>
    <x v="2"/>
    <b v="1"/>
    <x v="84"/>
    <s v="FS1018-AGL-ZZ-02-D-E-6213"/>
  </r>
  <r>
    <x v="85"/>
    <s v="Level 02 Lighting Sheet 1"/>
    <x v="1"/>
    <s v="Completed"/>
    <x v="2"/>
    <x v="0"/>
    <x v="2"/>
    <x v="2"/>
    <x v="2"/>
    <b v="1"/>
    <x v="85"/>
    <s v="FS1018-AGL-ZZ-02-D-E-6310"/>
  </r>
  <r>
    <x v="86"/>
    <s v="Level 02 Lighting Sheet 2"/>
    <x v="1"/>
    <s v="Completed"/>
    <x v="2"/>
    <x v="0"/>
    <x v="2"/>
    <x v="2"/>
    <x v="2"/>
    <b v="1"/>
    <x v="86"/>
    <s v="FS1018-AGL-ZZ-02-D-E-6311"/>
  </r>
  <r>
    <x v="87"/>
    <s v="Level 02 Fire Alarm Sheet 1"/>
    <x v="1"/>
    <s v="Completed"/>
    <x v="2"/>
    <x v="0"/>
    <x v="2"/>
    <x v="2"/>
    <x v="2"/>
    <b v="1"/>
    <x v="87"/>
    <s v="FS1018-AGL-ZZ-02-D-E-6810"/>
  </r>
  <r>
    <x v="88"/>
    <s v="Level 02 Fire Alarm Sheet 2"/>
    <x v="1"/>
    <s v="Completed"/>
    <x v="2"/>
    <x v="0"/>
    <x v="2"/>
    <x v="2"/>
    <x v="2"/>
    <b v="1"/>
    <x v="88"/>
    <s v="FS1018-AGL-ZZ-02-D-E-6811"/>
  </r>
  <r>
    <x v="89"/>
    <s v="Level 02 Fire Alarm Zoning Sheet 1"/>
    <x v="1"/>
    <s v="In Progress"/>
    <x v="2"/>
    <x v="0"/>
    <x v="0"/>
    <x v="2"/>
    <x v="26"/>
    <b v="1"/>
    <x v="89"/>
    <s v="FS1018-AGL-ZZ-02-D-E-6820"/>
  </r>
  <r>
    <x v="89"/>
    <s v="Level 02 Fire Alarm Zoning Sheet 1"/>
    <x v="1"/>
    <s v="In Progress"/>
    <x v="3"/>
    <x v="1"/>
    <x v="1"/>
    <x v="1"/>
    <x v="1"/>
    <b v="1"/>
    <x v="89"/>
    <s v="FS1018-AGL-ZZ-02-D-E-6820"/>
  </r>
  <r>
    <x v="90"/>
    <s v="Level 02 Fire Alarm Zoning Sheet 2"/>
    <x v="1"/>
    <s v="In Progress"/>
    <x v="2"/>
    <x v="0"/>
    <x v="0"/>
    <x v="2"/>
    <x v="26"/>
    <b v="1"/>
    <x v="90"/>
    <s v="FS1018-AGL-ZZ-02-D-E-6821"/>
  </r>
  <r>
    <x v="90"/>
    <s v="Level 02 Fire Alarm Zoning Sheet 2"/>
    <x v="1"/>
    <s v="In Progress"/>
    <x v="3"/>
    <x v="1"/>
    <x v="1"/>
    <x v="1"/>
    <x v="1"/>
    <b v="1"/>
    <x v="90"/>
    <s v="FS1018-AGL-ZZ-02-D-E-6821"/>
  </r>
  <r>
    <x v="91"/>
    <s v="Level 02 Security Sheet 1"/>
    <x v="1"/>
    <s v="Completed"/>
    <x v="2"/>
    <x v="0"/>
    <x v="2"/>
    <x v="2"/>
    <x v="2"/>
    <b v="1"/>
    <x v="91"/>
    <s v="FS1018-AGL-ZZ-02-D-E-6840"/>
  </r>
  <r>
    <x v="92"/>
    <s v="Level 02 Security Sheet 2"/>
    <x v="1"/>
    <s v="Completed"/>
    <x v="2"/>
    <x v="0"/>
    <x v="2"/>
    <x v="2"/>
    <x v="2"/>
    <b v="1"/>
    <x v="92"/>
    <s v="FS1018-AGL-ZZ-02-D-E-6841"/>
  </r>
  <r>
    <x v="93"/>
    <s v="Level 02 Above Ground Drainage Sheet 1"/>
    <x v="0"/>
    <s v="In Progress"/>
    <x v="2"/>
    <x v="0"/>
    <x v="3"/>
    <x v="3"/>
    <x v="34"/>
    <b v="1"/>
    <x v="93"/>
    <s v="FS1018-AGL-ZZ-02-D-M-5210"/>
  </r>
  <r>
    <x v="93"/>
    <s v="Level 02 Above Ground Drainage Sheet 1"/>
    <x v="0"/>
    <s v="In Progress"/>
    <x v="4"/>
    <x v="1"/>
    <x v="1"/>
    <x v="1"/>
    <x v="1"/>
    <b v="1"/>
    <x v="93"/>
    <s v="FS1018-AGL-ZZ-02-D-M-5210"/>
  </r>
  <r>
    <x v="94"/>
    <s v="Level 02 Above Ground Drainage Sheet 2"/>
    <x v="0"/>
    <s v="In Progress"/>
    <x v="2"/>
    <x v="0"/>
    <x v="3"/>
    <x v="3"/>
    <x v="35"/>
    <b v="1"/>
    <x v="94"/>
    <s v="FS1018-AGL-ZZ-02-D-M-5211"/>
  </r>
  <r>
    <x v="94"/>
    <s v="Level 02 Above Ground Drainage Sheet 2"/>
    <x v="0"/>
    <s v="In Progress"/>
    <x v="4"/>
    <x v="1"/>
    <x v="1"/>
    <x v="1"/>
    <x v="1"/>
    <b v="1"/>
    <x v="94"/>
    <s v="FS1018-AGL-ZZ-02-D-M-5211"/>
  </r>
  <r>
    <x v="95"/>
    <s v="Level 02 Domestic Water Services Sheet 1"/>
    <x v="0"/>
    <s v="Completed"/>
    <x v="2"/>
    <x v="0"/>
    <x v="2"/>
    <x v="3"/>
    <x v="1"/>
    <b v="1"/>
    <x v="95"/>
    <s v="FS1018-AGL-ZZ-02-D-M-5310"/>
  </r>
  <r>
    <x v="96"/>
    <s v="Level 02 Domestic Water Services Sheet 2"/>
    <x v="0"/>
    <s v="Completed"/>
    <x v="2"/>
    <x v="0"/>
    <x v="2"/>
    <x v="3"/>
    <x v="1"/>
    <b v="1"/>
    <x v="96"/>
    <s v="FS1018-AGL-ZZ-02-D-M-5311"/>
  </r>
  <r>
    <x v="97"/>
    <s v="Level 02 Gas"/>
    <x v="0"/>
    <s v="In Progress"/>
    <x v="2"/>
    <x v="0"/>
    <x v="3"/>
    <x v="3"/>
    <x v="36"/>
    <b v="1"/>
    <x v="97"/>
    <s v="FS1018-AGL-ZZ-02-D-M-5410"/>
  </r>
  <r>
    <x v="97"/>
    <s v="Level 02 Gas"/>
    <x v="0"/>
    <s v="In Progress"/>
    <x v="4"/>
    <x v="1"/>
    <x v="1"/>
    <x v="1"/>
    <x v="1"/>
    <b v="1"/>
    <x v="97"/>
    <s v="FS1018-AGL-ZZ-02-D-M-5410"/>
  </r>
  <r>
    <x v="98"/>
    <s v="Level 02 Heating and Cooling Sheet 1"/>
    <x v="1"/>
    <s v="In Progress"/>
    <x v="2"/>
    <x v="0"/>
    <x v="0"/>
    <x v="4"/>
    <x v="30"/>
    <b v="1"/>
    <x v="98"/>
    <s v="FS1018-AGL-ZZ-02-D-M-5610"/>
  </r>
  <r>
    <x v="98"/>
    <s v="Level 02 Heating and Cooling Sheet 1"/>
    <x v="1"/>
    <s v="In Progress"/>
    <x v="5"/>
    <x v="1"/>
    <x v="1"/>
    <x v="1"/>
    <x v="1"/>
    <b v="1"/>
    <x v="98"/>
    <s v="FS1018-AGL-ZZ-02-D-M-5610"/>
  </r>
  <r>
    <x v="99"/>
    <s v="Level 02 Heating and Cooling Sheet 2"/>
    <x v="1"/>
    <s v="In Progress"/>
    <x v="2"/>
    <x v="0"/>
    <x v="0"/>
    <x v="4"/>
    <x v="30"/>
    <b v="1"/>
    <x v="99"/>
    <s v="FS1018-AGL-ZZ-02-D-M-5611"/>
  </r>
  <r>
    <x v="99"/>
    <s v="Level 02 Heating and Cooling Sheet 2"/>
    <x v="1"/>
    <s v="In Progress"/>
    <x v="5"/>
    <x v="1"/>
    <x v="1"/>
    <x v="1"/>
    <x v="1"/>
    <b v="1"/>
    <x v="99"/>
    <s v="FS1018-AGL-ZZ-02-D-M-5611"/>
  </r>
  <r>
    <x v="100"/>
    <s v="Level 02 Ventilation Sheet 1"/>
    <x v="0"/>
    <s v="Completed"/>
    <x v="2"/>
    <x v="0"/>
    <x v="2"/>
    <x v="4"/>
    <x v="2"/>
    <b v="1"/>
    <x v="100"/>
    <s v="FS1018-AGL-ZZ-02-D-M-5710"/>
  </r>
  <r>
    <x v="101"/>
    <s v="Level 02 Ventilation Sheet 2"/>
    <x v="0"/>
    <s v="In Progress"/>
    <x v="2"/>
    <x v="0"/>
    <x v="0"/>
    <x v="4"/>
    <x v="37"/>
    <b v="1"/>
    <x v="101"/>
    <s v="FS1018-AGL-ZZ-02-D-M-5711"/>
  </r>
  <r>
    <x v="101"/>
    <s v="Level 02 Ventilation Sheet 2"/>
    <x v="0"/>
    <s v="In Progress"/>
    <x v="5"/>
    <x v="1"/>
    <x v="1"/>
    <x v="1"/>
    <x v="1"/>
    <b v="1"/>
    <x v="101"/>
    <s v="FS1018-AGL-ZZ-02-D-M-5711"/>
  </r>
  <r>
    <x v="102"/>
    <s v="Level 02 Builderswork Sheet 1"/>
    <x v="1"/>
    <s v="Completed"/>
    <x v="2"/>
    <x v="0"/>
    <x v="2"/>
    <x v="4"/>
    <x v="2"/>
    <b v="1"/>
    <x v="102"/>
    <s v="FS1018-AGL-ZZ-02-D-Z-6010"/>
  </r>
  <r>
    <x v="103"/>
    <s v="Level 02 Builderswork Sheet 2"/>
    <x v="1"/>
    <s v="Completed"/>
    <x v="2"/>
    <x v="0"/>
    <x v="2"/>
    <x v="4"/>
    <x v="2"/>
    <b v="1"/>
    <x v="103"/>
    <s v="FS1018-AGL-ZZ-02-D-Z-6011"/>
  </r>
  <r>
    <x v="104"/>
    <s v="Level 02 Reflected Ceiling Plan Sheet 1"/>
    <x v="1"/>
    <s v="Completed"/>
    <x v="2"/>
    <x v="0"/>
    <x v="2"/>
    <x v="4"/>
    <x v="2"/>
    <b v="1"/>
    <x v="104"/>
    <s v="FS1018-AGL-ZZ-02-D-Z-9610"/>
  </r>
  <r>
    <x v="105"/>
    <s v="Level 02 Reflected Ceiling Plan Sheet 2"/>
    <x v="1"/>
    <s v="Completed"/>
    <x v="2"/>
    <x v="0"/>
    <x v="2"/>
    <x v="4"/>
    <x v="2"/>
    <b v="1"/>
    <x v="105"/>
    <s v="FS1018-AGL-ZZ-02-D-Z-9611"/>
  </r>
  <r>
    <x v="106"/>
    <s v="Roof Level MSER"/>
    <x v="1"/>
    <s v="In Progress"/>
    <x v="2"/>
    <x v="0"/>
    <x v="0"/>
    <x v="2"/>
    <x v="38"/>
    <b v="1"/>
    <x v="106"/>
    <s v="FS1018-AGL-ZZ-RF-D-E-6213"/>
  </r>
  <r>
    <x v="106"/>
    <s v="Roof Level MSER"/>
    <x v="1"/>
    <s v="In Progress"/>
    <x v="3"/>
    <x v="1"/>
    <x v="1"/>
    <x v="1"/>
    <x v="1"/>
    <b v="1"/>
    <x v="106"/>
    <s v="FS1018-AGL-ZZ-RF-D-E-6213"/>
  </r>
  <r>
    <x v="107"/>
    <s v="Roof Level Fire Alarm Sheet 1"/>
    <x v="1"/>
    <s v="Completed"/>
    <x v="2"/>
    <x v="0"/>
    <x v="2"/>
    <x v="2"/>
    <x v="2"/>
    <b v="1"/>
    <x v="107"/>
    <s v="FS1018-AGL-ZZ-RF-D-E-6810"/>
  </r>
  <r>
    <x v="108"/>
    <s v="Roof Level Fire Alarm Sheet 2"/>
    <x v="1"/>
    <s v="Completed"/>
    <x v="2"/>
    <x v="0"/>
    <x v="2"/>
    <x v="2"/>
    <x v="2"/>
    <b v="1"/>
    <x v="108"/>
    <s v="FS1018-AGL-ZZ-RF-D-E-6811"/>
  </r>
  <r>
    <x v="109"/>
    <s v="Roof Level Security Sheet 1"/>
    <x v="1"/>
    <s v="Completed"/>
    <x v="2"/>
    <x v="0"/>
    <x v="2"/>
    <x v="2"/>
    <x v="2"/>
    <b v="1"/>
    <x v="109"/>
    <s v="FS1018-AGL-ZZ-RF-D-E-6840"/>
  </r>
  <r>
    <x v="110"/>
    <s v="Roof Level Security Sheet 2"/>
    <x v="1"/>
    <s v="Completed"/>
    <x v="2"/>
    <x v="0"/>
    <x v="2"/>
    <x v="2"/>
    <x v="2"/>
    <b v="1"/>
    <x v="110"/>
    <s v="FS1018-AGL-ZZ-RF-D-E-6841"/>
  </r>
  <r>
    <x v="111"/>
    <s v="Roof Level Security Sheet 3"/>
    <x v="1"/>
    <s v="Completed"/>
    <x v="2"/>
    <x v="0"/>
    <x v="2"/>
    <x v="2"/>
    <x v="2"/>
    <b v="1"/>
    <x v="111"/>
    <s v="FS1018-AGL-ZZ-RF-D-E-6842"/>
  </r>
  <r>
    <x v="112"/>
    <s v="Photovoltaic"/>
    <x v="0"/>
    <s v="In Progress"/>
    <x v="2"/>
    <x v="0"/>
    <x v="0"/>
    <x v="0"/>
    <x v="39"/>
    <b v="1"/>
    <x v="112"/>
    <s v="FS1018-AGL-ZZ-RF-D-E-9001"/>
  </r>
  <r>
    <x v="112"/>
    <s v="Photovoltaic"/>
    <x v="0"/>
    <s v="In Progress"/>
    <x v="1"/>
    <x v="1"/>
    <x v="1"/>
    <x v="1"/>
    <x v="1"/>
    <b v="1"/>
    <x v="112"/>
    <s v="FS1018-AGL-ZZ-RF-D-E-9001"/>
  </r>
  <r>
    <x v="113"/>
    <s v="Roof Level Above Ground Drainage Sheet 1"/>
    <x v="0"/>
    <s v="Completed"/>
    <x v="2"/>
    <x v="0"/>
    <x v="2"/>
    <x v="3"/>
    <x v="1"/>
    <b v="1"/>
    <x v="113"/>
    <s v="FS1018-AGL-ZZ-RF-D-M-5210"/>
  </r>
  <r>
    <x v="114"/>
    <s v="Roof Level Above Ground Drainage Sheet 2"/>
    <x v="0"/>
    <s v="Completed"/>
    <x v="2"/>
    <x v="0"/>
    <x v="2"/>
    <x v="3"/>
    <x v="1"/>
    <b v="1"/>
    <x v="114"/>
    <s v="FS1018-AGL-ZZ-RF-D-M-5211"/>
  </r>
  <r>
    <x v="115"/>
    <s v="Roof Level Above Ground Drainage Sheet 3"/>
    <x v="0"/>
    <s v="Completed"/>
    <x v="2"/>
    <x v="0"/>
    <x v="2"/>
    <x v="3"/>
    <x v="1"/>
    <b v="1"/>
    <x v="115"/>
    <s v="FS1018-AGL-ZZ-RF-D-M-5212"/>
  </r>
  <r>
    <x v="116"/>
    <s v="Roof Level Domestic Water Services Sheet 1"/>
    <x v="0"/>
    <s v="Completed"/>
    <x v="2"/>
    <x v="0"/>
    <x v="2"/>
    <x v="3"/>
    <x v="1"/>
    <b v="1"/>
    <x v="116"/>
    <s v="FS1018-AGL-ZZ-RF-D-M-5310"/>
  </r>
  <r>
    <x v="117"/>
    <s v="Roof Level Domestic Water Services Sheet 2"/>
    <x v="0"/>
    <s v="Completed"/>
    <x v="2"/>
    <x v="0"/>
    <x v="2"/>
    <x v="3"/>
    <x v="1"/>
    <b v="1"/>
    <x v="117"/>
    <s v="FS1018-AGL-ZZ-RF-D-M-5311"/>
  </r>
  <r>
    <x v="118"/>
    <s v="Roof Level Domestic Water Services Sheet 3"/>
    <x v="0"/>
    <s v="Completed"/>
    <x v="2"/>
    <x v="0"/>
    <x v="2"/>
    <x v="3"/>
    <x v="1"/>
    <b v="1"/>
    <x v="118"/>
    <s v="FS1018-AGL-ZZ-RF-D-M-5312"/>
  </r>
  <r>
    <x v="119"/>
    <s v="Roof Level Ventilation Sheet 1"/>
    <x v="1"/>
    <s v="Completed"/>
    <x v="2"/>
    <x v="0"/>
    <x v="2"/>
    <x v="4"/>
    <x v="2"/>
    <b v="1"/>
    <x v="119"/>
    <s v="FS1018-AGL-ZZ-RF-D-M-5710"/>
  </r>
  <r>
    <x v="120"/>
    <s v="Roof Level Ventilation Sheet 2"/>
    <x v="1"/>
    <s v="Completed"/>
    <x v="2"/>
    <x v="0"/>
    <x v="2"/>
    <x v="4"/>
    <x v="2"/>
    <b v="1"/>
    <x v="120"/>
    <s v="FS1018-AGL-ZZ-RF-D-M-5711"/>
  </r>
  <r>
    <x v="121"/>
    <s v="Roof Level Ventilation Sheet 3"/>
    <x v="1"/>
    <s v="Completed"/>
    <x v="2"/>
    <x v="0"/>
    <x v="2"/>
    <x v="4"/>
    <x v="2"/>
    <b v="1"/>
    <x v="121"/>
    <s v="FS1018-AGL-ZZ-RF-D-M-5712"/>
  </r>
  <r>
    <x v="122"/>
    <s v="Roof Level Plantroom Sheet 1"/>
    <x v="0"/>
    <s v="Completed"/>
    <x v="2"/>
    <x v="0"/>
    <x v="2"/>
    <x v="4"/>
    <x v="2"/>
    <b v="1"/>
    <x v="122"/>
    <s v="FS1018-AGL-ZZ-RF-D-Z-5810"/>
  </r>
  <r>
    <x v="123"/>
    <s v="Roof Level Plantroom Sheet 2"/>
    <x v="0"/>
    <s v="Completed"/>
    <x v="2"/>
    <x v="0"/>
    <x v="2"/>
    <x v="4"/>
    <x v="2"/>
    <b v="1"/>
    <x v="123"/>
    <s v="FS1018-AGL-ZZ-RF-D-Z-5811"/>
  </r>
  <r>
    <x v="124"/>
    <s v="Roof Level Plantroom Sheet 3"/>
    <x v="0"/>
    <s v="Completed"/>
    <x v="2"/>
    <x v="0"/>
    <x v="2"/>
    <x v="4"/>
    <x v="2"/>
    <b v="1"/>
    <x v="124"/>
    <s v="FS1018-AGL-ZZ-RF-D-Z-5812"/>
  </r>
  <r>
    <x v="125"/>
    <s v="Roof Level Builderswork Sheet 1"/>
    <x v="1"/>
    <s v="Completed"/>
    <x v="2"/>
    <x v="0"/>
    <x v="2"/>
    <x v="4"/>
    <x v="2"/>
    <b v="1"/>
    <x v="125"/>
    <s v="FS1018-AGL-ZZ-RF-D-Z-6010"/>
  </r>
  <r>
    <x v="126"/>
    <s v="Roof Level Builderswork Sheet 2"/>
    <x v="1"/>
    <s v="Completed"/>
    <x v="2"/>
    <x v="0"/>
    <x v="2"/>
    <x v="4"/>
    <x v="2"/>
    <b v="1"/>
    <x v="126"/>
    <s v="FS1018-AGL-ZZ-RF-D-Z-6011"/>
  </r>
  <r>
    <x v="127"/>
    <s v="Roof Level Builderswork Sheet 3"/>
    <x v="1"/>
    <s v="Completed"/>
    <x v="2"/>
    <x v="0"/>
    <x v="2"/>
    <x v="4"/>
    <x v="2"/>
    <b v="1"/>
    <x v="127"/>
    <s v="FS1018-AGL-ZZ-RF-D-Z-6012"/>
  </r>
  <r>
    <x v="128"/>
    <s v="External Lighting"/>
    <x v="2"/>
    <s v="In Progress"/>
    <x v="2"/>
    <x v="0"/>
    <x v="3"/>
    <x v="2"/>
    <x v="40"/>
    <b v="1"/>
    <x v="128"/>
    <s v="FS1018-AGL-ZZ-XX-D-E-9001"/>
  </r>
  <r>
    <x v="128"/>
    <s v="External Lighting"/>
    <x v="2"/>
    <s v="In Progress"/>
    <x v="3"/>
    <x v="1"/>
    <x v="1"/>
    <x v="1"/>
    <x v="1"/>
    <b v="1"/>
    <x v="128"/>
    <s v="FS1018-AGL-ZZ-XX-D-E-9001"/>
  </r>
  <r>
    <x v="129"/>
    <s v="External Lighting Lux Levels"/>
    <x v="0"/>
    <s v="Completed"/>
    <x v="2"/>
    <x v="0"/>
    <x v="2"/>
    <x v="2"/>
    <x v="2"/>
    <b v="1"/>
    <x v="129"/>
    <s v="FS1018-AGL-ZZ-XX-D-E-9002"/>
  </r>
  <r>
    <x v="130"/>
    <s v="DNO Services Drawing and Proposal"/>
    <x v="1"/>
    <s v="Completed"/>
    <x v="2"/>
    <x v="0"/>
    <x v="2"/>
    <x v="2"/>
    <x v="2"/>
    <b v="1"/>
    <x v="130"/>
    <s v="FS1018-AGL-ZZ-XX-D-E-9511"/>
  </r>
  <r>
    <x v="131"/>
    <s v="External Compound"/>
    <x v="1"/>
    <s v="Completed"/>
    <x v="2"/>
    <x v="0"/>
    <x v="2"/>
    <x v="4"/>
    <x v="2"/>
    <b v="1"/>
    <x v="131"/>
    <s v="FS1018-AGL-ZZ-XX-D-Z-5810"/>
  </r>
  <r>
    <x v="132"/>
    <s v="External Services"/>
    <x v="3"/>
    <s v="Completed"/>
    <x v="2"/>
    <x v="0"/>
    <x v="2"/>
    <x v="3"/>
    <x v="1"/>
    <b v="1"/>
    <x v="132"/>
    <s v="FS1018-AGL-ZZ-XX-D-Z-9510"/>
  </r>
  <r>
    <x v="133"/>
    <s v="Proposed Manufacturers Electrical Schedule"/>
    <x v="1"/>
    <s v="Completed"/>
    <x v="2"/>
    <x v="0"/>
    <x v="2"/>
    <x v="2"/>
    <x v="2"/>
    <b v="1"/>
    <x v="133"/>
    <s v="FS1018-AGL-ZZ-XX-L-E-0001"/>
  </r>
  <r>
    <x v="134"/>
    <s v="Cable Calculation &amp; Schedule Report"/>
    <x v="1"/>
    <s v="Completed"/>
    <x v="2"/>
    <x v="0"/>
    <x v="2"/>
    <x v="2"/>
    <x v="2"/>
    <b v="1"/>
    <x v="134"/>
    <s v="FS1018-AGL-ZZ-XX-L-E-0002"/>
  </r>
  <r>
    <x v="135"/>
    <s v="Containment Calculations"/>
    <x v="1"/>
    <s v="Completed"/>
    <x v="2"/>
    <x v="0"/>
    <x v="2"/>
    <x v="2"/>
    <x v="2"/>
    <b v="1"/>
    <x v="135"/>
    <s v="FS1018-AGL-ZZ-XX-L-E-0003"/>
  </r>
  <r>
    <x v="136"/>
    <s v="Lighting Calculations"/>
    <x v="1"/>
    <s v="In Progress"/>
    <x v="2"/>
    <x v="0"/>
    <x v="0"/>
    <x v="2"/>
    <x v="41"/>
    <b v="1"/>
    <x v="136"/>
    <s v="FS1018-AGL-ZZ-XX-L-E-0004"/>
  </r>
  <r>
    <x v="136"/>
    <s v="Lighting Calculations"/>
    <x v="1"/>
    <s v="In Progress"/>
    <x v="3"/>
    <x v="1"/>
    <x v="1"/>
    <x v="1"/>
    <x v="1"/>
    <b v="1"/>
    <x v="136"/>
    <s v="FS1018-AGL-ZZ-XX-L-E-0004"/>
  </r>
  <r>
    <x v="137"/>
    <s v="Exit Signage Calculation"/>
    <x v="1"/>
    <s v="Completed"/>
    <x v="2"/>
    <x v="0"/>
    <x v="2"/>
    <x v="2"/>
    <x v="2"/>
    <b v="1"/>
    <x v="137"/>
    <s v="FS1018-AGL-ZZ-XX-L-E-0005"/>
  </r>
  <r>
    <x v="138"/>
    <s v="Luminaire Schedule"/>
    <x v="1"/>
    <s v="Completed"/>
    <x v="2"/>
    <x v="0"/>
    <x v="2"/>
    <x v="2"/>
    <x v="2"/>
    <b v="1"/>
    <x v="138"/>
    <s v="FS1018-AGL-ZZ-XX-L-E-9602"/>
  </r>
  <r>
    <x v="139"/>
    <s v="Domestic Water Services Calculations"/>
    <x v="1"/>
    <s v="In Progress"/>
    <x v="2"/>
    <x v="0"/>
    <x v="3"/>
    <x v="3"/>
    <x v="42"/>
    <b v="1"/>
    <x v="139"/>
    <s v="FS1018-AGL-ZZ-XX-L-M-0003"/>
  </r>
  <r>
    <x v="139"/>
    <s v="Domestic Water Services Calculations"/>
    <x v="1"/>
    <s v="In Progress"/>
    <x v="4"/>
    <x v="1"/>
    <x v="1"/>
    <x v="1"/>
    <x v="1"/>
    <b v="1"/>
    <x v="139"/>
    <s v="FS1018-AGL-ZZ-XX-L-M-0003"/>
  </r>
  <r>
    <x v="140"/>
    <s v="Ventilation Calculations"/>
    <x v="1"/>
    <s v="Completed"/>
    <x v="2"/>
    <x v="0"/>
    <x v="2"/>
    <x v="4"/>
    <x v="2"/>
    <b v="1"/>
    <x v="140"/>
    <s v="FS1018-AGL-ZZ-XX-L-M-0004"/>
  </r>
  <r>
    <x v="141"/>
    <s v="Gas Calculations"/>
    <x v="1"/>
    <s v="Completed"/>
    <x v="2"/>
    <x v="0"/>
    <x v="2"/>
    <x v="3"/>
    <x v="1"/>
    <b v="1"/>
    <x v="141"/>
    <s v="FS1018-AGL-ZZ-XX-L-M-0005"/>
  </r>
  <r>
    <x v="142"/>
    <s v="Above Ground Drainage Calculations"/>
    <x v="1"/>
    <s v="Completed"/>
    <x v="2"/>
    <x v="0"/>
    <x v="2"/>
    <x v="3"/>
    <x v="1"/>
    <b v="1"/>
    <x v="142"/>
    <s v="FS1018-AGL-ZZ-XX-L-M-0006"/>
  </r>
  <r>
    <x v="143"/>
    <s v="Heating Calculations"/>
    <x v="1"/>
    <s v="Completed"/>
    <x v="2"/>
    <x v="0"/>
    <x v="2"/>
    <x v="4"/>
    <x v="2"/>
    <b v="1"/>
    <x v="143"/>
    <s v="FS1018-AGL-ZZ-XX-L-M-0007"/>
  </r>
  <r>
    <x v="144"/>
    <s v="Heat Source Calculations"/>
    <x v="1"/>
    <s v="Completed"/>
    <x v="2"/>
    <x v="0"/>
    <x v="2"/>
    <x v="4"/>
    <x v="2"/>
    <b v="1"/>
    <x v="144"/>
    <s v="FS1018-AGL-ZZ-XX-L-M-0008"/>
  </r>
  <r>
    <x v="145"/>
    <s v="Heat Pump Schedule"/>
    <x v="1"/>
    <s v="In Progress"/>
    <x v="2"/>
    <x v="0"/>
    <x v="0"/>
    <x v="4"/>
    <x v="43"/>
    <b v="1"/>
    <x v="145"/>
    <s v="FS1018-AGL-ZZ-XX-L-M-9604"/>
  </r>
  <r>
    <x v="145"/>
    <s v="Heat Pump Schedule"/>
    <x v="1"/>
    <s v="In Progress"/>
    <x v="5"/>
    <x v="1"/>
    <x v="1"/>
    <x v="1"/>
    <x v="1"/>
    <b v="1"/>
    <x v="145"/>
    <s v="FS1018-AGL-ZZ-XX-L-M-9604"/>
  </r>
  <r>
    <x v="146"/>
    <s v="Buffer Vessel Schedule"/>
    <x v="1"/>
    <s v="Completed"/>
    <x v="2"/>
    <x v="0"/>
    <x v="2"/>
    <x v="4"/>
    <x v="2"/>
    <b v="1"/>
    <x v="146"/>
    <s v="FS1018-AGL-ZZ-XX-L-M-9605"/>
  </r>
  <r>
    <x v="147"/>
    <s v="Plate Heat Exchanger Schedule"/>
    <x v="1"/>
    <s v="Completed"/>
    <x v="2"/>
    <x v="0"/>
    <x v="2"/>
    <x v="4"/>
    <x v="2"/>
    <b v="1"/>
    <x v="147"/>
    <s v="FS1018-AGL-ZZ-XX-L-M-9607"/>
  </r>
  <r>
    <x v="148"/>
    <s v="Water Heater Schedule"/>
    <x v="1"/>
    <s v="Completed"/>
    <x v="2"/>
    <x v="0"/>
    <x v="2"/>
    <x v="3"/>
    <x v="1"/>
    <b v="1"/>
    <x v="148"/>
    <s v="FS1018-AGL-ZZ-XX-L-M-9608"/>
  </r>
  <r>
    <x v="149"/>
    <s v="Air &amp; Dirt Separator Schedule"/>
    <x v="1"/>
    <s v="In Progress"/>
    <x v="2"/>
    <x v="0"/>
    <x v="3"/>
    <x v="4"/>
    <x v="44"/>
    <b v="1"/>
    <x v="149"/>
    <s v="FS1018-AGL-ZZ-XX-L-M-9609"/>
  </r>
  <r>
    <x v="149"/>
    <s v="Air &amp; Dirt Separator Schedule"/>
    <x v="1"/>
    <s v="In Progress"/>
    <x v="5"/>
    <x v="1"/>
    <x v="1"/>
    <x v="1"/>
    <x v="1"/>
    <b v="1"/>
    <x v="149"/>
    <s v="FS1018-AGL-ZZ-XX-L-M-9609"/>
  </r>
  <r>
    <x v="150"/>
    <s v="Dosing Pot Schedule"/>
    <x v="1"/>
    <s v="Completed"/>
    <x v="2"/>
    <x v="0"/>
    <x v="2"/>
    <x v="4"/>
    <x v="2"/>
    <b v="1"/>
    <x v="150"/>
    <s v="FS1018-AGL-ZZ-XX-L-M-9610"/>
  </r>
  <r>
    <x v="151"/>
    <s v="Water Filter Schedule"/>
    <x v="1"/>
    <s v="In Progress"/>
    <x v="2"/>
    <x v="0"/>
    <x v="3"/>
    <x v="4"/>
    <x v="45"/>
    <b v="1"/>
    <x v="151"/>
    <s v="FS1018-AGL-ZZ-XX-L-M-9613"/>
  </r>
  <r>
    <x v="151"/>
    <s v="Water Filter Schedule"/>
    <x v="1"/>
    <s v="In Progress"/>
    <x v="5"/>
    <x v="1"/>
    <x v="1"/>
    <x v="1"/>
    <x v="1"/>
    <b v="1"/>
    <x v="151"/>
    <s v="FS1018-AGL-ZZ-XX-L-M-9613"/>
  </r>
  <r>
    <x v="152"/>
    <s v="Water Softener Schedule"/>
    <x v="1"/>
    <s v="Completed"/>
    <x v="2"/>
    <x v="0"/>
    <x v="2"/>
    <x v="3"/>
    <x v="1"/>
    <b v="1"/>
    <x v="152"/>
    <s v="FS1018-AGL-ZZ-XX-L-M-9614"/>
  </r>
  <r>
    <x v="153"/>
    <s v="Leak Detection Schedule"/>
    <x v="1"/>
    <s v="Completed"/>
    <x v="2"/>
    <x v="0"/>
    <x v="2"/>
    <x v="4"/>
    <x v="2"/>
    <b v="1"/>
    <x v="153"/>
    <s v="FS1018-AGL-ZZ-XX-L-M-9617"/>
  </r>
  <r>
    <x v="154"/>
    <s v="Gas Meter Schedule"/>
    <x v="1"/>
    <s v="Completed"/>
    <x v="2"/>
    <x v="0"/>
    <x v="2"/>
    <x v="3"/>
    <x v="1"/>
    <b v="1"/>
    <x v="154"/>
    <s v="FS1018-AGL-ZZ-XX-L-M-9619"/>
  </r>
  <r>
    <x v="155"/>
    <s v="Water Meter Schedule"/>
    <x v="1"/>
    <s v="Completed"/>
    <x v="2"/>
    <x v="0"/>
    <x v="2"/>
    <x v="3"/>
    <x v="1"/>
    <b v="1"/>
    <x v="155"/>
    <s v="FS1018-AGL-ZZ-XX-L-M-9620"/>
  </r>
  <r>
    <x v="156"/>
    <s v="Heat Meter Schedule"/>
    <x v="1"/>
    <s v="Completed"/>
    <x v="2"/>
    <x v="0"/>
    <x v="2"/>
    <x v="4"/>
    <x v="2"/>
    <b v="1"/>
    <x v="156"/>
    <s v="FS1018-AGL-ZZ-XX-L-M-9621"/>
  </r>
  <r>
    <x v="157"/>
    <s v="Gas Solenoid Valve Schedule"/>
    <x v="1"/>
    <s v="Completed"/>
    <x v="2"/>
    <x v="0"/>
    <x v="2"/>
    <x v="3"/>
    <x v="1"/>
    <b v="1"/>
    <x v="157"/>
    <s v="FS1018-AGL-ZZ-XX-L-M-9623"/>
  </r>
  <r>
    <x v="158"/>
    <s v="Gas Detection &amp; Proving Panel Schedule"/>
    <x v="1"/>
    <s v="Completed"/>
    <x v="2"/>
    <x v="0"/>
    <x v="2"/>
    <x v="3"/>
    <x v="1"/>
    <b v="1"/>
    <x v="158"/>
    <s v="FS1018-AGL-ZZ-XX-L-M-9624"/>
  </r>
  <r>
    <x v="159"/>
    <s v="Pressurisation Unit Schedule"/>
    <x v="1"/>
    <s v="Completed"/>
    <x v="2"/>
    <x v="0"/>
    <x v="2"/>
    <x v="4"/>
    <x v="2"/>
    <b v="1"/>
    <x v="159"/>
    <s v="FS1018-AGL-ZZ-XX-L-M-9625"/>
  </r>
  <r>
    <x v="160"/>
    <s v="Storage Tank Schedule"/>
    <x v="1"/>
    <s v="Completed"/>
    <x v="2"/>
    <x v="0"/>
    <x v="2"/>
    <x v="3"/>
    <x v="1"/>
    <b v="1"/>
    <x v="160"/>
    <s v="FS1018-AGL-ZZ-XX-L-M-9627"/>
  </r>
  <r>
    <x v="161"/>
    <s v="Booster Set Schedule"/>
    <x v="1"/>
    <s v="Completed"/>
    <x v="2"/>
    <x v="0"/>
    <x v="2"/>
    <x v="3"/>
    <x v="1"/>
    <b v="1"/>
    <x v="161"/>
    <s v="FS1018-AGL-ZZ-XX-L-M-9628"/>
  </r>
  <r>
    <x v="162"/>
    <s v="Pump Schedule"/>
    <x v="1"/>
    <s v="Completed"/>
    <x v="2"/>
    <x v="0"/>
    <x v="2"/>
    <x v="4"/>
    <x v="2"/>
    <b v="1"/>
    <x v="162"/>
    <s v="FS1018-AGL-ZZ-XX-L-M-9630"/>
  </r>
  <r>
    <x v="163"/>
    <s v="Local Water Heater Schedule"/>
    <x v="1"/>
    <s v="Completed"/>
    <x v="2"/>
    <x v="0"/>
    <x v="2"/>
    <x v="3"/>
    <x v="1"/>
    <b v="1"/>
    <x v="163"/>
    <s v="FS1018-AGL-ZZ-XX-L-M-9634"/>
  </r>
  <r>
    <x v="164"/>
    <s v="Radiator Schedule"/>
    <x v="1"/>
    <s v="Completed"/>
    <x v="2"/>
    <x v="0"/>
    <x v="2"/>
    <x v="4"/>
    <x v="2"/>
    <b v="1"/>
    <x v="164"/>
    <s v="FS1018-AGL-ZZ-XX-L-M-9637"/>
  </r>
  <r>
    <x v="165"/>
    <s v="Underfloor Heating Schedule"/>
    <x v="1"/>
    <s v="Completed"/>
    <x v="2"/>
    <x v="0"/>
    <x v="2"/>
    <x v="4"/>
    <x v="2"/>
    <b v="1"/>
    <x v="165"/>
    <s v="FS1018-AGL-ZZ-XX-L-M-9641"/>
  </r>
  <r>
    <x v="166"/>
    <s v="Underfloor Heating Manifold Schedule"/>
    <x v="1"/>
    <s v="Completed"/>
    <x v="2"/>
    <x v="0"/>
    <x v="2"/>
    <x v="4"/>
    <x v="2"/>
    <b v="1"/>
    <x v="166"/>
    <s v="FS1018-AGL-ZZ-XX-L-M-9642"/>
  </r>
  <r>
    <x v="167"/>
    <s v="Overdoor Heater Schedule"/>
    <x v="1"/>
    <s v="Completed"/>
    <x v="2"/>
    <x v="0"/>
    <x v="2"/>
    <x v="4"/>
    <x v="2"/>
    <b v="1"/>
    <x v="167"/>
    <s v="FS1018-AGL-ZZ-XX-L-M-9644"/>
  </r>
  <r>
    <x v="168"/>
    <s v="Electric Heater Schedule"/>
    <x v="1"/>
    <s v="Completed"/>
    <x v="2"/>
    <x v="0"/>
    <x v="2"/>
    <x v="4"/>
    <x v="2"/>
    <b v="1"/>
    <x v="168"/>
    <s v="FS1018-AGL-ZZ-XX-L-M-9647"/>
  </r>
  <r>
    <x v="169"/>
    <s v="Fan Convector Schedule"/>
    <x v="1"/>
    <s v="Completed"/>
    <x v="2"/>
    <x v="0"/>
    <x v="2"/>
    <x v="4"/>
    <x v="2"/>
    <b v="1"/>
    <x v="169"/>
    <s v="FS1018-AGL-ZZ-XX-L-M-9649"/>
  </r>
  <r>
    <x v="170"/>
    <s v="Air Handling Unit Schedule"/>
    <x v="1"/>
    <s v="Completed"/>
    <x v="2"/>
    <x v="0"/>
    <x v="2"/>
    <x v="4"/>
    <x v="2"/>
    <b v="1"/>
    <x v="170"/>
    <s v="FS1018-AGL-ZZ-XX-L-M-9652"/>
  </r>
  <r>
    <x v="171"/>
    <s v="Heat Recovery Unit Schedule"/>
    <x v="1"/>
    <s v="Completed"/>
    <x v="2"/>
    <x v="0"/>
    <x v="2"/>
    <x v="4"/>
    <x v="2"/>
    <b v="1"/>
    <x v="171"/>
    <s v="FS1018-AGL-ZZ-XX-L-M-9653"/>
  </r>
  <r>
    <x v="172"/>
    <s v="Hybrid Ventilation Unit Schedule"/>
    <x v="1"/>
    <s v="Completed"/>
    <x v="2"/>
    <x v="0"/>
    <x v="2"/>
    <x v="4"/>
    <x v="2"/>
    <b v="1"/>
    <x v="172"/>
    <s v="FS1018-AGL-ZZ-XX-L-M-9654"/>
  </r>
  <r>
    <x v="173"/>
    <s v="Fan Schedule"/>
    <x v="1"/>
    <s v="Completed"/>
    <x v="2"/>
    <x v="0"/>
    <x v="2"/>
    <x v="4"/>
    <x v="2"/>
    <b v="1"/>
    <x v="173"/>
    <s v="FS1018-AGL-ZZ-XX-L-M-9655"/>
  </r>
  <r>
    <x v="174"/>
    <s v="Louvre Schedule"/>
    <x v="1"/>
    <s v="Completed"/>
    <x v="2"/>
    <x v="0"/>
    <x v="2"/>
    <x v="4"/>
    <x v="2"/>
    <b v="1"/>
    <x v="174"/>
    <s v="FS1018-AGL-ZZ-XX-L-M-9658"/>
  </r>
  <r>
    <x v="175"/>
    <s v="Supply Diffuser Schedule"/>
    <x v="1"/>
    <s v="Completed"/>
    <x v="2"/>
    <x v="0"/>
    <x v="2"/>
    <x v="4"/>
    <x v="2"/>
    <b v="1"/>
    <x v="175"/>
    <s v="FS1018-AGL-ZZ-XX-L-M-9659"/>
  </r>
  <r>
    <x v="176"/>
    <s v="Extract Grille Schedule"/>
    <x v="1"/>
    <s v="Completed"/>
    <x v="2"/>
    <x v="0"/>
    <x v="2"/>
    <x v="4"/>
    <x v="2"/>
    <b v="1"/>
    <x v="176"/>
    <s v="FS1018-AGL-ZZ-XX-L-M-9660"/>
  </r>
  <r>
    <x v="177"/>
    <s v="Attenuator Schedule"/>
    <x v="1"/>
    <s v="Completed"/>
    <x v="2"/>
    <x v="0"/>
    <x v="2"/>
    <x v="4"/>
    <x v="2"/>
    <b v="1"/>
    <x v="177"/>
    <s v="FS1018-AGL-ZZ-XX-L-M-9661"/>
  </r>
  <r>
    <x v="178"/>
    <s v="Transfer Grille Schedule"/>
    <x v="1"/>
    <s v="Completed"/>
    <x v="2"/>
    <x v="0"/>
    <x v="2"/>
    <x v="4"/>
    <x v="2"/>
    <b v="1"/>
    <x v="178"/>
    <s v="FS1018-AGL-ZZ-XX-L-M-9662"/>
  </r>
  <r>
    <x v="179"/>
    <s v="Heating Coil Schedule (LTHW)"/>
    <x v="1"/>
    <s v="Completed"/>
    <x v="2"/>
    <x v="0"/>
    <x v="2"/>
    <x v="4"/>
    <x v="2"/>
    <b v="1"/>
    <x v="179"/>
    <s v="FS1018-AGL-ZZ-XX-L-M-9671"/>
  </r>
  <r>
    <x v="180"/>
    <s v="Smoke-activated Fire Damper Schedule"/>
    <x v="1"/>
    <s v="In Progress"/>
    <x v="2"/>
    <x v="0"/>
    <x v="0"/>
    <x v="4"/>
    <x v="46"/>
    <b v="1"/>
    <x v="180"/>
    <s v="FS1018-AGL-ZZ-XX-L-M-9675"/>
  </r>
  <r>
    <x v="180"/>
    <s v="Smoke-activated Fire Damper Schedule"/>
    <x v="1"/>
    <s v="In Progress"/>
    <x v="5"/>
    <x v="1"/>
    <x v="1"/>
    <x v="1"/>
    <x v="1"/>
    <b v="1"/>
    <x v="180"/>
    <s v="FS1018-AGL-ZZ-XX-L-M-9675"/>
  </r>
  <r>
    <x v="181"/>
    <s v="Passive Stack Ventilator Schedule"/>
    <x v="1"/>
    <s v="Completed"/>
    <x v="2"/>
    <x v="0"/>
    <x v="2"/>
    <x v="4"/>
    <x v="2"/>
    <b v="1"/>
    <x v="181"/>
    <s v="FS1018-AGL-ZZ-XX-L-M-9678"/>
  </r>
  <r>
    <x v="182"/>
    <s v="DX Indoor Unit Schedule"/>
    <x v="1"/>
    <s v="Completed"/>
    <x v="2"/>
    <x v="0"/>
    <x v="2"/>
    <x v="4"/>
    <x v="2"/>
    <b v="1"/>
    <x v="182"/>
    <s v="FS1018-AGL-ZZ-XX-L-M-9681"/>
  </r>
  <r>
    <x v="183"/>
    <s v="DX Outdoor Unit Schedule"/>
    <x v="1"/>
    <s v="Completed"/>
    <x v="2"/>
    <x v="0"/>
    <x v="2"/>
    <x v="4"/>
    <x v="2"/>
    <b v="1"/>
    <x v="183"/>
    <s v="FS1018-AGL-ZZ-XX-L-M-9682"/>
  </r>
  <r>
    <x v="184"/>
    <s v="Designers MEP Risk Assessment"/>
    <x v="0"/>
    <s v="Completed"/>
    <x v="2"/>
    <x v="0"/>
    <x v="2"/>
    <x v="3"/>
    <x v="1"/>
    <b v="1"/>
    <x v="184"/>
    <s v="FS1018-AGL-ZZ-XX-L-Z-0001"/>
  </r>
  <r>
    <x v="185"/>
    <s v="Heat Loss Calculations"/>
    <x v="1"/>
    <s v="Completed"/>
    <x v="2"/>
    <x v="0"/>
    <x v="2"/>
    <x v="0"/>
    <x v="4"/>
    <b v="1"/>
    <x v="185"/>
    <s v="FS1018-AGL-ZZ-XX-L-Z-0004"/>
  </r>
  <r>
    <x v="186"/>
    <s v="Electrical Specification"/>
    <x v="1"/>
    <s v="In Progress"/>
    <x v="2"/>
    <x v="0"/>
    <x v="3"/>
    <x v="2"/>
    <x v="47"/>
    <b v="1"/>
    <x v="186"/>
    <s v="FS1018-AGL-ZZ-XX-T-E-0001"/>
  </r>
  <r>
    <x v="186"/>
    <s v="Electrical Specification"/>
    <x v="1"/>
    <s v="In Progress"/>
    <x v="3"/>
    <x v="1"/>
    <x v="1"/>
    <x v="1"/>
    <x v="1"/>
    <b v="1"/>
    <x v="186"/>
    <s v="FS1018-AGL-ZZ-XX-T-E-0001"/>
  </r>
  <r>
    <x v="187"/>
    <s v="Electrical Maximum Demand"/>
    <x v="0"/>
    <s v="In Progress"/>
    <x v="2"/>
    <x v="0"/>
    <x v="3"/>
    <x v="2"/>
    <x v="48"/>
    <b v="1"/>
    <x v="187"/>
    <s v="FS1018-AGL-ZZ-XX-T-E-0003"/>
  </r>
  <r>
    <x v="187"/>
    <s v="Electrical Maximum Demand"/>
    <x v="0"/>
    <s v="In Progress"/>
    <x v="3"/>
    <x v="1"/>
    <x v="1"/>
    <x v="1"/>
    <x v="1"/>
    <b v="1"/>
    <x v="187"/>
    <s v="FS1018-AGL-ZZ-XX-T-E-0003"/>
  </r>
  <r>
    <x v="188"/>
    <s v="Mechanical Specification"/>
    <x v="1"/>
    <s v="In Progress"/>
    <x v="2"/>
    <x v="0"/>
    <x v="0"/>
    <x v="0"/>
    <x v="49"/>
    <b v="1"/>
    <x v="188"/>
    <s v="FS1018-AGL-ZZ-XX-T-M-0001"/>
  </r>
  <r>
    <x v="188"/>
    <s v="Mechanical Specification"/>
    <x v="1"/>
    <s v="In Progress"/>
    <x v="1"/>
    <x v="1"/>
    <x v="1"/>
    <x v="1"/>
    <x v="1"/>
    <b v="1"/>
    <x v="188"/>
    <s v="FS1018-AGL-ZZ-XX-T-M-0001"/>
  </r>
  <r>
    <x v="189"/>
    <s v="Plant Access Maintenance And Replacement Strategy"/>
    <x v="0"/>
    <s v="In Progress"/>
    <x v="2"/>
    <x v="0"/>
    <x v="0"/>
    <x v="0"/>
    <x v="50"/>
    <b v="1"/>
    <x v="189"/>
    <s v="FS1018-AGL-ZZ-XX-T-Z-0002"/>
  </r>
  <r>
    <x v="189"/>
    <s v="Plant Access Maintenance And Replacement Strategy"/>
    <x v="0"/>
    <s v="In Progress"/>
    <x v="1"/>
    <x v="1"/>
    <x v="1"/>
    <x v="1"/>
    <x v="1"/>
    <b v="1"/>
    <x v="189"/>
    <s v="FS1018-AGL-ZZ-XX-T-Z-0002"/>
  </r>
  <r>
    <x v="190"/>
    <s v="NBS Project Description"/>
    <x v="1"/>
    <s v="Completed"/>
    <x v="2"/>
    <x v="0"/>
    <x v="2"/>
    <x v="4"/>
    <x v="2"/>
    <b v="1"/>
    <x v="190"/>
    <s v="FS1018-AGL-ZZ-XX-T-Z-0006"/>
  </r>
  <r>
    <x v="191"/>
    <s v="Thermal Modelling, Compliance &amp; Sustainability Report"/>
    <x v="1"/>
    <s v="In Progress"/>
    <x v="2"/>
    <x v="0"/>
    <x v="0"/>
    <x v="0"/>
    <x v="51"/>
    <b v="1"/>
    <x v="191"/>
    <s v="FS1018-AGL-ZZ-XX-T-Z-0007"/>
  </r>
  <r>
    <x v="191"/>
    <s v="Thermal Modelling, Compliance &amp; Sustainability Report"/>
    <x v="1"/>
    <s v="In Progress"/>
    <x v="1"/>
    <x v="1"/>
    <x v="1"/>
    <x v="1"/>
    <x v="1"/>
    <b v="1"/>
    <x v="191"/>
    <s v="FS1018-AGL-ZZ-XX-T-Z-0007"/>
  </r>
  <r>
    <x v="192"/>
    <s v="Lightning Protection"/>
    <x v="1"/>
    <s v="Completed"/>
    <x v="2"/>
    <x v="0"/>
    <x v="2"/>
    <x v="2"/>
    <x v="2"/>
    <b v="1"/>
    <x v="192"/>
    <s v="FS1018-AGL-ZZ-ZZ-D-E-9001"/>
  </r>
  <r>
    <x v="193"/>
    <s v="Server and Hub Room"/>
    <x v="1"/>
    <s v="In Progress"/>
    <x v="2"/>
    <x v="0"/>
    <x v="0"/>
    <x v="4"/>
    <x v="52"/>
    <b v="1"/>
    <x v="193"/>
    <s v="FS1018-AGL-ZZ-ZZ-D-Z-6115"/>
  </r>
  <r>
    <x v="193"/>
    <s v="Server and Hub Room"/>
    <x v="1"/>
    <s v="In Progress"/>
    <x v="5"/>
    <x v="1"/>
    <x v="1"/>
    <x v="1"/>
    <x v="1"/>
    <b v="1"/>
    <x v="193"/>
    <s v="FS1018-AGL-ZZ-ZZ-D-Z-6115"/>
  </r>
  <r>
    <x v="194"/>
    <s v="Typical D&amp;T Classroom"/>
    <x v="1"/>
    <s v="Completed"/>
    <x v="2"/>
    <x v="0"/>
    <x v="2"/>
    <x v="4"/>
    <x v="2"/>
    <b v="1"/>
    <x v="194"/>
    <s v="FS1018-AGL-ZZ-ZZ-D-Z-9610"/>
  </r>
  <r>
    <x v="195"/>
    <s v="Typical Food Room"/>
    <x v="1"/>
    <s v="Completed"/>
    <x v="2"/>
    <x v="0"/>
    <x v="2"/>
    <x v="4"/>
    <x v="2"/>
    <b v="1"/>
    <x v="195"/>
    <s v="FS1018-AGL-ZZ-ZZ-D-Z-9611"/>
  </r>
  <r>
    <x v="196"/>
    <s v="Typical ICT Classroom"/>
    <x v="1"/>
    <s v="Completed"/>
    <x v="2"/>
    <x v="0"/>
    <x v="2"/>
    <x v="4"/>
    <x v="2"/>
    <b v="1"/>
    <x v="196"/>
    <s v="FS1018-AGL-ZZ-ZZ-D-Z-9612"/>
  </r>
  <r>
    <x v="197"/>
    <s v="Typical Riser"/>
    <x v="1"/>
    <s v="Completed"/>
    <x v="2"/>
    <x v="0"/>
    <x v="2"/>
    <x v="4"/>
    <x v="2"/>
    <b v="1"/>
    <x v="197"/>
    <s v="FS1018-AGL-ZZ-ZZ-D-Z-9613"/>
  </r>
  <r>
    <x v="198"/>
    <s v="Typical Science Room"/>
    <x v="1"/>
    <s v="Completed"/>
    <x v="2"/>
    <x v="0"/>
    <x v="2"/>
    <x v="4"/>
    <x v="2"/>
    <b v="1"/>
    <x v="198"/>
    <s v="FS1018-AGL-ZZ-ZZ-D-Z-9614"/>
  </r>
  <r>
    <x v="199"/>
    <s v="LV Schematic Sheet 1"/>
    <x v="1"/>
    <s v="In Progress"/>
    <x v="2"/>
    <x v="0"/>
    <x v="0"/>
    <x v="2"/>
    <x v="53"/>
    <b v="1"/>
    <x v="199"/>
    <s v="FS1018-AGL-ZZ-ZZ-G-E-6010"/>
  </r>
  <r>
    <x v="199"/>
    <s v="LV Schematic Sheet 1"/>
    <x v="1"/>
    <s v="In Progress"/>
    <x v="3"/>
    <x v="1"/>
    <x v="1"/>
    <x v="1"/>
    <x v="1"/>
    <b v="1"/>
    <x v="199"/>
    <s v="FS1018-AGL-ZZ-ZZ-G-E-6010"/>
  </r>
  <r>
    <x v="200"/>
    <s v="LV Schematic Sheet 2"/>
    <x v="1"/>
    <s v="Completed"/>
    <x v="2"/>
    <x v="0"/>
    <x v="2"/>
    <x v="2"/>
    <x v="2"/>
    <b v="1"/>
    <x v="200"/>
    <s v="FS1018-AGL-ZZ-ZZ-G-E-6011"/>
  </r>
  <r>
    <x v="201"/>
    <s v="Fire Alarm Schematic"/>
    <x v="1"/>
    <s v="Completed"/>
    <x v="2"/>
    <x v="0"/>
    <x v="2"/>
    <x v="2"/>
    <x v="2"/>
    <b v="1"/>
    <x v="201"/>
    <s v="FS1018-AGL-ZZ-ZZ-G-E-6811"/>
  </r>
  <r>
    <x v="202"/>
    <s v="Controls Schematic"/>
    <x v="1"/>
    <s v="Completed"/>
    <x v="2"/>
    <x v="0"/>
    <x v="2"/>
    <x v="0"/>
    <x v="2"/>
    <b v="1"/>
    <x v="202"/>
    <s v="FS1018-AGL-ZZ-ZZ-G-M-5010"/>
  </r>
  <r>
    <x v="203"/>
    <s v="Above Ground Drainage Schematic Sheet 1"/>
    <x v="1"/>
    <s v="In Progress"/>
    <x v="2"/>
    <x v="0"/>
    <x v="3"/>
    <x v="3"/>
    <x v="54"/>
    <b v="1"/>
    <x v="203"/>
    <s v="FS1018-AGL-ZZ-ZZ-G-M-5210"/>
  </r>
  <r>
    <x v="203"/>
    <s v="Above Ground Drainage Schematic Sheet 1"/>
    <x v="1"/>
    <s v="In Progress"/>
    <x v="4"/>
    <x v="1"/>
    <x v="1"/>
    <x v="1"/>
    <x v="1"/>
    <b v="1"/>
    <x v="203"/>
    <s v="FS1018-AGL-ZZ-ZZ-G-M-5210"/>
  </r>
  <r>
    <x v="204"/>
    <s v="Above Ground Drainage Schematic Sheet 2"/>
    <x v="1"/>
    <s v="In Progress"/>
    <x v="2"/>
    <x v="0"/>
    <x v="3"/>
    <x v="3"/>
    <x v="55"/>
    <b v="1"/>
    <x v="204"/>
    <s v="FS1018-AGL-ZZ-ZZ-G-M-5211"/>
  </r>
  <r>
    <x v="204"/>
    <s v="Above Ground Drainage Schematic Sheet 2"/>
    <x v="1"/>
    <s v="In Progress"/>
    <x v="4"/>
    <x v="1"/>
    <x v="1"/>
    <x v="1"/>
    <x v="1"/>
    <b v="1"/>
    <x v="204"/>
    <s v="FS1018-AGL-ZZ-ZZ-G-M-5211"/>
  </r>
  <r>
    <x v="205"/>
    <s v="Domestic Water Services Schematic"/>
    <x v="1"/>
    <s v="Completed"/>
    <x v="2"/>
    <x v="0"/>
    <x v="2"/>
    <x v="3"/>
    <x v="1"/>
    <b v="1"/>
    <x v="205"/>
    <s v="FS1018-AGL-ZZ-ZZ-G-M-5310"/>
  </r>
  <r>
    <x v="206"/>
    <s v="Gas Schematic"/>
    <x v="1"/>
    <s v="In Progress"/>
    <x v="2"/>
    <x v="0"/>
    <x v="3"/>
    <x v="3"/>
    <x v="56"/>
    <b v="1"/>
    <x v="206"/>
    <s v="FS1018-AGL-ZZ-ZZ-G-M-5410"/>
  </r>
  <r>
    <x v="206"/>
    <s v="Gas Schematic"/>
    <x v="1"/>
    <s v="In Progress"/>
    <x v="4"/>
    <x v="1"/>
    <x v="1"/>
    <x v="1"/>
    <x v="1"/>
    <b v="1"/>
    <x v="206"/>
    <s v="FS1018-AGL-ZZ-ZZ-G-M-5410"/>
  </r>
  <r>
    <x v="207"/>
    <s v="Heating &amp; Cooling Schematic Sheet 1"/>
    <x v="1"/>
    <s v="In Progress"/>
    <x v="2"/>
    <x v="0"/>
    <x v="3"/>
    <x v="4"/>
    <x v="57"/>
    <b v="1"/>
    <x v="207"/>
    <s v="FS1018-AGL-ZZ-ZZ-G-M-5610"/>
  </r>
  <r>
    <x v="207"/>
    <s v="Heating &amp; Cooling Schematic Sheet 1"/>
    <x v="1"/>
    <s v="In Progress"/>
    <x v="5"/>
    <x v="1"/>
    <x v="1"/>
    <x v="1"/>
    <x v="1"/>
    <b v="1"/>
    <x v="207"/>
    <s v="FS1018-AGL-ZZ-ZZ-G-M-5610"/>
  </r>
  <r>
    <x v="208"/>
    <s v="Heating &amp; Cooling Schematic Sheet 2"/>
    <x v="1"/>
    <s v="In Progress"/>
    <x v="2"/>
    <x v="0"/>
    <x v="3"/>
    <x v="4"/>
    <x v="57"/>
    <b v="1"/>
    <x v="208"/>
    <s v="FS1018-AGL-ZZ-ZZ-G-M-5611"/>
  </r>
  <r>
    <x v="208"/>
    <s v="Heating &amp; Cooling Schematic Sheet 2"/>
    <x v="1"/>
    <s v="In Progress"/>
    <x v="5"/>
    <x v="1"/>
    <x v="1"/>
    <x v="1"/>
    <x v="1"/>
    <b v="1"/>
    <x v="208"/>
    <s v="FS1018-AGL-ZZ-ZZ-G-M-5611"/>
  </r>
  <r>
    <x v="209"/>
    <s v="Heating &amp; Cooling Schematic Sheet 3"/>
    <x v="1"/>
    <s v="In Progress"/>
    <x v="2"/>
    <x v="0"/>
    <x v="3"/>
    <x v="4"/>
    <x v="57"/>
    <b v="1"/>
    <x v="209"/>
    <s v="FS1018-AGL-ZZ-ZZ-G-M-5612"/>
  </r>
  <r>
    <x v="209"/>
    <s v="Heating &amp; Cooling Schematic Sheet 3"/>
    <x v="1"/>
    <s v="In Progress"/>
    <x v="5"/>
    <x v="1"/>
    <x v="1"/>
    <x v="1"/>
    <x v="1"/>
    <b v="1"/>
    <x v="209"/>
    <s v="FS1018-AGL-ZZ-ZZ-G-M-5612"/>
  </r>
  <r>
    <x v="210"/>
    <s v="Heating &amp; Cooling Schematic Sheet 4"/>
    <x v="1"/>
    <s v="In Progress"/>
    <x v="2"/>
    <x v="0"/>
    <x v="3"/>
    <x v="4"/>
    <x v="57"/>
    <b v="1"/>
    <x v="210"/>
    <s v="FS1018-AGL-ZZ-ZZ-G-M-5613"/>
  </r>
  <r>
    <x v="210"/>
    <s v="Heating &amp; Cooling Schematic Sheet 4"/>
    <x v="1"/>
    <s v="In Progress"/>
    <x v="5"/>
    <x v="1"/>
    <x v="1"/>
    <x v="1"/>
    <x v="1"/>
    <b v="1"/>
    <x v="210"/>
    <s v="FS1018-AGL-ZZ-ZZ-G-M-5613"/>
  </r>
  <r>
    <x v="211"/>
    <s v="Ventilation Schematic Sheet 1"/>
    <x v="1"/>
    <s v="Completed"/>
    <x v="2"/>
    <x v="0"/>
    <x v="2"/>
    <x v="4"/>
    <x v="2"/>
    <b v="1"/>
    <x v="211"/>
    <s v="FS1018-AGL-ZZ-ZZ-G-M-5710"/>
  </r>
  <r>
    <x v="212"/>
    <s v="Ventilation Schematic Sheet 2"/>
    <x v="1"/>
    <s v="Completed"/>
    <x v="2"/>
    <x v="0"/>
    <x v="2"/>
    <x v="4"/>
    <x v="2"/>
    <b v="1"/>
    <x v="212"/>
    <s v="FS1018-AGL-ZZ-ZZ-G-M-5711"/>
  </r>
  <r>
    <x v="213"/>
    <s v="Plantroom Schematic"/>
    <x v="1"/>
    <s v="In Progress"/>
    <x v="2"/>
    <x v="0"/>
    <x v="3"/>
    <x v="4"/>
    <x v="58"/>
    <b v="1"/>
    <x v="213"/>
    <s v="FS1018-AGL-ZZ-ZZ-G-M-5812"/>
  </r>
  <r>
    <x v="213"/>
    <s v="Plantroom Schematic"/>
    <x v="1"/>
    <s v="In Progress"/>
    <x v="5"/>
    <x v="1"/>
    <x v="1"/>
    <x v="1"/>
    <x v="1"/>
    <b v="1"/>
    <x v="213"/>
    <s v="FS1018-AGL-ZZ-ZZ-G-M-5812"/>
  </r>
  <r>
    <x v="214"/>
    <s v="MEP Model Revit"/>
    <x v="4"/>
    <s v="Completed"/>
    <x v="2"/>
    <x v="0"/>
    <x v="2"/>
    <x v="5"/>
    <x v="2"/>
    <b v="1"/>
    <x v="214"/>
    <s v="FS1018-AGL-ZZ-ZZ-M-Z-0001"/>
  </r>
  <r>
    <x v="215"/>
    <s v="MEP Model IFC"/>
    <x v="4"/>
    <s v="Completed"/>
    <x v="2"/>
    <x v="0"/>
    <x v="2"/>
    <x v="5"/>
    <x v="2"/>
    <b v="1"/>
    <x v="215"/>
    <s v="FS1018-AGL-ZZ-ZZ-M-Z-0002"/>
  </r>
  <r>
    <x v="216"/>
    <s v="MEP Model NWC"/>
    <x v="4"/>
    <s v="Completed"/>
    <x v="2"/>
    <x v="0"/>
    <x v="2"/>
    <x v="5"/>
    <x v="2"/>
    <b v="1"/>
    <x v="216"/>
    <s v="FS1018-AGL-ZZ-ZZ-M-Z-0003"/>
  </r>
  <r>
    <x v="217"/>
    <s v="Schedule Of Accommodation"/>
    <x v="5"/>
    <s v="In Progress"/>
    <x v="0"/>
    <x v="0"/>
    <x v="0"/>
    <x v="0"/>
    <x v="59"/>
    <b v="1"/>
    <x v="217"/>
    <s v="FS1018-CPM-XX-XX-L-A-0001"/>
  </r>
  <r>
    <x v="217"/>
    <s v="Schedule Of Accommodation"/>
    <x v="5"/>
    <s v="In Progress"/>
    <x v="1"/>
    <x v="1"/>
    <x v="1"/>
    <x v="1"/>
    <x v="1"/>
    <b v="1"/>
    <x v="217"/>
    <s v="FS1018-CPM-XX-XX-L-A-0001"/>
  </r>
  <r>
    <x v="218"/>
    <s v="Teaching Block Finishes"/>
    <x v="2"/>
    <s v="In Progress"/>
    <x v="0"/>
    <x v="0"/>
    <x v="0"/>
    <x v="0"/>
    <x v="60"/>
    <b v="1"/>
    <x v="218"/>
    <s v="FS1018-CPM-XX-XX-T-A-0005"/>
  </r>
  <r>
    <x v="218"/>
    <s v="Teaching Block Finishes"/>
    <x v="2"/>
    <s v="In Progress"/>
    <x v="1"/>
    <x v="1"/>
    <x v="1"/>
    <x v="1"/>
    <x v="1"/>
    <b v="1"/>
    <x v="218"/>
    <s v="FS1018-CPM-XX-XX-T-A-0005"/>
  </r>
  <r>
    <x v="219"/>
    <s v="Outline Specification"/>
    <x v="6"/>
    <s v="In Progress"/>
    <x v="0"/>
    <x v="0"/>
    <x v="0"/>
    <x v="0"/>
    <x v="61"/>
    <b v="1"/>
    <x v="219"/>
    <s v="FS1018-CPM-XX-XX-T-A-0010"/>
  </r>
  <r>
    <x v="219"/>
    <s v="Outline Specification"/>
    <x v="6"/>
    <s v="In Progress"/>
    <x v="1"/>
    <x v="1"/>
    <x v="1"/>
    <x v="1"/>
    <x v="1"/>
    <b v="1"/>
    <x v="219"/>
    <s v="FS1018-CPM-XX-XX-T-A-0010"/>
  </r>
  <r>
    <x v="220"/>
    <s v="Stage 4 Report"/>
    <x v="1"/>
    <s v="In Progress"/>
    <x v="0"/>
    <x v="0"/>
    <x v="0"/>
    <x v="0"/>
    <x v="62"/>
    <b v="1"/>
    <x v="220"/>
    <s v="FS1018-CPM-XX-XX-T-A-5001"/>
  </r>
  <r>
    <x v="220"/>
    <s v="Stage 4 Report"/>
    <x v="1"/>
    <s v="In Progress"/>
    <x v="1"/>
    <x v="1"/>
    <x v="1"/>
    <x v="1"/>
    <x v="1"/>
    <b v="1"/>
    <x v="220"/>
    <s v="FS1018-CPM-XX-XX-T-A-5001"/>
  </r>
  <r>
    <x v="221"/>
    <s v="Design Development Report"/>
    <x v="0"/>
    <s v="In Progress"/>
    <x v="0"/>
    <x v="0"/>
    <x v="0"/>
    <x v="6"/>
    <x v="63"/>
    <b v="1"/>
    <x v="221"/>
    <s v="FS1018-CPM-XX-XX-T-A-5002"/>
  </r>
  <r>
    <x v="221"/>
    <s v="Design Development Report"/>
    <x v="0"/>
    <s v="In Progress"/>
    <x v="6"/>
    <x v="1"/>
    <x v="1"/>
    <x v="1"/>
    <x v="1"/>
    <b v="1"/>
    <x v="221"/>
    <s v="FS1018-CPM-XX-XX-T-A-5002"/>
  </r>
  <r>
    <x v="222"/>
    <s v="Pre-Construction Information"/>
    <x v="1"/>
    <s v="In Progress"/>
    <x v="0"/>
    <x v="0"/>
    <x v="1"/>
    <x v="1"/>
    <x v="1"/>
    <b v="1"/>
    <x v="222"/>
    <s v="FS1018-CPM-XX-XX-T-A-5003"/>
  </r>
  <r>
    <x v="223"/>
    <s v="Building Model COBie Report"/>
    <x v="7"/>
    <s v="In Progress"/>
    <x v="0"/>
    <x v="0"/>
    <x v="0"/>
    <x v="5"/>
    <x v="64"/>
    <b v="1"/>
    <x v="223"/>
    <s v="FS1018-CPM-XX-ZZ-L-A-0000"/>
  </r>
  <r>
    <x v="223"/>
    <s v="Building Model COBie Report"/>
    <x v="7"/>
    <s v="In Progress"/>
    <x v="7"/>
    <x v="1"/>
    <x v="1"/>
    <x v="1"/>
    <x v="1"/>
    <b v="1"/>
    <x v="223"/>
    <s v="FS1018-CPM-XX-ZZ-L-A-0000"/>
  </r>
  <r>
    <x v="224"/>
    <s v="GA Proposed L00 Floor Plan"/>
    <x v="8"/>
    <s v="In Progress"/>
    <x v="0"/>
    <x v="0"/>
    <x v="0"/>
    <x v="0"/>
    <x v="65"/>
    <b v="1"/>
    <x v="224"/>
    <s v="FS1018-CPM-ZZ-00-D-A-2001"/>
  </r>
  <r>
    <x v="224"/>
    <s v="GA Proposed L00 Floor Plan"/>
    <x v="8"/>
    <s v="In Progress"/>
    <x v="1"/>
    <x v="1"/>
    <x v="1"/>
    <x v="1"/>
    <x v="1"/>
    <b v="1"/>
    <x v="224"/>
    <s v="FS1018-CPM-ZZ-00-D-A-2001"/>
  </r>
  <r>
    <x v="225"/>
    <s v="Ground Edge Details"/>
    <x v="0"/>
    <s v="In Progress"/>
    <x v="0"/>
    <x v="0"/>
    <x v="0"/>
    <x v="0"/>
    <x v="66"/>
    <b v="1"/>
    <x v="225"/>
    <s v="FS1018-CPM-ZZ-00-D-A-2142"/>
  </r>
  <r>
    <x v="225"/>
    <s v="Ground Edge Details"/>
    <x v="0"/>
    <s v="In Progress"/>
    <x v="1"/>
    <x v="1"/>
    <x v="1"/>
    <x v="1"/>
    <x v="1"/>
    <b v="1"/>
    <x v="225"/>
    <s v="FS1018-CPM-ZZ-00-D-A-2142"/>
  </r>
  <r>
    <x v="226"/>
    <s v="Wall And Partition Types L00"/>
    <x v="1"/>
    <s v="In Progress"/>
    <x v="0"/>
    <x v="0"/>
    <x v="0"/>
    <x v="0"/>
    <x v="67"/>
    <b v="1"/>
    <x v="226"/>
    <s v="FS1018-CPM-ZZ-00-D-A-2200"/>
  </r>
  <r>
    <x v="226"/>
    <s v="Wall And Partition Types L00"/>
    <x v="1"/>
    <s v="In Progress"/>
    <x v="1"/>
    <x v="1"/>
    <x v="1"/>
    <x v="1"/>
    <x v="1"/>
    <b v="1"/>
    <x v="226"/>
    <s v="FS1018-CPM-ZZ-00-D-A-2200"/>
  </r>
  <r>
    <x v="227"/>
    <s v="Fire Strategy L00"/>
    <x v="2"/>
    <s v="In Progress"/>
    <x v="0"/>
    <x v="0"/>
    <x v="0"/>
    <x v="0"/>
    <x v="68"/>
    <b v="1"/>
    <x v="227"/>
    <s v="FS1018-CPM-ZZ-00-D-A-2900"/>
  </r>
  <r>
    <x v="227"/>
    <s v="Fire Strategy L00"/>
    <x v="2"/>
    <s v="In Progress"/>
    <x v="1"/>
    <x v="1"/>
    <x v="1"/>
    <x v="1"/>
    <x v="1"/>
    <b v="1"/>
    <x v="227"/>
    <s v="FS1018-CPM-ZZ-00-D-A-2900"/>
  </r>
  <r>
    <x v="228"/>
    <s v="External Door Schedules Sheet 01"/>
    <x v="1"/>
    <s v="In Progress"/>
    <x v="0"/>
    <x v="0"/>
    <x v="0"/>
    <x v="0"/>
    <x v="69"/>
    <b v="1"/>
    <x v="228"/>
    <s v="FS1018-CPM-ZZ-00-D-A-3001"/>
  </r>
  <r>
    <x v="228"/>
    <s v="External Door Schedules Sheet 01"/>
    <x v="1"/>
    <s v="In Progress"/>
    <x v="1"/>
    <x v="1"/>
    <x v="1"/>
    <x v="1"/>
    <x v="1"/>
    <b v="1"/>
    <x v="228"/>
    <s v="FS1018-CPM-ZZ-00-D-A-3001"/>
  </r>
  <r>
    <x v="229"/>
    <s v="Internal Doors Level 00 Sheet 01"/>
    <x v="0"/>
    <s v="In Progress"/>
    <x v="0"/>
    <x v="0"/>
    <x v="0"/>
    <x v="0"/>
    <x v="70"/>
    <b v="1"/>
    <x v="229"/>
    <s v="FS1018-CPM-ZZ-00-D-A-3050"/>
  </r>
  <r>
    <x v="229"/>
    <s v="Internal Doors Level 00 Sheet 01"/>
    <x v="0"/>
    <s v="In Progress"/>
    <x v="1"/>
    <x v="1"/>
    <x v="1"/>
    <x v="1"/>
    <x v="1"/>
    <b v="1"/>
    <x v="229"/>
    <s v="FS1018-CPM-ZZ-00-D-A-3050"/>
  </r>
  <r>
    <x v="230"/>
    <s v="Internal Doors Level 00 Sheet 02"/>
    <x v="0"/>
    <s v="In Progress"/>
    <x v="0"/>
    <x v="0"/>
    <x v="0"/>
    <x v="0"/>
    <x v="71"/>
    <b v="1"/>
    <x v="230"/>
    <s v="FS1018-CPM-ZZ-00-D-A-3051"/>
  </r>
  <r>
    <x v="230"/>
    <s v="Internal Doors Level 00 Sheet 02"/>
    <x v="0"/>
    <s v="In Progress"/>
    <x v="1"/>
    <x v="1"/>
    <x v="1"/>
    <x v="1"/>
    <x v="1"/>
    <b v="1"/>
    <x v="230"/>
    <s v="FS1018-CPM-ZZ-00-D-A-3051"/>
  </r>
  <r>
    <x v="231"/>
    <s v="Internal Doors Level 00 Sheet 03"/>
    <x v="1"/>
    <s v="In Progress"/>
    <x v="0"/>
    <x v="0"/>
    <x v="0"/>
    <x v="0"/>
    <x v="71"/>
    <b v="1"/>
    <x v="231"/>
    <s v="FS1018-CPM-ZZ-00-D-A-3052"/>
  </r>
  <r>
    <x v="231"/>
    <s v="Internal Doors Level 00 Sheet 03"/>
    <x v="1"/>
    <s v="In Progress"/>
    <x v="1"/>
    <x v="1"/>
    <x v="1"/>
    <x v="1"/>
    <x v="1"/>
    <b v="1"/>
    <x v="231"/>
    <s v="FS1018-CPM-ZZ-00-D-A-3052"/>
  </r>
  <r>
    <x v="232"/>
    <s v="Internal Doors Level 00 Sheet 04"/>
    <x v="1"/>
    <s v="In Progress"/>
    <x v="0"/>
    <x v="0"/>
    <x v="0"/>
    <x v="0"/>
    <x v="72"/>
    <b v="1"/>
    <x v="232"/>
    <s v="FS1018-CPM-ZZ-00-D-A-3053"/>
  </r>
  <r>
    <x v="232"/>
    <s v="Internal Doors Level 00 Sheet 04"/>
    <x v="1"/>
    <s v="In Progress"/>
    <x v="1"/>
    <x v="1"/>
    <x v="1"/>
    <x v="1"/>
    <x v="1"/>
    <b v="1"/>
    <x v="232"/>
    <s v="FS1018-CPM-ZZ-00-D-A-3053"/>
  </r>
  <r>
    <x v="233"/>
    <s v="Internal Doors Level 00 Sheet 05"/>
    <x v="1"/>
    <s v="In Progress"/>
    <x v="0"/>
    <x v="0"/>
    <x v="0"/>
    <x v="0"/>
    <x v="72"/>
    <b v="1"/>
    <x v="233"/>
    <s v="FS1018-CPM-ZZ-00-D-A-3054"/>
  </r>
  <r>
    <x v="233"/>
    <s v="Internal Doors Level 00 Sheet 05"/>
    <x v="1"/>
    <s v="In Progress"/>
    <x v="1"/>
    <x v="1"/>
    <x v="1"/>
    <x v="1"/>
    <x v="1"/>
    <b v="1"/>
    <x v="233"/>
    <s v="FS1018-CPM-ZZ-00-D-A-3054"/>
  </r>
  <r>
    <x v="234"/>
    <s v="Reflected Ceiling L00"/>
    <x v="0"/>
    <s v="In Progress"/>
    <x v="0"/>
    <x v="0"/>
    <x v="0"/>
    <x v="0"/>
    <x v="73"/>
    <b v="1"/>
    <x v="234"/>
    <s v="FS1018-CPM-ZZ-00-D-A-3500"/>
  </r>
  <r>
    <x v="234"/>
    <s v="Reflected Ceiling L00"/>
    <x v="0"/>
    <s v="In Progress"/>
    <x v="1"/>
    <x v="1"/>
    <x v="1"/>
    <x v="1"/>
    <x v="1"/>
    <b v="1"/>
    <x v="234"/>
    <s v="FS1018-CPM-ZZ-00-D-A-3500"/>
  </r>
  <r>
    <x v="235"/>
    <s v="Room Elevations Hygiene Room"/>
    <x v="1"/>
    <s v="In Progress"/>
    <x v="0"/>
    <x v="0"/>
    <x v="0"/>
    <x v="0"/>
    <x v="74"/>
    <b v="1"/>
    <x v="235"/>
    <s v="FS1018-CPM-ZZ-00-D-A-6807"/>
  </r>
  <r>
    <x v="235"/>
    <s v="Room Elevations Hygiene Room"/>
    <x v="1"/>
    <s v="In Progress"/>
    <x v="1"/>
    <x v="1"/>
    <x v="1"/>
    <x v="1"/>
    <x v="1"/>
    <b v="1"/>
    <x v="235"/>
    <s v="FS1018-CPM-ZZ-00-D-A-6807"/>
  </r>
  <r>
    <x v="236"/>
    <s v="Room Elecations Pupil WC'S"/>
    <x v="1"/>
    <s v="In Progress"/>
    <x v="0"/>
    <x v="0"/>
    <x v="0"/>
    <x v="0"/>
    <x v="75"/>
    <b v="1"/>
    <x v="236"/>
    <s v="FS1018-CPM-ZZ-00-D-A-6808"/>
  </r>
  <r>
    <x v="236"/>
    <s v="Room Elecations Pupil WC'S"/>
    <x v="1"/>
    <s v="In Progress"/>
    <x v="1"/>
    <x v="1"/>
    <x v="1"/>
    <x v="1"/>
    <x v="1"/>
    <b v="1"/>
    <x v="236"/>
    <s v="FS1018-CPM-ZZ-00-D-A-6808"/>
  </r>
  <r>
    <x v="237"/>
    <s v="Room Elevations Pupils And Staff WC"/>
    <x v="1"/>
    <s v="In Progress"/>
    <x v="0"/>
    <x v="0"/>
    <x v="0"/>
    <x v="0"/>
    <x v="75"/>
    <b v="1"/>
    <x v="237"/>
    <s v="FS1018-CPM-ZZ-00-D-A-6809"/>
  </r>
  <r>
    <x v="237"/>
    <s v="Room Elevations Pupils And Staff WC"/>
    <x v="1"/>
    <s v="In Progress"/>
    <x v="1"/>
    <x v="1"/>
    <x v="1"/>
    <x v="1"/>
    <x v="1"/>
    <b v="1"/>
    <x v="237"/>
    <s v="FS1018-CPM-ZZ-00-D-A-6809"/>
  </r>
  <r>
    <x v="238"/>
    <s v="Room Elevations Accessible WC"/>
    <x v="1"/>
    <s v="In Progress"/>
    <x v="0"/>
    <x v="0"/>
    <x v="0"/>
    <x v="0"/>
    <x v="76"/>
    <b v="1"/>
    <x v="238"/>
    <s v="FS1018-CPM-ZZ-00-D-A-6810"/>
  </r>
  <r>
    <x v="238"/>
    <s v="Room Elevations Accessible WC"/>
    <x v="1"/>
    <s v="In Progress"/>
    <x v="1"/>
    <x v="1"/>
    <x v="1"/>
    <x v="1"/>
    <x v="1"/>
    <b v="1"/>
    <x v="238"/>
    <s v="FS1018-CPM-ZZ-00-D-A-6810"/>
  </r>
  <r>
    <x v="239"/>
    <s v="Room Elevations Changing Room"/>
    <x v="0"/>
    <s v="In Progress"/>
    <x v="0"/>
    <x v="0"/>
    <x v="0"/>
    <x v="0"/>
    <x v="77"/>
    <b v="1"/>
    <x v="239"/>
    <s v="FS1018-CPM-ZZ-00-D-A-6811"/>
  </r>
  <r>
    <x v="239"/>
    <s v="Room Elevations Changing Room"/>
    <x v="0"/>
    <s v="In Progress"/>
    <x v="1"/>
    <x v="1"/>
    <x v="1"/>
    <x v="1"/>
    <x v="1"/>
    <b v="1"/>
    <x v="239"/>
    <s v="FS1018-CPM-ZZ-00-D-A-6811"/>
  </r>
  <r>
    <x v="240"/>
    <s v="Room Elevations Accessible Changing Room"/>
    <x v="1"/>
    <s v="In Progress"/>
    <x v="0"/>
    <x v="0"/>
    <x v="0"/>
    <x v="0"/>
    <x v="78"/>
    <b v="1"/>
    <x v="240"/>
    <s v="FS1018-CPM-ZZ-00-D-A-6812"/>
  </r>
  <r>
    <x v="240"/>
    <s v="Room Elevations Accessible Changing Room"/>
    <x v="1"/>
    <s v="In Progress"/>
    <x v="1"/>
    <x v="1"/>
    <x v="1"/>
    <x v="1"/>
    <x v="1"/>
    <b v="1"/>
    <x v="240"/>
    <s v="FS1018-CPM-ZZ-00-D-A-6812"/>
  </r>
  <r>
    <x v="241"/>
    <s v="GA Proposed L01 Floor Plan"/>
    <x v="9"/>
    <s v="In Progress"/>
    <x v="0"/>
    <x v="0"/>
    <x v="0"/>
    <x v="0"/>
    <x v="79"/>
    <b v="1"/>
    <x v="241"/>
    <s v="FS1018-CPM-ZZ-01-D-A-2002"/>
  </r>
  <r>
    <x v="241"/>
    <s v="GA Proposed L01 Floor Plan"/>
    <x v="9"/>
    <s v="In Progress"/>
    <x v="1"/>
    <x v="1"/>
    <x v="1"/>
    <x v="1"/>
    <x v="1"/>
    <b v="1"/>
    <x v="241"/>
    <s v="FS1018-CPM-ZZ-01-D-A-2002"/>
  </r>
  <r>
    <x v="242"/>
    <s v="Wall And Partition Types L01"/>
    <x v="1"/>
    <s v="In Progress"/>
    <x v="0"/>
    <x v="0"/>
    <x v="0"/>
    <x v="0"/>
    <x v="80"/>
    <b v="1"/>
    <x v="242"/>
    <s v="FS1018-CPM-ZZ-01-D-A-2201"/>
  </r>
  <r>
    <x v="242"/>
    <s v="Wall And Partition Types L01"/>
    <x v="1"/>
    <s v="In Progress"/>
    <x v="1"/>
    <x v="1"/>
    <x v="1"/>
    <x v="1"/>
    <x v="1"/>
    <b v="1"/>
    <x v="242"/>
    <s v="FS1018-CPM-ZZ-01-D-A-2201"/>
  </r>
  <r>
    <x v="243"/>
    <s v="Patressing Plan For Typical Classroom"/>
    <x v="1"/>
    <s v="In Progress"/>
    <x v="0"/>
    <x v="0"/>
    <x v="0"/>
    <x v="7"/>
    <x v="81"/>
    <b v="1"/>
    <x v="243"/>
    <s v="FS1018-CPM-ZZ-01-D-A-2250"/>
  </r>
  <r>
    <x v="243"/>
    <s v="Patressing Plan For Typical Classroom"/>
    <x v="1"/>
    <s v="In Progress"/>
    <x v="8"/>
    <x v="1"/>
    <x v="1"/>
    <x v="1"/>
    <x v="1"/>
    <b v="1"/>
    <x v="243"/>
    <s v="FS1018-CPM-ZZ-01-D-A-2250"/>
  </r>
  <r>
    <x v="244"/>
    <s v="Patressing Plan For Art Room"/>
    <x v="1"/>
    <s v="In Progress"/>
    <x v="0"/>
    <x v="0"/>
    <x v="0"/>
    <x v="7"/>
    <x v="82"/>
    <b v="1"/>
    <x v="244"/>
    <s v="FS1018-CPM-ZZ-01-D-A-2251"/>
  </r>
  <r>
    <x v="244"/>
    <s v="Patressing Plan For Art Room"/>
    <x v="1"/>
    <s v="In Progress"/>
    <x v="8"/>
    <x v="1"/>
    <x v="1"/>
    <x v="1"/>
    <x v="1"/>
    <b v="1"/>
    <x v="244"/>
    <s v="FS1018-CPM-ZZ-01-D-A-2251"/>
  </r>
  <r>
    <x v="245"/>
    <s v="Fire Strategy L01"/>
    <x v="2"/>
    <s v="In Progress"/>
    <x v="0"/>
    <x v="0"/>
    <x v="0"/>
    <x v="7"/>
    <x v="83"/>
    <b v="1"/>
    <x v="245"/>
    <s v="FS1018-CPM-ZZ-01-D-A-2901"/>
  </r>
  <r>
    <x v="245"/>
    <s v="Fire Strategy L01"/>
    <x v="2"/>
    <s v="In Progress"/>
    <x v="8"/>
    <x v="1"/>
    <x v="1"/>
    <x v="1"/>
    <x v="1"/>
    <b v="1"/>
    <x v="245"/>
    <s v="FS1018-CPM-ZZ-01-D-A-2901"/>
  </r>
  <r>
    <x v="246"/>
    <s v="Reflected Ceiling L01"/>
    <x v="0"/>
    <s v="In Progress"/>
    <x v="0"/>
    <x v="0"/>
    <x v="0"/>
    <x v="7"/>
    <x v="84"/>
    <b v="1"/>
    <x v="246"/>
    <s v="FS1018-CPM-ZZ-01-D-A-3501"/>
  </r>
  <r>
    <x v="246"/>
    <s v="Reflected Ceiling L01"/>
    <x v="0"/>
    <s v="In Progress"/>
    <x v="8"/>
    <x v="1"/>
    <x v="1"/>
    <x v="1"/>
    <x v="1"/>
    <b v="1"/>
    <x v="246"/>
    <s v="FS1018-CPM-ZZ-01-D-A-3501"/>
  </r>
  <r>
    <x v="247"/>
    <s v="Room Elevations Classroom"/>
    <x v="1"/>
    <s v="In Progress"/>
    <x v="0"/>
    <x v="0"/>
    <x v="0"/>
    <x v="7"/>
    <x v="85"/>
    <b v="1"/>
    <x v="247"/>
    <s v="FS1018-CPM-ZZ-01-D-A-6800"/>
  </r>
  <r>
    <x v="247"/>
    <s v="Room Elevations Classroom"/>
    <x v="1"/>
    <s v="In Progress"/>
    <x v="8"/>
    <x v="1"/>
    <x v="1"/>
    <x v="1"/>
    <x v="1"/>
    <b v="1"/>
    <x v="247"/>
    <s v="FS1018-CPM-ZZ-01-D-A-6800"/>
  </r>
  <r>
    <x v="248"/>
    <s v="GA Proposed L02 Floor Plan"/>
    <x v="8"/>
    <s v="In Progress"/>
    <x v="0"/>
    <x v="0"/>
    <x v="0"/>
    <x v="7"/>
    <x v="86"/>
    <b v="1"/>
    <x v="248"/>
    <s v="FS1018-CPM-ZZ-02-D-A-2003"/>
  </r>
  <r>
    <x v="248"/>
    <s v="GA Proposed L02 Floor Plan"/>
    <x v="8"/>
    <s v="In Progress"/>
    <x v="8"/>
    <x v="1"/>
    <x v="1"/>
    <x v="1"/>
    <x v="1"/>
    <b v="1"/>
    <x v="248"/>
    <s v="FS1018-CPM-ZZ-02-D-A-2003"/>
  </r>
  <r>
    <x v="249"/>
    <s v="Wall And Partition Types L02"/>
    <x v="1"/>
    <s v="In Progress"/>
    <x v="0"/>
    <x v="0"/>
    <x v="0"/>
    <x v="7"/>
    <x v="87"/>
    <b v="1"/>
    <x v="249"/>
    <s v="FS1018-CPM-ZZ-02-D-A-2202"/>
  </r>
  <r>
    <x v="249"/>
    <s v="Wall And Partition Types L02"/>
    <x v="1"/>
    <s v="In Progress"/>
    <x v="8"/>
    <x v="1"/>
    <x v="1"/>
    <x v="1"/>
    <x v="1"/>
    <b v="1"/>
    <x v="249"/>
    <s v="FS1018-CPM-ZZ-02-D-A-2202"/>
  </r>
  <r>
    <x v="250"/>
    <s v="Fire Strategy L02"/>
    <x v="2"/>
    <s v="In Progress"/>
    <x v="0"/>
    <x v="0"/>
    <x v="0"/>
    <x v="7"/>
    <x v="88"/>
    <b v="1"/>
    <x v="250"/>
    <s v="FS1018-CPM-ZZ-02-D-A-2902"/>
  </r>
  <r>
    <x v="250"/>
    <s v="Fire Strategy L02"/>
    <x v="2"/>
    <s v="In Progress"/>
    <x v="8"/>
    <x v="1"/>
    <x v="1"/>
    <x v="1"/>
    <x v="1"/>
    <b v="1"/>
    <x v="250"/>
    <s v="FS1018-CPM-ZZ-02-D-A-2902"/>
  </r>
  <r>
    <x v="251"/>
    <s v="Reflected Ceiling L02"/>
    <x v="0"/>
    <s v="In Progress"/>
    <x v="0"/>
    <x v="0"/>
    <x v="0"/>
    <x v="7"/>
    <x v="89"/>
    <b v="1"/>
    <x v="251"/>
    <s v="FS1018-CPM-ZZ-02-D-A-3502"/>
  </r>
  <r>
    <x v="251"/>
    <s v="Reflected Ceiling L02"/>
    <x v="0"/>
    <s v="In Progress"/>
    <x v="8"/>
    <x v="1"/>
    <x v="1"/>
    <x v="1"/>
    <x v="1"/>
    <b v="1"/>
    <x v="251"/>
    <s v="FS1018-CPM-ZZ-02-D-A-3502"/>
  </r>
  <r>
    <x v="252"/>
    <s v="GA Proposed Roof Plan"/>
    <x v="4"/>
    <s v="In Progress"/>
    <x v="0"/>
    <x v="0"/>
    <x v="0"/>
    <x v="7"/>
    <x v="90"/>
    <b v="1"/>
    <x v="252"/>
    <s v="FS1018-CPM-ZZ-RF-D-A-2023"/>
  </r>
  <r>
    <x v="252"/>
    <s v="GA Proposed Roof Plan"/>
    <x v="4"/>
    <s v="In Progress"/>
    <x v="8"/>
    <x v="1"/>
    <x v="1"/>
    <x v="1"/>
    <x v="1"/>
    <b v="1"/>
    <x v="252"/>
    <s v="FS1018-CPM-ZZ-RF-D-A-2023"/>
  </r>
  <r>
    <x v="253"/>
    <s v="Roof Details Sheet 1"/>
    <x v="0"/>
    <s v="In Progress"/>
    <x v="0"/>
    <x v="0"/>
    <x v="0"/>
    <x v="7"/>
    <x v="91"/>
    <b v="1"/>
    <x v="253"/>
    <s v="FS1018-CPM-ZZ-RF-D-A-2144"/>
  </r>
  <r>
    <x v="253"/>
    <s v="Roof Details Sheet 1"/>
    <x v="0"/>
    <s v="In Progress"/>
    <x v="8"/>
    <x v="1"/>
    <x v="1"/>
    <x v="1"/>
    <x v="1"/>
    <b v="1"/>
    <x v="253"/>
    <s v="FS1018-CPM-ZZ-RF-D-A-2144"/>
  </r>
  <r>
    <x v="254"/>
    <s v="Roof Details Sheet 2"/>
    <x v="0"/>
    <s v="In Progress"/>
    <x v="0"/>
    <x v="0"/>
    <x v="0"/>
    <x v="7"/>
    <x v="92"/>
    <b v="1"/>
    <x v="254"/>
    <s v="FS1018-CPM-ZZ-RF-D-A-2145"/>
  </r>
  <r>
    <x v="254"/>
    <s v="Roof Details Sheet 2"/>
    <x v="0"/>
    <s v="In Progress"/>
    <x v="8"/>
    <x v="1"/>
    <x v="1"/>
    <x v="1"/>
    <x v="1"/>
    <b v="1"/>
    <x v="254"/>
    <s v="FS1018-CPM-ZZ-RF-D-A-2145"/>
  </r>
  <r>
    <x v="255"/>
    <s v="Fire Strategy Rf"/>
    <x v="2"/>
    <s v="In Progress"/>
    <x v="0"/>
    <x v="0"/>
    <x v="0"/>
    <x v="7"/>
    <x v="93"/>
    <b v="1"/>
    <x v="255"/>
    <s v="FS1018-CPM-ZZ-RF-D-A-2903"/>
  </r>
  <r>
    <x v="255"/>
    <s v="Fire Strategy Rf"/>
    <x v="2"/>
    <s v="In Progress"/>
    <x v="8"/>
    <x v="1"/>
    <x v="1"/>
    <x v="1"/>
    <x v="1"/>
    <b v="1"/>
    <x v="255"/>
    <s v="FS1018-CPM-ZZ-RF-D-A-2903"/>
  </r>
  <r>
    <x v="256"/>
    <s v="Rooflight Elevations Sheet 1"/>
    <x v="1"/>
    <s v="Completed"/>
    <x v="0"/>
    <x v="0"/>
    <x v="2"/>
    <x v="7"/>
    <x v="94"/>
    <b v="1"/>
    <x v="256"/>
    <s v="FS1018-CPM-ZZ-RF-D-A-3100"/>
  </r>
  <r>
    <x v="257"/>
    <s v="Rooflights And Hatch Plan"/>
    <x v="1"/>
    <s v="In Progress"/>
    <x v="0"/>
    <x v="0"/>
    <x v="0"/>
    <x v="7"/>
    <x v="95"/>
    <b v="1"/>
    <x v="257"/>
    <s v="FS1018-CPM-ZZ-RF-D-A-3101"/>
  </r>
  <r>
    <x v="257"/>
    <s v="Rooflights And Hatch Plan"/>
    <x v="1"/>
    <s v="In Progress"/>
    <x v="8"/>
    <x v="1"/>
    <x v="1"/>
    <x v="1"/>
    <x v="1"/>
    <b v="1"/>
    <x v="257"/>
    <s v="FS1018-CPM-ZZ-RF-D-A-3101"/>
  </r>
  <r>
    <x v="258"/>
    <s v="3D Section"/>
    <x v="1"/>
    <s v="In Progress"/>
    <x v="0"/>
    <x v="0"/>
    <x v="0"/>
    <x v="7"/>
    <x v="96"/>
    <b v="1"/>
    <x v="258"/>
    <s v="FS1018-CPM-ZZ-XX-D-A-2146"/>
  </r>
  <r>
    <x v="258"/>
    <s v="3D Section"/>
    <x v="1"/>
    <s v="In Progress"/>
    <x v="8"/>
    <x v="1"/>
    <x v="1"/>
    <x v="1"/>
    <x v="1"/>
    <b v="1"/>
    <x v="258"/>
    <s v="FS1018-CPM-ZZ-XX-D-A-2146"/>
  </r>
  <r>
    <x v="259"/>
    <s v="Partition Detail Plans"/>
    <x v="1"/>
    <s v="In Progress"/>
    <x v="0"/>
    <x v="0"/>
    <x v="0"/>
    <x v="7"/>
    <x v="97"/>
    <b v="1"/>
    <x v="259"/>
    <s v="FS1018-CPM-ZZ-XX-D-A-2210"/>
  </r>
  <r>
    <x v="259"/>
    <s v="Partition Detail Plans"/>
    <x v="1"/>
    <s v="In Progress"/>
    <x v="8"/>
    <x v="1"/>
    <x v="1"/>
    <x v="1"/>
    <x v="1"/>
    <b v="1"/>
    <x v="259"/>
    <s v="FS1018-CPM-ZZ-XX-D-A-2210"/>
  </r>
  <r>
    <x v="260"/>
    <s v="CDM Design Risk Assessment"/>
    <x v="3"/>
    <s v="In Progress"/>
    <x v="0"/>
    <x v="0"/>
    <x v="1"/>
    <x v="1"/>
    <x v="1"/>
    <b v="1"/>
    <x v="260"/>
    <s v="FS1018-CPM-ZZ-XX-L-A-0020"/>
  </r>
  <r>
    <x v="261"/>
    <s v="Circulation Strategy"/>
    <x v="3"/>
    <s v="In Progress"/>
    <x v="0"/>
    <x v="0"/>
    <x v="0"/>
    <x v="6"/>
    <x v="98"/>
    <b v="1"/>
    <x v="261"/>
    <s v="FS1018-CPM-ZZ-ZZ-D-A-0050"/>
  </r>
  <r>
    <x v="261"/>
    <s v="Circulation Strategy"/>
    <x v="3"/>
    <s v="In Progress"/>
    <x v="6"/>
    <x v="1"/>
    <x v="1"/>
    <x v="1"/>
    <x v="1"/>
    <b v="1"/>
    <x v="261"/>
    <s v="FS1018-CPM-ZZ-ZZ-D-A-0050"/>
  </r>
  <r>
    <x v="262"/>
    <s v="Zoning And Security Strategy"/>
    <x v="3"/>
    <s v="In Progress"/>
    <x v="0"/>
    <x v="0"/>
    <x v="0"/>
    <x v="7"/>
    <x v="99"/>
    <b v="1"/>
    <x v="262"/>
    <s v="FS1018-CPM-ZZ-ZZ-D-A-0051"/>
  </r>
  <r>
    <x v="262"/>
    <s v="Zoning And Security Strategy"/>
    <x v="3"/>
    <s v="In Progress"/>
    <x v="8"/>
    <x v="1"/>
    <x v="1"/>
    <x v="1"/>
    <x v="1"/>
    <b v="1"/>
    <x v="262"/>
    <s v="FS1018-CPM-ZZ-ZZ-D-A-0051"/>
  </r>
  <r>
    <x v="263"/>
    <s v="Sanitary And Hygiene Strategy"/>
    <x v="3"/>
    <s v="In Progress"/>
    <x v="0"/>
    <x v="0"/>
    <x v="0"/>
    <x v="7"/>
    <x v="100"/>
    <b v="1"/>
    <x v="263"/>
    <s v="FS1018-CPM-ZZ-ZZ-D-A-0052"/>
  </r>
  <r>
    <x v="263"/>
    <s v="Sanitary And Hygiene Strategy"/>
    <x v="3"/>
    <s v="In Progress"/>
    <x v="8"/>
    <x v="1"/>
    <x v="1"/>
    <x v="1"/>
    <x v="1"/>
    <b v="1"/>
    <x v="263"/>
    <s v="FS1018-CPM-ZZ-ZZ-D-A-0052"/>
  </r>
  <r>
    <x v="264"/>
    <s v="Access And Maintenance Strategy"/>
    <x v="10"/>
    <s v="In Progress"/>
    <x v="0"/>
    <x v="0"/>
    <x v="0"/>
    <x v="7"/>
    <x v="101"/>
    <b v="1"/>
    <x v="264"/>
    <s v="FS1018-CPM-ZZ-ZZ-D-A-0053"/>
  </r>
  <r>
    <x v="264"/>
    <s v="Access And Maintenance Strategy"/>
    <x v="10"/>
    <s v="In Progress"/>
    <x v="8"/>
    <x v="1"/>
    <x v="1"/>
    <x v="1"/>
    <x v="1"/>
    <b v="1"/>
    <x v="264"/>
    <s v="FS1018-CPM-ZZ-ZZ-D-A-0053"/>
  </r>
  <r>
    <x v="265"/>
    <s v="Cleaning And Maintenance Strategy"/>
    <x v="2"/>
    <s v="In Progress"/>
    <x v="0"/>
    <x v="0"/>
    <x v="0"/>
    <x v="7"/>
    <x v="102"/>
    <b v="1"/>
    <x v="265"/>
    <s v="FS1018-CPM-ZZ-ZZ-D-A-0054"/>
  </r>
  <r>
    <x v="265"/>
    <s v="Cleaning And Maintenance Strategy"/>
    <x v="2"/>
    <s v="In Progress"/>
    <x v="8"/>
    <x v="1"/>
    <x v="1"/>
    <x v="1"/>
    <x v="1"/>
    <b v="1"/>
    <x v="265"/>
    <s v="FS1018-CPM-ZZ-ZZ-D-A-0054"/>
  </r>
  <r>
    <x v="266"/>
    <s v="Proposed Room Cluster Diagram"/>
    <x v="1"/>
    <s v="Completed"/>
    <x v="2"/>
    <x v="0"/>
    <x v="2"/>
    <x v="7"/>
    <x v="94"/>
    <b v="1"/>
    <x v="266"/>
    <s v="FS1018-CPM-ZZ-ZZ-D-A-0060"/>
  </r>
  <r>
    <x v="267"/>
    <s v="GA Proposed Section Aa, Bb, Cc, Dd"/>
    <x v="11"/>
    <s v="In Progress"/>
    <x v="0"/>
    <x v="0"/>
    <x v="0"/>
    <x v="7"/>
    <x v="103"/>
    <b v="1"/>
    <x v="267"/>
    <s v="FS1018-CPM-ZZ-ZZ-D-A-2001"/>
  </r>
  <r>
    <x v="267"/>
    <s v="GA Proposed Section Aa, Bb, Cc, Dd"/>
    <x v="11"/>
    <s v="In Progress"/>
    <x v="8"/>
    <x v="1"/>
    <x v="1"/>
    <x v="1"/>
    <x v="1"/>
    <b v="1"/>
    <x v="267"/>
    <s v="FS1018-CPM-ZZ-ZZ-D-A-2001"/>
  </r>
  <r>
    <x v="268"/>
    <s v="GA Proposed Section EE"/>
    <x v="5"/>
    <s v="In Progress"/>
    <x v="0"/>
    <x v="0"/>
    <x v="0"/>
    <x v="7"/>
    <x v="104"/>
    <b v="1"/>
    <x v="268"/>
    <s v="FS1018-CPM-ZZ-ZZ-D-A-2002"/>
  </r>
  <r>
    <x v="268"/>
    <s v="GA Proposed Section EE"/>
    <x v="5"/>
    <s v="In Progress"/>
    <x v="8"/>
    <x v="1"/>
    <x v="1"/>
    <x v="1"/>
    <x v="1"/>
    <b v="1"/>
    <x v="268"/>
    <s v="FS1018-CPM-ZZ-ZZ-D-A-2002"/>
  </r>
  <r>
    <x v="269"/>
    <s v="GA Proposed Elevations Sheet 1"/>
    <x v="11"/>
    <s v="In Progress"/>
    <x v="0"/>
    <x v="0"/>
    <x v="0"/>
    <x v="7"/>
    <x v="105"/>
    <b v="1"/>
    <x v="269"/>
    <s v="FS1018-CPM-ZZ-ZZ-D-A-2010"/>
  </r>
  <r>
    <x v="269"/>
    <s v="GA Proposed Elevations Sheet 1"/>
    <x v="11"/>
    <s v="In Progress"/>
    <x v="8"/>
    <x v="1"/>
    <x v="1"/>
    <x v="1"/>
    <x v="1"/>
    <b v="1"/>
    <x v="269"/>
    <s v="FS1018-CPM-ZZ-ZZ-D-A-2010"/>
  </r>
  <r>
    <x v="270"/>
    <s v="GA Proposed Elevations Sheet 02"/>
    <x v="5"/>
    <s v="In Progress"/>
    <x v="0"/>
    <x v="0"/>
    <x v="0"/>
    <x v="7"/>
    <x v="106"/>
    <b v="1"/>
    <x v="270"/>
    <s v="FS1018-CPM-ZZ-ZZ-D-A-2011"/>
  </r>
  <r>
    <x v="270"/>
    <s v="GA Proposed Elevations Sheet 02"/>
    <x v="5"/>
    <s v="In Progress"/>
    <x v="8"/>
    <x v="1"/>
    <x v="1"/>
    <x v="1"/>
    <x v="1"/>
    <b v="1"/>
    <x v="270"/>
    <s v="FS1018-CPM-ZZ-ZZ-D-A-2011"/>
  </r>
  <r>
    <x v="271"/>
    <s v="GA Proposed Elevations Sheet 03"/>
    <x v="10"/>
    <s v="In Progress"/>
    <x v="0"/>
    <x v="0"/>
    <x v="0"/>
    <x v="7"/>
    <x v="107"/>
    <b v="1"/>
    <x v="271"/>
    <s v="FS1018-CPM-ZZ-ZZ-D-A-2012"/>
  </r>
  <r>
    <x v="271"/>
    <s v="GA Proposed Elevations Sheet 03"/>
    <x v="10"/>
    <s v="In Progress"/>
    <x v="8"/>
    <x v="1"/>
    <x v="1"/>
    <x v="1"/>
    <x v="1"/>
    <b v="1"/>
    <x v="271"/>
    <s v="FS1018-CPM-ZZ-ZZ-D-A-2012"/>
  </r>
  <r>
    <x v="272"/>
    <s v="Hazard Identification Plan"/>
    <x v="0"/>
    <s v="In Progress"/>
    <x v="0"/>
    <x v="0"/>
    <x v="0"/>
    <x v="7"/>
    <x v="108"/>
    <b v="1"/>
    <x v="272"/>
    <s v="FS1018-CPM-ZZ-ZZ-D-A-2025"/>
  </r>
  <r>
    <x v="272"/>
    <s v="Hazard Identification Plan"/>
    <x v="0"/>
    <s v="In Progress"/>
    <x v="8"/>
    <x v="1"/>
    <x v="1"/>
    <x v="1"/>
    <x v="1"/>
    <b v="1"/>
    <x v="272"/>
    <s v="FS1018-CPM-ZZ-ZZ-D-A-2025"/>
  </r>
  <r>
    <x v="273"/>
    <s v="Internal Views"/>
    <x v="3"/>
    <s v="In Progress"/>
    <x v="0"/>
    <x v="0"/>
    <x v="0"/>
    <x v="7"/>
    <x v="109"/>
    <b v="1"/>
    <x v="273"/>
    <s v="FS1018-CPM-ZZ-ZZ-D-A-2031"/>
  </r>
  <r>
    <x v="273"/>
    <s v="Internal Views"/>
    <x v="3"/>
    <s v="In Progress"/>
    <x v="8"/>
    <x v="1"/>
    <x v="1"/>
    <x v="1"/>
    <x v="1"/>
    <b v="1"/>
    <x v="273"/>
    <s v="FS1018-CPM-ZZ-ZZ-D-A-2031"/>
  </r>
  <r>
    <x v="274"/>
    <s v="External Views"/>
    <x v="3"/>
    <s v="In Progress"/>
    <x v="0"/>
    <x v="0"/>
    <x v="0"/>
    <x v="7"/>
    <x v="110"/>
    <b v="1"/>
    <x v="274"/>
    <s v="FS1018-CPM-ZZ-ZZ-D-A-2032"/>
  </r>
  <r>
    <x v="274"/>
    <s v="External Views"/>
    <x v="3"/>
    <s v="In Progress"/>
    <x v="8"/>
    <x v="1"/>
    <x v="1"/>
    <x v="1"/>
    <x v="1"/>
    <b v="1"/>
    <x v="274"/>
    <s v="FS1018-CPM-ZZ-ZZ-D-A-2032"/>
  </r>
  <r>
    <x v="275"/>
    <s v="Lock Suiting Strategy"/>
    <x v="1"/>
    <s v="In Progress"/>
    <x v="0"/>
    <x v="0"/>
    <x v="0"/>
    <x v="7"/>
    <x v="111"/>
    <b v="1"/>
    <x v="275"/>
    <s v="FS1018-CPM-ZZ-ZZ-D-A-2040"/>
  </r>
  <r>
    <x v="275"/>
    <s v="Lock Suiting Strategy"/>
    <x v="1"/>
    <s v="In Progress"/>
    <x v="8"/>
    <x v="1"/>
    <x v="1"/>
    <x v="1"/>
    <x v="1"/>
    <b v="1"/>
    <x v="275"/>
    <s v="FS1018-CPM-ZZ-ZZ-D-A-2040"/>
  </r>
  <r>
    <x v="276"/>
    <s v="Construction Building Sections Sheet 1"/>
    <x v="2"/>
    <s v="In Progress"/>
    <x v="0"/>
    <x v="0"/>
    <x v="0"/>
    <x v="7"/>
    <x v="112"/>
    <b v="1"/>
    <x v="276"/>
    <s v="FS1018-CPM-ZZ-ZZ-D-A-2140"/>
  </r>
  <r>
    <x v="276"/>
    <s v="Construction Building Sections Sheet 1"/>
    <x v="2"/>
    <s v="In Progress"/>
    <x v="8"/>
    <x v="1"/>
    <x v="1"/>
    <x v="1"/>
    <x v="1"/>
    <b v="1"/>
    <x v="276"/>
    <s v="FS1018-CPM-ZZ-ZZ-D-A-2140"/>
  </r>
  <r>
    <x v="277"/>
    <s v="Construction Building Sections Sheet 2"/>
    <x v="0"/>
    <s v="In Progress"/>
    <x v="0"/>
    <x v="0"/>
    <x v="0"/>
    <x v="7"/>
    <x v="113"/>
    <b v="1"/>
    <x v="277"/>
    <s v="FS1018-CPM-ZZ-ZZ-D-A-2141"/>
  </r>
  <r>
    <x v="277"/>
    <s v="Construction Building Sections Sheet 2"/>
    <x v="0"/>
    <s v="In Progress"/>
    <x v="8"/>
    <x v="1"/>
    <x v="1"/>
    <x v="1"/>
    <x v="1"/>
    <b v="1"/>
    <x v="277"/>
    <s v="FS1018-CPM-ZZ-ZZ-D-A-2141"/>
  </r>
  <r>
    <x v="278"/>
    <s v="External Wall Details Sheet 1"/>
    <x v="3"/>
    <s v="In Progress"/>
    <x v="0"/>
    <x v="0"/>
    <x v="0"/>
    <x v="7"/>
    <x v="114"/>
    <b v="1"/>
    <x v="278"/>
    <s v="FS1018-CPM-ZZ-ZZ-D-A-2143"/>
  </r>
  <r>
    <x v="278"/>
    <s v="External Wall Details Sheet 1"/>
    <x v="3"/>
    <s v="In Progress"/>
    <x v="8"/>
    <x v="1"/>
    <x v="1"/>
    <x v="1"/>
    <x v="1"/>
    <b v="1"/>
    <x v="278"/>
    <s v="FS1018-CPM-ZZ-ZZ-D-A-2143"/>
  </r>
  <r>
    <x v="279"/>
    <s v="External Wall Details Sheet 2"/>
    <x v="0"/>
    <s v="In Progress"/>
    <x v="0"/>
    <x v="0"/>
    <x v="0"/>
    <x v="7"/>
    <x v="114"/>
    <b v="1"/>
    <x v="279"/>
    <s v="FS1018-CPM-ZZ-ZZ-D-A-2144"/>
  </r>
  <r>
    <x v="279"/>
    <s v="External Wall Details Sheet 2"/>
    <x v="0"/>
    <s v="In Progress"/>
    <x v="8"/>
    <x v="1"/>
    <x v="1"/>
    <x v="1"/>
    <x v="1"/>
    <b v="1"/>
    <x v="279"/>
    <s v="FS1018-CPM-ZZ-ZZ-D-A-2144"/>
  </r>
  <r>
    <x v="280"/>
    <s v="Typical Staircase Sheet 01"/>
    <x v="1"/>
    <s v="In Progress"/>
    <x v="0"/>
    <x v="0"/>
    <x v="0"/>
    <x v="7"/>
    <x v="115"/>
    <b v="1"/>
    <x v="280"/>
    <s v="FS1018-CPM-ZZ-ZZ-D-A-2401"/>
  </r>
  <r>
    <x v="280"/>
    <s v="Typical Staircase Sheet 01"/>
    <x v="1"/>
    <s v="In Progress"/>
    <x v="8"/>
    <x v="1"/>
    <x v="1"/>
    <x v="1"/>
    <x v="1"/>
    <b v="1"/>
    <x v="280"/>
    <s v="FS1018-CPM-ZZ-ZZ-D-A-2401"/>
  </r>
  <r>
    <x v="281"/>
    <s v="Typical Staircase Sheet 02"/>
    <x v="1"/>
    <s v="In Progress"/>
    <x v="0"/>
    <x v="0"/>
    <x v="0"/>
    <x v="7"/>
    <x v="116"/>
    <b v="1"/>
    <x v="281"/>
    <s v="FS1018-CPM-ZZ-ZZ-D-A-2402"/>
  </r>
  <r>
    <x v="281"/>
    <s v="Typical Staircase Sheet 02"/>
    <x v="1"/>
    <s v="In Progress"/>
    <x v="8"/>
    <x v="1"/>
    <x v="1"/>
    <x v="1"/>
    <x v="1"/>
    <b v="1"/>
    <x v="281"/>
    <s v="FS1018-CPM-ZZ-ZZ-D-A-2402"/>
  </r>
  <r>
    <x v="282"/>
    <s v="Typical Staircase Sheet 03"/>
    <x v="1"/>
    <s v="In Progress"/>
    <x v="0"/>
    <x v="0"/>
    <x v="0"/>
    <x v="7"/>
    <x v="117"/>
    <b v="1"/>
    <x v="282"/>
    <s v="FS1018-CPM-ZZ-ZZ-D-A-2403"/>
  </r>
  <r>
    <x v="282"/>
    <s v="Typical Staircase Sheet 03"/>
    <x v="1"/>
    <s v="In Progress"/>
    <x v="8"/>
    <x v="1"/>
    <x v="1"/>
    <x v="1"/>
    <x v="1"/>
    <b v="1"/>
    <x v="282"/>
    <s v="FS1018-CPM-ZZ-ZZ-D-A-2403"/>
  </r>
  <r>
    <x v="283"/>
    <s v="Typical Staircase Sheet 04"/>
    <x v="1"/>
    <s v="In Progress"/>
    <x v="0"/>
    <x v="0"/>
    <x v="0"/>
    <x v="7"/>
    <x v="117"/>
    <b v="1"/>
    <x v="283"/>
    <s v="FS1018-CPM-ZZ-ZZ-D-A-2404"/>
  </r>
  <r>
    <x v="283"/>
    <s v="Typical Staircase Sheet 04"/>
    <x v="1"/>
    <s v="In Progress"/>
    <x v="8"/>
    <x v="1"/>
    <x v="1"/>
    <x v="1"/>
    <x v="1"/>
    <b v="1"/>
    <x v="283"/>
    <s v="FS1018-CPM-ZZ-ZZ-D-A-2404"/>
  </r>
  <r>
    <x v="284"/>
    <s v="Typical Staircase Sheet 05"/>
    <x v="1"/>
    <s v="In Progress"/>
    <x v="0"/>
    <x v="0"/>
    <x v="0"/>
    <x v="7"/>
    <x v="118"/>
    <b v="1"/>
    <x v="284"/>
    <s v="FS1018-CPM-ZZ-ZZ-D-A-2405"/>
  </r>
  <r>
    <x v="284"/>
    <s v="Typical Staircase Sheet 05"/>
    <x v="1"/>
    <s v="In Progress"/>
    <x v="8"/>
    <x v="1"/>
    <x v="1"/>
    <x v="1"/>
    <x v="1"/>
    <b v="1"/>
    <x v="284"/>
    <s v="FS1018-CPM-ZZ-ZZ-D-A-2405"/>
  </r>
  <r>
    <x v="285"/>
    <s v="External Door Schedues Sheet 02"/>
    <x v="1"/>
    <s v="In Progress"/>
    <x v="0"/>
    <x v="0"/>
    <x v="0"/>
    <x v="7"/>
    <x v="119"/>
    <b v="1"/>
    <x v="285"/>
    <s v="FS1018-CPM-ZZ-ZZ-D-A-3002"/>
  </r>
  <r>
    <x v="285"/>
    <s v="External Door Schedues Sheet 02"/>
    <x v="1"/>
    <s v="In Progress"/>
    <x v="8"/>
    <x v="1"/>
    <x v="1"/>
    <x v="1"/>
    <x v="1"/>
    <b v="1"/>
    <x v="285"/>
    <s v="FS1018-CPM-ZZ-ZZ-D-A-3002"/>
  </r>
  <r>
    <x v="286"/>
    <s v="Curtain Wall Panelling Elevations Sheet 01"/>
    <x v="1"/>
    <s v="In Progress"/>
    <x v="0"/>
    <x v="0"/>
    <x v="0"/>
    <x v="7"/>
    <x v="120"/>
    <b v="1"/>
    <x v="286"/>
    <s v="FS1018-CPM-ZZ-ZZ-D-A-3010"/>
  </r>
  <r>
    <x v="286"/>
    <s v="Curtain Wall Panelling Elevations Sheet 01"/>
    <x v="1"/>
    <s v="In Progress"/>
    <x v="8"/>
    <x v="1"/>
    <x v="1"/>
    <x v="1"/>
    <x v="1"/>
    <b v="1"/>
    <x v="286"/>
    <s v="FS1018-CPM-ZZ-ZZ-D-A-3010"/>
  </r>
  <r>
    <x v="287"/>
    <s v="Curtain Wall Panelling Elevations Sheet 02"/>
    <x v="1"/>
    <s v="In Progress"/>
    <x v="0"/>
    <x v="0"/>
    <x v="0"/>
    <x v="7"/>
    <x v="121"/>
    <b v="1"/>
    <x v="287"/>
    <s v="FS1018-CPM-ZZ-ZZ-D-A-3011"/>
  </r>
  <r>
    <x v="287"/>
    <s v="Curtain Wall Panelling Elevations Sheet 02"/>
    <x v="1"/>
    <s v="In Progress"/>
    <x v="8"/>
    <x v="1"/>
    <x v="1"/>
    <x v="1"/>
    <x v="1"/>
    <b v="1"/>
    <x v="287"/>
    <s v="FS1018-CPM-ZZ-ZZ-D-A-3011"/>
  </r>
  <r>
    <x v="288"/>
    <s v="External Windows Elevation And Schedule"/>
    <x v="1"/>
    <s v="In Progress"/>
    <x v="0"/>
    <x v="0"/>
    <x v="0"/>
    <x v="7"/>
    <x v="122"/>
    <b v="1"/>
    <x v="288"/>
    <s v="FS1018-CPM-ZZ-ZZ-D-A-3020"/>
  </r>
  <r>
    <x v="288"/>
    <s v="External Windows Elevation And Schedule"/>
    <x v="1"/>
    <s v="In Progress"/>
    <x v="8"/>
    <x v="1"/>
    <x v="1"/>
    <x v="1"/>
    <x v="1"/>
    <b v="1"/>
    <x v="288"/>
    <s v="FS1018-CPM-ZZ-ZZ-D-A-3020"/>
  </r>
  <r>
    <x v="289"/>
    <s v="Internal Glazed Panel Elevations And Schedule"/>
    <x v="1"/>
    <s v="In Progress"/>
    <x v="0"/>
    <x v="0"/>
    <x v="0"/>
    <x v="7"/>
    <x v="123"/>
    <b v="1"/>
    <x v="289"/>
    <s v="FS1018-CPM-ZZ-ZZ-D-A-3021"/>
  </r>
  <r>
    <x v="289"/>
    <s v="Internal Glazed Panel Elevations And Schedule"/>
    <x v="1"/>
    <s v="In Progress"/>
    <x v="8"/>
    <x v="1"/>
    <x v="1"/>
    <x v="1"/>
    <x v="1"/>
    <b v="1"/>
    <x v="289"/>
    <s v="FS1018-CPM-ZZ-ZZ-D-A-3021"/>
  </r>
  <r>
    <x v="290"/>
    <s v="Internal Doors Level 00 Sheet 06"/>
    <x v="1"/>
    <s v="In Progress"/>
    <x v="0"/>
    <x v="0"/>
    <x v="0"/>
    <x v="7"/>
    <x v="124"/>
    <b v="1"/>
    <x v="290"/>
    <s v="FS1018-CPM-ZZ-ZZ-D-A-3055"/>
  </r>
  <r>
    <x v="290"/>
    <s v="Internal Doors Level 00 Sheet 06"/>
    <x v="1"/>
    <s v="In Progress"/>
    <x v="8"/>
    <x v="1"/>
    <x v="1"/>
    <x v="1"/>
    <x v="1"/>
    <b v="1"/>
    <x v="290"/>
    <s v="FS1018-CPM-ZZ-ZZ-D-A-3055"/>
  </r>
  <r>
    <x v="291"/>
    <s v="Window Schedule"/>
    <x v="1"/>
    <s v="In Progress"/>
    <x v="0"/>
    <x v="0"/>
    <x v="0"/>
    <x v="7"/>
    <x v="125"/>
    <b v="1"/>
    <x v="291"/>
    <s v="FS1018-CPM-ZZ-ZZ-D-A-3062"/>
  </r>
  <r>
    <x v="291"/>
    <s v="Window Schedule"/>
    <x v="1"/>
    <s v="In Progress"/>
    <x v="8"/>
    <x v="1"/>
    <x v="1"/>
    <x v="1"/>
    <x v="1"/>
    <b v="1"/>
    <x v="291"/>
    <s v="FS1018-CPM-ZZ-ZZ-D-A-3062"/>
  </r>
  <r>
    <x v="292"/>
    <s v="GA Wall Finishes Strategy"/>
    <x v="2"/>
    <s v="In Progress"/>
    <x v="0"/>
    <x v="0"/>
    <x v="0"/>
    <x v="7"/>
    <x v="126"/>
    <b v="1"/>
    <x v="292"/>
    <s v="FS1018-CPM-ZZ-ZZ-D-A-4001"/>
  </r>
  <r>
    <x v="292"/>
    <s v="GA Wall Finishes Strategy"/>
    <x v="2"/>
    <s v="In Progress"/>
    <x v="8"/>
    <x v="1"/>
    <x v="1"/>
    <x v="1"/>
    <x v="1"/>
    <b v="1"/>
    <x v="292"/>
    <s v="FS1018-CPM-ZZ-ZZ-D-A-4001"/>
  </r>
  <r>
    <x v="293"/>
    <s v="GA Floor Finishes Strategy"/>
    <x v="2"/>
    <s v="In Progress"/>
    <x v="0"/>
    <x v="0"/>
    <x v="0"/>
    <x v="7"/>
    <x v="127"/>
    <b v="1"/>
    <x v="293"/>
    <s v="FS1018-CPM-ZZ-ZZ-D-A-4004"/>
  </r>
  <r>
    <x v="293"/>
    <s v="GA Floor Finishes Strategy"/>
    <x v="2"/>
    <s v="In Progress"/>
    <x v="8"/>
    <x v="1"/>
    <x v="1"/>
    <x v="1"/>
    <x v="1"/>
    <b v="1"/>
    <x v="293"/>
    <s v="FS1018-CPM-ZZ-ZZ-D-A-4004"/>
  </r>
  <r>
    <x v="294"/>
    <s v="Lift Pit Details"/>
    <x v="1"/>
    <s v="In Progress"/>
    <x v="0"/>
    <x v="0"/>
    <x v="0"/>
    <x v="7"/>
    <x v="128"/>
    <b v="1"/>
    <x v="294"/>
    <s v="FS1018-CPM-ZZ-ZZ-D-A-6601"/>
  </r>
  <r>
    <x v="294"/>
    <s v="Lift Pit Details"/>
    <x v="1"/>
    <s v="In Progress"/>
    <x v="8"/>
    <x v="1"/>
    <x v="1"/>
    <x v="1"/>
    <x v="1"/>
    <b v="1"/>
    <x v="294"/>
    <s v="FS1018-CPM-ZZ-ZZ-D-A-6601"/>
  </r>
  <r>
    <x v="295"/>
    <s v="Room Elevations Assembly Dining Sheet 1"/>
    <x v="0"/>
    <s v="In Progress"/>
    <x v="0"/>
    <x v="0"/>
    <x v="0"/>
    <x v="7"/>
    <x v="129"/>
    <b v="1"/>
    <x v="295"/>
    <s v="FS1018-CPM-ZZ-ZZ-D-A-6801"/>
  </r>
  <r>
    <x v="295"/>
    <s v="Room Elevations Assembly Dining Sheet 1"/>
    <x v="0"/>
    <s v="In Progress"/>
    <x v="8"/>
    <x v="1"/>
    <x v="1"/>
    <x v="1"/>
    <x v="1"/>
    <b v="1"/>
    <x v="295"/>
    <s v="FS1018-CPM-ZZ-ZZ-D-A-6801"/>
  </r>
  <r>
    <x v="296"/>
    <s v="Room Elevations Assembly Dining Sheet 2"/>
    <x v="1"/>
    <s v="In Progress"/>
    <x v="0"/>
    <x v="0"/>
    <x v="0"/>
    <x v="7"/>
    <x v="130"/>
    <b v="1"/>
    <x v="296"/>
    <s v="FS1018-CPM-ZZ-ZZ-D-A-6802"/>
  </r>
  <r>
    <x v="296"/>
    <s v="Room Elevations Assembly Dining Sheet 2"/>
    <x v="1"/>
    <s v="In Progress"/>
    <x v="8"/>
    <x v="1"/>
    <x v="1"/>
    <x v="1"/>
    <x v="1"/>
    <b v="1"/>
    <x v="296"/>
    <s v="FS1018-CPM-ZZ-ZZ-D-A-6802"/>
  </r>
  <r>
    <x v="297"/>
    <s v="Room Elevations Sports Hall Sheet 1"/>
    <x v="0"/>
    <s v="In Progress"/>
    <x v="0"/>
    <x v="0"/>
    <x v="0"/>
    <x v="7"/>
    <x v="131"/>
    <b v="1"/>
    <x v="297"/>
    <s v="FS1018-CPM-ZZ-ZZ-D-A-6803"/>
  </r>
  <r>
    <x v="297"/>
    <s v="Room Elevations Sports Hall Sheet 1"/>
    <x v="0"/>
    <s v="In Progress"/>
    <x v="8"/>
    <x v="1"/>
    <x v="1"/>
    <x v="1"/>
    <x v="1"/>
    <b v="1"/>
    <x v="297"/>
    <s v="FS1018-CPM-ZZ-ZZ-D-A-6803"/>
  </r>
  <r>
    <x v="298"/>
    <s v="Room Elevations Sports Hall Sheet 2"/>
    <x v="1"/>
    <s v="In Progress"/>
    <x v="0"/>
    <x v="0"/>
    <x v="0"/>
    <x v="7"/>
    <x v="132"/>
    <b v="1"/>
    <x v="298"/>
    <s v="FS1018-CPM-ZZ-ZZ-D-A-6804"/>
  </r>
  <r>
    <x v="298"/>
    <s v="Room Elevations Sports Hall Sheet 2"/>
    <x v="1"/>
    <s v="In Progress"/>
    <x v="8"/>
    <x v="1"/>
    <x v="1"/>
    <x v="1"/>
    <x v="1"/>
    <b v="1"/>
    <x v="298"/>
    <s v="FS1018-CPM-ZZ-ZZ-D-A-6804"/>
  </r>
  <r>
    <x v="299"/>
    <s v="Room Elevations Sports Hall Sheet 3"/>
    <x v="1"/>
    <s v="In Progress"/>
    <x v="0"/>
    <x v="0"/>
    <x v="0"/>
    <x v="7"/>
    <x v="133"/>
    <b v="1"/>
    <x v="299"/>
    <s v="FS1018-CPM-ZZ-ZZ-D-A-6805"/>
  </r>
  <r>
    <x v="299"/>
    <s v="Room Elevations Sports Hall Sheet 3"/>
    <x v="1"/>
    <s v="In Progress"/>
    <x v="8"/>
    <x v="1"/>
    <x v="1"/>
    <x v="1"/>
    <x v="1"/>
    <b v="1"/>
    <x v="299"/>
    <s v="FS1018-CPM-ZZ-ZZ-D-A-6805"/>
  </r>
  <r>
    <x v="300"/>
    <s v="Room Elevations Sports Hall Acoustic Panel Set Out"/>
    <x v="1"/>
    <s v="In Progress"/>
    <x v="0"/>
    <x v="0"/>
    <x v="0"/>
    <x v="7"/>
    <x v="134"/>
    <b v="1"/>
    <x v="300"/>
    <s v="FS1018-CPM-ZZ-ZZ-D-A-6806"/>
  </r>
  <r>
    <x v="300"/>
    <s v="Room Elevations Sports Hall Acoustic Panel Set Out"/>
    <x v="1"/>
    <s v="In Progress"/>
    <x v="8"/>
    <x v="1"/>
    <x v="1"/>
    <x v="1"/>
    <x v="1"/>
    <b v="1"/>
    <x v="300"/>
    <s v="FS1018-CPM-ZZ-ZZ-D-A-6806"/>
  </r>
  <r>
    <x v="301"/>
    <s v="Room Elevations Pupil WC'S L01 And L02"/>
    <x v="1"/>
    <s v="In Progress"/>
    <x v="0"/>
    <x v="0"/>
    <x v="0"/>
    <x v="7"/>
    <x v="135"/>
    <b v="1"/>
    <x v="301"/>
    <s v="FS1018-CPM-ZZ-ZZ-D-A-6813"/>
  </r>
  <r>
    <x v="301"/>
    <s v="Room Elevations Pupil WC'S L01 And L02"/>
    <x v="1"/>
    <s v="In Progress"/>
    <x v="8"/>
    <x v="1"/>
    <x v="1"/>
    <x v="1"/>
    <x v="1"/>
    <b v="1"/>
    <x v="301"/>
    <s v="FS1018-CPM-ZZ-ZZ-D-A-6813"/>
  </r>
  <r>
    <x v="302"/>
    <s v="Clash Report"/>
    <x v="3"/>
    <s v="In Progress"/>
    <x v="0"/>
    <x v="0"/>
    <x v="0"/>
    <x v="7"/>
    <x v="136"/>
    <b v="1"/>
    <x v="302"/>
    <s v="FS1018-CPM-ZZ-ZZ-L-A-0001"/>
  </r>
  <r>
    <x v="302"/>
    <s v="Clash Report"/>
    <x v="3"/>
    <s v="In Progress"/>
    <x v="8"/>
    <x v="1"/>
    <x v="1"/>
    <x v="1"/>
    <x v="1"/>
    <b v="1"/>
    <x v="302"/>
    <s v="FS1018-CPM-ZZ-ZZ-L-A-0001"/>
  </r>
  <r>
    <x v="303"/>
    <s v="Internal Door Schedule"/>
    <x v="1"/>
    <s v="In Progress"/>
    <x v="0"/>
    <x v="0"/>
    <x v="0"/>
    <x v="7"/>
    <x v="137"/>
    <b v="1"/>
    <x v="303"/>
    <s v="FS1018-CPM-ZZ-ZZ-L-A-3060"/>
  </r>
  <r>
    <x v="303"/>
    <s v="Internal Door Schedule"/>
    <x v="1"/>
    <s v="In Progress"/>
    <x v="8"/>
    <x v="1"/>
    <x v="1"/>
    <x v="1"/>
    <x v="1"/>
    <b v="1"/>
    <x v="303"/>
    <s v="FS1018-CPM-ZZ-ZZ-L-A-3060"/>
  </r>
  <r>
    <x v="304"/>
    <s v="External Door Schedule"/>
    <x v="1"/>
    <s v="In Progress"/>
    <x v="0"/>
    <x v="0"/>
    <x v="0"/>
    <x v="7"/>
    <x v="138"/>
    <b v="1"/>
    <x v="304"/>
    <s v="FS1018-CPM-ZZ-ZZ-L-A-3061"/>
  </r>
  <r>
    <x v="304"/>
    <s v="External Door Schedule"/>
    <x v="1"/>
    <s v="In Progress"/>
    <x v="8"/>
    <x v="1"/>
    <x v="1"/>
    <x v="1"/>
    <x v="1"/>
    <b v="1"/>
    <x v="304"/>
    <s v="FS1018-CPM-ZZ-ZZ-L-A-3061"/>
  </r>
  <r>
    <x v="305"/>
    <s v="Federated Model"/>
    <x v="3"/>
    <s v="In Progress"/>
    <x v="0"/>
    <x v="0"/>
    <x v="0"/>
    <x v="5"/>
    <x v="139"/>
    <b v="1"/>
    <x v="305"/>
    <s v="FS1018-CPM-ZZ-ZZ-M-A-0002"/>
  </r>
  <r>
    <x v="305"/>
    <s v="Federated Model"/>
    <x v="3"/>
    <s v="In Progress"/>
    <x v="7"/>
    <x v="1"/>
    <x v="1"/>
    <x v="1"/>
    <x v="1"/>
    <b v="1"/>
    <x v="305"/>
    <s v="FS1018-CPM-ZZ-ZZ-M-A-0002"/>
  </r>
  <r>
    <x v="306"/>
    <s v="Architectural Model NWC"/>
    <x v="7"/>
    <s v="Completed"/>
    <x v="0"/>
    <x v="0"/>
    <x v="2"/>
    <x v="5"/>
    <x v="2"/>
    <b v="1"/>
    <x v="306"/>
    <s v="FS1018-CPM-ZZ-ZZ-M-A-0003"/>
  </r>
  <r>
    <x v="307"/>
    <s v="Architectural Model IFC"/>
    <x v="7"/>
    <s v="Completed"/>
    <x v="0"/>
    <x v="0"/>
    <x v="2"/>
    <x v="5"/>
    <x v="2"/>
    <b v="1"/>
    <x v="307"/>
    <s v="FS1018-CPM-ZZ-ZZ-M-A-0004"/>
  </r>
  <r>
    <x v="308"/>
    <s v="Architectural Model Revit"/>
    <x v="7"/>
    <s v="Completed"/>
    <x v="9"/>
    <x v="0"/>
    <x v="2"/>
    <x v="5"/>
    <x v="2"/>
    <b v="1"/>
    <x v="308"/>
    <s v="FS1018-CPM-ZZ-ZZ-M-A-0005"/>
  </r>
  <r>
    <x v="309"/>
    <s v="External Flythrough Video"/>
    <x v="1"/>
    <s v="Completed"/>
    <x v="2"/>
    <x v="0"/>
    <x v="2"/>
    <x v="7"/>
    <x v="94"/>
    <b v="1"/>
    <x v="309"/>
    <s v="FS1018-CPM-ZZ-ZZ-V-A-0001"/>
  </r>
  <r>
    <x v="310"/>
    <s v="Internal Flythrough Video"/>
    <x v="1"/>
    <s v="In Progress"/>
    <x v="2"/>
    <x v="0"/>
    <x v="0"/>
    <x v="7"/>
    <x v="140"/>
    <b v="1"/>
    <x v="310"/>
    <s v="FS1018-CPM-ZZ-ZZ-V-A-0002"/>
  </r>
  <r>
    <x v="310"/>
    <s v="Internal Flythrough Video"/>
    <x v="1"/>
    <s v="In Progress"/>
    <x v="8"/>
    <x v="1"/>
    <x v="1"/>
    <x v="1"/>
    <x v="1"/>
    <b v="1"/>
    <x v="310"/>
    <s v="FS1018-CPM-ZZ-ZZ-V-A-0002"/>
  </r>
  <r>
    <x v="311"/>
    <s v="Server Room Location"/>
    <x v="3"/>
    <s v="In Progress"/>
    <x v="0"/>
    <x v="0"/>
    <x v="1"/>
    <x v="1"/>
    <x v="1"/>
    <b v="1"/>
    <x v="311"/>
    <s v="FS1018-EVR-XX-XX-D-O-0001"/>
  </r>
  <r>
    <x v="312"/>
    <s v="ICT Plans"/>
    <x v="3"/>
    <s v="In Progress"/>
    <x v="0"/>
    <x v="0"/>
    <x v="1"/>
    <x v="1"/>
    <x v="1"/>
    <b v="1"/>
    <x v="312"/>
    <s v="FS1018-EVR-XX-XX-D-O-0002"/>
  </r>
  <r>
    <x v="313"/>
    <s v="Wireless Heat Maps"/>
    <x v="1"/>
    <s v="In Progress"/>
    <x v="0"/>
    <x v="0"/>
    <x v="1"/>
    <x v="1"/>
    <x v="1"/>
    <b v="1"/>
    <x v="313"/>
    <s v="FS1018-EVR-XX-XX-D-O-0003"/>
  </r>
  <r>
    <x v="314"/>
    <s v="Server Cabinet Layout"/>
    <x v="1"/>
    <s v="In Progress"/>
    <x v="0"/>
    <x v="0"/>
    <x v="1"/>
    <x v="1"/>
    <x v="1"/>
    <b v="1"/>
    <x v="314"/>
    <s v="FS1018-EVR-XX-XX-D-O-0004"/>
  </r>
  <r>
    <x v="315"/>
    <s v="ICT Network Diagrams"/>
    <x v="0"/>
    <s v="In Progress"/>
    <x v="0"/>
    <x v="0"/>
    <x v="1"/>
    <x v="1"/>
    <x v="1"/>
    <b v="1"/>
    <x v="315"/>
    <s v="FS1018-EVR-XX-XX-G-O-0001"/>
  </r>
  <r>
    <x v="316"/>
    <s v="ICT Equipment List"/>
    <x v="0"/>
    <s v="In Progress"/>
    <x v="0"/>
    <x v="0"/>
    <x v="1"/>
    <x v="1"/>
    <x v="1"/>
    <b v="1"/>
    <x v="316"/>
    <s v="FS1018-EVR-XX-XX-L-O-0001"/>
  </r>
  <r>
    <x v="317"/>
    <s v="ICT Cost Matrix"/>
    <x v="0"/>
    <s v="In Progress"/>
    <x v="0"/>
    <x v="0"/>
    <x v="1"/>
    <x v="1"/>
    <x v="1"/>
    <b v="1"/>
    <x v="317"/>
    <s v="FS1018-EVR-XX-XX-L-O-0002"/>
  </r>
  <r>
    <x v="318"/>
    <s v="ICT Small Power and Data Schedule"/>
    <x v="1"/>
    <s v="In Progress"/>
    <x v="0"/>
    <x v="0"/>
    <x v="1"/>
    <x v="1"/>
    <x v="1"/>
    <b v="1"/>
    <x v="318"/>
    <s v="FS1018-EVR-XX-XX-L-O-0003"/>
  </r>
  <r>
    <x v="319"/>
    <s v="ICT Construction Programme"/>
    <x v="0"/>
    <s v="In Progress"/>
    <x v="0"/>
    <x v="0"/>
    <x v="1"/>
    <x v="1"/>
    <x v="1"/>
    <b v="1"/>
    <x v="319"/>
    <s v="FS1018-EVR-XX-XX-L-O-0004"/>
  </r>
  <r>
    <x v="320"/>
    <s v="ICT Calculations"/>
    <x v="1"/>
    <s v="In Progress"/>
    <x v="0"/>
    <x v="0"/>
    <x v="1"/>
    <x v="1"/>
    <x v="1"/>
    <b v="1"/>
    <x v="320"/>
    <s v="FS1018-EVR-XX-XX-T-O-0002"/>
  </r>
  <r>
    <x v="321"/>
    <s v="ICT Contractor's Proposals"/>
    <x v="1"/>
    <s v="In Progress"/>
    <x v="0"/>
    <x v="0"/>
    <x v="1"/>
    <x v="1"/>
    <x v="1"/>
    <b v="1"/>
    <x v="321"/>
    <s v="FS1018-EVR-XX-XX-T-O-0004"/>
  </r>
  <r>
    <x v="322"/>
    <s v="Post Award ICT Meetings (PAM) Agendas"/>
    <x v="1"/>
    <s v="In Progress"/>
    <x v="0"/>
    <x v="0"/>
    <x v="1"/>
    <x v="1"/>
    <x v="1"/>
    <b v="1"/>
    <x v="322"/>
    <s v="FS1018-EVR-XX-XX-T-O-0005"/>
  </r>
  <r>
    <x v="323"/>
    <s v="User Acceptance Testing (UAT) Schedule"/>
    <x v="1"/>
    <s v="In Progress"/>
    <x v="0"/>
    <x v="0"/>
    <x v="1"/>
    <x v="1"/>
    <x v="1"/>
    <b v="1"/>
    <x v="323"/>
    <s v="FS1018-EVR-XX-XX-T-O-0006"/>
  </r>
  <r>
    <x v="324"/>
    <s v="Post Award ICT Meetings (PAM) Minutes"/>
    <x v="1"/>
    <s v="In Progress"/>
    <x v="0"/>
    <x v="0"/>
    <x v="1"/>
    <x v="1"/>
    <x v="1"/>
    <b v="1"/>
    <x v="324"/>
    <s v="FS1018-EVR-XX-XX-T-O-0007"/>
  </r>
  <r>
    <x v="325"/>
    <s v="Site Construction Plan"/>
    <x v="1"/>
    <s v="In Progress"/>
    <x v="10"/>
    <x v="0"/>
    <x v="1"/>
    <x v="1"/>
    <x v="1"/>
    <b v="1"/>
    <x v="325"/>
    <s v="FS1018-HBC-XX-XX-D-X-0001"/>
  </r>
  <r>
    <x v="326"/>
    <s v="Site Set Up Plan Phase 1"/>
    <x v="0"/>
    <s v="Completed"/>
    <x v="0"/>
    <x v="0"/>
    <x v="2"/>
    <x v="8"/>
    <x v="141"/>
    <b v="1"/>
    <x v="326"/>
    <s v="FS1018-HBC-XX-XX-D-X-0003"/>
  </r>
  <r>
    <x v="326"/>
    <s v="Site Set Up Plan Phase 1"/>
    <x v="0"/>
    <s v="In Progress"/>
    <x v="10"/>
    <x v="0"/>
    <x v="1"/>
    <x v="1"/>
    <x v="1"/>
    <b v="1"/>
    <x v="326"/>
    <s v="FS1018-HBC-XX-XX-D-X-0003"/>
  </r>
  <r>
    <x v="327"/>
    <s v="Site Set Up Plan Phase 2 Section 1"/>
    <x v="0"/>
    <s v="In Progress"/>
    <x v="10"/>
    <x v="0"/>
    <x v="1"/>
    <x v="1"/>
    <x v="1"/>
    <b v="1"/>
    <x v="327"/>
    <s v="FS1018-HBC-XX-XX-D-X-0004"/>
  </r>
  <r>
    <x v="328"/>
    <s v="Site Set Up Plan Phase 2 Section 2"/>
    <x v="1"/>
    <s v="In Progress"/>
    <x v="10"/>
    <x v="0"/>
    <x v="1"/>
    <x v="1"/>
    <x v="1"/>
    <b v="1"/>
    <x v="328"/>
    <s v="FS1018-HBC-XX-XX-D-X-0005"/>
  </r>
  <r>
    <x v="329"/>
    <s v="Site Set Up Plan Phase 3"/>
    <x v="1"/>
    <s v="In Progress"/>
    <x v="10"/>
    <x v="0"/>
    <x v="1"/>
    <x v="1"/>
    <x v="1"/>
    <b v="1"/>
    <x v="329"/>
    <s v="FS1018-HBC-XX-XX-D-X-0006"/>
  </r>
  <r>
    <x v="330"/>
    <s v="MIDP"/>
    <x v="4"/>
    <s v="In Progress"/>
    <x v="0"/>
    <x v="0"/>
    <x v="1"/>
    <x v="1"/>
    <x v="1"/>
    <b v="1"/>
    <x v="330"/>
    <s v="FS1018-HBC-XX-XX-L-X-0001"/>
  </r>
  <r>
    <x v="331"/>
    <s v="Design Programme"/>
    <x v="0"/>
    <s v="In Progress"/>
    <x v="10"/>
    <x v="0"/>
    <x v="1"/>
    <x v="1"/>
    <x v="1"/>
    <b v="1"/>
    <x v="331"/>
    <s v="FS1018-HBC-XX-XX-L-X-0003"/>
  </r>
  <r>
    <x v="332"/>
    <s v="Construction Programme"/>
    <x v="0"/>
    <s v="In Progress"/>
    <x v="10"/>
    <x v="0"/>
    <x v="1"/>
    <x v="1"/>
    <x v="1"/>
    <b v="1"/>
    <x v="332"/>
    <s v="FS1018-HBC-XX-XX-L-X-0004"/>
  </r>
  <r>
    <x v="333"/>
    <s v="Master Programme"/>
    <x v="0"/>
    <s v="In Progress"/>
    <x v="10"/>
    <x v="0"/>
    <x v="1"/>
    <x v="1"/>
    <x v="1"/>
    <b v="1"/>
    <x v="333"/>
    <s v="FS1018-HBC-XX-XX-L-X-0005"/>
  </r>
  <r>
    <x v="334"/>
    <s v="Works Package Procurement Programme"/>
    <x v="0"/>
    <s v="In Progress"/>
    <x v="0"/>
    <x v="0"/>
    <x v="1"/>
    <x v="1"/>
    <x v="1"/>
    <b v="1"/>
    <x v="334"/>
    <s v="FS1018-HBC-XX-XX-L-X-0006"/>
  </r>
  <r>
    <x v="335"/>
    <s v="Risk Register"/>
    <x v="0"/>
    <s v="In Progress"/>
    <x v="10"/>
    <x v="0"/>
    <x v="1"/>
    <x v="1"/>
    <x v="1"/>
    <b v="1"/>
    <x v="335"/>
    <s v="FS1018-HBC-XX-XX-L-X-0007"/>
  </r>
  <r>
    <x v="336"/>
    <s v="PCSA"/>
    <x v="0"/>
    <s v="Completed"/>
    <x v="11"/>
    <x v="0"/>
    <x v="2"/>
    <x v="0"/>
    <x v="1"/>
    <b v="1"/>
    <x v="336"/>
    <s v="FS1018-HBC-XX-XX-L-X-0008"/>
  </r>
  <r>
    <x v="337"/>
    <s v="PCSA Milestone Schedule"/>
    <x v="0"/>
    <s v="Completed"/>
    <x v="11"/>
    <x v="0"/>
    <x v="2"/>
    <x v="0"/>
    <x v="142"/>
    <b v="1"/>
    <x v="337"/>
    <s v="FS1018-HBC-XX-XX-L-X-0009"/>
  </r>
  <r>
    <x v="338"/>
    <s v="PCSA Certificate Of Completion"/>
    <x v="0"/>
    <s v="Completed"/>
    <x v="11"/>
    <x v="0"/>
    <x v="2"/>
    <x v="9"/>
    <x v="1"/>
    <b v="1"/>
    <x v="338"/>
    <s v="FS1018-HBC-XX-XX-L-X-0010"/>
  </r>
  <r>
    <x v="339"/>
    <s v="Cashflow Forecast"/>
    <x v="0"/>
    <s v="Completed"/>
    <x v="1"/>
    <x v="0"/>
    <x v="2"/>
    <x v="0"/>
    <x v="143"/>
    <b v="1"/>
    <x v="339"/>
    <s v="FS1018-HBC-XX-XX-L-X-0011"/>
  </r>
  <r>
    <x v="340"/>
    <s v="Framework Pricing Schedule"/>
    <x v="3"/>
    <s v="Completed"/>
    <x v="11"/>
    <x v="0"/>
    <x v="0"/>
    <x v="9"/>
    <x v="144"/>
    <b v="0"/>
    <x v="340"/>
    <s v="FS1018-HBC-XX-XX-L-X-0012"/>
  </r>
  <r>
    <x v="340"/>
    <s v="Framework Pricing Schedule"/>
    <x v="3"/>
    <s v="Completed"/>
    <x v="12"/>
    <x v="2"/>
    <x v="0"/>
    <x v="10"/>
    <x v="2"/>
    <b v="0"/>
    <x v="340"/>
    <s v="FS1018-HBC-XX-XX-L-X-0012"/>
  </r>
  <r>
    <x v="340"/>
    <s v="Framework Pricing Schedule"/>
    <x v="2"/>
    <s v="In Progress"/>
    <x v="12"/>
    <x v="0"/>
    <x v="1"/>
    <x v="1"/>
    <x v="1"/>
    <b v="1"/>
    <x v="340"/>
    <s v="FS1018-HBC-XX-XX-L-X-0012"/>
  </r>
  <r>
    <x v="341"/>
    <s v="DFE KPIs"/>
    <x v="0"/>
    <s v="In Progress"/>
    <x v="0"/>
    <x v="0"/>
    <x v="1"/>
    <x v="1"/>
    <x v="1"/>
    <b v="1"/>
    <x v="341"/>
    <s v="FS1018-HBC-XX-XX-L-X-0013"/>
  </r>
  <r>
    <x v="342"/>
    <s v="Supplier Directory CV"/>
    <x v="3"/>
    <s v="In Progress"/>
    <x v="0"/>
    <x v="0"/>
    <x v="1"/>
    <x v="1"/>
    <x v="1"/>
    <b v="1"/>
    <x v="342"/>
    <s v="FS1018-HBC-XX-XX-L-X-0014"/>
  </r>
  <r>
    <x v="343"/>
    <s v="Handover Training Plan"/>
    <x v="0"/>
    <s v="In Progress"/>
    <x v="0"/>
    <x v="0"/>
    <x v="1"/>
    <x v="1"/>
    <x v="1"/>
    <b v="1"/>
    <x v="343"/>
    <s v="FS1018-HBC-XX-XX-L-X-0016"/>
  </r>
  <r>
    <x v="344"/>
    <s v="HB Social Value KPIs"/>
    <x v="0"/>
    <s v="In Progress"/>
    <x v="0"/>
    <x v="0"/>
    <x v="1"/>
    <x v="1"/>
    <x v="1"/>
    <b v="1"/>
    <x v="344"/>
    <s v="FS1018-HBC-XX-XX-L-X-0018"/>
  </r>
  <r>
    <x v="345"/>
    <s v="Site Organisation Chart"/>
    <x v="1"/>
    <s v="In Progress"/>
    <x v="0"/>
    <x v="0"/>
    <x v="1"/>
    <x v="1"/>
    <x v="1"/>
    <b v="1"/>
    <x v="345"/>
    <s v="FS1018-HBC-XX-XX-L-X-0019"/>
  </r>
  <r>
    <x v="346"/>
    <s v="Commissioning Programme"/>
    <x v="1"/>
    <s v="In Progress"/>
    <x v="0"/>
    <x v="0"/>
    <x v="1"/>
    <x v="1"/>
    <x v="1"/>
    <b v="1"/>
    <x v="346"/>
    <s v="FS1018-HBC-XX-XX-L-X-0020"/>
  </r>
  <r>
    <x v="347"/>
    <s v="Quality Management Plan"/>
    <x v="0"/>
    <s v="Completed"/>
    <x v="0"/>
    <x v="0"/>
    <x v="2"/>
    <x v="0"/>
    <x v="1"/>
    <b v="1"/>
    <x v="347"/>
    <s v="FS1018-HBC-XX-XX-L-X-1001"/>
  </r>
  <r>
    <x v="348"/>
    <s v="Sustainable Estate Strategy"/>
    <x v="3"/>
    <s v="In Progress"/>
    <x v="0"/>
    <x v="0"/>
    <x v="0"/>
    <x v="0"/>
    <x v="145"/>
    <b v="1"/>
    <x v="348"/>
    <s v="FS1018-HBC-XX-XX-L-X-1002"/>
  </r>
  <r>
    <x v="348"/>
    <s v="Sustainable Estate Strategy"/>
    <x v="3"/>
    <s v="In Progress"/>
    <x v="1"/>
    <x v="1"/>
    <x v="1"/>
    <x v="1"/>
    <x v="1"/>
    <b v="1"/>
    <x v="348"/>
    <s v="FS1018-HBC-XX-XX-L-X-1002"/>
  </r>
  <r>
    <x v="349"/>
    <s v="Lift Specification"/>
    <x v="1"/>
    <s v="In Progress"/>
    <x v="10"/>
    <x v="0"/>
    <x v="1"/>
    <x v="1"/>
    <x v="1"/>
    <b v="1"/>
    <x v="349"/>
    <s v="FS1018-HBC-XX-XX-L-X-1003"/>
  </r>
  <r>
    <x v="350"/>
    <s v="Project Execution Plan"/>
    <x v="0"/>
    <s v="In Progress"/>
    <x v="0"/>
    <x v="0"/>
    <x v="1"/>
    <x v="1"/>
    <x v="1"/>
    <b v="1"/>
    <x v="350"/>
    <s v="FS1018-HBC-XX-XX-L-X-1004"/>
  </r>
  <r>
    <x v="351"/>
    <s v="Derogations Schedule"/>
    <x v="10"/>
    <s v="In Progress"/>
    <x v="13"/>
    <x v="0"/>
    <x v="1"/>
    <x v="1"/>
    <x v="1"/>
    <b v="1"/>
    <x v="351"/>
    <s v="FS1018-HBC-XX-XX-L-X-3000"/>
  </r>
  <r>
    <x v="352"/>
    <s v="Planning Condition Tracker"/>
    <x v="1"/>
    <s v="In Progress"/>
    <x v="10"/>
    <x v="0"/>
    <x v="1"/>
    <x v="1"/>
    <x v="1"/>
    <b v="1"/>
    <x v="352"/>
    <s v="FS1018-HBC-XX-XX-L-X-4000"/>
  </r>
  <r>
    <x v="353"/>
    <s v="Construction Phasing Plan"/>
    <x v="3"/>
    <s v="In Progress"/>
    <x v="0"/>
    <x v="0"/>
    <x v="1"/>
    <x v="1"/>
    <x v="1"/>
    <b v="1"/>
    <x v="353"/>
    <s v="FS1018-HBC-XX-XX-T-X-0001"/>
  </r>
  <r>
    <x v="354"/>
    <s v="Cost Plan Summary"/>
    <x v="1"/>
    <s v="In Progress"/>
    <x v="12"/>
    <x v="0"/>
    <x v="1"/>
    <x v="1"/>
    <x v="1"/>
    <b v="1"/>
    <x v="354"/>
    <s v="FS1018-HBC-XX-XX-T-X-0012"/>
  </r>
  <r>
    <x v="355"/>
    <s v="CEM7 Meeting Minutes"/>
    <x v="1"/>
    <s v="Completed"/>
    <x v="0"/>
    <x v="0"/>
    <x v="2"/>
    <x v="0"/>
    <x v="2"/>
    <b v="1"/>
    <x v="355"/>
    <s v="FS1018-HBC-XX-XX-T-X-0024"/>
  </r>
  <r>
    <x v="356"/>
    <s v="CEM8 Meeting Minutes"/>
    <x v="1"/>
    <s v="Completed"/>
    <x v="0"/>
    <x v="0"/>
    <x v="2"/>
    <x v="0"/>
    <x v="2"/>
    <b v="1"/>
    <x v="356"/>
    <s v="FS1018-HBC-XX-XX-T-X-0025"/>
  </r>
  <r>
    <x v="357"/>
    <s v="CEM8-9A Meeting Minutes"/>
    <x v="1"/>
    <s v="Completed"/>
    <x v="0"/>
    <x v="0"/>
    <x v="2"/>
    <x v="0"/>
    <x v="2"/>
    <b v="1"/>
    <x v="357"/>
    <s v="FS1018-HBC-XX-XX-T-X-0026"/>
  </r>
  <r>
    <x v="358"/>
    <s v="CEM09 Meeting Minutes"/>
    <x v="1"/>
    <s v="Completed"/>
    <x v="0"/>
    <x v="0"/>
    <x v="2"/>
    <x v="0"/>
    <x v="2"/>
    <b v="1"/>
    <x v="358"/>
    <s v="FS1018-HBC-XX-XX-T-X-0027"/>
  </r>
  <r>
    <x v="359"/>
    <s v="CEM10 Meeting Minutes"/>
    <x v="1"/>
    <s v="Completed"/>
    <x v="0"/>
    <x v="0"/>
    <x v="2"/>
    <x v="0"/>
    <x v="2"/>
    <b v="1"/>
    <x v="359"/>
    <s v="FS1018-HBC-XX-XX-T-X-0028"/>
  </r>
  <r>
    <x v="360"/>
    <s v="CEM10A Meeting Minutes"/>
    <x v="1"/>
    <s v="Completed"/>
    <x v="0"/>
    <x v="0"/>
    <x v="2"/>
    <x v="0"/>
    <x v="2"/>
    <b v="1"/>
    <x v="360"/>
    <s v="FS1018-HBC-XX-XX-T-X-0029"/>
  </r>
  <r>
    <x v="361"/>
    <s v="CEM11 Meeting Minutes"/>
    <x v="1"/>
    <s v="Completed"/>
    <x v="0"/>
    <x v="0"/>
    <x v="2"/>
    <x v="0"/>
    <x v="2"/>
    <b v="1"/>
    <x v="361"/>
    <s v="FS1018-HBC-XX-XX-T-X-0030"/>
  </r>
  <r>
    <x v="362"/>
    <s v="CEM12 Meeting Minutes"/>
    <x v="1"/>
    <s v="Completed"/>
    <x v="0"/>
    <x v="0"/>
    <x v="2"/>
    <x v="0"/>
    <x v="2"/>
    <b v="1"/>
    <x v="362"/>
    <s v="FS1018-HBC-XX-XX-T-X-0031"/>
  </r>
  <r>
    <x v="363"/>
    <s v="CEM07 Agenda"/>
    <x v="1"/>
    <s v="Completed"/>
    <x v="0"/>
    <x v="0"/>
    <x v="2"/>
    <x v="0"/>
    <x v="2"/>
    <b v="1"/>
    <x v="363"/>
    <s v="FS1018-HBC-XX-XX-T-X-0033"/>
  </r>
  <r>
    <x v="364"/>
    <s v="CEM08 Agenda"/>
    <x v="1"/>
    <s v="Completed"/>
    <x v="0"/>
    <x v="0"/>
    <x v="2"/>
    <x v="0"/>
    <x v="2"/>
    <b v="1"/>
    <x v="364"/>
    <s v="FS1018-HBC-XX-XX-T-X-0034"/>
  </r>
  <r>
    <x v="365"/>
    <s v="CEM09 Agenda"/>
    <x v="1"/>
    <s v="Completed"/>
    <x v="0"/>
    <x v="0"/>
    <x v="2"/>
    <x v="0"/>
    <x v="2"/>
    <b v="1"/>
    <x v="365"/>
    <s v="FS1018-HBC-XX-XX-T-X-0035"/>
  </r>
  <r>
    <x v="366"/>
    <s v="CEM08-9A Agenda"/>
    <x v="1"/>
    <s v="Completed"/>
    <x v="0"/>
    <x v="0"/>
    <x v="2"/>
    <x v="0"/>
    <x v="2"/>
    <b v="1"/>
    <x v="366"/>
    <s v="FS1018-HBC-XX-XX-T-X-0036"/>
  </r>
  <r>
    <x v="367"/>
    <s v="CEM10 Meeting Agenda"/>
    <x v="1"/>
    <s v="Completed"/>
    <x v="0"/>
    <x v="0"/>
    <x v="2"/>
    <x v="0"/>
    <x v="2"/>
    <b v="1"/>
    <x v="367"/>
    <s v="FS1018-HBC-XX-XX-T-X-0037"/>
  </r>
  <r>
    <x v="368"/>
    <s v="CEM10A Agenda"/>
    <x v="1"/>
    <s v="Completed"/>
    <x v="0"/>
    <x v="0"/>
    <x v="2"/>
    <x v="0"/>
    <x v="2"/>
    <b v="1"/>
    <x v="368"/>
    <s v="FS1018-HBC-XX-XX-T-X-0038"/>
  </r>
  <r>
    <x v="369"/>
    <s v="CEM11 Agenda"/>
    <x v="1"/>
    <s v="Completed"/>
    <x v="0"/>
    <x v="0"/>
    <x v="2"/>
    <x v="0"/>
    <x v="2"/>
    <b v="1"/>
    <x v="369"/>
    <s v="FS1018-HBC-XX-XX-T-X-0039"/>
  </r>
  <r>
    <x v="370"/>
    <s v="CEM12 Agenda"/>
    <x v="1"/>
    <s v="Completed"/>
    <x v="0"/>
    <x v="0"/>
    <x v="2"/>
    <x v="0"/>
    <x v="2"/>
    <b v="1"/>
    <x v="370"/>
    <s v="FS1018-HBC-XX-XX-T-X-0040"/>
  </r>
  <r>
    <x v="371"/>
    <s v="Employer Necessary Consents"/>
    <x v="1"/>
    <s v="In Progress"/>
    <x v="10"/>
    <x v="0"/>
    <x v="1"/>
    <x v="1"/>
    <x v="1"/>
    <b v="1"/>
    <x v="371"/>
    <s v="FS1018-HBC-XX-XX-T-X-0042"/>
  </r>
  <r>
    <x v="372"/>
    <s v="Construction Method Statement"/>
    <x v="1"/>
    <s v="In Progress"/>
    <x v="0"/>
    <x v="0"/>
    <x v="1"/>
    <x v="1"/>
    <x v="1"/>
    <b v="1"/>
    <x v="372"/>
    <s v="FS1018-HBC-XX-XX-T-X-0043"/>
  </r>
  <r>
    <x v="373"/>
    <s v="Handover Strategy"/>
    <x v="1"/>
    <s v="In Progress"/>
    <x v="0"/>
    <x v="0"/>
    <x v="1"/>
    <x v="1"/>
    <x v="1"/>
    <b v="1"/>
    <x v="373"/>
    <s v="FS1018-HBC-XX-XX-T-X-0044"/>
  </r>
  <r>
    <x v="374"/>
    <s v="Thermal Assessment"/>
    <x v="1"/>
    <s v="Completed"/>
    <x v="0"/>
    <x v="0"/>
    <x v="2"/>
    <x v="0"/>
    <x v="1"/>
    <b v="1"/>
    <x v="374"/>
    <s v="FS1018-HBC-XX-XX-T-X-0045"/>
  </r>
  <r>
    <x v="375"/>
    <s v="Civil Design Philosophy"/>
    <x v="0"/>
    <s v="In Progress"/>
    <x v="0"/>
    <x v="0"/>
    <x v="0"/>
    <x v="11"/>
    <x v="146"/>
    <b v="1"/>
    <x v="375"/>
    <s v="FS1018-HEX-XX-XX-T-C-0004"/>
  </r>
  <r>
    <x v="375"/>
    <s v="Civil Design Philosophy"/>
    <x v="0"/>
    <s v="In Progress"/>
    <x v="14"/>
    <x v="1"/>
    <x v="1"/>
    <x v="1"/>
    <x v="1"/>
    <b v="1"/>
    <x v="375"/>
    <s v="FS1018-HEX-XX-XX-T-C-0004"/>
  </r>
  <r>
    <x v="376"/>
    <s v="Risk Register"/>
    <x v="3"/>
    <s v="In Progress"/>
    <x v="0"/>
    <x v="0"/>
    <x v="0"/>
    <x v="11"/>
    <x v="147"/>
    <b v="1"/>
    <x v="376"/>
    <s v="FS1018-HEX-XX-XX-T-C-0010"/>
  </r>
  <r>
    <x v="376"/>
    <s v="Risk Register"/>
    <x v="3"/>
    <s v="In Progress"/>
    <x v="14"/>
    <x v="1"/>
    <x v="1"/>
    <x v="1"/>
    <x v="1"/>
    <b v="1"/>
    <x v="376"/>
    <s v="FS1018-HEX-XX-XX-T-C-0010"/>
  </r>
  <r>
    <x v="377"/>
    <s v="Drainage Specification"/>
    <x v="1"/>
    <s v="In Progress"/>
    <x v="0"/>
    <x v="0"/>
    <x v="0"/>
    <x v="11"/>
    <x v="148"/>
    <b v="1"/>
    <x v="377"/>
    <s v="FS1018-HEX-XX-XX-T-C-0011"/>
  </r>
  <r>
    <x v="377"/>
    <s v="Drainage Specification"/>
    <x v="1"/>
    <s v="In Progress"/>
    <x v="14"/>
    <x v="1"/>
    <x v="1"/>
    <x v="1"/>
    <x v="1"/>
    <b v="1"/>
    <x v="377"/>
    <s v="FS1018-HEX-XX-XX-T-C-0011"/>
  </r>
  <r>
    <x v="378"/>
    <s v="Earthworks Specification"/>
    <x v="1"/>
    <s v="In Progress"/>
    <x v="0"/>
    <x v="0"/>
    <x v="1"/>
    <x v="1"/>
    <x v="1"/>
    <b v="1"/>
    <x v="378"/>
    <s v="FS1018-HEX-XX-XX-T-C-0012"/>
  </r>
  <r>
    <x v="379"/>
    <s v="Transport Assessment"/>
    <x v="0"/>
    <s v="In Progress"/>
    <x v="0"/>
    <x v="0"/>
    <x v="1"/>
    <x v="1"/>
    <x v="1"/>
    <b v="1"/>
    <x v="379"/>
    <s v="FS1018-HEX-XX-XX-T-H-0001"/>
  </r>
  <r>
    <x v="380"/>
    <s v="Structural Design Philosophy"/>
    <x v="0"/>
    <s v="In Progress"/>
    <x v="0"/>
    <x v="0"/>
    <x v="0"/>
    <x v="12"/>
    <x v="149"/>
    <b v="1"/>
    <x v="380"/>
    <s v="FS1018-HEX-XX-XX-T-S-0003"/>
  </r>
  <r>
    <x v="380"/>
    <s v="Structural Design Philosophy"/>
    <x v="0"/>
    <s v="In Progress"/>
    <x v="11"/>
    <x v="1"/>
    <x v="1"/>
    <x v="1"/>
    <x v="1"/>
    <b v="1"/>
    <x v="380"/>
    <s v="FS1018-HEX-XX-XX-T-S-0003"/>
  </r>
  <r>
    <x v="381"/>
    <s v="Concrete Specification"/>
    <x v="1"/>
    <s v="In Progress"/>
    <x v="0"/>
    <x v="0"/>
    <x v="0"/>
    <x v="12"/>
    <x v="150"/>
    <b v="1"/>
    <x v="381"/>
    <s v="FS1018-HEX-XX-XX-T-S-0004"/>
  </r>
  <r>
    <x v="381"/>
    <s v="Concrete Specification"/>
    <x v="1"/>
    <s v="In Progress"/>
    <x v="11"/>
    <x v="1"/>
    <x v="1"/>
    <x v="1"/>
    <x v="1"/>
    <b v="1"/>
    <x v="381"/>
    <s v="FS1018-HEX-XX-XX-T-S-0004"/>
  </r>
  <r>
    <x v="382"/>
    <s v="Steelwork Specification"/>
    <x v="1"/>
    <s v="In Progress"/>
    <x v="0"/>
    <x v="0"/>
    <x v="0"/>
    <x v="12"/>
    <x v="2"/>
    <b v="1"/>
    <x v="382"/>
    <s v="FS1018-HEX-XX-XX-T-S-0005"/>
  </r>
  <r>
    <x v="382"/>
    <s v="Steelwork Specification"/>
    <x v="1"/>
    <s v="In Progress"/>
    <x v="11"/>
    <x v="1"/>
    <x v="1"/>
    <x v="1"/>
    <x v="1"/>
    <b v="1"/>
    <x v="382"/>
    <s v="FS1018-HEX-XX-XX-T-S-0005"/>
  </r>
  <r>
    <x v="383"/>
    <s v="Piling Specification"/>
    <x v="1"/>
    <s v="In Progress"/>
    <x v="0"/>
    <x v="0"/>
    <x v="0"/>
    <x v="12"/>
    <x v="150"/>
    <b v="1"/>
    <x v="383"/>
    <s v="FS1018-HEX-XX-XX-T-S-0006"/>
  </r>
  <r>
    <x v="383"/>
    <s v="Piling Specification"/>
    <x v="1"/>
    <s v="In Progress"/>
    <x v="11"/>
    <x v="1"/>
    <x v="1"/>
    <x v="1"/>
    <x v="1"/>
    <b v="1"/>
    <x v="383"/>
    <s v="FS1018-HEX-XX-XX-T-S-0006"/>
  </r>
  <r>
    <x v="384"/>
    <s v="Foundation Layout"/>
    <x v="3"/>
    <s v="In Progress"/>
    <x v="0"/>
    <x v="0"/>
    <x v="0"/>
    <x v="12"/>
    <x v="2"/>
    <b v="1"/>
    <x v="384"/>
    <s v="FS1018-HEX-ZZ-00-D-S-0101"/>
  </r>
  <r>
    <x v="384"/>
    <s v="Foundation Layout"/>
    <x v="3"/>
    <s v="In Progress"/>
    <x v="11"/>
    <x v="1"/>
    <x v="1"/>
    <x v="1"/>
    <x v="1"/>
    <b v="1"/>
    <x v="384"/>
    <s v="FS1018-HEX-ZZ-00-D-S-0101"/>
  </r>
  <r>
    <x v="385"/>
    <s v="Foundation Details"/>
    <x v="1"/>
    <s v="In Progress"/>
    <x v="0"/>
    <x v="0"/>
    <x v="0"/>
    <x v="12"/>
    <x v="2"/>
    <b v="1"/>
    <x v="385"/>
    <s v="FS1018-HEX-ZZ-00-D-S-0102"/>
  </r>
  <r>
    <x v="385"/>
    <s v="Foundation Details"/>
    <x v="1"/>
    <s v="In Progress"/>
    <x v="11"/>
    <x v="1"/>
    <x v="1"/>
    <x v="1"/>
    <x v="1"/>
    <b v="1"/>
    <x v="385"/>
    <s v="FS1018-HEX-ZZ-00-D-S-0102"/>
  </r>
  <r>
    <x v="386"/>
    <s v="Ground Floor Column Plan"/>
    <x v="3"/>
    <s v="In Progress"/>
    <x v="0"/>
    <x v="0"/>
    <x v="0"/>
    <x v="12"/>
    <x v="151"/>
    <b v="1"/>
    <x v="386"/>
    <s v="FS1018-HEX-ZZ-00-D-S-0200"/>
  </r>
  <r>
    <x v="386"/>
    <s v="Ground Floor Column Plan"/>
    <x v="3"/>
    <s v="In Progress"/>
    <x v="11"/>
    <x v="1"/>
    <x v="1"/>
    <x v="1"/>
    <x v="1"/>
    <b v="1"/>
    <x v="386"/>
    <s v="FS1018-HEX-ZZ-00-D-S-0200"/>
  </r>
  <r>
    <x v="387"/>
    <s v="First Floor Steelwork Layout"/>
    <x v="3"/>
    <s v="In Progress"/>
    <x v="0"/>
    <x v="0"/>
    <x v="0"/>
    <x v="12"/>
    <x v="152"/>
    <b v="1"/>
    <x v="387"/>
    <s v="FS1018-HEX-ZZ-01-D-S-0201"/>
  </r>
  <r>
    <x v="387"/>
    <s v="First Floor Steelwork Layout"/>
    <x v="3"/>
    <s v="In Progress"/>
    <x v="11"/>
    <x v="1"/>
    <x v="1"/>
    <x v="1"/>
    <x v="1"/>
    <b v="1"/>
    <x v="387"/>
    <s v="FS1018-HEX-ZZ-01-D-S-0201"/>
  </r>
  <r>
    <x v="388"/>
    <s v="Second Floor Steelwork Layout"/>
    <x v="3"/>
    <s v="In Progress"/>
    <x v="0"/>
    <x v="0"/>
    <x v="0"/>
    <x v="12"/>
    <x v="152"/>
    <b v="1"/>
    <x v="388"/>
    <s v="FS1018-HEX-ZZ-02-D-S-0202"/>
  </r>
  <r>
    <x v="388"/>
    <s v="Second Floor Steelwork Layout"/>
    <x v="3"/>
    <s v="In Progress"/>
    <x v="11"/>
    <x v="1"/>
    <x v="1"/>
    <x v="1"/>
    <x v="1"/>
    <b v="1"/>
    <x v="388"/>
    <s v="FS1018-HEX-ZZ-02-D-S-0202"/>
  </r>
  <r>
    <x v="389"/>
    <s v="Main Roof Steelwork Layout"/>
    <x v="3"/>
    <s v="In Progress"/>
    <x v="0"/>
    <x v="0"/>
    <x v="0"/>
    <x v="12"/>
    <x v="152"/>
    <b v="1"/>
    <x v="389"/>
    <s v="FS1018-HEX-ZZ-RF-D-S-0203"/>
  </r>
  <r>
    <x v="389"/>
    <s v="Main Roof Steelwork Layout"/>
    <x v="3"/>
    <s v="In Progress"/>
    <x v="11"/>
    <x v="1"/>
    <x v="1"/>
    <x v="1"/>
    <x v="1"/>
    <b v="1"/>
    <x v="389"/>
    <s v="FS1018-HEX-ZZ-RF-D-S-0203"/>
  </r>
  <r>
    <x v="390"/>
    <s v="Hall Roof Steelwork Layouts"/>
    <x v="3"/>
    <s v="In Progress"/>
    <x v="0"/>
    <x v="0"/>
    <x v="0"/>
    <x v="12"/>
    <x v="152"/>
    <b v="1"/>
    <x v="390"/>
    <s v="FS1018-HEX-ZZ-RF-D-S-0204"/>
  </r>
  <r>
    <x v="390"/>
    <s v="Hall Roof Steelwork Layouts"/>
    <x v="3"/>
    <s v="In Progress"/>
    <x v="11"/>
    <x v="1"/>
    <x v="1"/>
    <x v="1"/>
    <x v="1"/>
    <b v="1"/>
    <x v="390"/>
    <s v="FS1018-HEX-ZZ-RF-D-S-0204"/>
  </r>
  <r>
    <x v="391"/>
    <s v="Parapet Steelwork Layout"/>
    <x v="3"/>
    <s v="In Progress"/>
    <x v="0"/>
    <x v="0"/>
    <x v="0"/>
    <x v="12"/>
    <x v="150"/>
    <b v="1"/>
    <x v="391"/>
    <s v="FS1018-HEX-ZZ-RF-D-S-0205"/>
  </r>
  <r>
    <x v="391"/>
    <s v="Parapet Steelwork Layout"/>
    <x v="3"/>
    <s v="In Progress"/>
    <x v="11"/>
    <x v="1"/>
    <x v="1"/>
    <x v="1"/>
    <x v="1"/>
    <b v="1"/>
    <x v="391"/>
    <s v="FS1018-HEX-ZZ-RF-D-S-0205"/>
  </r>
  <r>
    <x v="392"/>
    <s v="Project Notes"/>
    <x v="0"/>
    <s v="In Progress"/>
    <x v="0"/>
    <x v="0"/>
    <x v="0"/>
    <x v="12"/>
    <x v="153"/>
    <b v="1"/>
    <x v="392"/>
    <s v="FS1018-HEX-ZZ-XX-D-S-0001"/>
  </r>
  <r>
    <x v="392"/>
    <s v="Project Notes"/>
    <x v="0"/>
    <s v="In Progress"/>
    <x v="11"/>
    <x v="1"/>
    <x v="1"/>
    <x v="1"/>
    <x v="1"/>
    <b v="1"/>
    <x v="392"/>
    <s v="FS1018-HEX-ZZ-XX-D-S-0001"/>
  </r>
  <r>
    <x v="393"/>
    <s v="Surface Water Drainage Layout Sheet 1"/>
    <x v="10"/>
    <s v="In Progress"/>
    <x v="0"/>
    <x v="0"/>
    <x v="0"/>
    <x v="11"/>
    <x v="154"/>
    <b v="1"/>
    <x v="393"/>
    <s v="FS1018-HEX-ZZ-ZZ-D-C-5200"/>
  </r>
  <r>
    <x v="393"/>
    <s v="Surface Water Drainage Layout Sheet 1"/>
    <x v="10"/>
    <s v="In Progress"/>
    <x v="14"/>
    <x v="1"/>
    <x v="1"/>
    <x v="1"/>
    <x v="1"/>
    <b v="1"/>
    <x v="393"/>
    <s v="FS1018-HEX-ZZ-ZZ-D-C-5200"/>
  </r>
  <r>
    <x v="394"/>
    <s v="Surface Water Drainage Layout Sheet 2"/>
    <x v="10"/>
    <s v="In Progress"/>
    <x v="0"/>
    <x v="0"/>
    <x v="0"/>
    <x v="11"/>
    <x v="155"/>
    <b v="1"/>
    <x v="394"/>
    <s v="FS1018-HEX-ZZ-ZZ-D-C-5201"/>
  </r>
  <r>
    <x v="394"/>
    <s v="Surface Water Drainage Layout Sheet 2"/>
    <x v="10"/>
    <s v="In Progress"/>
    <x v="14"/>
    <x v="1"/>
    <x v="1"/>
    <x v="1"/>
    <x v="1"/>
    <b v="1"/>
    <x v="394"/>
    <s v="FS1018-HEX-ZZ-ZZ-D-C-5201"/>
  </r>
  <r>
    <x v="395"/>
    <s v="Foul Water Drainage Layout"/>
    <x v="2"/>
    <s v="In Progress"/>
    <x v="0"/>
    <x v="0"/>
    <x v="0"/>
    <x v="11"/>
    <x v="156"/>
    <b v="1"/>
    <x v="395"/>
    <s v="FS1018-HEX-ZZ-ZZ-D-C-5205"/>
  </r>
  <r>
    <x v="395"/>
    <s v="Foul Water Drainage Layout"/>
    <x v="2"/>
    <s v="In Progress"/>
    <x v="14"/>
    <x v="1"/>
    <x v="1"/>
    <x v="1"/>
    <x v="1"/>
    <b v="1"/>
    <x v="395"/>
    <s v="FS1018-HEX-ZZ-ZZ-D-C-5205"/>
  </r>
  <r>
    <x v="396"/>
    <s v="Drainage Construction Details Sheet 1"/>
    <x v="3"/>
    <s v="In Progress"/>
    <x v="0"/>
    <x v="0"/>
    <x v="0"/>
    <x v="11"/>
    <x v="157"/>
    <b v="1"/>
    <x v="396"/>
    <s v="FS1018-HEX-ZZ-ZZ-D-C-5210"/>
  </r>
  <r>
    <x v="396"/>
    <s v="Drainage Construction Details Sheet 1"/>
    <x v="3"/>
    <s v="In Progress"/>
    <x v="14"/>
    <x v="1"/>
    <x v="1"/>
    <x v="1"/>
    <x v="1"/>
    <b v="1"/>
    <x v="396"/>
    <s v="FS1018-HEX-ZZ-ZZ-D-C-5210"/>
  </r>
  <r>
    <x v="397"/>
    <s v="Drainage Construction Details Sheet 2"/>
    <x v="3"/>
    <s v="In Progress"/>
    <x v="0"/>
    <x v="0"/>
    <x v="0"/>
    <x v="11"/>
    <x v="158"/>
    <b v="1"/>
    <x v="397"/>
    <s v="FS1018-HEX-ZZ-ZZ-D-C-5211"/>
  </r>
  <r>
    <x v="397"/>
    <s v="Drainage Construction Details Sheet 2"/>
    <x v="3"/>
    <s v="In Progress"/>
    <x v="14"/>
    <x v="1"/>
    <x v="1"/>
    <x v="1"/>
    <x v="1"/>
    <b v="1"/>
    <x v="397"/>
    <s v="FS1018-HEX-ZZ-ZZ-D-C-5211"/>
  </r>
  <r>
    <x v="398"/>
    <s v="Earthworks Analysis"/>
    <x v="1"/>
    <s v="In Progress"/>
    <x v="0"/>
    <x v="0"/>
    <x v="1"/>
    <x v="1"/>
    <x v="1"/>
    <b v="1"/>
    <x v="398"/>
    <s v="FS1018-HEX-ZZ-ZZ-D-C-9000"/>
  </r>
  <r>
    <x v="399"/>
    <s v="External Works Layout Sheet 1"/>
    <x v="0"/>
    <s v="In Progress"/>
    <x v="0"/>
    <x v="0"/>
    <x v="1"/>
    <x v="1"/>
    <x v="1"/>
    <b v="1"/>
    <x v="399"/>
    <s v="FS1018-HEX-ZZ-ZZ-D-C-9020"/>
  </r>
  <r>
    <x v="400"/>
    <s v="External Works Layout Sheet 2"/>
    <x v="0"/>
    <s v="In Progress"/>
    <x v="0"/>
    <x v="0"/>
    <x v="1"/>
    <x v="1"/>
    <x v="1"/>
    <b v="1"/>
    <x v="400"/>
    <s v="FS1018-HEX-ZZ-ZZ-D-C-9021"/>
  </r>
  <r>
    <x v="401"/>
    <s v="External Works Construction Details"/>
    <x v="0"/>
    <s v="In Progress"/>
    <x v="0"/>
    <x v="0"/>
    <x v="0"/>
    <x v="11"/>
    <x v="159"/>
    <b v="1"/>
    <x v="401"/>
    <s v="FS1018-HEX-ZZ-ZZ-D-C-9025"/>
  </r>
  <r>
    <x v="401"/>
    <s v="External Works Construction Details"/>
    <x v="0"/>
    <s v="In Progress"/>
    <x v="14"/>
    <x v="1"/>
    <x v="1"/>
    <x v="1"/>
    <x v="1"/>
    <b v="1"/>
    <x v="401"/>
    <s v="FS1018-HEX-ZZ-ZZ-D-C-9025"/>
  </r>
  <r>
    <x v="402"/>
    <s v="Building Elevations Sheet 01 Of 02"/>
    <x v="3"/>
    <s v="In Progress"/>
    <x v="0"/>
    <x v="0"/>
    <x v="0"/>
    <x v="12"/>
    <x v="152"/>
    <b v="1"/>
    <x v="402"/>
    <s v="FS1018-HEX-ZZ-ZZ-D-S-0501"/>
  </r>
  <r>
    <x v="402"/>
    <s v="Building Elevations Sheet 01 Of 02"/>
    <x v="3"/>
    <s v="In Progress"/>
    <x v="11"/>
    <x v="1"/>
    <x v="1"/>
    <x v="1"/>
    <x v="1"/>
    <b v="1"/>
    <x v="402"/>
    <s v="FS1018-HEX-ZZ-ZZ-D-S-0501"/>
  </r>
  <r>
    <x v="403"/>
    <s v="Building Elevations Sheet 02 Of 02"/>
    <x v="3"/>
    <s v="In Progress"/>
    <x v="0"/>
    <x v="0"/>
    <x v="0"/>
    <x v="12"/>
    <x v="152"/>
    <b v="1"/>
    <x v="403"/>
    <s v="FS1018-HEX-ZZ-ZZ-D-S-0502"/>
  </r>
  <r>
    <x v="403"/>
    <s v="Building Elevations Sheet 02 Of 02"/>
    <x v="3"/>
    <s v="In Progress"/>
    <x v="11"/>
    <x v="1"/>
    <x v="1"/>
    <x v="1"/>
    <x v="1"/>
    <b v="1"/>
    <x v="403"/>
    <s v="FS1018-HEX-ZZ-ZZ-D-S-0502"/>
  </r>
  <r>
    <x v="404"/>
    <s v="Bracing Elevations"/>
    <x v="3"/>
    <s v="In Progress"/>
    <x v="0"/>
    <x v="0"/>
    <x v="0"/>
    <x v="12"/>
    <x v="152"/>
    <b v="1"/>
    <x v="404"/>
    <s v="FS1018-HEX-ZZ-ZZ-D-S-0503"/>
  </r>
  <r>
    <x v="404"/>
    <s v="Bracing Elevations"/>
    <x v="3"/>
    <s v="In Progress"/>
    <x v="11"/>
    <x v="1"/>
    <x v="1"/>
    <x v="1"/>
    <x v="1"/>
    <b v="1"/>
    <x v="404"/>
    <s v="FS1018-HEX-ZZ-ZZ-D-S-0503"/>
  </r>
  <r>
    <x v="405"/>
    <s v="Building Sections"/>
    <x v="3"/>
    <s v="In Progress"/>
    <x v="0"/>
    <x v="0"/>
    <x v="0"/>
    <x v="12"/>
    <x v="160"/>
    <b v="1"/>
    <x v="405"/>
    <s v="FS1018-HEX-ZZ-ZZ-D-S-0601"/>
  </r>
  <r>
    <x v="405"/>
    <s v="Building Sections"/>
    <x v="3"/>
    <s v="In Progress"/>
    <x v="11"/>
    <x v="1"/>
    <x v="1"/>
    <x v="1"/>
    <x v="1"/>
    <b v="1"/>
    <x v="405"/>
    <s v="FS1018-HEX-ZZ-ZZ-D-S-0601"/>
  </r>
  <r>
    <x v="406"/>
    <s v="Structural Sections and Details"/>
    <x v="3"/>
    <s v="In Progress"/>
    <x v="0"/>
    <x v="0"/>
    <x v="0"/>
    <x v="12"/>
    <x v="161"/>
    <b v="1"/>
    <x v="406"/>
    <s v="FS1018-HEX-ZZ-ZZ-D-S-0602"/>
  </r>
  <r>
    <x v="406"/>
    <s v="Structural Sections and Details"/>
    <x v="3"/>
    <s v="In Progress"/>
    <x v="11"/>
    <x v="1"/>
    <x v="1"/>
    <x v="1"/>
    <x v="1"/>
    <b v="1"/>
    <x v="406"/>
    <s v="FS1018-HEX-ZZ-ZZ-D-S-0602"/>
  </r>
  <r>
    <x v="407"/>
    <s v="3D Views"/>
    <x v="1"/>
    <s v="In Progress"/>
    <x v="0"/>
    <x v="0"/>
    <x v="0"/>
    <x v="12"/>
    <x v="152"/>
    <b v="1"/>
    <x v="407"/>
    <s v="FS1018-HEX-ZZ-ZZ-D-S-0801"/>
  </r>
  <r>
    <x v="407"/>
    <s v="3D Views"/>
    <x v="1"/>
    <s v="In Progress"/>
    <x v="11"/>
    <x v="1"/>
    <x v="1"/>
    <x v="1"/>
    <x v="1"/>
    <b v="1"/>
    <x v="407"/>
    <s v="FS1018-HEX-ZZ-ZZ-D-S-0801"/>
  </r>
  <r>
    <x v="408"/>
    <s v="Native Civil Model"/>
    <x v="0"/>
    <s v="In Progress"/>
    <x v="0"/>
    <x v="0"/>
    <x v="0"/>
    <x v="5"/>
    <x v="162"/>
    <b v="1"/>
    <x v="408"/>
    <s v="FS1018-HEX-ZZ-ZZ-M-C-0001"/>
  </r>
  <r>
    <x v="408"/>
    <s v="Native Civil Model"/>
    <x v="0"/>
    <s v="In Progress"/>
    <x v="7"/>
    <x v="1"/>
    <x v="1"/>
    <x v="1"/>
    <x v="1"/>
    <b v="1"/>
    <x v="408"/>
    <s v="FS1018-HEX-ZZ-ZZ-M-C-0001"/>
  </r>
  <r>
    <x v="409"/>
    <s v="IFC SPF Civil Model"/>
    <x v="0"/>
    <s v="Completed"/>
    <x v="0"/>
    <x v="0"/>
    <x v="2"/>
    <x v="5"/>
    <x v="2"/>
    <b v="1"/>
    <x v="409"/>
    <s v="FS1018-HEX-ZZ-ZZ-M-C-0002"/>
  </r>
  <r>
    <x v="410"/>
    <s v="Navisworks Civil Model"/>
    <x v="0"/>
    <s v="Completed"/>
    <x v="0"/>
    <x v="0"/>
    <x v="2"/>
    <x v="5"/>
    <x v="2"/>
    <b v="1"/>
    <x v="410"/>
    <s v="FS1018-HEX-ZZ-ZZ-M-C-0003"/>
  </r>
  <r>
    <x v="411"/>
    <s v="Native Structural Model"/>
    <x v="6"/>
    <s v="In Progress"/>
    <x v="0"/>
    <x v="0"/>
    <x v="0"/>
    <x v="5"/>
    <x v="163"/>
    <b v="1"/>
    <x v="411"/>
    <s v="FS1018-HEX-ZZ-ZZ-M-S-0001"/>
  </r>
  <r>
    <x v="411"/>
    <s v="Native Structural Model"/>
    <x v="6"/>
    <s v="In Progress"/>
    <x v="7"/>
    <x v="1"/>
    <x v="1"/>
    <x v="1"/>
    <x v="1"/>
    <b v="1"/>
    <x v="411"/>
    <s v="FS1018-HEX-ZZ-ZZ-M-S-0001"/>
  </r>
  <r>
    <x v="412"/>
    <s v="IFC SPF Structural Model"/>
    <x v="6"/>
    <s v="Completed"/>
    <x v="0"/>
    <x v="0"/>
    <x v="2"/>
    <x v="5"/>
    <x v="2"/>
    <b v="1"/>
    <x v="412"/>
    <s v="FS1018-HEX-ZZ-ZZ-M-S-0002"/>
  </r>
  <r>
    <x v="413"/>
    <s v="Navis Structural Model"/>
    <x v="6"/>
    <s v="Completed"/>
    <x v="0"/>
    <x v="0"/>
    <x v="2"/>
    <x v="5"/>
    <x v="2"/>
    <b v="1"/>
    <x v="413"/>
    <s v="FS1018-HEX-ZZ-ZZ-M-S-0003"/>
  </r>
  <r>
    <x v="414"/>
    <s v="General Notes"/>
    <x v="0"/>
    <s v="In Progress"/>
    <x v="0"/>
    <x v="0"/>
    <x v="0"/>
    <x v="11"/>
    <x v="164"/>
    <b v="1"/>
    <x v="414"/>
    <s v="FS1018-HEX-ZZ-ZZ-T-C-0001"/>
  </r>
  <r>
    <x v="414"/>
    <s v="General Notes"/>
    <x v="0"/>
    <s v="In Progress"/>
    <x v="14"/>
    <x v="1"/>
    <x v="1"/>
    <x v="1"/>
    <x v="1"/>
    <b v="1"/>
    <x v="414"/>
    <s v="FS1018-HEX-ZZ-ZZ-T-C-0001"/>
  </r>
  <r>
    <x v="415"/>
    <s v="Detailed Responsibility Matrix"/>
    <x v="0"/>
    <s v="In Progress"/>
    <x v="0"/>
    <x v="0"/>
    <x v="0"/>
    <x v="5"/>
    <x v="165"/>
    <b v="1"/>
    <x v="415"/>
    <s v="FS1018-MAJ-XX-XX-L-X-0090"/>
  </r>
  <r>
    <x v="415"/>
    <s v="Detailed Responsibility Matrix"/>
    <x v="0"/>
    <s v="In Progress"/>
    <x v="7"/>
    <x v="1"/>
    <x v="1"/>
    <x v="1"/>
    <x v="1"/>
    <b v="1"/>
    <x v="415"/>
    <s v="FS1018-MAJ-XX-XX-L-X-0090"/>
  </r>
  <r>
    <x v="416"/>
    <s v="Asset Register"/>
    <x v="0"/>
    <s v="In Progress"/>
    <x v="0"/>
    <x v="0"/>
    <x v="0"/>
    <x v="13"/>
    <x v="166"/>
    <b v="1"/>
    <x v="416"/>
    <s v="FS1018-MAJ-XX-XX-L-X-8001"/>
  </r>
  <r>
    <x v="416"/>
    <s v="Asset Register"/>
    <x v="0"/>
    <s v="In Progress"/>
    <x v="15"/>
    <x v="1"/>
    <x v="1"/>
    <x v="1"/>
    <x v="1"/>
    <b v="1"/>
    <x v="416"/>
    <s v="FS1018-MAJ-XX-XX-L-X-8001"/>
  </r>
  <r>
    <x v="417"/>
    <s v="COBie QC Report"/>
    <x v="0"/>
    <s v="In Progress"/>
    <x v="0"/>
    <x v="0"/>
    <x v="0"/>
    <x v="5"/>
    <x v="64"/>
    <b v="1"/>
    <x v="417"/>
    <s v="FS1018-MAJ-XX-XX-L-X-8002"/>
  </r>
  <r>
    <x v="417"/>
    <s v="COBie QC Report"/>
    <x v="0"/>
    <s v="In Progress"/>
    <x v="7"/>
    <x v="1"/>
    <x v="1"/>
    <x v="1"/>
    <x v="1"/>
    <b v="1"/>
    <x v="417"/>
    <s v="FS1018-MAJ-XX-XX-L-X-8002"/>
  </r>
  <r>
    <x v="418"/>
    <s v="BIM Execution Plan"/>
    <x v="5"/>
    <s v="In Progress"/>
    <x v="0"/>
    <x v="0"/>
    <x v="0"/>
    <x v="5"/>
    <x v="167"/>
    <b v="1"/>
    <x v="418"/>
    <s v="FS1018-MAJ-XX-XX-T-X-0001"/>
  </r>
  <r>
    <x v="418"/>
    <s v="BIM Execution Plan"/>
    <x v="5"/>
    <s v="In Progress"/>
    <x v="7"/>
    <x v="1"/>
    <x v="1"/>
    <x v="1"/>
    <x v="1"/>
    <b v="1"/>
    <x v="418"/>
    <s v="FS1018-MAJ-XX-XX-T-X-0001"/>
  </r>
  <r>
    <x v="419"/>
    <s v="Information Managers Report"/>
    <x v="2"/>
    <s v="In Progress"/>
    <x v="0"/>
    <x v="0"/>
    <x v="0"/>
    <x v="5"/>
    <x v="168"/>
    <b v="1"/>
    <x v="419"/>
    <s v="FS1018-MAJ-XX-XX-T-X-1001"/>
  </r>
  <r>
    <x v="419"/>
    <s v="Information Managers Report"/>
    <x v="2"/>
    <s v="In Progress"/>
    <x v="7"/>
    <x v="1"/>
    <x v="1"/>
    <x v="1"/>
    <x v="1"/>
    <b v="1"/>
    <x v="419"/>
    <s v="FS1018-MAJ-XX-XX-T-X-1001"/>
  </r>
  <r>
    <x v="420"/>
    <s v="Federated Information Model"/>
    <x v="5"/>
    <s v="In Progress"/>
    <x v="0"/>
    <x v="0"/>
    <x v="0"/>
    <x v="13"/>
    <x v="169"/>
    <b v="1"/>
    <x v="420"/>
    <s v="FS1018-MAJ-ZZ-ZZ-M-X-0001"/>
  </r>
  <r>
    <x v="420"/>
    <s v="Federated Information Model"/>
    <x v="5"/>
    <s v="In Progress"/>
    <x v="15"/>
    <x v="1"/>
    <x v="1"/>
    <x v="1"/>
    <x v="1"/>
    <b v="1"/>
    <x v="420"/>
    <s v="FS1018-MAJ-ZZ-ZZ-M-X-0001"/>
  </r>
  <r>
    <x v="421"/>
    <s v="Fire Strategy Report"/>
    <x v="10"/>
    <s v="In Progress"/>
    <x v="0"/>
    <x v="0"/>
    <x v="3"/>
    <x v="9"/>
    <x v="170"/>
    <b v="1"/>
    <x v="421"/>
    <s v="FS1018-OFR-XX-ZZ-G-K-0001"/>
  </r>
  <r>
    <x v="421"/>
    <s v="Fire Strategy Report"/>
    <x v="10"/>
    <s v="In Progress"/>
    <x v="16"/>
    <x v="1"/>
    <x v="4"/>
    <x v="6"/>
    <x v="171"/>
    <b v="1"/>
    <x v="421"/>
    <s v="FS1018-OFR-XX-ZZ-G-K-0001"/>
  </r>
  <r>
    <x v="421"/>
    <s v="Fire Strategy Report"/>
    <x v="10"/>
    <s v="In Progress"/>
    <x v="6"/>
    <x v="2"/>
    <x v="1"/>
    <x v="1"/>
    <x v="1"/>
    <b v="1"/>
    <x v="421"/>
    <s v="FS1018-OFR-XX-ZZ-G-K-0001"/>
  </r>
  <r>
    <x v="422"/>
    <s v="Outline Specification"/>
    <x v="2"/>
    <s v="In Progress"/>
    <x v="0"/>
    <x v="0"/>
    <x v="0"/>
    <x v="2"/>
    <x v="172"/>
    <b v="1"/>
    <x v="422"/>
    <s v="FS1018-ONE-XX-XX-T-L-0001"/>
  </r>
  <r>
    <x v="422"/>
    <s v="Outline Specification"/>
    <x v="2"/>
    <s v="In Progress"/>
    <x v="3"/>
    <x v="1"/>
    <x v="1"/>
    <x v="1"/>
    <x v="1"/>
    <b v="1"/>
    <x v="422"/>
    <s v="FS1018-ONE-XX-XX-T-L-0001"/>
  </r>
  <r>
    <x v="423"/>
    <s v="Design Development Schedule"/>
    <x v="0"/>
    <s v="In Progress"/>
    <x v="0"/>
    <x v="0"/>
    <x v="1"/>
    <x v="1"/>
    <x v="1"/>
    <b v="1"/>
    <x v="423"/>
    <s v="FS1018-ONE-XX-XX-T-L-0002"/>
  </r>
  <r>
    <x v="424"/>
    <s v="Location Plan"/>
    <x v="10"/>
    <s v="Completed"/>
    <x v="0"/>
    <x v="0"/>
    <x v="2"/>
    <x v="7"/>
    <x v="2"/>
    <b v="1"/>
    <x v="424"/>
    <s v="FS1018-ONE-XX-ZZ-D-L-0001"/>
  </r>
  <r>
    <x v="425"/>
    <s v="Existing Site Plan"/>
    <x v="12"/>
    <s v="Completed"/>
    <x v="0"/>
    <x v="0"/>
    <x v="2"/>
    <x v="7"/>
    <x v="2"/>
    <b v="1"/>
    <x v="425"/>
    <s v="FS1018-ONE-XX-ZZ-D-L-0002"/>
  </r>
  <r>
    <x v="426"/>
    <s v="Whole Site Plan"/>
    <x v="13"/>
    <s v="In Progress"/>
    <x v="0"/>
    <x v="0"/>
    <x v="0"/>
    <x v="7"/>
    <x v="173"/>
    <b v="1"/>
    <x v="426"/>
    <s v="FS1018-ONE-XX-ZZ-D-L-0003"/>
  </r>
  <r>
    <x v="426"/>
    <s v="Whole Site Plan"/>
    <x v="13"/>
    <s v="In Progress"/>
    <x v="8"/>
    <x v="1"/>
    <x v="1"/>
    <x v="1"/>
    <x v="1"/>
    <b v="1"/>
    <x v="426"/>
    <s v="FS1018-ONE-XX-ZZ-D-L-0003"/>
  </r>
  <r>
    <x v="427"/>
    <s v="Site Landscaping Plan 1 of 5"/>
    <x v="12"/>
    <s v="In Progress"/>
    <x v="0"/>
    <x v="0"/>
    <x v="0"/>
    <x v="7"/>
    <x v="174"/>
    <b v="1"/>
    <x v="427"/>
    <s v="FS1018-ONE-XX-ZZ-D-L-0004"/>
  </r>
  <r>
    <x v="427"/>
    <s v="Site Landscaping Plan 1 of 5"/>
    <x v="12"/>
    <s v="In Progress"/>
    <x v="8"/>
    <x v="1"/>
    <x v="1"/>
    <x v="1"/>
    <x v="1"/>
    <b v="1"/>
    <x v="427"/>
    <s v="FS1018-ONE-XX-ZZ-D-L-0004"/>
  </r>
  <r>
    <x v="428"/>
    <s v="Site Landscaping Plan 2 of 5"/>
    <x v="12"/>
    <s v="In Progress"/>
    <x v="0"/>
    <x v="0"/>
    <x v="0"/>
    <x v="7"/>
    <x v="175"/>
    <b v="1"/>
    <x v="428"/>
    <s v="FS1018-ONE-XX-ZZ-D-L-0005"/>
  </r>
  <r>
    <x v="428"/>
    <s v="Site Landscaping Plan 2 of 5"/>
    <x v="12"/>
    <s v="In Progress"/>
    <x v="8"/>
    <x v="1"/>
    <x v="1"/>
    <x v="1"/>
    <x v="1"/>
    <b v="1"/>
    <x v="428"/>
    <s v="FS1018-ONE-XX-ZZ-D-L-0005"/>
  </r>
  <r>
    <x v="429"/>
    <s v="Site Landscaping Plan 3 of 5"/>
    <x v="12"/>
    <s v="In Progress"/>
    <x v="0"/>
    <x v="0"/>
    <x v="0"/>
    <x v="7"/>
    <x v="176"/>
    <b v="1"/>
    <x v="429"/>
    <s v="FS1018-ONE-XX-ZZ-D-L-0006"/>
  </r>
  <r>
    <x v="429"/>
    <s v="Site Landscaping Plan 3 of 5"/>
    <x v="12"/>
    <s v="In Progress"/>
    <x v="8"/>
    <x v="1"/>
    <x v="1"/>
    <x v="1"/>
    <x v="1"/>
    <b v="1"/>
    <x v="429"/>
    <s v="FS1018-ONE-XX-ZZ-D-L-0006"/>
  </r>
  <r>
    <x v="430"/>
    <s v="Site Landscaping Plan 4 of 5"/>
    <x v="12"/>
    <s v="In Progress"/>
    <x v="0"/>
    <x v="0"/>
    <x v="0"/>
    <x v="7"/>
    <x v="177"/>
    <b v="1"/>
    <x v="430"/>
    <s v="FS1018-ONE-XX-ZZ-D-L-0007"/>
  </r>
  <r>
    <x v="430"/>
    <s v="Site Landscaping Plan 4 of 5"/>
    <x v="12"/>
    <s v="In Progress"/>
    <x v="8"/>
    <x v="1"/>
    <x v="1"/>
    <x v="1"/>
    <x v="1"/>
    <b v="1"/>
    <x v="430"/>
    <s v="FS1018-ONE-XX-ZZ-D-L-0007"/>
  </r>
  <r>
    <x v="431"/>
    <s v="Site Landscaping Plan 5 of 5"/>
    <x v="12"/>
    <s v="In Progress"/>
    <x v="0"/>
    <x v="0"/>
    <x v="0"/>
    <x v="7"/>
    <x v="178"/>
    <b v="1"/>
    <x v="431"/>
    <s v="FS1018-ONE-XX-ZZ-D-L-0008"/>
  </r>
  <r>
    <x v="431"/>
    <s v="Site Landscaping Plan 5 of 5"/>
    <x v="12"/>
    <s v="In Progress"/>
    <x v="8"/>
    <x v="1"/>
    <x v="1"/>
    <x v="1"/>
    <x v="1"/>
    <b v="1"/>
    <x v="431"/>
    <s v="FS1018-ONE-XX-ZZ-D-L-0008"/>
  </r>
  <r>
    <x v="432"/>
    <s v="Access and Security Strategy"/>
    <x v="11"/>
    <s v="In Progress"/>
    <x v="0"/>
    <x v="0"/>
    <x v="0"/>
    <x v="7"/>
    <x v="179"/>
    <b v="1"/>
    <x v="432"/>
    <s v="FS1018-ONE-XX-ZZ-D-L-0009"/>
  </r>
  <r>
    <x v="432"/>
    <s v="Access and Security Strategy"/>
    <x v="11"/>
    <s v="In Progress"/>
    <x v="8"/>
    <x v="1"/>
    <x v="1"/>
    <x v="1"/>
    <x v="1"/>
    <b v="1"/>
    <x v="432"/>
    <s v="FS1018-ONE-XX-ZZ-D-L-0009"/>
  </r>
  <r>
    <x v="433"/>
    <s v="Circulation Strategy"/>
    <x v="5"/>
    <s v="In Progress"/>
    <x v="0"/>
    <x v="0"/>
    <x v="0"/>
    <x v="7"/>
    <x v="180"/>
    <b v="1"/>
    <x v="433"/>
    <s v="FS1018-ONE-XX-ZZ-D-L-0010"/>
  </r>
  <r>
    <x v="433"/>
    <s v="Circulation Strategy"/>
    <x v="5"/>
    <s v="In Progress"/>
    <x v="8"/>
    <x v="1"/>
    <x v="1"/>
    <x v="1"/>
    <x v="1"/>
    <b v="1"/>
    <x v="433"/>
    <s v="FS1018-ONE-XX-ZZ-D-L-0010"/>
  </r>
  <r>
    <x v="434"/>
    <s v="External Sports Provision"/>
    <x v="12"/>
    <s v="In Progress"/>
    <x v="0"/>
    <x v="0"/>
    <x v="0"/>
    <x v="7"/>
    <x v="181"/>
    <b v="1"/>
    <x v="434"/>
    <s v="FS1018-ONE-XX-ZZ-D-L-0011"/>
  </r>
  <r>
    <x v="434"/>
    <s v="External Sports Provision"/>
    <x v="12"/>
    <s v="In Progress"/>
    <x v="8"/>
    <x v="1"/>
    <x v="1"/>
    <x v="1"/>
    <x v="1"/>
    <b v="1"/>
    <x v="434"/>
    <s v="FS1018-ONE-XX-ZZ-D-L-0011"/>
  </r>
  <r>
    <x v="435"/>
    <s v="Green Infrastructure Plan"/>
    <x v="11"/>
    <s v="In Progress"/>
    <x v="0"/>
    <x v="0"/>
    <x v="0"/>
    <x v="0"/>
    <x v="182"/>
    <b v="1"/>
    <x v="435"/>
    <s v="FS1018-ONE-XX-ZZ-D-L-0012"/>
  </r>
  <r>
    <x v="435"/>
    <s v="Green Infrastructure Plan"/>
    <x v="11"/>
    <s v="In Progress"/>
    <x v="1"/>
    <x v="1"/>
    <x v="1"/>
    <x v="1"/>
    <x v="1"/>
    <b v="1"/>
    <x v="435"/>
    <s v="FS1018-ONE-XX-ZZ-D-L-0012"/>
  </r>
  <r>
    <x v="436"/>
    <s v="BB103 Guidance"/>
    <x v="10"/>
    <s v="In Progress"/>
    <x v="0"/>
    <x v="0"/>
    <x v="0"/>
    <x v="7"/>
    <x v="183"/>
    <b v="1"/>
    <x v="436"/>
    <s v="FS1018-ONE-XX-ZZ-D-L-0013"/>
  </r>
  <r>
    <x v="436"/>
    <s v="BB103 Guidance"/>
    <x v="10"/>
    <s v="In Progress"/>
    <x v="8"/>
    <x v="1"/>
    <x v="1"/>
    <x v="1"/>
    <x v="1"/>
    <b v="1"/>
    <x v="436"/>
    <s v="FS1018-ONE-XX-ZZ-D-L-0013"/>
  </r>
  <r>
    <x v="437"/>
    <s v="Hazard Identification Plan"/>
    <x v="5"/>
    <s v="In Progress"/>
    <x v="0"/>
    <x v="0"/>
    <x v="0"/>
    <x v="7"/>
    <x v="184"/>
    <b v="1"/>
    <x v="437"/>
    <s v="FS1018-ONE-XX-ZZ-D-L-0014"/>
  </r>
  <r>
    <x v="437"/>
    <s v="Hazard Identification Plan"/>
    <x v="5"/>
    <s v="In Progress"/>
    <x v="8"/>
    <x v="1"/>
    <x v="1"/>
    <x v="1"/>
    <x v="1"/>
    <b v="1"/>
    <x v="437"/>
    <s v="FS1018-ONE-XX-ZZ-D-L-0014"/>
  </r>
  <r>
    <x v="438"/>
    <s v="Refurbishment Remodelling Strategy"/>
    <x v="6"/>
    <s v="In Progress"/>
    <x v="0"/>
    <x v="0"/>
    <x v="0"/>
    <x v="7"/>
    <x v="185"/>
    <b v="1"/>
    <x v="438"/>
    <s v="FS1018-ONE-XX-ZZ-D-L-0015"/>
  </r>
  <r>
    <x v="438"/>
    <s v="Refurbishment Remodelling Strategy"/>
    <x v="6"/>
    <s v="In Progress"/>
    <x v="8"/>
    <x v="1"/>
    <x v="1"/>
    <x v="1"/>
    <x v="1"/>
    <b v="1"/>
    <x v="438"/>
    <s v="FS1018-ONE-XX-ZZ-D-L-0015"/>
  </r>
  <r>
    <x v="439"/>
    <s v="Site Sections"/>
    <x v="3"/>
    <s v="In Progress"/>
    <x v="0"/>
    <x v="0"/>
    <x v="0"/>
    <x v="7"/>
    <x v="186"/>
    <b v="1"/>
    <x v="439"/>
    <s v="FS1018-ONE-XX-ZZ-D-L-0017"/>
  </r>
  <r>
    <x v="439"/>
    <s v="Site Sections"/>
    <x v="3"/>
    <s v="In Progress"/>
    <x v="8"/>
    <x v="1"/>
    <x v="1"/>
    <x v="1"/>
    <x v="1"/>
    <b v="1"/>
    <x v="439"/>
    <s v="FS1018-ONE-XX-ZZ-D-L-0017"/>
  </r>
  <r>
    <x v="440"/>
    <s v="Existing Site Plan 1 of 5"/>
    <x v="0"/>
    <s v="Completed"/>
    <x v="0"/>
    <x v="0"/>
    <x v="2"/>
    <x v="7"/>
    <x v="2"/>
    <b v="1"/>
    <x v="440"/>
    <s v="FS1018-ONE-XX-ZZ-D-L-0021"/>
  </r>
  <r>
    <x v="441"/>
    <s v="Existing Site Plan 2 of 5"/>
    <x v="0"/>
    <s v="Completed"/>
    <x v="0"/>
    <x v="0"/>
    <x v="2"/>
    <x v="7"/>
    <x v="2"/>
    <b v="1"/>
    <x v="441"/>
    <s v="FS1018-ONE-XX-ZZ-D-L-0022"/>
  </r>
  <r>
    <x v="442"/>
    <s v="Existing Site Plan 3 of 5"/>
    <x v="0"/>
    <s v="Completed"/>
    <x v="0"/>
    <x v="0"/>
    <x v="2"/>
    <x v="7"/>
    <x v="2"/>
    <b v="1"/>
    <x v="442"/>
    <s v="FS1018-ONE-XX-ZZ-D-L-0023"/>
  </r>
  <r>
    <x v="443"/>
    <s v="Existing Site Plan 4 of 5"/>
    <x v="0"/>
    <s v="Completed"/>
    <x v="0"/>
    <x v="0"/>
    <x v="2"/>
    <x v="7"/>
    <x v="2"/>
    <b v="1"/>
    <x v="443"/>
    <s v="FS1018-ONE-XX-ZZ-D-L-0024"/>
  </r>
  <r>
    <x v="444"/>
    <s v="Existing Site Plan 5 of 5"/>
    <x v="0"/>
    <s v="Completed"/>
    <x v="0"/>
    <x v="0"/>
    <x v="2"/>
    <x v="7"/>
    <x v="2"/>
    <b v="1"/>
    <x v="444"/>
    <s v="FS1018-ONE-XX-ZZ-D-L-0025"/>
  </r>
  <r>
    <x v="445"/>
    <s v="Detailed Planting Plan Sheet 1 of 5"/>
    <x v="3"/>
    <s v="In Progress"/>
    <x v="0"/>
    <x v="0"/>
    <x v="0"/>
    <x v="7"/>
    <x v="187"/>
    <b v="1"/>
    <x v="445"/>
    <s v="FS1018-ONE-XX-ZZ-D-L-0201"/>
  </r>
  <r>
    <x v="445"/>
    <s v="Detailed Planting Plan Sheet 1 of 5"/>
    <x v="3"/>
    <s v="In Progress"/>
    <x v="8"/>
    <x v="1"/>
    <x v="1"/>
    <x v="1"/>
    <x v="1"/>
    <b v="1"/>
    <x v="445"/>
    <s v="FS1018-ONE-XX-ZZ-D-L-0201"/>
  </r>
  <r>
    <x v="446"/>
    <s v="Detailed Planting Plan Sheet 2 of 5"/>
    <x v="3"/>
    <s v="In Progress"/>
    <x v="0"/>
    <x v="0"/>
    <x v="0"/>
    <x v="7"/>
    <x v="188"/>
    <b v="1"/>
    <x v="446"/>
    <s v="FS1018-ONE-XX-ZZ-D-L-0202"/>
  </r>
  <r>
    <x v="446"/>
    <s v="Detailed Planting Plan Sheet 2 of 5"/>
    <x v="3"/>
    <s v="In Progress"/>
    <x v="8"/>
    <x v="1"/>
    <x v="1"/>
    <x v="1"/>
    <x v="1"/>
    <b v="1"/>
    <x v="446"/>
    <s v="FS1018-ONE-XX-ZZ-D-L-0202"/>
  </r>
  <r>
    <x v="447"/>
    <s v="Detailed Planting Plan Sheet 3 of 5"/>
    <x v="2"/>
    <s v="In Progress"/>
    <x v="0"/>
    <x v="0"/>
    <x v="0"/>
    <x v="7"/>
    <x v="189"/>
    <b v="1"/>
    <x v="447"/>
    <s v="FS1018-ONE-XX-ZZ-D-L-0203"/>
  </r>
  <r>
    <x v="447"/>
    <s v="Detailed Planting Plan Sheet 3 of 5"/>
    <x v="2"/>
    <s v="In Progress"/>
    <x v="8"/>
    <x v="1"/>
    <x v="1"/>
    <x v="1"/>
    <x v="1"/>
    <b v="1"/>
    <x v="447"/>
    <s v="FS1018-ONE-XX-ZZ-D-L-0203"/>
  </r>
  <r>
    <x v="448"/>
    <s v="Detailed Planting Plan Sheet 4 of 5"/>
    <x v="3"/>
    <s v="Completed"/>
    <x v="0"/>
    <x v="0"/>
    <x v="2"/>
    <x v="7"/>
    <x v="2"/>
    <b v="1"/>
    <x v="448"/>
    <s v="FS1018-ONE-XX-ZZ-D-L-0204"/>
  </r>
  <r>
    <x v="449"/>
    <s v="Detailed Planting Plan Sheet 5 of 5"/>
    <x v="2"/>
    <s v="In Progress"/>
    <x v="0"/>
    <x v="0"/>
    <x v="0"/>
    <x v="7"/>
    <x v="190"/>
    <b v="1"/>
    <x v="449"/>
    <s v="FS1018-ONE-XX-ZZ-D-L-0205"/>
  </r>
  <r>
    <x v="449"/>
    <s v="Detailed Planting Plan Sheet 5 of 5"/>
    <x v="2"/>
    <s v="In Progress"/>
    <x v="8"/>
    <x v="1"/>
    <x v="1"/>
    <x v="1"/>
    <x v="1"/>
    <b v="1"/>
    <x v="449"/>
    <s v="FS1018-ONE-XX-ZZ-D-L-0205"/>
  </r>
  <r>
    <x v="450"/>
    <s v="Outline Levels Plan 1 of 5"/>
    <x v="12"/>
    <s v="Completed"/>
    <x v="0"/>
    <x v="0"/>
    <x v="2"/>
    <x v="7"/>
    <x v="2"/>
    <b v="1"/>
    <x v="450"/>
    <s v="FS1018-ONE-XX-ZZ-D-L-0401"/>
  </r>
  <r>
    <x v="451"/>
    <s v="Outline Levels Plan 2 of 5"/>
    <x v="12"/>
    <s v="Completed"/>
    <x v="0"/>
    <x v="0"/>
    <x v="2"/>
    <x v="7"/>
    <x v="2"/>
    <b v="1"/>
    <x v="451"/>
    <s v="FS1018-ONE-XX-ZZ-D-L-0402"/>
  </r>
  <r>
    <x v="452"/>
    <s v="Outline Levels Plan 3 of 5"/>
    <x v="12"/>
    <s v="Completed"/>
    <x v="0"/>
    <x v="0"/>
    <x v="2"/>
    <x v="7"/>
    <x v="2"/>
    <b v="1"/>
    <x v="452"/>
    <s v="FS1018-ONE-XX-ZZ-D-L-0403"/>
  </r>
  <r>
    <x v="453"/>
    <s v="Outline Levels Plan 4 of 5"/>
    <x v="5"/>
    <s v="In Progress"/>
    <x v="0"/>
    <x v="0"/>
    <x v="0"/>
    <x v="7"/>
    <x v="191"/>
    <b v="1"/>
    <x v="453"/>
    <s v="FS1018-ONE-XX-ZZ-D-L-0404"/>
  </r>
  <r>
    <x v="453"/>
    <s v="Outline Levels Plan 4 of 5"/>
    <x v="5"/>
    <s v="In Progress"/>
    <x v="8"/>
    <x v="1"/>
    <x v="1"/>
    <x v="1"/>
    <x v="1"/>
    <b v="1"/>
    <x v="453"/>
    <s v="FS1018-ONE-XX-ZZ-D-L-0404"/>
  </r>
  <r>
    <x v="454"/>
    <s v="Outline Levels Plan 5 of 5"/>
    <x v="5"/>
    <s v="In Progress"/>
    <x v="0"/>
    <x v="0"/>
    <x v="0"/>
    <x v="7"/>
    <x v="191"/>
    <b v="1"/>
    <x v="454"/>
    <s v="FS1018-ONE-XX-ZZ-D-L-0405"/>
  </r>
  <r>
    <x v="454"/>
    <s v="Outline Levels Plan 5 of 5"/>
    <x v="5"/>
    <s v="In Progress"/>
    <x v="8"/>
    <x v="1"/>
    <x v="1"/>
    <x v="1"/>
    <x v="1"/>
    <b v="1"/>
    <x v="454"/>
    <s v="FS1018-ONE-XX-ZZ-D-L-0405"/>
  </r>
  <r>
    <x v="455"/>
    <s v="Landscape Details Sheet 1"/>
    <x v="3"/>
    <s v="In Progress"/>
    <x v="0"/>
    <x v="0"/>
    <x v="0"/>
    <x v="7"/>
    <x v="192"/>
    <b v="1"/>
    <x v="455"/>
    <s v="FS1018-ONE-XX-ZZ-D-L-0601"/>
  </r>
  <r>
    <x v="455"/>
    <s v="Landscape Details Sheet 1"/>
    <x v="3"/>
    <s v="In Progress"/>
    <x v="8"/>
    <x v="1"/>
    <x v="1"/>
    <x v="1"/>
    <x v="1"/>
    <b v="1"/>
    <x v="455"/>
    <s v="FS1018-ONE-XX-ZZ-D-L-0601"/>
  </r>
  <r>
    <x v="456"/>
    <s v="Landscape Details Sheet 2"/>
    <x v="3"/>
    <s v="In Progress"/>
    <x v="0"/>
    <x v="0"/>
    <x v="0"/>
    <x v="7"/>
    <x v="193"/>
    <b v="1"/>
    <x v="456"/>
    <s v="FS1018-ONE-XX-ZZ-D-L-0602"/>
  </r>
  <r>
    <x v="456"/>
    <s v="Landscape Details Sheet 2"/>
    <x v="3"/>
    <s v="In Progress"/>
    <x v="8"/>
    <x v="1"/>
    <x v="1"/>
    <x v="1"/>
    <x v="1"/>
    <b v="1"/>
    <x v="456"/>
    <s v="FS1018-ONE-XX-ZZ-D-L-0602"/>
  </r>
  <r>
    <x v="457"/>
    <s v="Landscape Details Sheet 3"/>
    <x v="3"/>
    <s v="In Progress"/>
    <x v="0"/>
    <x v="0"/>
    <x v="0"/>
    <x v="7"/>
    <x v="194"/>
    <b v="1"/>
    <x v="457"/>
    <s v="FS1018-ONE-XX-ZZ-D-L-0603"/>
  </r>
  <r>
    <x v="457"/>
    <s v="Landscape Details Sheet 3"/>
    <x v="3"/>
    <s v="In Progress"/>
    <x v="8"/>
    <x v="1"/>
    <x v="1"/>
    <x v="1"/>
    <x v="1"/>
    <b v="1"/>
    <x v="457"/>
    <s v="FS1018-ONE-XX-ZZ-D-L-0603"/>
  </r>
  <r>
    <x v="458"/>
    <s v="Security Statement"/>
    <x v="0"/>
    <s v="In Progress"/>
    <x v="0"/>
    <x v="0"/>
    <x v="1"/>
    <x v="1"/>
    <x v="1"/>
    <b v="1"/>
    <x v="458"/>
    <s v="FS1018-ONE-ZZ-XX-T-L-0004"/>
  </r>
  <r>
    <x v="459"/>
    <s v="Landscape Model"/>
    <x v="3"/>
    <s v="Completed"/>
    <x v="17"/>
    <x v="0"/>
    <x v="2"/>
    <x v="14"/>
    <x v="2"/>
    <b v="1"/>
    <x v="459"/>
    <s v="FS1018-ONE-ZZ-ZZ-M-L-0001"/>
  </r>
  <r>
    <x v="460"/>
    <s v="Landscape Model"/>
    <x v="3"/>
    <s v="Completed"/>
    <x v="17"/>
    <x v="0"/>
    <x v="2"/>
    <x v="14"/>
    <x v="2"/>
    <b v="1"/>
    <x v="460"/>
    <s v="FS1018-ONE-ZZ-ZZ-M-L-0002"/>
  </r>
  <r>
    <x v="461"/>
    <s v="Landscape Model"/>
    <x v="3"/>
    <s v="Completed"/>
    <x v="17"/>
    <x v="0"/>
    <x v="2"/>
    <x v="14"/>
    <x v="2"/>
    <b v="1"/>
    <x v="461"/>
    <s v="FS1018-ONE-ZZ-ZZ-M-L-0003"/>
  </r>
  <r>
    <x v="462"/>
    <s v="Task Team Risk Register"/>
    <x v="0"/>
    <s v="In Progress"/>
    <x v="0"/>
    <x v="0"/>
    <x v="1"/>
    <x v="1"/>
    <x v="1"/>
    <b v="1"/>
    <x v="462"/>
    <s v="FS1018-PIN-XX-XX-L-O-0003"/>
  </r>
  <r>
    <x v="463"/>
    <s v="Ground Floor GA 1 Of 2"/>
    <x v="10"/>
    <s v="In Progress"/>
    <x v="0"/>
    <x v="0"/>
    <x v="0"/>
    <x v="9"/>
    <x v="195"/>
    <b v="1"/>
    <x v="463"/>
    <s v="FS1018-PIN-ZZ-00-D-O-0001"/>
  </r>
  <r>
    <x v="463"/>
    <s v="Ground Floor GA 1 Of 2"/>
    <x v="10"/>
    <s v="In Progress"/>
    <x v="16"/>
    <x v="1"/>
    <x v="1"/>
    <x v="1"/>
    <x v="1"/>
    <b v="1"/>
    <x v="463"/>
    <s v="FS1018-PIN-ZZ-00-D-O-0001"/>
  </r>
  <r>
    <x v="464"/>
    <s v="Ground Floor GA 2 Of 2"/>
    <x v="10"/>
    <s v="In Progress"/>
    <x v="0"/>
    <x v="0"/>
    <x v="0"/>
    <x v="9"/>
    <x v="195"/>
    <b v="1"/>
    <x v="464"/>
    <s v="FS1018-PIN-ZZ-00-D-O-0002"/>
  </r>
  <r>
    <x v="464"/>
    <s v="Ground Floor GA 2 Of 2"/>
    <x v="10"/>
    <s v="In Progress"/>
    <x v="16"/>
    <x v="1"/>
    <x v="1"/>
    <x v="1"/>
    <x v="1"/>
    <b v="1"/>
    <x v="464"/>
    <s v="FS1018-PIN-ZZ-00-D-O-0002"/>
  </r>
  <r>
    <x v="465"/>
    <s v="Lobby 1"/>
    <x v="3"/>
    <s v="In Progress"/>
    <x v="0"/>
    <x v="0"/>
    <x v="0"/>
    <x v="9"/>
    <x v="196"/>
    <b v="1"/>
    <x v="465"/>
    <s v="FS1018-PIN-ZZ-00-D-O-0006"/>
  </r>
  <r>
    <x v="465"/>
    <s v="Lobby 1"/>
    <x v="3"/>
    <s v="In Progress"/>
    <x v="16"/>
    <x v="1"/>
    <x v="1"/>
    <x v="1"/>
    <x v="1"/>
    <b v="1"/>
    <x v="465"/>
    <s v="FS1018-PIN-ZZ-00-D-O-0006"/>
  </r>
  <r>
    <x v="466"/>
    <s v="Food Prep Area, Kitchen Servery And Wash Up 1"/>
    <x v="2"/>
    <s v="In Progress"/>
    <x v="0"/>
    <x v="0"/>
    <x v="0"/>
    <x v="9"/>
    <x v="197"/>
    <b v="1"/>
    <x v="466"/>
    <s v="FS1018-PIN-ZZ-00-D-O-0601"/>
  </r>
  <r>
    <x v="466"/>
    <s v="Food Prep Area, Kitchen Servery And Wash Up 1"/>
    <x v="2"/>
    <s v="In Progress"/>
    <x v="16"/>
    <x v="1"/>
    <x v="1"/>
    <x v="1"/>
    <x v="1"/>
    <b v="1"/>
    <x v="466"/>
    <s v="FS1018-PIN-ZZ-00-D-O-0601"/>
  </r>
  <r>
    <x v="467"/>
    <s v="Music Room"/>
    <x v="2"/>
    <s v="In Progress"/>
    <x v="0"/>
    <x v="0"/>
    <x v="0"/>
    <x v="9"/>
    <x v="198"/>
    <b v="1"/>
    <x v="467"/>
    <s v="FS1018-PIN-ZZ-00-D-O-1109"/>
  </r>
  <r>
    <x v="467"/>
    <s v="Music Room"/>
    <x v="2"/>
    <s v="In Progress"/>
    <x v="16"/>
    <x v="1"/>
    <x v="1"/>
    <x v="1"/>
    <x v="1"/>
    <b v="1"/>
    <x v="467"/>
    <s v="FS1018-PIN-ZZ-00-D-O-1109"/>
  </r>
  <r>
    <x v="468"/>
    <s v="DT Workshop 1"/>
    <x v="10"/>
    <s v="In Progress"/>
    <x v="0"/>
    <x v="0"/>
    <x v="0"/>
    <x v="9"/>
    <x v="199"/>
    <b v="1"/>
    <x v="468"/>
    <s v="FS1018-PIN-ZZ-00-D-O-1110"/>
  </r>
  <r>
    <x v="468"/>
    <s v="DT Workshop 1"/>
    <x v="10"/>
    <s v="In Progress"/>
    <x v="16"/>
    <x v="1"/>
    <x v="1"/>
    <x v="1"/>
    <x v="1"/>
    <b v="1"/>
    <x v="468"/>
    <s v="FS1018-PIN-ZZ-00-D-O-1110"/>
  </r>
  <r>
    <x v="469"/>
    <s v="Food Room 1 Option 1"/>
    <x v="3"/>
    <s v="In Progress"/>
    <x v="0"/>
    <x v="0"/>
    <x v="0"/>
    <x v="9"/>
    <x v="200"/>
    <b v="1"/>
    <x v="469"/>
    <s v="FS1018-PIN-ZZ-00-D-O-1111"/>
  </r>
  <r>
    <x v="469"/>
    <s v="Food Room 1 Option 1"/>
    <x v="3"/>
    <s v="In Progress"/>
    <x v="16"/>
    <x v="1"/>
    <x v="1"/>
    <x v="1"/>
    <x v="1"/>
    <b v="1"/>
    <x v="469"/>
    <s v="FS1018-PIN-ZZ-00-D-O-1111"/>
  </r>
  <r>
    <x v="470"/>
    <s v="DT Studio Graphic Products"/>
    <x v="12"/>
    <s v="In Progress"/>
    <x v="0"/>
    <x v="0"/>
    <x v="0"/>
    <x v="9"/>
    <x v="201"/>
    <b v="1"/>
    <x v="470"/>
    <s v="FS1018-PIN-ZZ-00-D-O-1112"/>
  </r>
  <r>
    <x v="470"/>
    <s v="DT Studio Graphic Products"/>
    <x v="12"/>
    <s v="In Progress"/>
    <x v="16"/>
    <x v="1"/>
    <x v="1"/>
    <x v="1"/>
    <x v="1"/>
    <b v="1"/>
    <x v="470"/>
    <s v="FS1018-PIN-ZZ-00-D-O-1112"/>
  </r>
  <r>
    <x v="471"/>
    <s v="DT Studio Electronics And Control"/>
    <x v="12"/>
    <s v="In Progress"/>
    <x v="0"/>
    <x v="0"/>
    <x v="0"/>
    <x v="9"/>
    <x v="202"/>
    <b v="1"/>
    <x v="471"/>
    <s v="FS1018-PIN-ZZ-00-D-O-1113"/>
  </r>
  <r>
    <x v="471"/>
    <s v="DT Studio Electronics And Control"/>
    <x v="12"/>
    <s v="In Progress"/>
    <x v="16"/>
    <x v="1"/>
    <x v="1"/>
    <x v="1"/>
    <x v="1"/>
    <b v="1"/>
    <x v="471"/>
    <s v="FS1018-PIN-ZZ-00-D-O-1113"/>
  </r>
  <r>
    <x v="472"/>
    <s v="Food Room 1"/>
    <x v="10"/>
    <s v="In Progress"/>
    <x v="0"/>
    <x v="0"/>
    <x v="0"/>
    <x v="9"/>
    <x v="203"/>
    <b v="1"/>
    <x v="472"/>
    <s v="FS1018-PIN-ZZ-00-D-O-1211"/>
  </r>
  <r>
    <x v="472"/>
    <s v="Food Room 1"/>
    <x v="10"/>
    <s v="In Progress"/>
    <x v="16"/>
    <x v="1"/>
    <x v="1"/>
    <x v="1"/>
    <x v="1"/>
    <b v="1"/>
    <x v="472"/>
    <s v="FS1018-PIN-ZZ-00-D-O-1211"/>
  </r>
  <r>
    <x v="473"/>
    <s v="Assembly Hall, Dining Layout"/>
    <x v="12"/>
    <s v="In Progress"/>
    <x v="0"/>
    <x v="0"/>
    <x v="0"/>
    <x v="3"/>
    <x v="204"/>
    <b v="1"/>
    <x v="473"/>
    <s v="FS1018-PIN-ZZ-00-D-O-2001"/>
  </r>
  <r>
    <x v="473"/>
    <s v="Assembly Hall, Dining Layout"/>
    <x v="12"/>
    <s v="In Progress"/>
    <x v="4"/>
    <x v="1"/>
    <x v="1"/>
    <x v="1"/>
    <x v="1"/>
    <b v="1"/>
    <x v="473"/>
    <s v="FS1018-PIN-ZZ-00-D-O-2001"/>
  </r>
  <r>
    <x v="474"/>
    <s v="Sports Hall Exam Layout"/>
    <x v="2"/>
    <s v="In Progress"/>
    <x v="0"/>
    <x v="0"/>
    <x v="0"/>
    <x v="9"/>
    <x v="205"/>
    <b v="1"/>
    <x v="474"/>
    <s v="FS1018-PIN-ZZ-00-D-O-2002"/>
  </r>
  <r>
    <x v="474"/>
    <s v="Sports Hall Exam Layout"/>
    <x v="2"/>
    <s v="In Progress"/>
    <x v="16"/>
    <x v="1"/>
    <x v="1"/>
    <x v="1"/>
    <x v="1"/>
    <b v="1"/>
    <x v="474"/>
    <s v="FS1018-PIN-ZZ-00-D-O-2002"/>
  </r>
  <r>
    <x v="475"/>
    <s v="Assembly Hall, Assembly Layout"/>
    <x v="2"/>
    <s v="In Progress"/>
    <x v="0"/>
    <x v="0"/>
    <x v="0"/>
    <x v="3"/>
    <x v="206"/>
    <b v="1"/>
    <x v="475"/>
    <s v="FS1018-PIN-ZZ-00-D-O-2003"/>
  </r>
  <r>
    <x v="475"/>
    <s v="Assembly Hall, Assembly Layout"/>
    <x v="2"/>
    <s v="In Progress"/>
    <x v="4"/>
    <x v="1"/>
    <x v="1"/>
    <x v="1"/>
    <x v="1"/>
    <b v="1"/>
    <x v="475"/>
    <s v="FS1018-PIN-ZZ-00-D-O-2003"/>
  </r>
  <r>
    <x v="476"/>
    <s v="Sports Hall Sport Layout"/>
    <x v="10"/>
    <s v="Completed"/>
    <x v="0"/>
    <x v="0"/>
    <x v="2"/>
    <x v="9"/>
    <x v="2"/>
    <b v="1"/>
    <x v="476"/>
    <s v="FS1018-PIN-ZZ-00-D-O-3002"/>
  </r>
  <r>
    <x v="477"/>
    <s v="LRC"/>
    <x v="3"/>
    <s v="In Progress"/>
    <x v="0"/>
    <x v="0"/>
    <x v="0"/>
    <x v="9"/>
    <x v="207"/>
    <b v="1"/>
    <x v="477"/>
    <s v="FS1018-PIN-ZZ-00-D-O-3004"/>
  </r>
  <r>
    <x v="477"/>
    <s v="LRC"/>
    <x v="3"/>
    <s v="In Progress"/>
    <x v="16"/>
    <x v="1"/>
    <x v="1"/>
    <x v="1"/>
    <x v="1"/>
    <b v="1"/>
    <x v="477"/>
    <s v="FS1018-PIN-ZZ-00-D-O-3004"/>
  </r>
  <r>
    <x v="478"/>
    <s v="Enclosed Office, Admin Head 1"/>
    <x v="0"/>
    <s v="In Progress"/>
    <x v="0"/>
    <x v="0"/>
    <x v="0"/>
    <x v="9"/>
    <x v="208"/>
    <b v="1"/>
    <x v="478"/>
    <s v="FS1018-PIN-ZZ-00-D-O-4003"/>
  </r>
  <r>
    <x v="478"/>
    <s v="Enclosed Office, Admin Head 1"/>
    <x v="0"/>
    <s v="In Progress"/>
    <x v="16"/>
    <x v="1"/>
    <x v="1"/>
    <x v="1"/>
    <x v="1"/>
    <b v="1"/>
    <x v="478"/>
    <s v="FS1018-PIN-ZZ-00-D-O-4003"/>
  </r>
  <r>
    <x v="479"/>
    <s v="Enclosed Office, Admin PA 1"/>
    <x v="0"/>
    <s v="Completed"/>
    <x v="0"/>
    <x v="0"/>
    <x v="2"/>
    <x v="9"/>
    <x v="2"/>
    <b v="1"/>
    <x v="479"/>
    <s v="FS1018-PIN-ZZ-00-D-O-4004"/>
  </r>
  <r>
    <x v="480"/>
    <s v="Reprographics Room 1"/>
    <x v="0"/>
    <s v="Completed"/>
    <x v="0"/>
    <x v="0"/>
    <x v="2"/>
    <x v="9"/>
    <x v="2"/>
    <b v="1"/>
    <x v="480"/>
    <s v="FS1018-PIN-ZZ-00-D-O-4005"/>
  </r>
  <r>
    <x v="481"/>
    <s v="Enclosed Office, With Recep Desk And Window 1"/>
    <x v="0"/>
    <s v="In Progress"/>
    <x v="0"/>
    <x v="0"/>
    <x v="0"/>
    <x v="9"/>
    <x v="209"/>
    <b v="1"/>
    <x v="481"/>
    <s v="FS1018-PIN-ZZ-00-D-O-4006"/>
  </r>
  <r>
    <x v="481"/>
    <s v="Enclosed Office, With Recep Desk And Window 1"/>
    <x v="0"/>
    <s v="In Progress"/>
    <x v="16"/>
    <x v="1"/>
    <x v="1"/>
    <x v="1"/>
    <x v="1"/>
    <b v="1"/>
    <x v="481"/>
    <s v="FS1018-PIN-ZZ-00-D-O-4006"/>
  </r>
  <r>
    <x v="482"/>
    <s v="Reception Area, Entrance 50% Circulation"/>
    <x v="3"/>
    <s v="In Progress"/>
    <x v="0"/>
    <x v="0"/>
    <x v="0"/>
    <x v="9"/>
    <x v="210"/>
    <b v="1"/>
    <x v="482"/>
    <s v="FS1018-PIN-ZZ-00-D-O-4008"/>
  </r>
  <r>
    <x v="482"/>
    <s v="Reception Area, Entrance 50% Circulation"/>
    <x v="3"/>
    <s v="In Progress"/>
    <x v="16"/>
    <x v="1"/>
    <x v="1"/>
    <x v="1"/>
    <x v="1"/>
    <b v="1"/>
    <x v="482"/>
    <s v="FS1018-PIN-ZZ-00-D-O-4008"/>
  </r>
  <r>
    <x v="483"/>
    <s v="Confidential Meeting Room Interview 1"/>
    <x v="3"/>
    <s v="Completed"/>
    <x v="0"/>
    <x v="0"/>
    <x v="2"/>
    <x v="9"/>
    <x v="2"/>
    <b v="1"/>
    <x v="483"/>
    <s v="FS1018-PIN-ZZ-00-D-O-4009"/>
  </r>
  <r>
    <x v="484"/>
    <s v="Office With Meeting Area, 2 Person 4"/>
    <x v="0"/>
    <s v="In Progress"/>
    <x v="0"/>
    <x v="0"/>
    <x v="0"/>
    <x v="9"/>
    <x v="211"/>
    <b v="1"/>
    <x v="484"/>
    <s v="FS1018-PIN-ZZ-00-D-O-4015"/>
  </r>
  <r>
    <x v="484"/>
    <s v="Office With Meeting Area, 2 Person 4"/>
    <x v="0"/>
    <s v="In Progress"/>
    <x v="16"/>
    <x v="1"/>
    <x v="1"/>
    <x v="1"/>
    <x v="1"/>
    <b v="1"/>
    <x v="484"/>
    <s v="FS1018-PIN-ZZ-00-D-O-4015"/>
  </r>
  <r>
    <x v="485"/>
    <s v="Staff Workroom Premises 1 And Equipment Store, Maintenance 1"/>
    <x v="0"/>
    <s v="Completed"/>
    <x v="0"/>
    <x v="0"/>
    <x v="2"/>
    <x v="9"/>
    <x v="2"/>
    <b v="1"/>
    <x v="485"/>
    <s v="FS1018-PIN-ZZ-00-D-O-4018"/>
  </r>
  <r>
    <x v="486"/>
    <s v="Confidential Meeting Room Interview 1"/>
    <x v="3"/>
    <s v="In Progress"/>
    <x v="0"/>
    <x v="0"/>
    <x v="0"/>
    <x v="9"/>
    <x v="210"/>
    <b v="1"/>
    <x v="486"/>
    <s v="FS1018-PIN-ZZ-00-D-O-5003"/>
  </r>
  <r>
    <x v="486"/>
    <s v="Confidential Meeting Room Interview 1"/>
    <x v="3"/>
    <s v="In Progress"/>
    <x v="16"/>
    <x v="1"/>
    <x v="1"/>
    <x v="1"/>
    <x v="1"/>
    <b v="1"/>
    <x v="486"/>
    <s v="FS1018-PIN-ZZ-00-D-O-5003"/>
  </r>
  <r>
    <x v="487"/>
    <s v="DT Prep Room 1"/>
    <x v="0"/>
    <s v="Completed"/>
    <x v="0"/>
    <x v="0"/>
    <x v="2"/>
    <x v="9"/>
    <x v="2"/>
    <b v="1"/>
    <x v="487"/>
    <s v="FS1018-PIN-ZZ-00-D-O-5007"/>
  </r>
  <r>
    <x v="488"/>
    <s v="Food Prep Room 1"/>
    <x v="0"/>
    <s v="Completed"/>
    <x v="0"/>
    <x v="0"/>
    <x v="2"/>
    <x v="9"/>
    <x v="2"/>
    <b v="1"/>
    <x v="488"/>
    <s v="FS1018-PIN-ZZ-00-D-O-5008"/>
  </r>
  <r>
    <x v="489"/>
    <s v="Teaching Resources Store Off DT Studio"/>
    <x v="3"/>
    <s v="Completed"/>
    <x v="0"/>
    <x v="0"/>
    <x v="2"/>
    <x v="9"/>
    <x v="2"/>
    <b v="1"/>
    <x v="489"/>
    <s v="FS1018-PIN-ZZ-00-D-O-5009"/>
  </r>
  <r>
    <x v="490"/>
    <s v="Teaching Resources Store Off DT Studio"/>
    <x v="3"/>
    <s v="Completed"/>
    <x v="0"/>
    <x v="0"/>
    <x v="2"/>
    <x v="9"/>
    <x v="2"/>
    <b v="1"/>
    <x v="490"/>
    <s v="FS1018-PIN-ZZ-00-D-O-5011"/>
  </r>
  <r>
    <x v="491"/>
    <s v="Teaching Resources Store Music 1"/>
    <x v="3"/>
    <s v="Completed"/>
    <x v="0"/>
    <x v="0"/>
    <x v="2"/>
    <x v="9"/>
    <x v="2"/>
    <b v="1"/>
    <x v="491"/>
    <s v="FS1018-PIN-ZZ-00-D-O-5013"/>
  </r>
  <r>
    <x v="492"/>
    <s v="Sports Equipment Store, Internal Sports Hall 1"/>
    <x v="0"/>
    <s v="Completed"/>
    <x v="0"/>
    <x v="0"/>
    <x v="2"/>
    <x v="9"/>
    <x v="2"/>
    <b v="1"/>
    <x v="492"/>
    <s v="FS1018-PIN-ZZ-00-D-O-5018"/>
  </r>
  <r>
    <x v="493"/>
    <s v="Sports Equipment Store, External 1"/>
    <x v="0"/>
    <s v="Completed"/>
    <x v="0"/>
    <x v="0"/>
    <x v="2"/>
    <x v="9"/>
    <x v="2"/>
    <b v="1"/>
    <x v="493"/>
    <s v="FS1018-PIN-ZZ-00-D-O-5019"/>
  </r>
  <r>
    <x v="494"/>
    <s v="Secure Storeroom 1"/>
    <x v="0"/>
    <s v="Completed"/>
    <x v="0"/>
    <x v="0"/>
    <x v="2"/>
    <x v="9"/>
    <x v="2"/>
    <b v="1"/>
    <x v="494"/>
    <s v="FS1018-PIN-ZZ-00-D-O-5103"/>
  </r>
  <r>
    <x v="495"/>
    <s v="Coats And Bag Store Lockers 1"/>
    <x v="3"/>
    <s v="In Progress"/>
    <x v="0"/>
    <x v="0"/>
    <x v="3"/>
    <x v="9"/>
    <x v="212"/>
    <b v="1"/>
    <x v="495"/>
    <s v="FS1018-PIN-ZZ-00-D-O-5109"/>
  </r>
  <r>
    <x v="495"/>
    <s v="Coats And Bag Store Lockers 1"/>
    <x v="3"/>
    <s v="In Progress"/>
    <x v="16"/>
    <x v="1"/>
    <x v="1"/>
    <x v="1"/>
    <x v="1"/>
    <b v="1"/>
    <x v="495"/>
    <s v="FS1018-PIN-ZZ-00-D-O-5109"/>
  </r>
  <r>
    <x v="496"/>
    <s v="Cleaners Store"/>
    <x v="3"/>
    <s v="In Progress"/>
    <x v="0"/>
    <x v="0"/>
    <x v="3"/>
    <x v="9"/>
    <x v="213"/>
    <b v="1"/>
    <x v="496"/>
    <s v="FS1018-PIN-ZZ-00-D-O-5114"/>
  </r>
  <r>
    <x v="496"/>
    <s v="Cleaners Store"/>
    <x v="3"/>
    <s v="In Progress"/>
    <x v="16"/>
    <x v="1"/>
    <x v="1"/>
    <x v="1"/>
    <x v="1"/>
    <b v="1"/>
    <x v="496"/>
    <s v="FS1018-PIN-ZZ-00-D-O-5114"/>
  </r>
  <r>
    <x v="497"/>
    <s v="Cleaners Store"/>
    <x v="3"/>
    <s v="In Progress"/>
    <x v="0"/>
    <x v="0"/>
    <x v="3"/>
    <x v="9"/>
    <x v="214"/>
    <b v="1"/>
    <x v="497"/>
    <s v="FS1018-PIN-ZZ-00-D-O-5117"/>
  </r>
  <r>
    <x v="497"/>
    <s v="Cleaners Store"/>
    <x v="3"/>
    <s v="In Progress"/>
    <x v="16"/>
    <x v="1"/>
    <x v="1"/>
    <x v="1"/>
    <x v="1"/>
    <b v="1"/>
    <x v="497"/>
    <s v="FS1018-PIN-ZZ-00-D-O-5117"/>
  </r>
  <r>
    <x v="498"/>
    <s v="Dining And Catering"/>
    <x v="3"/>
    <s v="In Progress"/>
    <x v="0"/>
    <x v="0"/>
    <x v="0"/>
    <x v="9"/>
    <x v="215"/>
    <b v="1"/>
    <x v="498"/>
    <s v="FS1018-PIN-ZZ-00-D-O-6001"/>
  </r>
  <r>
    <x v="498"/>
    <s v="Dining And Catering"/>
    <x v="3"/>
    <s v="In Progress"/>
    <x v="16"/>
    <x v="1"/>
    <x v="1"/>
    <x v="1"/>
    <x v="1"/>
    <b v="1"/>
    <x v="498"/>
    <s v="FS1018-PIN-ZZ-00-D-O-6001"/>
  </r>
  <r>
    <x v="499"/>
    <s v="Office, Kitchen 1"/>
    <x v="0"/>
    <s v="In Progress"/>
    <x v="0"/>
    <x v="0"/>
    <x v="0"/>
    <x v="9"/>
    <x v="216"/>
    <b v="1"/>
    <x v="499"/>
    <s v="FS1018-PIN-ZZ-00-D-O-6002"/>
  </r>
  <r>
    <x v="499"/>
    <s v="Office, Kitchen 1"/>
    <x v="0"/>
    <s v="In Progress"/>
    <x v="16"/>
    <x v="1"/>
    <x v="1"/>
    <x v="1"/>
    <x v="1"/>
    <b v="1"/>
    <x v="499"/>
    <s v="FS1018-PIN-ZZ-00-D-O-6002"/>
  </r>
  <r>
    <x v="500"/>
    <s v="Food Store, Kitchen Dry 1"/>
    <x v="0"/>
    <s v="In Progress"/>
    <x v="0"/>
    <x v="0"/>
    <x v="0"/>
    <x v="9"/>
    <x v="216"/>
    <b v="1"/>
    <x v="500"/>
    <s v="FS1018-PIN-ZZ-00-D-O-6003"/>
  </r>
  <r>
    <x v="500"/>
    <s v="Food Store, Kitchen Dry 1"/>
    <x v="0"/>
    <s v="In Progress"/>
    <x v="16"/>
    <x v="1"/>
    <x v="1"/>
    <x v="1"/>
    <x v="1"/>
    <b v="1"/>
    <x v="500"/>
    <s v="FS1018-PIN-ZZ-00-D-O-6003"/>
  </r>
  <r>
    <x v="501"/>
    <s v="Cold Store, Kitchen 1"/>
    <x v="0"/>
    <s v="In Progress"/>
    <x v="0"/>
    <x v="0"/>
    <x v="0"/>
    <x v="9"/>
    <x v="217"/>
    <b v="1"/>
    <x v="501"/>
    <s v="FS1018-PIN-ZZ-00-D-O-6004"/>
  </r>
  <r>
    <x v="501"/>
    <s v="Cold Store, Kitchen 1"/>
    <x v="0"/>
    <s v="In Progress"/>
    <x v="16"/>
    <x v="1"/>
    <x v="1"/>
    <x v="1"/>
    <x v="1"/>
    <b v="1"/>
    <x v="501"/>
    <s v="FS1018-PIN-ZZ-00-D-O-6004"/>
  </r>
  <r>
    <x v="502"/>
    <s v="Cold Store, Kitchen Freezer 1"/>
    <x v="3"/>
    <s v="In Progress"/>
    <x v="0"/>
    <x v="0"/>
    <x v="0"/>
    <x v="9"/>
    <x v="218"/>
    <b v="1"/>
    <x v="502"/>
    <s v="FS1018-PIN-ZZ-00-D-O-6005"/>
  </r>
  <r>
    <x v="502"/>
    <s v="Cold Store, Kitchen Freezer 1"/>
    <x v="3"/>
    <s v="In Progress"/>
    <x v="16"/>
    <x v="1"/>
    <x v="1"/>
    <x v="1"/>
    <x v="1"/>
    <b v="1"/>
    <x v="502"/>
    <s v="FS1018-PIN-ZZ-00-D-O-6005"/>
  </r>
  <r>
    <x v="503"/>
    <s v="Toilet (With Changing Area) 1"/>
    <x v="0"/>
    <s v="In Progress"/>
    <x v="0"/>
    <x v="0"/>
    <x v="0"/>
    <x v="9"/>
    <x v="219"/>
    <b v="1"/>
    <x v="503"/>
    <s v="FS1018-PIN-ZZ-00-D-O-6006"/>
  </r>
  <r>
    <x v="503"/>
    <s v="Toilet (With Changing Area) 1"/>
    <x v="0"/>
    <s v="In Progress"/>
    <x v="16"/>
    <x v="1"/>
    <x v="1"/>
    <x v="1"/>
    <x v="1"/>
    <b v="1"/>
    <x v="503"/>
    <s v="FS1018-PIN-ZZ-00-D-O-6006"/>
  </r>
  <r>
    <x v="504"/>
    <s v="Changing Room, With Showers Pupils 1 And Toilets, Suite Pupils, Other 1"/>
    <x v="2"/>
    <s v="In Progress"/>
    <x v="0"/>
    <x v="0"/>
    <x v="0"/>
    <x v="9"/>
    <x v="220"/>
    <b v="1"/>
    <x v="504"/>
    <s v="FS1018-PIN-ZZ-00-D-O-6007"/>
  </r>
  <r>
    <x v="504"/>
    <s v="Changing Room, With Showers Pupils 1 And Toilets, Suite Pupils, Other 1"/>
    <x v="2"/>
    <s v="In Progress"/>
    <x v="16"/>
    <x v="1"/>
    <x v="1"/>
    <x v="1"/>
    <x v="1"/>
    <b v="1"/>
    <x v="504"/>
    <s v="FS1018-PIN-ZZ-00-D-O-6007"/>
  </r>
  <r>
    <x v="505"/>
    <s v="Changing Room, With Showers Pupils 2 And Toilets, Suite Pupils, Other 2"/>
    <x v="3"/>
    <s v="In Progress"/>
    <x v="0"/>
    <x v="0"/>
    <x v="0"/>
    <x v="9"/>
    <x v="220"/>
    <b v="1"/>
    <x v="505"/>
    <s v="FS1018-PIN-ZZ-00-D-O-6008"/>
  </r>
  <r>
    <x v="505"/>
    <s v="Changing Room, With Showers Pupils 2 And Toilets, Suite Pupils, Other 2"/>
    <x v="3"/>
    <s v="In Progress"/>
    <x v="16"/>
    <x v="1"/>
    <x v="1"/>
    <x v="1"/>
    <x v="1"/>
    <b v="1"/>
    <x v="505"/>
    <s v="FS1018-PIN-ZZ-00-D-O-6008"/>
  </r>
  <r>
    <x v="506"/>
    <s v="Music Practice Room 2"/>
    <x v="2"/>
    <s v="Completed"/>
    <x v="0"/>
    <x v="0"/>
    <x v="2"/>
    <x v="9"/>
    <x v="2"/>
    <b v="1"/>
    <x v="506"/>
    <s v="FS1018-PIN-ZZ-00-D-O-6009"/>
  </r>
  <r>
    <x v="507"/>
    <s v="Hygiene Room 1"/>
    <x v="0"/>
    <s v="Completed"/>
    <x v="0"/>
    <x v="0"/>
    <x v="2"/>
    <x v="9"/>
    <x v="2"/>
    <b v="1"/>
    <x v="507"/>
    <s v="FS1018-PIN-ZZ-00-D-O-6011"/>
  </r>
  <r>
    <x v="508"/>
    <s v="First Aid Post Sick Bay 1 And Stairway 7"/>
    <x v="0"/>
    <s v="Completed"/>
    <x v="0"/>
    <x v="0"/>
    <x v="2"/>
    <x v="9"/>
    <x v="2"/>
    <b v="1"/>
    <x v="508"/>
    <s v="FS1018-PIN-ZZ-00-D-O-6042"/>
  </r>
  <r>
    <x v="509"/>
    <s v="Circulation Space Horizontal On And Coats And Bag Store Lockers 1"/>
    <x v="0"/>
    <s v="In Progress"/>
    <x v="0"/>
    <x v="0"/>
    <x v="3"/>
    <x v="9"/>
    <x v="212"/>
    <b v="1"/>
    <x v="509"/>
    <s v="FS1018-PIN-ZZ-00-D-O-6069"/>
  </r>
  <r>
    <x v="509"/>
    <s v="Circulation Space Horizontal On And Coats And Bag Store Lockers 1"/>
    <x v="0"/>
    <s v="In Progress"/>
    <x v="16"/>
    <x v="1"/>
    <x v="1"/>
    <x v="1"/>
    <x v="1"/>
    <b v="1"/>
    <x v="509"/>
    <s v="FS1018-PIN-ZZ-00-D-O-6069"/>
  </r>
  <r>
    <x v="510"/>
    <s v="Dining And Catering 3D"/>
    <x v="2"/>
    <s v="In Progress"/>
    <x v="0"/>
    <x v="0"/>
    <x v="0"/>
    <x v="9"/>
    <x v="221"/>
    <b v="1"/>
    <x v="510"/>
    <s v="FS1018-PIN-ZZ-00-D-O-7001"/>
  </r>
  <r>
    <x v="510"/>
    <s v="Dining And Catering 3D"/>
    <x v="2"/>
    <s v="In Progress"/>
    <x v="16"/>
    <x v="1"/>
    <x v="1"/>
    <x v="1"/>
    <x v="1"/>
    <b v="1"/>
    <x v="510"/>
    <s v="FS1018-PIN-ZZ-00-D-O-7001"/>
  </r>
  <r>
    <x v="511"/>
    <s v="Dishwashing"/>
    <x v="2"/>
    <s v="In Progress"/>
    <x v="0"/>
    <x v="0"/>
    <x v="0"/>
    <x v="9"/>
    <x v="222"/>
    <b v="1"/>
    <x v="511"/>
    <s v="FS1018-PIN-ZZ-00-D-O-7003"/>
  </r>
  <r>
    <x v="511"/>
    <s v="Dishwashing"/>
    <x v="2"/>
    <s v="In Progress"/>
    <x v="16"/>
    <x v="1"/>
    <x v="1"/>
    <x v="1"/>
    <x v="1"/>
    <b v="1"/>
    <x v="511"/>
    <s v="FS1018-PIN-ZZ-00-D-O-7003"/>
  </r>
  <r>
    <x v="512"/>
    <s v="Food Prep Area, Kitchen Servery And Wash Up 1 Electrical Plan"/>
    <x v="3"/>
    <s v="In Progress"/>
    <x v="0"/>
    <x v="0"/>
    <x v="0"/>
    <x v="2"/>
    <x v="223"/>
    <b v="1"/>
    <x v="512"/>
    <s v="FS1018-PIN-ZZ-00-D-O-7101"/>
  </r>
  <r>
    <x v="512"/>
    <s v="Food Prep Area, Kitchen Servery And Wash Up 1 Electrical Plan"/>
    <x v="3"/>
    <s v="In Progress"/>
    <x v="3"/>
    <x v="1"/>
    <x v="1"/>
    <x v="1"/>
    <x v="1"/>
    <b v="1"/>
    <x v="512"/>
    <s v="FS1018-PIN-ZZ-00-D-O-7101"/>
  </r>
  <r>
    <x v="513"/>
    <s v="Food Prep Area, Kitchen Servery And Wash Up 1 Electrical Elevations"/>
    <x v="3"/>
    <s v="In Progress"/>
    <x v="0"/>
    <x v="0"/>
    <x v="0"/>
    <x v="2"/>
    <x v="223"/>
    <b v="1"/>
    <x v="513"/>
    <s v="FS1018-PIN-ZZ-00-D-O-7201"/>
  </r>
  <r>
    <x v="513"/>
    <s v="Food Prep Area, Kitchen Servery And Wash Up 1 Electrical Elevations"/>
    <x v="3"/>
    <s v="In Progress"/>
    <x v="3"/>
    <x v="1"/>
    <x v="1"/>
    <x v="1"/>
    <x v="1"/>
    <b v="1"/>
    <x v="513"/>
    <s v="FS1018-PIN-ZZ-00-D-O-7201"/>
  </r>
  <r>
    <x v="514"/>
    <s v="Food Prep Area, Kitchen Servery And Wash Up 1 Mechanical Plan"/>
    <x v="3"/>
    <s v="In Progress"/>
    <x v="0"/>
    <x v="0"/>
    <x v="0"/>
    <x v="2"/>
    <x v="224"/>
    <b v="1"/>
    <x v="514"/>
    <s v="FS1018-PIN-ZZ-00-D-O-7301"/>
  </r>
  <r>
    <x v="514"/>
    <s v="Food Prep Area, Kitchen Servery And Wash Up 1 Mechanical Plan"/>
    <x v="3"/>
    <s v="In Progress"/>
    <x v="3"/>
    <x v="1"/>
    <x v="1"/>
    <x v="1"/>
    <x v="1"/>
    <b v="1"/>
    <x v="514"/>
    <s v="FS1018-PIN-ZZ-00-D-O-7301"/>
  </r>
  <r>
    <x v="515"/>
    <s v="Food Prep Area, Kitchen Servery And Wash Up 1 Mechanical Elevations"/>
    <x v="3"/>
    <s v="In Progress"/>
    <x v="0"/>
    <x v="0"/>
    <x v="0"/>
    <x v="2"/>
    <x v="225"/>
    <b v="1"/>
    <x v="515"/>
    <s v="FS1018-PIN-ZZ-00-D-O-7401"/>
  </r>
  <r>
    <x v="515"/>
    <s v="Food Prep Area, Kitchen Servery And Wash Up 1 Mechanical Elevations"/>
    <x v="3"/>
    <s v="In Progress"/>
    <x v="3"/>
    <x v="1"/>
    <x v="1"/>
    <x v="1"/>
    <x v="1"/>
    <b v="1"/>
    <x v="515"/>
    <s v="FS1018-PIN-ZZ-00-D-O-7401"/>
  </r>
  <r>
    <x v="516"/>
    <s v="Dishwash Services Requirements"/>
    <x v="3"/>
    <s v="In Progress"/>
    <x v="0"/>
    <x v="0"/>
    <x v="0"/>
    <x v="2"/>
    <x v="226"/>
    <b v="1"/>
    <x v="516"/>
    <s v="FS1018-PIN-ZZ-00-D-O-7501"/>
  </r>
  <r>
    <x v="516"/>
    <s v="Dishwash Services Requirements"/>
    <x v="3"/>
    <s v="In Progress"/>
    <x v="3"/>
    <x v="1"/>
    <x v="1"/>
    <x v="1"/>
    <x v="1"/>
    <b v="1"/>
    <x v="516"/>
    <s v="FS1018-PIN-ZZ-00-D-O-7501"/>
  </r>
  <r>
    <x v="517"/>
    <s v="Music Practice Room 1"/>
    <x v="2"/>
    <s v="Completed"/>
    <x v="0"/>
    <x v="0"/>
    <x v="2"/>
    <x v="9"/>
    <x v="2"/>
    <b v="1"/>
    <x v="517"/>
    <s v="FS1018-PIN-ZZ-00-D-O-8001"/>
  </r>
  <r>
    <x v="518"/>
    <s v="Music Practice Room Extensive 1"/>
    <x v="2"/>
    <s v="Completed"/>
    <x v="0"/>
    <x v="0"/>
    <x v="2"/>
    <x v="9"/>
    <x v="2"/>
    <b v="1"/>
    <x v="518"/>
    <s v="FS1018-PIN-ZZ-00-D-O-8003"/>
  </r>
  <r>
    <x v="519"/>
    <s v="Classroom Store, Room Off Sen Room 1"/>
    <x v="3"/>
    <s v="In Progress"/>
    <x v="0"/>
    <x v="0"/>
    <x v="0"/>
    <x v="9"/>
    <x v="227"/>
    <b v="1"/>
    <x v="519"/>
    <s v="FS1018-PIN-ZZ-00-D-O-9001"/>
  </r>
  <r>
    <x v="519"/>
    <s v="Classroom Store, Room Off Sen Room 1"/>
    <x v="3"/>
    <s v="In Progress"/>
    <x v="16"/>
    <x v="1"/>
    <x v="1"/>
    <x v="1"/>
    <x v="1"/>
    <b v="1"/>
    <x v="519"/>
    <s v="FS1018-PIN-ZZ-00-D-O-9001"/>
  </r>
  <r>
    <x v="520"/>
    <s v="Teaching Resources Store Music 2"/>
    <x v="3"/>
    <s v="Completed"/>
    <x v="0"/>
    <x v="0"/>
    <x v="2"/>
    <x v="9"/>
    <x v="2"/>
    <b v="1"/>
    <x v="520"/>
    <s v="FS1018-PIN-ZZ-00-D-O-9003"/>
  </r>
  <r>
    <x v="521"/>
    <s v="First Floor GA 1 Of 2"/>
    <x v="10"/>
    <s v="In Progress"/>
    <x v="0"/>
    <x v="0"/>
    <x v="0"/>
    <x v="9"/>
    <x v="2"/>
    <b v="1"/>
    <x v="521"/>
    <s v="FS1018-PIN-ZZ-01-D-O-1000"/>
  </r>
  <r>
    <x v="521"/>
    <s v="First Floor GA 1 Of 2"/>
    <x v="10"/>
    <s v="In Progress"/>
    <x v="16"/>
    <x v="1"/>
    <x v="1"/>
    <x v="1"/>
    <x v="1"/>
    <b v="1"/>
    <x v="521"/>
    <s v="FS1018-PIN-ZZ-01-D-O-1000"/>
  </r>
  <r>
    <x v="522"/>
    <s v="First Floor GA 2 Of 2"/>
    <x v="10"/>
    <s v="In Progress"/>
    <x v="0"/>
    <x v="0"/>
    <x v="0"/>
    <x v="9"/>
    <x v="228"/>
    <b v="1"/>
    <x v="522"/>
    <s v="FS1018-PIN-ZZ-01-D-O-1001"/>
  </r>
  <r>
    <x v="522"/>
    <s v="First Floor GA 2 Of 2"/>
    <x v="10"/>
    <s v="In Progress"/>
    <x v="16"/>
    <x v="1"/>
    <x v="1"/>
    <x v="1"/>
    <x v="1"/>
    <b v="1"/>
    <x v="522"/>
    <s v="FS1018-PIN-ZZ-01-D-O-1001"/>
  </r>
  <r>
    <x v="523"/>
    <s v="Classroom General 2"/>
    <x v="2"/>
    <s v="In Progress"/>
    <x v="0"/>
    <x v="0"/>
    <x v="0"/>
    <x v="9"/>
    <x v="229"/>
    <b v="1"/>
    <x v="523"/>
    <s v="FS1018-PIN-ZZ-01-D-O-1002"/>
  </r>
  <r>
    <x v="523"/>
    <s v="Classroom General 2"/>
    <x v="2"/>
    <s v="In Progress"/>
    <x v="16"/>
    <x v="1"/>
    <x v="1"/>
    <x v="1"/>
    <x v="1"/>
    <b v="1"/>
    <x v="523"/>
    <s v="FS1018-PIN-ZZ-01-D-O-1002"/>
  </r>
  <r>
    <x v="524"/>
    <s v="Classroom General 3"/>
    <x v="3"/>
    <s v="In Progress"/>
    <x v="0"/>
    <x v="0"/>
    <x v="0"/>
    <x v="9"/>
    <x v="229"/>
    <b v="1"/>
    <x v="524"/>
    <s v="FS1018-PIN-ZZ-01-D-O-1003"/>
  </r>
  <r>
    <x v="524"/>
    <s v="Classroom General 3"/>
    <x v="3"/>
    <s v="In Progress"/>
    <x v="16"/>
    <x v="1"/>
    <x v="1"/>
    <x v="1"/>
    <x v="1"/>
    <b v="1"/>
    <x v="524"/>
    <s v="FS1018-PIN-ZZ-01-D-O-1003"/>
  </r>
  <r>
    <x v="525"/>
    <s v="Classroom General 4"/>
    <x v="3"/>
    <s v="In Progress"/>
    <x v="0"/>
    <x v="0"/>
    <x v="0"/>
    <x v="9"/>
    <x v="230"/>
    <b v="1"/>
    <x v="525"/>
    <s v="FS1018-PIN-ZZ-01-D-O-1004"/>
  </r>
  <r>
    <x v="525"/>
    <s v="Classroom General 4"/>
    <x v="3"/>
    <s v="In Progress"/>
    <x v="16"/>
    <x v="1"/>
    <x v="1"/>
    <x v="1"/>
    <x v="1"/>
    <b v="1"/>
    <x v="525"/>
    <s v="FS1018-PIN-ZZ-01-D-O-1004"/>
  </r>
  <r>
    <x v="526"/>
    <s v="Classroom General 5"/>
    <x v="3"/>
    <s v="In Progress"/>
    <x v="0"/>
    <x v="0"/>
    <x v="0"/>
    <x v="9"/>
    <x v="229"/>
    <b v="1"/>
    <x v="526"/>
    <s v="FS1018-PIN-ZZ-01-D-O-1005"/>
  </r>
  <r>
    <x v="526"/>
    <s v="Classroom General 5"/>
    <x v="3"/>
    <s v="In Progress"/>
    <x v="16"/>
    <x v="1"/>
    <x v="1"/>
    <x v="1"/>
    <x v="1"/>
    <b v="1"/>
    <x v="526"/>
    <s v="FS1018-PIN-ZZ-01-D-O-1005"/>
  </r>
  <r>
    <x v="527"/>
    <s v="Classroom General 6"/>
    <x v="3"/>
    <s v="In Progress"/>
    <x v="0"/>
    <x v="0"/>
    <x v="0"/>
    <x v="9"/>
    <x v="229"/>
    <b v="1"/>
    <x v="527"/>
    <s v="FS1018-PIN-ZZ-01-D-O-1006"/>
  </r>
  <r>
    <x v="527"/>
    <s v="Classroom General 6"/>
    <x v="3"/>
    <s v="In Progress"/>
    <x v="16"/>
    <x v="1"/>
    <x v="1"/>
    <x v="1"/>
    <x v="1"/>
    <b v="1"/>
    <x v="527"/>
    <s v="FS1018-PIN-ZZ-01-D-O-1006"/>
  </r>
  <r>
    <x v="528"/>
    <s v="Classroom General 7"/>
    <x v="10"/>
    <s v="In Progress"/>
    <x v="0"/>
    <x v="0"/>
    <x v="0"/>
    <x v="9"/>
    <x v="230"/>
    <b v="1"/>
    <x v="528"/>
    <s v="FS1018-PIN-ZZ-01-D-O-1007"/>
  </r>
  <r>
    <x v="528"/>
    <s v="Classroom General 7"/>
    <x v="10"/>
    <s v="In Progress"/>
    <x v="16"/>
    <x v="1"/>
    <x v="1"/>
    <x v="1"/>
    <x v="1"/>
    <b v="1"/>
    <x v="528"/>
    <s v="FS1018-PIN-ZZ-01-D-O-1007"/>
  </r>
  <r>
    <x v="529"/>
    <s v="Classroom General 8"/>
    <x v="2"/>
    <s v="In Progress"/>
    <x v="0"/>
    <x v="0"/>
    <x v="0"/>
    <x v="9"/>
    <x v="231"/>
    <b v="1"/>
    <x v="529"/>
    <s v="FS1018-PIN-ZZ-01-D-O-1008"/>
  </r>
  <r>
    <x v="529"/>
    <s v="Classroom General 8"/>
    <x v="2"/>
    <s v="In Progress"/>
    <x v="16"/>
    <x v="1"/>
    <x v="1"/>
    <x v="1"/>
    <x v="1"/>
    <b v="1"/>
    <x v="529"/>
    <s v="FS1018-PIN-ZZ-01-D-O-1008"/>
  </r>
  <r>
    <x v="530"/>
    <s v="Classroom General 9"/>
    <x v="3"/>
    <s v="In Progress"/>
    <x v="0"/>
    <x v="0"/>
    <x v="0"/>
    <x v="9"/>
    <x v="232"/>
    <b v="1"/>
    <x v="530"/>
    <s v="FS1018-PIN-ZZ-01-D-O-1009"/>
  </r>
  <r>
    <x v="530"/>
    <s v="Classroom General 9"/>
    <x v="3"/>
    <s v="In Progress"/>
    <x v="16"/>
    <x v="1"/>
    <x v="1"/>
    <x v="1"/>
    <x v="1"/>
    <b v="1"/>
    <x v="530"/>
    <s v="FS1018-PIN-ZZ-01-D-O-1009"/>
  </r>
  <r>
    <x v="531"/>
    <s v="Classroom General 1"/>
    <x v="10"/>
    <s v="In Progress"/>
    <x v="0"/>
    <x v="0"/>
    <x v="0"/>
    <x v="9"/>
    <x v="230"/>
    <b v="1"/>
    <x v="531"/>
    <s v="FS1018-PIN-ZZ-01-D-O-1021"/>
  </r>
  <r>
    <x v="531"/>
    <s v="Classroom General 1"/>
    <x v="10"/>
    <s v="In Progress"/>
    <x v="16"/>
    <x v="1"/>
    <x v="1"/>
    <x v="1"/>
    <x v="1"/>
    <b v="1"/>
    <x v="531"/>
    <s v="FS1018-PIN-ZZ-01-D-O-1021"/>
  </r>
  <r>
    <x v="532"/>
    <s v="ICT Rich Classroom 1"/>
    <x v="5"/>
    <s v="In Progress"/>
    <x v="0"/>
    <x v="0"/>
    <x v="0"/>
    <x v="9"/>
    <x v="233"/>
    <b v="1"/>
    <x v="532"/>
    <s v="FS1018-PIN-ZZ-01-D-O-1101"/>
  </r>
  <r>
    <x v="532"/>
    <s v="ICT Rich Classroom 1"/>
    <x v="5"/>
    <s v="In Progress"/>
    <x v="16"/>
    <x v="1"/>
    <x v="1"/>
    <x v="1"/>
    <x v="1"/>
    <b v="1"/>
    <x v="532"/>
    <s v="FS1018-PIN-ZZ-01-D-O-1101"/>
  </r>
  <r>
    <x v="533"/>
    <s v="ICT Rich Classroom 2"/>
    <x v="2"/>
    <s v="In Progress"/>
    <x v="0"/>
    <x v="0"/>
    <x v="0"/>
    <x v="9"/>
    <x v="234"/>
    <b v="1"/>
    <x v="533"/>
    <s v="FS1018-PIN-ZZ-01-D-O-1102"/>
  </r>
  <r>
    <x v="533"/>
    <s v="ICT Rich Classroom 2"/>
    <x v="2"/>
    <s v="In Progress"/>
    <x v="16"/>
    <x v="1"/>
    <x v="1"/>
    <x v="1"/>
    <x v="1"/>
    <b v="1"/>
    <x v="533"/>
    <s v="FS1018-PIN-ZZ-01-D-O-1102"/>
  </r>
  <r>
    <x v="534"/>
    <s v="Art Room General"/>
    <x v="10"/>
    <s v="Completed"/>
    <x v="0"/>
    <x v="0"/>
    <x v="2"/>
    <x v="9"/>
    <x v="2"/>
    <b v="1"/>
    <x v="534"/>
    <s v="FS1018-PIN-ZZ-01-D-O-1108"/>
  </r>
  <r>
    <x v="535"/>
    <s v="Medical Treatment Mi Room 1 And 3007 Sen Resource Space 1"/>
    <x v="2"/>
    <s v="In Progress"/>
    <x v="0"/>
    <x v="0"/>
    <x v="0"/>
    <x v="9"/>
    <x v="235"/>
    <b v="1"/>
    <x v="535"/>
    <s v="FS1018-PIN-ZZ-01-D-O-3006"/>
  </r>
  <r>
    <x v="535"/>
    <s v="Medical Treatment Mi Room 1 And 3007 Sen Resource Space 1"/>
    <x v="2"/>
    <s v="In Progress"/>
    <x v="16"/>
    <x v="1"/>
    <x v="1"/>
    <x v="1"/>
    <x v="1"/>
    <b v="1"/>
    <x v="535"/>
    <s v="FS1018-PIN-ZZ-01-D-O-3006"/>
  </r>
  <r>
    <x v="536"/>
    <s v="Small Group Room Large Sen Etc. 1"/>
    <x v="3"/>
    <s v="In Progress"/>
    <x v="0"/>
    <x v="0"/>
    <x v="0"/>
    <x v="9"/>
    <x v="236"/>
    <b v="1"/>
    <x v="536"/>
    <s v="FS1018-PIN-ZZ-01-D-O-3009"/>
  </r>
  <r>
    <x v="536"/>
    <s v="Small Group Room Large Sen Etc. 1"/>
    <x v="3"/>
    <s v="In Progress"/>
    <x v="16"/>
    <x v="1"/>
    <x v="1"/>
    <x v="1"/>
    <x v="1"/>
    <b v="1"/>
    <x v="536"/>
    <s v="FS1018-PIN-ZZ-01-D-O-3009"/>
  </r>
  <r>
    <x v="537"/>
    <s v="Meeting Room Conference 1"/>
    <x v="3"/>
    <s v="In Progress"/>
    <x v="0"/>
    <x v="0"/>
    <x v="0"/>
    <x v="9"/>
    <x v="237"/>
    <b v="1"/>
    <x v="537"/>
    <s v="FS1018-PIN-ZZ-01-D-O-4002"/>
  </r>
  <r>
    <x v="537"/>
    <s v="Meeting Room Conference 1"/>
    <x v="3"/>
    <s v="In Progress"/>
    <x v="16"/>
    <x v="1"/>
    <x v="1"/>
    <x v="1"/>
    <x v="1"/>
    <b v="1"/>
    <x v="537"/>
    <s v="FS1018-PIN-ZZ-01-D-O-4002"/>
  </r>
  <r>
    <x v="538"/>
    <s v="Office Pastoral 1 And 5002 Teaching Resources Store It Gt Off Corridor 2"/>
    <x v="3"/>
    <s v="In Progress"/>
    <x v="0"/>
    <x v="0"/>
    <x v="0"/>
    <x v="9"/>
    <x v="238"/>
    <b v="1"/>
    <x v="538"/>
    <s v="FS1018-PIN-ZZ-01-D-O-4007"/>
  </r>
  <r>
    <x v="538"/>
    <s v="Office Pastoral 1 And 5002 Teaching Resources Store It Gt Off Corridor 2"/>
    <x v="3"/>
    <s v="In Progress"/>
    <x v="16"/>
    <x v="1"/>
    <x v="1"/>
    <x v="1"/>
    <x v="1"/>
    <b v="1"/>
    <x v="538"/>
    <s v="FS1018-PIN-ZZ-01-D-O-4007"/>
  </r>
  <r>
    <x v="539"/>
    <s v="Office With Meeting Area, 2 Person 1"/>
    <x v="2"/>
    <s v="Completed"/>
    <x v="0"/>
    <x v="0"/>
    <x v="2"/>
    <x v="9"/>
    <x v="2"/>
    <b v="1"/>
    <x v="539"/>
    <s v="FS1018-PIN-ZZ-01-D-O-4012"/>
  </r>
  <r>
    <x v="540"/>
    <s v="Office With Meeting Area, 2 Person 2"/>
    <x v="2"/>
    <s v="Completed"/>
    <x v="0"/>
    <x v="0"/>
    <x v="2"/>
    <x v="9"/>
    <x v="2"/>
    <b v="1"/>
    <x v="540"/>
    <s v="FS1018-PIN-ZZ-01-D-O-4013"/>
  </r>
  <r>
    <x v="541"/>
    <s v="Office Senco, Learning Support 1"/>
    <x v="3"/>
    <s v="In Progress"/>
    <x v="0"/>
    <x v="0"/>
    <x v="0"/>
    <x v="9"/>
    <x v="239"/>
    <b v="1"/>
    <x v="541"/>
    <s v="FS1018-PIN-ZZ-01-D-O-4016"/>
  </r>
  <r>
    <x v="541"/>
    <s v="Office Senco, Learning Support 1"/>
    <x v="3"/>
    <s v="In Progress"/>
    <x v="16"/>
    <x v="1"/>
    <x v="1"/>
    <x v="1"/>
    <x v="1"/>
    <b v="1"/>
    <x v="541"/>
    <s v="FS1018-PIN-ZZ-01-D-O-4016"/>
  </r>
  <r>
    <x v="542"/>
    <s v="Staff Workroom ICT Technicians 1"/>
    <x v="0"/>
    <s v="In Progress"/>
    <x v="0"/>
    <x v="0"/>
    <x v="0"/>
    <x v="9"/>
    <x v="240"/>
    <b v="1"/>
    <x v="542"/>
    <s v="FS1018-PIN-ZZ-01-D-O-4017"/>
  </r>
  <r>
    <x v="542"/>
    <s v="Staff Workroom ICT Technicians 1"/>
    <x v="0"/>
    <s v="In Progress"/>
    <x v="16"/>
    <x v="1"/>
    <x v="1"/>
    <x v="1"/>
    <x v="1"/>
    <b v="1"/>
    <x v="542"/>
    <s v="FS1018-PIN-ZZ-01-D-O-4017"/>
  </r>
  <r>
    <x v="543"/>
    <s v="Teaching Resources Store Off Art Room 1"/>
    <x v="0"/>
    <s v="Completed"/>
    <x v="0"/>
    <x v="0"/>
    <x v="2"/>
    <x v="9"/>
    <x v="2"/>
    <b v="1"/>
    <x v="543"/>
    <s v="FS1018-PIN-ZZ-01-D-O-5006"/>
  </r>
  <r>
    <x v="544"/>
    <s v="Classroom Store, Room Off Sen Room 1"/>
    <x v="3"/>
    <s v="In Progress"/>
    <x v="0"/>
    <x v="0"/>
    <x v="0"/>
    <x v="9"/>
    <x v="241"/>
    <b v="1"/>
    <x v="544"/>
    <s v="FS1018-PIN-ZZ-01-D-O-5017"/>
  </r>
  <r>
    <x v="544"/>
    <s v="Classroom Store, Room Off Sen Room 1"/>
    <x v="3"/>
    <s v="In Progress"/>
    <x v="16"/>
    <x v="1"/>
    <x v="1"/>
    <x v="1"/>
    <x v="1"/>
    <b v="1"/>
    <x v="544"/>
    <s v="FS1018-PIN-ZZ-01-D-O-5017"/>
  </r>
  <r>
    <x v="545"/>
    <s v="Secure Storeroom 2"/>
    <x v="3"/>
    <s v="Completed"/>
    <x v="0"/>
    <x v="0"/>
    <x v="2"/>
    <x v="9"/>
    <x v="2"/>
    <b v="1"/>
    <x v="545"/>
    <s v="FS1018-PIN-ZZ-01-D-O-5104"/>
  </r>
  <r>
    <x v="546"/>
    <s v="Coats And Bag Store Lockers 2"/>
    <x v="3"/>
    <s v="In Progress"/>
    <x v="0"/>
    <x v="0"/>
    <x v="3"/>
    <x v="9"/>
    <x v="212"/>
    <b v="1"/>
    <x v="546"/>
    <s v="FS1018-PIN-ZZ-01-D-O-5110"/>
  </r>
  <r>
    <x v="546"/>
    <s v="Coats And Bag Store Lockers 2"/>
    <x v="3"/>
    <s v="In Progress"/>
    <x v="16"/>
    <x v="1"/>
    <x v="1"/>
    <x v="1"/>
    <x v="1"/>
    <b v="1"/>
    <x v="546"/>
    <s v="FS1018-PIN-ZZ-01-D-O-5110"/>
  </r>
  <r>
    <x v="547"/>
    <s v="Coats And Bag Store Lockers 3"/>
    <x v="3"/>
    <s v="In Progress"/>
    <x v="0"/>
    <x v="0"/>
    <x v="3"/>
    <x v="9"/>
    <x v="212"/>
    <b v="1"/>
    <x v="547"/>
    <s v="FS1018-PIN-ZZ-01-D-O-5111"/>
  </r>
  <r>
    <x v="547"/>
    <s v="Coats And Bag Store Lockers 3"/>
    <x v="3"/>
    <s v="In Progress"/>
    <x v="16"/>
    <x v="1"/>
    <x v="1"/>
    <x v="1"/>
    <x v="1"/>
    <b v="1"/>
    <x v="547"/>
    <s v="FS1018-PIN-ZZ-01-D-O-5111"/>
  </r>
  <r>
    <x v="548"/>
    <s v="Coats And Bag Store Lockers 4"/>
    <x v="3"/>
    <s v="In Progress"/>
    <x v="0"/>
    <x v="0"/>
    <x v="3"/>
    <x v="9"/>
    <x v="212"/>
    <b v="1"/>
    <x v="548"/>
    <s v="FS1018-PIN-ZZ-01-D-O-5112"/>
  </r>
  <r>
    <x v="548"/>
    <s v="Coats And Bag Store Lockers 4"/>
    <x v="3"/>
    <s v="In Progress"/>
    <x v="16"/>
    <x v="1"/>
    <x v="1"/>
    <x v="1"/>
    <x v="1"/>
    <b v="1"/>
    <x v="548"/>
    <s v="FS1018-PIN-ZZ-01-D-O-5112"/>
  </r>
  <r>
    <x v="549"/>
    <s v="Coats And Bag Store Lockers 5"/>
    <x v="3"/>
    <s v="In Progress"/>
    <x v="0"/>
    <x v="0"/>
    <x v="3"/>
    <x v="9"/>
    <x v="212"/>
    <b v="1"/>
    <x v="549"/>
    <s v="FS1018-PIN-ZZ-01-D-O-5113"/>
  </r>
  <r>
    <x v="549"/>
    <s v="Coats And Bag Store Lockers 5"/>
    <x v="3"/>
    <s v="In Progress"/>
    <x v="16"/>
    <x v="1"/>
    <x v="1"/>
    <x v="1"/>
    <x v="1"/>
    <b v="1"/>
    <x v="549"/>
    <s v="FS1018-PIN-ZZ-01-D-O-5113"/>
  </r>
  <r>
    <x v="550"/>
    <s v="Cleaners' Store 3"/>
    <x v="0"/>
    <s v="Completed"/>
    <x v="0"/>
    <x v="0"/>
    <x v="2"/>
    <x v="9"/>
    <x v="2"/>
    <b v="1"/>
    <x v="550"/>
    <s v="FS1018-PIN-ZZ-01-D-O-5116"/>
  </r>
  <r>
    <x v="551"/>
    <s v="Classroom General 10"/>
    <x v="3"/>
    <s v="In Progress"/>
    <x v="0"/>
    <x v="0"/>
    <x v="0"/>
    <x v="9"/>
    <x v="230"/>
    <b v="1"/>
    <x v="551"/>
    <s v="FS1018-PIN-ZZ-02-D-O-1010"/>
  </r>
  <r>
    <x v="551"/>
    <s v="Classroom General 10"/>
    <x v="3"/>
    <s v="In Progress"/>
    <x v="16"/>
    <x v="1"/>
    <x v="1"/>
    <x v="1"/>
    <x v="1"/>
    <b v="1"/>
    <x v="551"/>
    <s v="FS1018-PIN-ZZ-02-D-O-1010"/>
  </r>
  <r>
    <x v="552"/>
    <s v="Classroom General 11"/>
    <x v="3"/>
    <s v="In Progress"/>
    <x v="0"/>
    <x v="0"/>
    <x v="0"/>
    <x v="9"/>
    <x v="229"/>
    <b v="1"/>
    <x v="552"/>
    <s v="FS1018-PIN-ZZ-02-D-O-1011"/>
  </r>
  <r>
    <x v="552"/>
    <s v="Classroom General 11"/>
    <x v="3"/>
    <s v="In Progress"/>
    <x v="16"/>
    <x v="1"/>
    <x v="1"/>
    <x v="1"/>
    <x v="1"/>
    <b v="1"/>
    <x v="552"/>
    <s v="FS1018-PIN-ZZ-02-D-O-1011"/>
  </r>
  <r>
    <x v="553"/>
    <s v="Classroom General 12"/>
    <x v="3"/>
    <s v="In Progress"/>
    <x v="0"/>
    <x v="0"/>
    <x v="0"/>
    <x v="9"/>
    <x v="229"/>
    <b v="1"/>
    <x v="553"/>
    <s v="FS1018-PIN-ZZ-02-D-O-1012"/>
  </r>
  <r>
    <x v="553"/>
    <s v="Classroom General 12"/>
    <x v="3"/>
    <s v="In Progress"/>
    <x v="16"/>
    <x v="1"/>
    <x v="1"/>
    <x v="1"/>
    <x v="1"/>
    <b v="1"/>
    <x v="553"/>
    <s v="FS1018-PIN-ZZ-02-D-O-1012"/>
  </r>
  <r>
    <x v="554"/>
    <s v="Classroom General 13"/>
    <x v="2"/>
    <s v="In Progress"/>
    <x v="0"/>
    <x v="0"/>
    <x v="0"/>
    <x v="9"/>
    <x v="229"/>
    <b v="1"/>
    <x v="554"/>
    <s v="FS1018-PIN-ZZ-02-D-O-1013"/>
  </r>
  <r>
    <x v="554"/>
    <s v="Classroom General 13"/>
    <x v="2"/>
    <s v="In Progress"/>
    <x v="16"/>
    <x v="1"/>
    <x v="1"/>
    <x v="1"/>
    <x v="1"/>
    <b v="1"/>
    <x v="554"/>
    <s v="FS1018-PIN-ZZ-02-D-O-1013"/>
  </r>
  <r>
    <x v="555"/>
    <s v="Classroom General 14"/>
    <x v="3"/>
    <s v="In Progress"/>
    <x v="0"/>
    <x v="0"/>
    <x v="0"/>
    <x v="9"/>
    <x v="230"/>
    <b v="1"/>
    <x v="555"/>
    <s v="FS1018-PIN-ZZ-02-D-O-1014"/>
  </r>
  <r>
    <x v="555"/>
    <s v="Classroom General 14"/>
    <x v="3"/>
    <s v="In Progress"/>
    <x v="16"/>
    <x v="1"/>
    <x v="1"/>
    <x v="1"/>
    <x v="1"/>
    <b v="1"/>
    <x v="555"/>
    <s v="FS1018-PIN-ZZ-02-D-O-1014"/>
  </r>
  <r>
    <x v="556"/>
    <s v="Classroom General 15"/>
    <x v="3"/>
    <s v="In Progress"/>
    <x v="0"/>
    <x v="0"/>
    <x v="0"/>
    <x v="9"/>
    <x v="229"/>
    <b v="1"/>
    <x v="556"/>
    <s v="FS1018-PIN-ZZ-02-D-O-1015"/>
  </r>
  <r>
    <x v="556"/>
    <s v="Classroom General 15"/>
    <x v="3"/>
    <s v="In Progress"/>
    <x v="16"/>
    <x v="1"/>
    <x v="1"/>
    <x v="1"/>
    <x v="1"/>
    <b v="1"/>
    <x v="556"/>
    <s v="FS1018-PIN-ZZ-02-D-O-1015"/>
  </r>
  <r>
    <x v="557"/>
    <s v="Classroom General 16"/>
    <x v="2"/>
    <s v="In Progress"/>
    <x v="0"/>
    <x v="0"/>
    <x v="0"/>
    <x v="9"/>
    <x v="230"/>
    <b v="1"/>
    <x v="557"/>
    <s v="FS1018-PIN-ZZ-02-D-O-1016"/>
  </r>
  <r>
    <x v="557"/>
    <s v="Classroom General 16"/>
    <x v="2"/>
    <s v="In Progress"/>
    <x v="16"/>
    <x v="1"/>
    <x v="1"/>
    <x v="1"/>
    <x v="1"/>
    <b v="1"/>
    <x v="557"/>
    <s v="FS1018-PIN-ZZ-02-D-O-1016"/>
  </r>
  <r>
    <x v="558"/>
    <s v="6042P Stairway 7 And 5113A Coats And Bag Store Lockers 5"/>
    <x v="3"/>
    <s v="In Progress"/>
    <x v="0"/>
    <x v="0"/>
    <x v="3"/>
    <x v="9"/>
    <x v="242"/>
    <b v="1"/>
    <x v="558"/>
    <s v="FS1018-PIN-ZZ-02-D-O-1042"/>
  </r>
  <r>
    <x v="558"/>
    <s v="6042P Stairway 7 And 5113A Coats And Bag Store Lockers 5"/>
    <x v="3"/>
    <s v="In Progress"/>
    <x v="16"/>
    <x v="1"/>
    <x v="1"/>
    <x v="1"/>
    <x v="1"/>
    <b v="1"/>
    <x v="558"/>
    <s v="FS1018-PIN-ZZ-02-D-O-1042"/>
  </r>
  <r>
    <x v="559"/>
    <s v="Science Laboratories Restrictive, Extg 1"/>
    <x v="10"/>
    <s v="In Progress"/>
    <x v="0"/>
    <x v="0"/>
    <x v="0"/>
    <x v="9"/>
    <x v="229"/>
    <b v="1"/>
    <x v="559"/>
    <s v="FS1018-PIN-ZZ-02-D-O-1103"/>
  </r>
  <r>
    <x v="559"/>
    <s v="Science Laboratories Restrictive, Extg 1"/>
    <x v="10"/>
    <s v="In Progress"/>
    <x v="16"/>
    <x v="1"/>
    <x v="1"/>
    <x v="1"/>
    <x v="1"/>
    <b v="1"/>
    <x v="559"/>
    <s v="FS1018-PIN-ZZ-02-D-O-1103"/>
  </r>
  <r>
    <x v="560"/>
    <s v="Science Laboratories Restrictive, Extg 2"/>
    <x v="3"/>
    <s v="In Progress"/>
    <x v="0"/>
    <x v="0"/>
    <x v="0"/>
    <x v="9"/>
    <x v="229"/>
    <b v="1"/>
    <x v="560"/>
    <s v="FS1018-PIN-ZZ-02-D-O-1104"/>
  </r>
  <r>
    <x v="560"/>
    <s v="Science Laboratories Restrictive, Extg 2"/>
    <x v="3"/>
    <s v="In Progress"/>
    <x v="16"/>
    <x v="1"/>
    <x v="1"/>
    <x v="1"/>
    <x v="1"/>
    <b v="1"/>
    <x v="560"/>
    <s v="FS1018-PIN-ZZ-02-D-O-1104"/>
  </r>
  <r>
    <x v="561"/>
    <s v="Science Laboratories Restrictive, Extg 3"/>
    <x v="3"/>
    <s v="In Progress"/>
    <x v="0"/>
    <x v="0"/>
    <x v="0"/>
    <x v="9"/>
    <x v="243"/>
    <b v="1"/>
    <x v="561"/>
    <s v="FS1018-PIN-ZZ-02-D-O-1105"/>
  </r>
  <r>
    <x v="561"/>
    <s v="Science Laboratories Restrictive, Extg 3"/>
    <x v="3"/>
    <s v="In Progress"/>
    <x v="16"/>
    <x v="1"/>
    <x v="1"/>
    <x v="1"/>
    <x v="1"/>
    <b v="1"/>
    <x v="561"/>
    <s v="FS1018-PIN-ZZ-02-D-O-1105"/>
  </r>
  <r>
    <x v="562"/>
    <s v="Science Laboratories Restrictive, Extg 4"/>
    <x v="2"/>
    <s v="In Progress"/>
    <x v="0"/>
    <x v="0"/>
    <x v="0"/>
    <x v="9"/>
    <x v="230"/>
    <b v="1"/>
    <x v="562"/>
    <s v="FS1018-PIN-ZZ-02-D-O-1106"/>
  </r>
  <r>
    <x v="562"/>
    <s v="Science Laboratories Restrictive, Extg 4"/>
    <x v="2"/>
    <s v="In Progress"/>
    <x v="16"/>
    <x v="1"/>
    <x v="1"/>
    <x v="1"/>
    <x v="1"/>
    <b v="1"/>
    <x v="562"/>
    <s v="FS1018-PIN-ZZ-02-D-O-1106"/>
  </r>
  <r>
    <x v="563"/>
    <s v="Science Laboratories Restrictive, Extg 5"/>
    <x v="3"/>
    <s v="In Progress"/>
    <x v="0"/>
    <x v="0"/>
    <x v="0"/>
    <x v="9"/>
    <x v="243"/>
    <b v="1"/>
    <x v="563"/>
    <s v="FS1018-PIN-ZZ-02-D-O-1107"/>
  </r>
  <r>
    <x v="563"/>
    <s v="Science Laboratories Restrictive, Extg 5"/>
    <x v="3"/>
    <s v="In Progress"/>
    <x v="16"/>
    <x v="1"/>
    <x v="1"/>
    <x v="1"/>
    <x v="1"/>
    <b v="1"/>
    <x v="563"/>
    <s v="FS1018-PIN-ZZ-02-D-O-1107"/>
  </r>
  <r>
    <x v="564"/>
    <s v="Second Floor GA"/>
    <x v="10"/>
    <s v="In Progress"/>
    <x v="0"/>
    <x v="0"/>
    <x v="0"/>
    <x v="9"/>
    <x v="244"/>
    <b v="1"/>
    <x v="564"/>
    <s v="FS1018-PIN-ZZ-02-D-O-2000"/>
  </r>
  <r>
    <x v="564"/>
    <s v="Second Floor GA"/>
    <x v="10"/>
    <s v="In Progress"/>
    <x v="16"/>
    <x v="1"/>
    <x v="1"/>
    <x v="1"/>
    <x v="1"/>
    <b v="1"/>
    <x v="564"/>
    <s v="FS1018-PIN-ZZ-02-D-O-2000"/>
  </r>
  <r>
    <x v="565"/>
    <s v="6042O Stairway 7 And 5113B Coats And Bag Store Lockers 5"/>
    <x v="3"/>
    <s v="In Progress"/>
    <x v="0"/>
    <x v="0"/>
    <x v="3"/>
    <x v="9"/>
    <x v="212"/>
    <b v="1"/>
    <x v="565"/>
    <s v="FS1018-PIN-ZZ-02-D-O-2042"/>
  </r>
  <r>
    <x v="565"/>
    <s v="6042O Stairway 7 And 5113B Coats And Bag Store Lockers 5"/>
    <x v="3"/>
    <s v="In Progress"/>
    <x v="16"/>
    <x v="1"/>
    <x v="1"/>
    <x v="1"/>
    <x v="1"/>
    <b v="1"/>
    <x v="565"/>
    <s v="FS1018-PIN-ZZ-02-D-O-2042"/>
  </r>
  <r>
    <x v="566"/>
    <s v="Small Group Room Medium 1 And 6042T Stairway 7"/>
    <x v="0"/>
    <s v="In Progress"/>
    <x v="0"/>
    <x v="0"/>
    <x v="0"/>
    <x v="9"/>
    <x v="245"/>
    <b v="1"/>
    <x v="566"/>
    <s v="FS1018-PIN-ZZ-02-D-O-3008"/>
  </r>
  <r>
    <x v="566"/>
    <s v="Small Group Room Medium 1 And 6042T Stairway 7"/>
    <x v="0"/>
    <s v="In Progress"/>
    <x v="16"/>
    <x v="1"/>
    <x v="1"/>
    <x v="1"/>
    <x v="1"/>
    <b v="1"/>
    <x v="566"/>
    <s v="FS1018-PIN-ZZ-02-D-O-3008"/>
  </r>
  <r>
    <x v="567"/>
    <s v="6042N Stairway 7, 5113C And 5113D Coats And Bag Store Lockers 5"/>
    <x v="3"/>
    <s v="In Progress"/>
    <x v="0"/>
    <x v="0"/>
    <x v="3"/>
    <x v="9"/>
    <x v="212"/>
    <b v="1"/>
    <x v="567"/>
    <s v="FS1018-PIN-ZZ-02-D-O-3042"/>
  </r>
  <r>
    <x v="567"/>
    <s v="6042N Stairway 7, 5113C And 5113D Coats And Bag Store Lockers 5"/>
    <x v="3"/>
    <s v="In Progress"/>
    <x v="16"/>
    <x v="1"/>
    <x v="1"/>
    <x v="1"/>
    <x v="1"/>
    <b v="1"/>
    <x v="567"/>
    <s v="FS1018-PIN-ZZ-02-D-O-3042"/>
  </r>
  <r>
    <x v="568"/>
    <s v="Staff Workroom Teaching Staff 1 And Teaching Resources Store It Gt Off Corridor 3"/>
    <x v="10"/>
    <s v="In Progress"/>
    <x v="0"/>
    <x v="0"/>
    <x v="0"/>
    <x v="9"/>
    <x v="246"/>
    <b v="1"/>
    <x v="568"/>
    <s v="FS1018-PIN-ZZ-02-D-O-4001"/>
  </r>
  <r>
    <x v="568"/>
    <s v="Staff Workroom Teaching Staff 1 And Teaching Resources Store It Gt Off Corridor 3"/>
    <x v="10"/>
    <s v="In Progress"/>
    <x v="16"/>
    <x v="1"/>
    <x v="1"/>
    <x v="1"/>
    <x v="1"/>
    <b v="1"/>
    <x v="568"/>
    <s v="FS1018-PIN-ZZ-02-D-O-4001"/>
  </r>
  <r>
    <x v="569"/>
    <s v="Office With Meeting Area, 2 Person 3"/>
    <x v="0"/>
    <s v="In Progress"/>
    <x v="0"/>
    <x v="0"/>
    <x v="0"/>
    <x v="9"/>
    <x v="230"/>
    <b v="1"/>
    <x v="569"/>
    <s v="FS1018-PIN-ZZ-02-D-O-4014"/>
  </r>
  <r>
    <x v="569"/>
    <s v="Office With Meeting Area, 2 Person 3"/>
    <x v="0"/>
    <s v="In Progress"/>
    <x v="16"/>
    <x v="1"/>
    <x v="1"/>
    <x v="1"/>
    <x v="1"/>
    <b v="1"/>
    <x v="569"/>
    <s v="FS1018-PIN-ZZ-02-D-O-4014"/>
  </r>
  <r>
    <x v="570"/>
    <s v="Science Prep Option 1"/>
    <x v="3"/>
    <s v="In Progress"/>
    <x v="0"/>
    <x v="0"/>
    <x v="0"/>
    <x v="9"/>
    <x v="247"/>
    <b v="1"/>
    <x v="570"/>
    <s v="FS1018-PIN-ZZ-02-D-O-5004"/>
  </r>
  <r>
    <x v="570"/>
    <s v="Science Prep Option 1"/>
    <x v="3"/>
    <s v="In Progress"/>
    <x v="16"/>
    <x v="1"/>
    <x v="1"/>
    <x v="1"/>
    <x v="1"/>
    <b v="1"/>
    <x v="570"/>
    <s v="FS1018-PIN-ZZ-02-D-O-5004"/>
  </r>
  <r>
    <x v="571"/>
    <s v="Chemical Store 1"/>
    <x v="0"/>
    <s v="Completed"/>
    <x v="0"/>
    <x v="0"/>
    <x v="2"/>
    <x v="9"/>
    <x v="2"/>
    <b v="1"/>
    <x v="571"/>
    <s v="FS1018-PIN-ZZ-02-D-O-5005"/>
  </r>
  <r>
    <x v="572"/>
    <s v="Science Prep"/>
    <x v="3"/>
    <s v="In Progress"/>
    <x v="0"/>
    <x v="0"/>
    <x v="0"/>
    <x v="9"/>
    <x v="248"/>
    <b v="1"/>
    <x v="572"/>
    <s v="FS1018-PIN-ZZ-02-D-O-5020"/>
  </r>
  <r>
    <x v="572"/>
    <s v="Science Prep"/>
    <x v="3"/>
    <s v="In Progress"/>
    <x v="16"/>
    <x v="1"/>
    <x v="1"/>
    <x v="1"/>
    <x v="1"/>
    <b v="1"/>
    <x v="572"/>
    <s v="FS1018-PIN-ZZ-02-D-O-5020"/>
  </r>
  <r>
    <x v="573"/>
    <s v="General Storeroom Central Stock 1"/>
    <x v="0"/>
    <s v="Completed"/>
    <x v="0"/>
    <x v="0"/>
    <x v="2"/>
    <x v="9"/>
    <x v="2"/>
    <b v="1"/>
    <x v="573"/>
    <s v="FS1018-PIN-ZZ-02-D-O-5102"/>
  </r>
  <r>
    <x v="574"/>
    <s v="Cleaners' Store 2"/>
    <x v="0"/>
    <s v="In Progress"/>
    <x v="0"/>
    <x v="0"/>
    <x v="0"/>
    <x v="9"/>
    <x v="249"/>
    <b v="1"/>
    <x v="574"/>
    <s v="FS1018-PIN-ZZ-02-D-O-5115"/>
  </r>
  <r>
    <x v="574"/>
    <s v="Cleaners' Store 2"/>
    <x v="0"/>
    <s v="In Progress"/>
    <x v="16"/>
    <x v="1"/>
    <x v="1"/>
    <x v="1"/>
    <x v="1"/>
    <b v="1"/>
    <x v="574"/>
    <s v="FS1018-PIN-ZZ-02-D-O-5115"/>
  </r>
  <r>
    <x v="575"/>
    <s v="Coats And Bags Store Lockers 5"/>
    <x v="0"/>
    <s v="In Progress"/>
    <x v="0"/>
    <x v="0"/>
    <x v="3"/>
    <x v="9"/>
    <x v="212"/>
    <b v="1"/>
    <x v="575"/>
    <s v="FS1018-PIN-ZZ-02-D-O-6113"/>
  </r>
  <r>
    <x v="575"/>
    <s v="Coats And Bags Store Lockers 5"/>
    <x v="0"/>
    <s v="In Progress"/>
    <x v="16"/>
    <x v="1"/>
    <x v="1"/>
    <x v="1"/>
    <x v="1"/>
    <b v="1"/>
    <x v="575"/>
    <s v="FS1018-PIN-ZZ-02-D-O-6113"/>
  </r>
  <r>
    <x v="576"/>
    <s v="Coats And Bags Store Lockers 5"/>
    <x v="0"/>
    <s v="In Progress"/>
    <x v="0"/>
    <x v="0"/>
    <x v="3"/>
    <x v="9"/>
    <x v="212"/>
    <b v="1"/>
    <x v="576"/>
    <s v="FS1018-PIN-ZZ-02-D-O-7113"/>
  </r>
  <r>
    <x v="576"/>
    <s v="Coats And Bags Store Lockers 5"/>
    <x v="0"/>
    <s v="In Progress"/>
    <x v="16"/>
    <x v="1"/>
    <x v="1"/>
    <x v="1"/>
    <x v="1"/>
    <b v="1"/>
    <x v="576"/>
    <s v="FS1018-PIN-ZZ-02-D-O-7113"/>
  </r>
  <r>
    <x v="577"/>
    <s v="Coats And Bags Store Lockers 5"/>
    <x v="0"/>
    <s v="In Progress"/>
    <x v="0"/>
    <x v="0"/>
    <x v="3"/>
    <x v="9"/>
    <x v="212"/>
    <b v="1"/>
    <x v="577"/>
    <s v="FS1018-PIN-ZZ-02-D-O-8113"/>
  </r>
  <r>
    <x v="577"/>
    <s v="Coats And Bags Store Lockers 5"/>
    <x v="0"/>
    <s v="In Progress"/>
    <x v="16"/>
    <x v="1"/>
    <x v="1"/>
    <x v="1"/>
    <x v="1"/>
    <b v="1"/>
    <x v="577"/>
    <s v="FS1018-PIN-ZZ-02-D-O-8113"/>
  </r>
  <r>
    <x v="578"/>
    <s v="Coats And Bags Store Lockers 5"/>
    <x v="0"/>
    <s v="In Progress"/>
    <x v="0"/>
    <x v="0"/>
    <x v="3"/>
    <x v="9"/>
    <x v="212"/>
    <b v="1"/>
    <x v="578"/>
    <s v="FS1018-PIN-ZZ-02-D-O-9113"/>
  </r>
  <r>
    <x v="578"/>
    <s v="Coats And Bags Store Lockers 5"/>
    <x v="0"/>
    <s v="In Progress"/>
    <x v="16"/>
    <x v="1"/>
    <x v="1"/>
    <x v="1"/>
    <x v="1"/>
    <b v="1"/>
    <x v="578"/>
    <s v="FS1018-PIN-ZZ-02-D-O-9113"/>
  </r>
  <r>
    <x v="579"/>
    <s v="FFE Gap Analysis and Occupancy Schedule"/>
    <x v="0"/>
    <s v="In Progress"/>
    <x v="0"/>
    <x v="0"/>
    <x v="0"/>
    <x v="9"/>
    <x v="250"/>
    <b v="1"/>
    <x v="579"/>
    <s v="FS1018-PIN-ZZ-ZZ-L-O-0005"/>
  </r>
  <r>
    <x v="579"/>
    <s v="FFE Gap Analysis and Occupancy Schedule"/>
    <x v="0"/>
    <s v="In Progress"/>
    <x v="16"/>
    <x v="1"/>
    <x v="1"/>
    <x v="1"/>
    <x v="1"/>
    <b v="1"/>
    <x v="579"/>
    <s v="FS1018-PIN-ZZ-ZZ-L-O-0005"/>
  </r>
  <r>
    <x v="580"/>
    <s v="Catering Equipment Schedule"/>
    <x v="1"/>
    <s v="In Progress"/>
    <x v="0"/>
    <x v="0"/>
    <x v="0"/>
    <x v="9"/>
    <x v="250"/>
    <b v="1"/>
    <x v="580"/>
    <s v="FS1018-PIN-ZZ-ZZ-L-O-0006"/>
  </r>
  <r>
    <x v="580"/>
    <s v="Catering Equipment Schedule"/>
    <x v="1"/>
    <s v="In Progress"/>
    <x v="16"/>
    <x v="1"/>
    <x v="1"/>
    <x v="1"/>
    <x v="1"/>
    <b v="1"/>
    <x v="580"/>
    <s v="FS1018-PIN-ZZ-ZZ-L-O-0006"/>
  </r>
  <r>
    <x v="581"/>
    <s v="FFE Cost Plan"/>
    <x v="1"/>
    <s v="In Progress"/>
    <x v="0"/>
    <x v="0"/>
    <x v="0"/>
    <x v="9"/>
    <x v="250"/>
    <b v="1"/>
    <x v="581"/>
    <s v="FS1018-PIN-ZZ-ZZ-L-O-0007"/>
  </r>
  <r>
    <x v="581"/>
    <s v="FFE Cost Plan"/>
    <x v="1"/>
    <s v="In Progress"/>
    <x v="16"/>
    <x v="1"/>
    <x v="1"/>
    <x v="1"/>
    <x v="1"/>
    <b v="1"/>
    <x v="581"/>
    <s v="FS1018-PIN-ZZ-ZZ-L-O-0007"/>
  </r>
  <r>
    <x v="582"/>
    <s v="FFE Revit Model"/>
    <x v="14"/>
    <s v="In Progress"/>
    <x v="13"/>
    <x v="1"/>
    <x v="1"/>
    <x v="1"/>
    <x v="1"/>
    <b v="1"/>
    <x v="582"/>
    <s v="FS1018-PIN-ZZ-ZZ-M-O-0001"/>
  </r>
  <r>
    <x v="582"/>
    <s v="FFE Revit Model"/>
    <x v="14"/>
    <s v="In Progress"/>
    <x v="13"/>
    <x v="0"/>
    <x v="0"/>
    <x v="15"/>
    <x v="251"/>
    <b v="1"/>
    <x v="582"/>
    <s v="FS1018-PIN-ZZ-ZZ-M-O-0001"/>
  </r>
  <r>
    <x v="583"/>
    <s v="FFE IFC Model"/>
    <x v="6"/>
    <s v="Completed"/>
    <x v="9"/>
    <x v="0"/>
    <x v="2"/>
    <x v="5"/>
    <x v="2"/>
    <b v="1"/>
    <x v="583"/>
    <s v="FS1018-PIN-ZZ-ZZ-M-O-0002"/>
  </r>
  <r>
    <x v="583"/>
    <s v="FFE IFC Model"/>
    <x v="6"/>
    <s v="In Progress"/>
    <x v="13"/>
    <x v="1"/>
    <x v="1"/>
    <x v="1"/>
    <x v="1"/>
    <b v="1"/>
    <x v="583"/>
    <s v="FS1018-PIN-ZZ-ZZ-M-O-0002"/>
  </r>
  <r>
    <x v="583"/>
    <s v="FFE IFC Model"/>
    <x v="6"/>
    <s v="In Progress"/>
    <x v="13"/>
    <x v="0"/>
    <x v="0"/>
    <x v="15"/>
    <x v="252"/>
    <b v="1"/>
    <x v="583"/>
    <s v="FS1018-PIN-ZZ-ZZ-M-O-0002"/>
  </r>
  <r>
    <x v="584"/>
    <s v="FFE Navis Model"/>
    <x v="12"/>
    <s v="Completed"/>
    <x v="9"/>
    <x v="0"/>
    <x v="2"/>
    <x v="5"/>
    <x v="2"/>
    <b v="1"/>
    <x v="584"/>
    <s v="FS1018-PIN-ZZ-ZZ-M-O-0003"/>
  </r>
  <r>
    <x v="584"/>
    <s v="FFE Navis Model"/>
    <x v="12"/>
    <s v="Completed"/>
    <x v="13"/>
    <x v="0"/>
    <x v="2"/>
    <x v="15"/>
    <x v="2"/>
    <b v="1"/>
    <x v="584"/>
    <s v="FS1018-PIN-ZZ-ZZ-M-O-0003"/>
  </r>
  <r>
    <x v="585"/>
    <s v="Catering IFC Model"/>
    <x v="3"/>
    <s v="Completed"/>
    <x v="9"/>
    <x v="0"/>
    <x v="2"/>
    <x v="5"/>
    <x v="2"/>
    <b v="1"/>
    <x v="585"/>
    <s v="FS1018-PIN-ZZ-ZZ-M-O-0004"/>
  </r>
  <r>
    <x v="586"/>
    <s v="Catering Revit Model"/>
    <x v="3"/>
    <s v="In Progress"/>
    <x v="9"/>
    <x v="0"/>
    <x v="0"/>
    <x v="5"/>
    <x v="253"/>
    <b v="1"/>
    <x v="586"/>
    <s v="FS1018-PIN-ZZ-ZZ-M-O-0005"/>
  </r>
  <r>
    <x v="586"/>
    <s v="Catering Revit Model"/>
    <x v="3"/>
    <s v="In Progress"/>
    <x v="7"/>
    <x v="1"/>
    <x v="1"/>
    <x v="1"/>
    <x v="1"/>
    <b v="1"/>
    <x v="586"/>
    <s v="FS1018-PIN-ZZ-ZZ-M-O-0005"/>
  </r>
  <r>
    <x v="587"/>
    <s v="CATERING NWC MODEL"/>
    <x v="0"/>
    <s v="Completed"/>
    <x v="9"/>
    <x v="0"/>
    <x v="2"/>
    <x v="5"/>
    <x v="2"/>
    <b v="1"/>
    <x v="587"/>
    <s v="FS1018-PIN-ZZ-ZZ-M-O-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C2283-7E55-4D93-8EC3-F64D61342D0F}" name="PivotTable2"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2:B5" firstHeaderRow="1" firstDataRow="1" firstDataCol="1"/>
  <pivotFields count="5">
    <pivotField showAll="0"/>
    <pivotField showAll="0"/>
    <pivotField showAll="0"/>
    <pivotField showAll="0"/>
    <pivotField axis="axisRow" dataField="1" showAll="0">
      <items count="7">
        <item x="1"/>
        <item x="0"/>
        <item m="1" x="2"/>
        <item m="1" x="3"/>
        <item m="1" x="4"/>
        <item m="1" x="5"/>
        <item t="default"/>
      </items>
    </pivotField>
  </pivotFields>
  <rowFields count="1">
    <field x="4"/>
  </rowFields>
  <rowItems count="3">
    <i>
      <x/>
    </i>
    <i>
      <x v="1"/>
    </i>
    <i t="grand">
      <x/>
    </i>
  </rowItems>
  <colItems count="1">
    <i/>
  </colItems>
  <dataFields count="1">
    <dataField name="Count of (Helper) Doc Status" fld="4" subtotal="count" baseField="0" baseItem="0"/>
  </dataFields>
  <chartFormats count="5">
    <chartFormat chart="0" format="3" series="1">
      <pivotArea type="data" outline="0" fieldPosition="0">
        <references count="1">
          <reference field="4294967294" count="1" selected="0">
            <x v="0"/>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4" count="1" selected="0">
            <x v="0"/>
          </reference>
        </references>
      </pivotArea>
    </chartFormat>
    <chartFormat chart="21" format="24">
      <pivotArea type="data" outline="0" fieldPosition="0">
        <references count="2">
          <reference field="4294967294" count="1" selected="0">
            <x v="0"/>
          </reference>
          <reference field="4" count="1" selected="0">
            <x v="1"/>
          </reference>
        </references>
      </pivotArea>
    </chartFormat>
    <chartFormat chart="21"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769DD-FC86-41B4-A896-71AD79EF0837}" name="PivotTable12" cacheId="67"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chartFormat="8" rowHeaderCaption="">
  <location ref="A6:F2086" firstHeaderRow="1" firstDataRow="1" firstDataCol="6" rowPageCount="1" colPageCount="1"/>
  <pivotFields count="12">
    <pivotField name="Number" axis="axisPage" compact="0" outline="0" multipleItemSelectionAllowed="1" showAll="0" defaultSubtotal="0">
      <items count="5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s>
    </pivotField>
    <pivotField compact="0" outline="0" showAll="0" defaultSubtotal="0"/>
    <pivotField axis="axisRow" compact="0" outline="0" showAll="0" defaultSubtotal="0">
      <items count="19">
        <item m="1" x="18"/>
        <item x="1"/>
        <item x="0"/>
        <item x="3"/>
        <item x="2"/>
        <item x="4"/>
        <item x="5"/>
        <item x="11"/>
        <item x="6"/>
        <item m="1" x="15"/>
        <item x="7"/>
        <item x="8"/>
        <item x="14"/>
        <item x="9"/>
        <item x="12"/>
        <item x="10"/>
        <item m="1" x="16"/>
        <item x="13"/>
        <item m="1" x="17"/>
      </items>
    </pivotField>
    <pivotField compact="0" outline="0" showAll="0"/>
    <pivotField axis="axisRow" compact="0" outline="0" showAll="0" defaultSubtotal="0">
      <items count="48">
        <item m="1" x="43"/>
        <item m="1" x="44"/>
        <item m="1" x="45"/>
        <item m="1" x="46"/>
        <item m="1" x="47"/>
        <item m="1" x="20"/>
        <item x="0"/>
        <item m="1" x="21"/>
        <item m="1" x="22"/>
        <item m="1" x="23"/>
        <item x="2"/>
        <item m="1" x="24"/>
        <item m="1" x="25"/>
        <item m="1" x="26"/>
        <item m="1" x="27"/>
        <item m="1" x="28"/>
        <item m="1" x="29"/>
        <item m="1" x="30"/>
        <item m="1" x="31"/>
        <item m="1" x="32"/>
        <item m="1" x="18"/>
        <item m="1" x="33"/>
        <item m="1" x="34"/>
        <item m="1" x="35"/>
        <item m="1" x="36"/>
        <item m="1" x="19"/>
        <item m="1" x="37"/>
        <item m="1" x="38"/>
        <item m="1" x="39"/>
        <item m="1" x="40"/>
        <item m="1" x="41"/>
        <item m="1" x="42"/>
        <item x="5"/>
        <item x="10"/>
        <item x="11"/>
        <item x="14"/>
        <item x="16"/>
        <item x="1"/>
        <item x="3"/>
        <item x="4"/>
        <item x="6"/>
        <item x="7"/>
        <item x="8"/>
        <item x="9"/>
        <item x="12"/>
        <item x="15"/>
        <item x="17"/>
        <item x="13"/>
      </items>
    </pivotField>
    <pivotField axis="axisRow" compact="0" outline="0" showAll="0" defaultSubtotal="0">
      <items count="20">
        <item m="1" x="17"/>
        <item m="1" x="18"/>
        <item m="1" x="19"/>
        <item x="0"/>
        <item x="1"/>
        <item x="2"/>
        <item m="1" x="3"/>
        <item m="1" x="4"/>
        <item m="1" x="5"/>
        <item m="1" x="6"/>
        <item m="1" x="7"/>
        <item m="1" x="8"/>
        <item m="1" x="9"/>
        <item m="1" x="10"/>
        <item m="1" x="11"/>
        <item m="1" x="12"/>
        <item m="1" x="13"/>
        <item m="1" x="14"/>
        <item m="1" x="15"/>
        <item m="1" x="16"/>
      </items>
    </pivotField>
    <pivotField axis="axisRow" compact="0" outline="0" showAll="0" defaultSubtotal="0">
      <items count="14">
        <item m="1" x="12"/>
        <item m="1" x="9"/>
        <item m="1" x="13"/>
        <item x="1"/>
        <item m="1" x="10"/>
        <item x="0"/>
        <item x="2"/>
        <item m="1" x="11"/>
        <item x="3"/>
        <item m="1" x="5"/>
        <item m="1" x="6"/>
        <item m="1" x="7"/>
        <item m="1" x="8"/>
        <item x="4"/>
      </items>
    </pivotField>
    <pivotField axis="axisRow" compact="0" outline="0" showAll="0" sortType="ascending" defaultSubtotal="0">
      <items count="34">
        <item m="1" x="26"/>
        <item m="1" x="17"/>
        <item m="1" x="22"/>
        <item m="1" x="24"/>
        <item m="1" x="20"/>
        <item m="1" x="19"/>
        <item m="1" x="21"/>
        <item m="1" x="25"/>
        <item m="1" x="29"/>
        <item m="1" x="23"/>
        <item m="1" x="27"/>
        <item m="1" x="30"/>
        <item m="1" x="28"/>
        <item m="1" x="31"/>
        <item m="1" x="33"/>
        <item m="1" x="18"/>
        <item x="8"/>
        <item m="1" x="16"/>
        <item m="1" x="32"/>
        <item x="11"/>
        <item x="4"/>
        <item x="12"/>
        <item x="9"/>
        <item x="0"/>
        <item x="2"/>
        <item x="7"/>
        <item x="6"/>
        <item x="3"/>
        <item x="10"/>
        <item x="13"/>
        <item x="14"/>
        <item x="5"/>
        <item x="15"/>
        <item x="1"/>
      </items>
    </pivotField>
    <pivotField axis="axisRow" compact="0" outline="0" showAll="0" defaultSubtotal="0">
      <items count="414">
        <item m="1" x="412"/>
        <item m="1" x="405"/>
        <item m="1" x="410"/>
        <item m="1" x="409"/>
        <item m="1" x="413"/>
        <item m="1" x="402"/>
        <item m="1" x="407"/>
        <item m="1" x="404"/>
        <item m="1" x="411"/>
        <item x="1"/>
        <item m="1" x="403"/>
        <item x="141"/>
        <item m="1" x="406"/>
        <item m="1" x="408"/>
        <item m="1" x="258"/>
        <item m="1" x="263"/>
        <item m="1" x="264"/>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m="1" x="343"/>
        <item m="1" x="344"/>
        <item m="1" x="345"/>
        <item m="1" x="346"/>
        <item m="1" x="255"/>
        <item m="1" x="347"/>
        <item m="1" x="256"/>
        <item m="1" x="257"/>
        <item m="1" x="348"/>
        <item m="1" x="349"/>
        <item m="1" x="350"/>
        <item m="1" x="259"/>
        <item m="1" x="351"/>
        <item m="1" x="260"/>
        <item m="1" x="352"/>
        <item m="1" x="261"/>
        <item m="1" x="353"/>
        <item m="1" x="262"/>
        <item m="1" x="354"/>
        <item m="1" x="355"/>
        <item m="1" x="356"/>
        <item m="1" x="357"/>
        <item m="1" x="358"/>
        <item m="1" x="265"/>
        <item m="1" x="359"/>
        <item m="1" x="360"/>
        <item m="1" x="361"/>
        <item m="1" x="362"/>
        <item m="1" x="363"/>
        <item m="1" x="364"/>
        <item m="1" x="365"/>
        <item m="1" x="366"/>
        <item m="1" x="367"/>
        <item m="1" x="368"/>
        <item m="1" x="369"/>
        <item m="1" x="370"/>
        <item m="1" x="371"/>
        <item m="1" x="372"/>
        <item m="1" x="373"/>
        <item m="1" x="374"/>
        <item m="1" x="375"/>
        <item m="1" x="376"/>
        <item m="1" x="377"/>
        <item m="1" x="378"/>
        <item m="1" x="379"/>
        <item m="1" x="380"/>
        <item m="1" x="381"/>
        <item m="1" x="382"/>
        <item m="1" x="383"/>
        <item m="1" x="384"/>
        <item m="1" x="385"/>
        <item m="1" x="386"/>
        <item m="1" x="387"/>
        <item m="1" x="388"/>
        <item m="1" x="389"/>
        <item m="1" x="390"/>
        <item m="1" x="391"/>
        <item m="1" x="392"/>
        <item m="1" x="393"/>
        <item m="1" x="394"/>
        <item m="1" x="395"/>
        <item m="1" x="396"/>
        <item m="1" x="397"/>
        <item m="1" x="398"/>
        <item m="1" x="399"/>
        <item m="1" x="400"/>
        <item m="1" x="401"/>
        <item x="17"/>
        <item x="18"/>
        <item x="19"/>
        <item x="20"/>
        <item x="21"/>
        <item x="22"/>
        <item x="2"/>
        <item x="30"/>
        <item x="31"/>
        <item x="32"/>
        <item x="37"/>
        <item x="43"/>
        <item x="44"/>
        <item x="45"/>
        <item x="46"/>
        <item x="52"/>
        <item x="57"/>
        <item x="58"/>
        <item x="146"/>
        <item x="147"/>
        <item x="148"/>
        <item x="154"/>
        <item x="155"/>
        <item x="156"/>
        <item x="157"/>
        <item x="158"/>
        <item x="159"/>
        <item x="164"/>
        <item x="144"/>
        <item x="149"/>
        <item x="150"/>
        <item x="151"/>
        <item x="152"/>
        <item x="153"/>
        <item x="160"/>
        <item x="161"/>
        <item x="4"/>
        <item x="12"/>
        <item x="39"/>
        <item x="51"/>
        <item x="142"/>
        <item x="145"/>
        <item m="1" x="254"/>
        <item x="170"/>
        <item x="182"/>
        <item x="195"/>
        <item x="196"/>
        <item x="197"/>
        <item x="198"/>
        <item x="199"/>
        <item x="200"/>
        <item x="201"/>
        <item x="202"/>
        <item x="203"/>
        <item x="205"/>
        <item x="207"/>
        <item x="208"/>
        <item x="209"/>
        <item x="210"/>
        <item x="211"/>
        <item x="212"/>
        <item x="213"/>
        <item x="214"/>
        <item x="215"/>
        <item x="216"/>
        <item x="217"/>
        <item x="218"/>
        <item x="219"/>
        <item x="220"/>
        <item x="221"/>
        <item x="222"/>
        <item x="227"/>
        <item x="228"/>
        <item x="229"/>
        <item x="230"/>
        <item x="231"/>
        <item x="232"/>
        <item x="233"/>
        <item x="234"/>
        <item x="235"/>
        <item x="236"/>
        <item x="237"/>
        <item x="238"/>
        <item x="239"/>
        <item x="240"/>
        <item x="241"/>
        <item x="242"/>
        <item x="243"/>
        <item x="244"/>
        <item x="245"/>
        <item x="246"/>
        <item x="247"/>
        <item x="248"/>
        <item x="249"/>
        <item x="250"/>
        <item x="0"/>
        <item x="3"/>
        <item x="5"/>
        <item x="6"/>
        <item x="7"/>
        <item x="8"/>
        <item x="9"/>
        <item x="10"/>
        <item x="11"/>
        <item x="23"/>
        <item x="24"/>
        <item x="25"/>
        <item x="26"/>
        <item x="33"/>
        <item x="38"/>
        <item x="40"/>
        <item x="41"/>
        <item x="47"/>
        <item x="48"/>
        <item x="49"/>
        <item x="50"/>
        <item x="53"/>
        <item x="59"/>
        <item x="60"/>
        <item x="61"/>
        <item x="62"/>
        <item x="65"/>
        <item x="66"/>
        <item x="67"/>
        <item x="68"/>
        <item x="69"/>
        <item x="70"/>
        <item x="71"/>
        <item x="72"/>
        <item x="73"/>
        <item x="74"/>
        <item x="75"/>
        <item x="76"/>
        <item x="77"/>
        <item x="78"/>
        <item x="79"/>
        <item x="80"/>
        <item x="143"/>
        <item x="172"/>
        <item x="223"/>
        <item x="224"/>
        <item x="225"/>
        <item x="226"/>
        <item x="13"/>
        <item x="14"/>
        <item x="15"/>
        <item x="16"/>
        <item x="27"/>
        <item x="28"/>
        <item x="29"/>
        <item x="34"/>
        <item x="35"/>
        <item x="36"/>
        <item x="42"/>
        <item x="54"/>
        <item x="55"/>
        <item x="56"/>
        <item x="63"/>
        <item x="64"/>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66"/>
        <item x="168"/>
        <item x="169"/>
        <item x="171"/>
        <item x="173"/>
        <item x="174"/>
        <item x="175"/>
        <item x="176"/>
        <item x="177"/>
        <item x="178"/>
        <item x="179"/>
        <item x="180"/>
        <item x="181"/>
        <item x="183"/>
        <item x="184"/>
        <item x="185"/>
        <item x="186"/>
        <item x="187"/>
        <item x="188"/>
        <item x="189"/>
        <item x="190"/>
        <item x="191"/>
        <item x="192"/>
        <item x="193"/>
        <item x="194"/>
        <item x="204"/>
        <item x="206"/>
        <item x="162"/>
        <item x="163"/>
        <item x="165"/>
        <item x="167"/>
        <item x="251"/>
        <item x="252"/>
        <item x="253"/>
      </items>
    </pivotField>
    <pivotField compact="0" outline="0" showAll="0"/>
    <pivotField axis="axisRow" subtotalTop="0" showAll="0" insertBlankRow="1" sortType="ascending" defaultSubtotal="0">
      <items count="859">
        <item m="1" x="851"/>
        <item m="1" x="852"/>
        <item m="1" x="853"/>
        <item m="1" x="854"/>
        <item m="1" x="855"/>
        <item m="1" x="856"/>
        <item m="1" x="857"/>
        <item m="1" x="588"/>
        <item x="0"/>
        <item m="1" x="589"/>
        <item x="1"/>
        <item m="1" x="590"/>
        <item x="2"/>
        <item m="1" x="591"/>
        <item x="3"/>
        <item m="1" x="592"/>
        <item x="4"/>
        <item m="1" x="593"/>
        <item x="5"/>
        <item x="6"/>
        <item m="1" x="594"/>
        <item x="7"/>
        <item m="1" x="595"/>
        <item m="1" x="596"/>
        <item x="8"/>
        <item x="9"/>
        <item x="10"/>
        <item x="11"/>
        <item x="12"/>
        <item x="13"/>
        <item x="14"/>
        <item x="15"/>
        <item x="16"/>
        <item x="17"/>
        <item m="1" x="597"/>
        <item m="1" x="598"/>
        <item x="18"/>
        <item x="19"/>
        <item x="20"/>
        <item m="1" x="599"/>
        <item m="1" x="600"/>
        <item m="1" x="601"/>
        <item x="21"/>
        <item x="22"/>
        <item x="23"/>
        <item x="24"/>
        <item x="25"/>
        <item x="26"/>
        <item x="27"/>
        <item x="28"/>
        <item x="29"/>
        <item x="30"/>
        <item m="1" x="602"/>
        <item x="31"/>
        <item x="32"/>
        <item x="33"/>
        <item m="1" x="603"/>
        <item x="34"/>
        <item x="35"/>
        <item x="36"/>
        <item m="1" x="604"/>
        <item x="37"/>
        <item m="1" x="605"/>
        <item x="38"/>
        <item x="39"/>
        <item x="40"/>
        <item m="1" x="606"/>
        <item x="41"/>
        <item x="42"/>
        <item x="43"/>
        <item x="44"/>
        <item x="45"/>
        <item x="46"/>
        <item x="47"/>
        <item x="48"/>
        <item m="1" x="607"/>
        <item x="49"/>
        <item x="50"/>
        <item x="51"/>
        <item m="1" x="608"/>
        <item x="52"/>
        <item x="53"/>
        <item x="54"/>
        <item x="55"/>
        <item x="56"/>
        <item x="57"/>
        <item m="1" x="609"/>
        <item m="1" x="610"/>
        <item x="58"/>
        <item x="59"/>
        <item m="1" x="611"/>
        <item m="1" x="612"/>
        <item m="1" x="613"/>
        <item x="60"/>
        <item x="61"/>
        <item x="62"/>
        <item x="63"/>
        <item x="64"/>
        <item x="65"/>
        <item m="1" x="614"/>
        <item x="66"/>
        <item x="67"/>
        <item m="1" x="615"/>
        <item x="68"/>
        <item x="69"/>
        <item m="1" x="616"/>
        <item x="70"/>
        <item m="1" x="617"/>
        <item x="71"/>
        <item x="72"/>
        <item m="1" x="618"/>
        <item x="73"/>
        <item x="74"/>
        <item x="75"/>
        <item x="76"/>
        <item m="1" x="619"/>
        <item x="77"/>
        <item x="78"/>
        <item m="1" x="620"/>
        <item x="79"/>
        <item x="80"/>
        <item x="81"/>
        <item x="82"/>
        <item x="83"/>
        <item x="84"/>
        <item m="1" x="621"/>
        <item m="1" x="622"/>
        <item x="85"/>
        <item x="86"/>
        <item m="1" x="623"/>
        <item m="1" x="624"/>
        <item m="1" x="625"/>
        <item x="87"/>
        <item x="88"/>
        <item x="89"/>
        <item x="90"/>
        <item x="91"/>
        <item x="92"/>
        <item m="1" x="626"/>
        <item x="93"/>
        <item x="94"/>
        <item m="1" x="627"/>
        <item x="95"/>
        <item x="96"/>
        <item m="1" x="628"/>
        <item x="97"/>
        <item m="1" x="629"/>
        <item x="98"/>
        <item x="99"/>
        <item m="1" x="630"/>
        <item x="100"/>
        <item x="101"/>
        <item x="102"/>
        <item x="103"/>
        <item m="1" x="631"/>
        <item x="104"/>
        <item x="105"/>
        <item x="106"/>
        <item x="107"/>
        <item x="108"/>
        <item x="109"/>
        <item x="110"/>
        <item x="111"/>
        <item x="112"/>
        <item x="113"/>
        <item x="114"/>
        <item x="115"/>
        <item m="1" x="632"/>
        <item x="116"/>
        <item x="117"/>
        <item x="118"/>
        <item x="119"/>
        <item x="120"/>
        <item x="121"/>
        <item m="1" x="633"/>
        <item x="122"/>
        <item x="123"/>
        <item x="124"/>
        <item x="125"/>
        <item x="126"/>
        <item x="127"/>
        <item m="1" x="634"/>
        <item m="1" x="635"/>
        <item x="128"/>
        <item x="129"/>
        <item x="130"/>
        <item x="131"/>
        <item x="132"/>
        <item x="133"/>
        <item x="134"/>
        <item x="135"/>
        <item x="136"/>
        <item x="137"/>
        <item x="138"/>
        <item m="1" x="636"/>
        <item m="1" x="637"/>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m="1" x="638"/>
        <item m="1" x="639"/>
        <item x="185"/>
        <item x="186"/>
        <item x="187"/>
        <item x="188"/>
        <item m="1" x="640"/>
        <item m="1" x="641"/>
        <item x="189"/>
        <item m="1" x="642"/>
        <item x="190"/>
        <item x="191"/>
        <item m="1" x="643"/>
        <item x="192"/>
        <item m="1" x="644"/>
        <item m="1" x="645"/>
        <item x="193"/>
        <item m="1" x="646"/>
        <item m="1" x="647"/>
        <item m="1" x="648"/>
        <item m="1" x="649"/>
        <item x="194"/>
        <item x="195"/>
        <item x="196"/>
        <item x="197"/>
        <item x="198"/>
        <item m="1" x="650"/>
        <item x="199"/>
        <item x="200"/>
        <item m="1" x="651"/>
        <item x="201"/>
        <item m="1" x="652"/>
        <item x="202"/>
        <item x="203"/>
        <item x="204"/>
        <item x="205"/>
        <item m="1" x="653"/>
        <item x="206"/>
        <item x="207"/>
        <item x="208"/>
        <item x="209"/>
        <item x="210"/>
        <item m="1" x="654"/>
        <item x="211"/>
        <item x="212"/>
        <item m="1" x="655"/>
        <item x="213"/>
        <item m="1" x="656"/>
        <item x="214"/>
        <item m="1" x="657"/>
        <item x="215"/>
        <item m="1" x="658"/>
        <item x="216"/>
        <item m="1" x="659"/>
        <item m="1" x="660"/>
        <item m="1" x="661"/>
        <item m="1" x="662"/>
        <item m="1" x="663"/>
        <item m="1" x="664"/>
        <item x="217"/>
        <item x="218"/>
        <item x="219"/>
        <item m="1" x="665"/>
        <item m="1" x="666"/>
        <item m="1" x="667"/>
        <item x="220"/>
        <item x="221"/>
        <item x="222"/>
        <item m="1" x="668"/>
        <item x="223"/>
        <item m="1" x="669"/>
        <item m="1" x="670"/>
        <item x="224"/>
        <item x="225"/>
        <item x="226"/>
        <item x="227"/>
        <item x="228"/>
        <item x="229"/>
        <item x="230"/>
        <item x="231"/>
        <item x="232"/>
        <item x="233"/>
        <item x="234"/>
        <item x="235"/>
        <item x="236"/>
        <item x="237"/>
        <item x="238"/>
        <item x="239"/>
        <item x="240"/>
        <item m="1" x="671"/>
        <item m="1" x="672"/>
        <item x="241"/>
        <item x="242"/>
        <item x="243"/>
        <item x="244"/>
        <item x="245"/>
        <item x="246"/>
        <item x="247"/>
        <item m="1" x="673"/>
        <item m="1" x="674"/>
        <item x="248"/>
        <item x="249"/>
        <item x="250"/>
        <item x="251"/>
        <item x="252"/>
        <item x="253"/>
        <item x="254"/>
        <item x="255"/>
        <item x="256"/>
        <item x="257"/>
        <item x="258"/>
        <item x="259"/>
        <item x="260"/>
        <item x="261"/>
        <item m="1" x="675"/>
        <item x="262"/>
        <item m="1" x="676"/>
        <item x="263"/>
        <item m="1" x="677"/>
        <item x="264"/>
        <item m="1" x="678"/>
        <item x="265"/>
        <item x="266"/>
        <item x="267"/>
        <item m="1" x="679"/>
        <item x="268"/>
        <item m="1" x="680"/>
        <item m="1" x="681"/>
        <item m="1" x="682"/>
        <item x="269"/>
        <item x="270"/>
        <item m="1" x="683"/>
        <item x="271"/>
        <item m="1" x="684"/>
        <item m="1" x="685"/>
        <item x="272"/>
        <item x="273"/>
        <item m="1" x="686"/>
        <item x="274"/>
        <item m="1" x="687"/>
        <item x="275"/>
        <item x="276"/>
        <item m="1" x="688"/>
        <item x="277"/>
        <item x="278"/>
        <item x="279"/>
        <item x="280"/>
        <item x="281"/>
        <item x="282"/>
        <item x="283"/>
        <item x="284"/>
        <item x="285"/>
        <item x="286"/>
        <item x="287"/>
        <item x="288"/>
        <item x="289"/>
        <item x="290"/>
        <item x="291"/>
        <item x="292"/>
        <item x="293"/>
        <item m="1" x="689"/>
        <item x="294"/>
        <item x="295"/>
        <item x="296"/>
        <item x="297"/>
        <item x="298"/>
        <item x="299"/>
        <item x="300"/>
        <item x="301"/>
        <item x="302"/>
        <item x="303"/>
        <item x="304"/>
        <item x="305"/>
        <item x="306"/>
        <item m="1" x="690"/>
        <item x="307"/>
        <item m="1" x="691"/>
        <item x="308"/>
        <item m="1" x="692"/>
        <item x="309"/>
        <item m="1" x="693"/>
        <item x="310"/>
        <item m="1" x="694"/>
        <item x="311"/>
        <item x="312"/>
        <item x="313"/>
        <item x="314"/>
        <item x="315"/>
        <item x="316"/>
        <item x="317"/>
        <item x="318"/>
        <item x="319"/>
        <item m="1" x="695"/>
        <item x="320"/>
        <item m="1" x="696"/>
        <item x="321"/>
        <item x="322"/>
        <item x="323"/>
        <item x="324"/>
        <item m="1" x="697"/>
        <item m="1" x="698"/>
        <item x="325"/>
        <item m="1" x="699"/>
        <item m="1" x="700"/>
        <item m="1" x="701"/>
        <item x="326"/>
        <item m="1" x="703"/>
        <item m="1" x="702"/>
        <item x="327"/>
        <item m="1" x="704"/>
        <item x="328"/>
        <item x="329"/>
        <item x="330"/>
        <item x="331"/>
        <item x="332"/>
        <item x="333"/>
        <item m="1" x="705"/>
        <item x="334"/>
        <item x="335"/>
        <item x="336"/>
        <item x="337"/>
        <item x="338"/>
        <item x="339"/>
        <item m="1" x="706"/>
        <item x="340"/>
        <item x="341"/>
        <item m="1" x="707"/>
        <item x="342"/>
        <item m="1" x="708"/>
        <item x="343"/>
        <item m="1" x="709"/>
        <item x="344"/>
        <item x="345"/>
        <item x="346"/>
        <item x="347"/>
        <item x="348"/>
        <item x="349"/>
        <item x="350"/>
        <item m="1" x="710"/>
        <item x="351"/>
        <item x="352"/>
        <item m="1" x="711"/>
        <item x="353"/>
        <item x="354"/>
        <item m="1" x="712"/>
        <item m="1" x="713"/>
        <item m="1" x="714"/>
        <item m="1" x="715"/>
        <item m="1" x="716"/>
        <item m="1" x="717"/>
        <item m="1" x="718"/>
        <item x="355"/>
        <item x="356"/>
        <item x="357"/>
        <item x="358"/>
        <item x="359"/>
        <item x="360"/>
        <item x="361"/>
        <item x="362"/>
        <item x="363"/>
        <item x="364"/>
        <item x="365"/>
        <item x="366"/>
        <item x="367"/>
        <item x="368"/>
        <item x="369"/>
        <item x="370"/>
        <item x="371"/>
        <item x="372"/>
        <item x="373"/>
        <item x="374"/>
        <item m="1" x="719"/>
        <item m="1" x="720"/>
        <item m="1" x="721"/>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m="1" x="722"/>
        <item x="406"/>
        <item x="407"/>
        <item x="408"/>
        <item x="409"/>
        <item m="1" x="723"/>
        <item x="410"/>
        <item x="411"/>
        <item x="412"/>
        <item x="413"/>
        <item x="414"/>
        <item x="415"/>
        <item m="1" x="724"/>
        <item x="416"/>
        <item m="1" x="725"/>
        <item x="417"/>
        <item m="1" x="726"/>
        <item x="418"/>
        <item x="419"/>
        <item m="1" x="727"/>
        <item x="420"/>
        <item m="1" x="728"/>
        <item m="1" x="729"/>
        <item m="1" x="730"/>
        <item m="1" x="731"/>
        <item m="1" x="732"/>
        <item m="1" x="733"/>
        <item m="1" x="734"/>
        <item m="1" x="735"/>
        <item m="1" x="736"/>
        <item m="1" x="737"/>
        <item x="421"/>
        <item m="1" x="738"/>
        <item x="422"/>
        <item x="423"/>
        <item m="1" x="739"/>
        <item x="424"/>
        <item x="425"/>
        <item x="426"/>
        <item x="427"/>
        <item x="428"/>
        <item x="429"/>
        <item x="430"/>
        <item x="431"/>
        <item x="432"/>
        <item m="1" x="741"/>
        <item m="1" x="740"/>
        <item x="433"/>
        <item x="434"/>
        <item x="435"/>
        <item x="436"/>
        <item x="437"/>
        <item x="438"/>
        <item x="439"/>
        <item x="440"/>
        <item x="441"/>
        <item x="442"/>
        <item x="443"/>
        <item x="444"/>
        <item x="445"/>
        <item m="1" x="742"/>
        <item x="446"/>
        <item m="1" x="743"/>
        <item x="447"/>
        <item m="1" x="744"/>
        <item x="448"/>
        <item m="1" x="745"/>
        <item x="449"/>
        <item m="1" x="746"/>
        <item x="450"/>
        <item m="1" x="747"/>
        <item x="451"/>
        <item m="1" x="748"/>
        <item x="452"/>
        <item m="1" x="749"/>
        <item x="453"/>
        <item m="1" x="750"/>
        <item x="454"/>
        <item m="1" x="751"/>
        <item x="455"/>
        <item x="456"/>
        <item x="457"/>
        <item x="458"/>
        <item x="459"/>
        <item m="1" x="752"/>
        <item x="460"/>
        <item m="1" x="753"/>
        <item x="461"/>
        <item m="1" x="754"/>
        <item x="462"/>
        <item m="1" x="755"/>
        <item x="463"/>
        <item m="1" x="756"/>
        <item x="464"/>
        <item x="465"/>
        <item m="1" x="757"/>
        <item x="466"/>
        <item x="467"/>
        <item x="468"/>
        <item m="1" x="758"/>
        <item x="469"/>
        <item m="1" x="759"/>
        <item x="470"/>
        <item m="1" x="760"/>
        <item x="471"/>
        <item x="472"/>
        <item x="473"/>
        <item m="1" x="761"/>
        <item m="1" x="762"/>
        <item x="474"/>
        <item x="475"/>
        <item m="1" x="763"/>
        <item m="1" x="764"/>
        <item m="1" x="765"/>
        <item x="476"/>
        <item x="477"/>
        <item m="1" x="766"/>
        <item x="478"/>
        <item m="1" x="767"/>
        <item x="479"/>
        <item x="480"/>
        <item m="1" x="768"/>
        <item x="481"/>
        <item m="1" x="769"/>
        <item x="482"/>
        <item m="1" x="770"/>
        <item x="483"/>
        <item m="1" x="771"/>
        <item x="484"/>
        <item m="1" x="772"/>
        <item x="485"/>
        <item m="1" x="773"/>
        <item m="1" x="774"/>
        <item x="486"/>
        <item x="487"/>
        <item x="488"/>
        <item m="1" x="775"/>
        <item x="489"/>
        <item m="1" x="776"/>
        <item x="490"/>
        <item m="1" x="777"/>
        <item x="491"/>
        <item m="1" x="778"/>
        <item x="492"/>
        <item x="493"/>
        <item m="1" x="779"/>
        <item x="494"/>
        <item m="1" x="780"/>
        <item x="495"/>
        <item x="496"/>
        <item x="497"/>
        <item x="498"/>
        <item x="499"/>
        <item m="1" x="781"/>
        <item x="500"/>
        <item x="501"/>
        <item x="502"/>
        <item m="1" x="782"/>
        <item x="503"/>
        <item m="1" x="783"/>
        <item m="1" x="784"/>
        <item x="504"/>
        <item m="1" x="785"/>
        <item x="505"/>
        <item x="506"/>
        <item x="507"/>
        <item m="1" x="786"/>
        <item x="508"/>
        <item m="1" x="787"/>
        <item x="509"/>
        <item x="510"/>
        <item x="511"/>
        <item x="512"/>
        <item x="513"/>
        <item x="514"/>
        <item x="515"/>
        <item x="516"/>
        <item x="517"/>
        <item m="1" x="788"/>
        <item x="518"/>
        <item m="1" x="789"/>
        <item x="519"/>
        <item m="1" x="790"/>
        <item x="520"/>
        <item m="1" x="791"/>
        <item x="521"/>
        <item m="1" x="792"/>
        <item x="522"/>
        <item m="1" x="793"/>
        <item x="523"/>
        <item m="1" x="794"/>
        <item x="524"/>
        <item m="1" x="795"/>
        <item x="525"/>
        <item m="1" x="796"/>
        <item x="526"/>
        <item m="1" x="797"/>
        <item x="527"/>
        <item m="1" x="799"/>
        <item x="528"/>
        <item m="1" x="798"/>
        <item m="1" x="800"/>
        <item x="529"/>
        <item m="1" x="801"/>
        <item x="530"/>
        <item m="1" x="802"/>
        <item x="531"/>
        <item x="532"/>
        <item x="533"/>
        <item m="1" x="803"/>
        <item x="534"/>
        <item m="1" x="804"/>
        <item x="535"/>
        <item m="1" x="805"/>
        <item x="536"/>
        <item m="1" x="806"/>
        <item x="537"/>
        <item m="1" x="807"/>
        <item x="538"/>
        <item m="1" x="808"/>
        <item x="539"/>
        <item m="1" x="809"/>
        <item x="540"/>
        <item m="1" x="810"/>
        <item x="541"/>
        <item m="1" x="811"/>
        <item x="542"/>
        <item m="1" x="812"/>
        <item x="543"/>
        <item m="1" x="813"/>
        <item x="544"/>
        <item m="1" x="814"/>
        <item x="545"/>
        <item m="1" x="815"/>
        <item x="546"/>
        <item m="1" x="816"/>
        <item x="547"/>
        <item m="1" x="817"/>
        <item x="548"/>
        <item m="1" x="818"/>
        <item x="549"/>
        <item x="550"/>
        <item m="1" x="819"/>
        <item m="1" x="820"/>
        <item m="1" x="821"/>
        <item m="1" x="822"/>
        <item x="551"/>
        <item m="1" x="823"/>
        <item x="552"/>
        <item m="1" x="824"/>
        <item x="553"/>
        <item m="1" x="825"/>
        <item x="554"/>
        <item m="1" x="826"/>
        <item x="555"/>
        <item m="1" x="827"/>
        <item x="556"/>
        <item m="1" x="828"/>
        <item x="557"/>
        <item x="558"/>
        <item m="1" x="829"/>
        <item m="1" x="830"/>
        <item x="559"/>
        <item m="1" x="831"/>
        <item x="560"/>
        <item m="1" x="832"/>
        <item x="561"/>
        <item m="1" x="833"/>
        <item m="1" x="834"/>
        <item x="562"/>
        <item m="1" x="835"/>
        <item x="563"/>
        <item x="564"/>
        <item m="1" x="836"/>
        <item x="565"/>
        <item m="1" x="837"/>
        <item x="566"/>
        <item m="1" x="838"/>
        <item x="567"/>
        <item m="1" x="839"/>
        <item m="1" x="840"/>
        <item x="568"/>
        <item m="1" x="841"/>
        <item m="1" x="842"/>
        <item x="569"/>
        <item m="1" x="843"/>
        <item x="570"/>
        <item x="571"/>
        <item x="572"/>
        <item m="1" x="844"/>
        <item m="1" x="845"/>
        <item x="573"/>
        <item x="574"/>
        <item m="1" x="846"/>
        <item x="575"/>
        <item m="1" x="847"/>
        <item x="576"/>
        <item m="1" x="848"/>
        <item x="577"/>
        <item m="1" x="849"/>
        <item x="578"/>
        <item x="579"/>
        <item m="1" x="850"/>
        <item x="580"/>
        <item x="581"/>
        <item x="582"/>
        <item x="583"/>
        <item x="584"/>
        <item x="585"/>
        <item x="586"/>
        <item x="587"/>
        <item m="1" x="858"/>
      </items>
    </pivotField>
    <pivotField compact="0" outline="0" showAll="0"/>
  </pivotFields>
  <rowFields count="7">
    <field x="10"/>
    <field x="2"/>
    <field x="4"/>
    <field x="5"/>
    <field x="6"/>
    <field x="7"/>
    <field x="8"/>
  </rowFields>
  <rowItems count="2080">
    <i>
      <x v="8"/>
    </i>
    <i r="1">
      <x v="2"/>
      <x v="6"/>
      <x v="3"/>
      <x v="5"/>
      <x v="23"/>
      <x v="256"/>
    </i>
    <i r="2">
      <x v="37"/>
      <x v="4"/>
      <x v="3"/>
      <x v="33"/>
      <x v="9"/>
    </i>
    <i t="blank">
      <x v="8"/>
    </i>
    <i>
      <x v="10"/>
    </i>
    <i r="1">
      <x v="2"/>
      <x v="6"/>
      <x v="3"/>
      <x v="6"/>
      <x v="23"/>
      <x v="167"/>
    </i>
    <i t="blank">
      <x v="10"/>
    </i>
    <i>
      <x v="12"/>
    </i>
    <i r="1">
      <x v="2"/>
      <x v="6"/>
      <x v="3"/>
      <x v="6"/>
      <x v="23"/>
      <x v="167"/>
    </i>
    <i t="blank">
      <x v="12"/>
    </i>
    <i>
      <x v="14"/>
    </i>
    <i r="1">
      <x v="2"/>
      <x v="6"/>
      <x v="3"/>
      <x v="6"/>
      <x v="23"/>
      <x v="167"/>
    </i>
    <i t="blank">
      <x v="14"/>
    </i>
    <i>
      <x v="16"/>
    </i>
    <i r="1">
      <x v="2"/>
      <x v="6"/>
      <x v="3"/>
      <x v="6"/>
      <x v="23"/>
      <x v="167"/>
    </i>
    <i t="blank">
      <x v="16"/>
    </i>
    <i>
      <x v="18"/>
    </i>
    <i r="1">
      <x v="2"/>
      <x v="6"/>
      <x v="3"/>
      <x v="6"/>
      <x v="23"/>
      <x v="167"/>
    </i>
    <i t="blank">
      <x v="18"/>
    </i>
    <i>
      <x v="19"/>
    </i>
    <i r="1">
      <x v="2"/>
      <x v="6"/>
      <x v="3"/>
      <x v="5"/>
      <x v="23"/>
      <x v="257"/>
    </i>
    <i r="2">
      <x v="37"/>
      <x v="4"/>
      <x v="3"/>
      <x v="33"/>
      <x v="9"/>
    </i>
    <i t="blank">
      <x v="19"/>
    </i>
    <i>
      <x v="21"/>
    </i>
    <i r="1">
      <x v="2"/>
      <x v="6"/>
      <x v="3"/>
      <x v="6"/>
      <x v="23"/>
      <x v="197"/>
    </i>
    <i t="blank">
      <x v="21"/>
    </i>
    <i>
      <x v="24"/>
    </i>
    <i r="1">
      <x v="1"/>
      <x v="10"/>
      <x v="3"/>
      <x v="6"/>
      <x v="24"/>
      <x v="167"/>
    </i>
    <i t="blank">
      <x v="24"/>
    </i>
    <i>
      <x v="25"/>
    </i>
    <i r="1">
      <x v="1"/>
      <x v="10"/>
      <x v="3"/>
      <x v="6"/>
      <x v="24"/>
      <x v="167"/>
    </i>
    <i t="blank">
      <x v="25"/>
    </i>
    <i>
      <x v="26"/>
    </i>
    <i r="1">
      <x v="1"/>
      <x v="10"/>
      <x v="3"/>
      <x v="5"/>
      <x v="24"/>
      <x v="258"/>
    </i>
    <i r="2">
      <x v="38"/>
      <x v="4"/>
      <x v="3"/>
      <x v="33"/>
      <x v="9"/>
    </i>
    <i t="blank">
      <x v="26"/>
    </i>
    <i>
      <x v="27"/>
    </i>
    <i r="1">
      <x v="1"/>
      <x v="10"/>
      <x v="3"/>
      <x v="6"/>
      <x v="24"/>
      <x v="167"/>
    </i>
    <i t="blank">
      <x v="27"/>
    </i>
    <i>
      <x v="28"/>
    </i>
    <i r="1">
      <x v="1"/>
      <x v="10"/>
      <x v="3"/>
      <x v="6"/>
      <x v="24"/>
      <x v="167"/>
    </i>
    <i t="blank">
      <x v="28"/>
    </i>
    <i>
      <x v="29"/>
    </i>
    <i r="1">
      <x v="1"/>
      <x v="10"/>
      <x v="3"/>
      <x v="6"/>
      <x v="24"/>
      <x v="167"/>
    </i>
    <i t="blank">
      <x v="29"/>
    </i>
    <i>
      <x v="30"/>
    </i>
    <i r="1">
      <x v="1"/>
      <x v="10"/>
      <x v="3"/>
      <x v="8"/>
      <x v="24"/>
      <x v="259"/>
    </i>
    <i r="2">
      <x v="38"/>
      <x v="4"/>
      <x v="3"/>
      <x v="33"/>
      <x v="9"/>
    </i>
    <i t="blank">
      <x v="30"/>
    </i>
    <i>
      <x v="31"/>
    </i>
    <i r="1">
      <x v="1"/>
      <x v="10"/>
      <x v="3"/>
      <x v="6"/>
      <x v="24"/>
      <x v="167"/>
    </i>
    <i t="blank">
      <x v="31"/>
    </i>
    <i>
      <x v="32"/>
    </i>
    <i r="1">
      <x v="1"/>
      <x v="10"/>
      <x v="3"/>
      <x v="6"/>
      <x v="24"/>
      <x v="167"/>
    </i>
    <i t="blank">
      <x v="32"/>
    </i>
    <i>
      <x v="33"/>
    </i>
    <i r="1">
      <x v="1"/>
      <x v="10"/>
      <x v="3"/>
      <x v="6"/>
      <x v="24"/>
      <x v="167"/>
    </i>
    <i t="blank">
      <x v="33"/>
    </i>
    <i>
      <x v="36"/>
    </i>
    <i r="1">
      <x v="1"/>
      <x v="10"/>
      <x v="3"/>
      <x v="5"/>
      <x v="24"/>
      <x v="260"/>
    </i>
    <i r="2">
      <x v="38"/>
      <x v="4"/>
      <x v="3"/>
      <x v="33"/>
      <x v="9"/>
    </i>
    <i t="blank">
      <x v="36"/>
    </i>
    <i>
      <x v="37"/>
    </i>
    <i r="1">
      <x v="1"/>
      <x v="10"/>
      <x v="3"/>
      <x v="5"/>
      <x v="24"/>
      <x v="261"/>
    </i>
    <i r="2">
      <x v="38"/>
      <x v="4"/>
      <x v="3"/>
      <x v="33"/>
      <x v="9"/>
    </i>
    <i t="blank">
      <x v="37"/>
    </i>
    <i>
      <x v="38"/>
    </i>
    <i r="1">
      <x v="1"/>
      <x v="10"/>
      <x v="3"/>
      <x v="5"/>
      <x v="24"/>
      <x v="262"/>
    </i>
    <i r="2">
      <x v="38"/>
      <x v="4"/>
      <x v="3"/>
      <x v="33"/>
      <x v="9"/>
    </i>
    <i t="blank">
      <x v="38"/>
    </i>
    <i>
      <x v="42"/>
    </i>
    <i r="1">
      <x v="1"/>
      <x v="10"/>
      <x v="3"/>
      <x v="6"/>
      <x v="24"/>
      <x v="167"/>
    </i>
    <i t="blank">
      <x v="42"/>
    </i>
    <i>
      <x v="43"/>
    </i>
    <i r="1">
      <x v="1"/>
      <x v="10"/>
      <x v="3"/>
      <x v="6"/>
      <x v="24"/>
      <x v="167"/>
    </i>
    <i t="blank">
      <x v="43"/>
    </i>
    <i>
      <x v="44"/>
    </i>
    <i r="1">
      <x v="1"/>
      <x v="10"/>
      <x v="3"/>
      <x v="8"/>
      <x v="24"/>
      <x v="263"/>
    </i>
    <i r="2">
      <x v="38"/>
      <x v="4"/>
      <x v="3"/>
      <x v="33"/>
      <x v="9"/>
    </i>
    <i t="blank">
      <x v="44"/>
    </i>
    <i>
      <x v="45"/>
    </i>
    <i r="1">
      <x v="1"/>
      <x v="10"/>
      <x v="3"/>
      <x v="6"/>
      <x v="24"/>
      <x v="167"/>
    </i>
    <i t="blank">
      <x v="45"/>
    </i>
    <i>
      <x v="46"/>
    </i>
    <i r="1">
      <x v="1"/>
      <x v="10"/>
      <x v="3"/>
      <x v="6"/>
      <x v="24"/>
      <x v="167"/>
    </i>
    <i t="blank">
      <x v="46"/>
    </i>
    <i>
      <x v="47"/>
    </i>
    <i r="1">
      <x v="1"/>
      <x v="10"/>
      <x v="3"/>
      <x v="6"/>
      <x v="24"/>
      <x v="167"/>
    </i>
    <i t="blank">
      <x v="47"/>
    </i>
    <i>
      <x v="48"/>
    </i>
    <i r="1">
      <x v="1"/>
      <x v="10"/>
      <x v="3"/>
      <x v="8"/>
      <x v="24"/>
      <x v="264"/>
    </i>
    <i r="2">
      <x v="38"/>
      <x v="4"/>
      <x v="3"/>
      <x v="33"/>
      <x v="9"/>
    </i>
    <i t="blank">
      <x v="48"/>
    </i>
    <i>
      <x v="49"/>
    </i>
    <i r="1">
      <x v="1"/>
      <x v="10"/>
      <x v="3"/>
      <x v="6"/>
      <x v="24"/>
      <x v="167"/>
    </i>
    <i t="blank">
      <x v="49"/>
    </i>
    <i>
      <x v="50"/>
    </i>
    <i r="1">
      <x v="1"/>
      <x v="10"/>
      <x v="3"/>
      <x v="6"/>
      <x v="24"/>
      <x v="167"/>
    </i>
    <i t="blank">
      <x v="50"/>
    </i>
    <i>
      <x v="51"/>
    </i>
    <i r="1">
      <x v="1"/>
      <x v="10"/>
      <x v="3"/>
      <x v="5"/>
      <x v="23"/>
      <x v="198"/>
    </i>
    <i r="2">
      <x v="37"/>
      <x v="4"/>
      <x v="3"/>
      <x v="33"/>
      <x v="9"/>
    </i>
    <i t="blank">
      <x v="51"/>
    </i>
    <i>
      <x v="53"/>
    </i>
    <i r="1">
      <x v="2"/>
      <x v="10"/>
      <x v="3"/>
      <x v="8"/>
      <x v="27"/>
      <x v="304"/>
    </i>
    <i r="2">
      <x v="39"/>
      <x v="4"/>
      <x v="3"/>
      <x v="33"/>
      <x v="9"/>
    </i>
    <i t="blank">
      <x v="53"/>
    </i>
    <i>
      <x v="54"/>
    </i>
    <i r="1">
      <x v="2"/>
      <x v="10"/>
      <x v="3"/>
      <x v="8"/>
      <x v="27"/>
      <x v="305"/>
    </i>
    <i r="2">
      <x v="39"/>
      <x v="4"/>
      <x v="3"/>
      <x v="33"/>
      <x v="9"/>
    </i>
    <i t="blank">
      <x v="54"/>
    </i>
    <i>
      <x v="55"/>
    </i>
    <i r="1">
      <x v="2"/>
      <x v="10"/>
      <x v="3"/>
      <x v="8"/>
      <x v="27"/>
      <x v="306"/>
    </i>
    <i r="2">
      <x v="39"/>
      <x v="4"/>
      <x v="3"/>
      <x v="33"/>
      <x v="9"/>
    </i>
    <i t="blank">
      <x v="55"/>
    </i>
    <i>
      <x v="57"/>
    </i>
    <i r="1">
      <x v="2"/>
      <x v="10"/>
      <x v="3"/>
      <x v="8"/>
      <x v="27"/>
      <x v="307"/>
    </i>
    <i r="2">
      <x v="39"/>
      <x v="4"/>
      <x v="3"/>
      <x v="33"/>
      <x v="9"/>
    </i>
    <i t="blank">
      <x v="57"/>
    </i>
    <i>
      <x v="58"/>
    </i>
    <i r="1">
      <x v="2"/>
      <x v="10"/>
      <x v="3"/>
      <x v="6"/>
      <x v="27"/>
      <x v="9"/>
    </i>
    <i t="blank">
      <x v="58"/>
    </i>
    <i>
      <x v="59"/>
    </i>
    <i r="1">
      <x v="2"/>
      <x v="10"/>
      <x v="3"/>
      <x v="6"/>
      <x v="27"/>
      <x v="9"/>
    </i>
    <i t="blank">
      <x v="59"/>
    </i>
    <i>
      <x v="61"/>
    </i>
    <i r="1">
      <x v="2"/>
      <x v="10"/>
      <x v="3"/>
      <x v="6"/>
      <x v="27"/>
      <x v="9"/>
    </i>
    <i t="blank">
      <x v="61"/>
    </i>
    <i>
      <x v="63"/>
    </i>
    <i r="1">
      <x v="1"/>
      <x v="10"/>
      <x v="3"/>
      <x v="5"/>
      <x v="20"/>
      <x v="161"/>
    </i>
    <i r="2">
      <x v="32"/>
      <x v="4"/>
      <x v="3"/>
      <x v="33"/>
      <x v="9"/>
    </i>
    <i t="blank">
      <x v="63"/>
    </i>
    <i>
      <x v="64"/>
    </i>
    <i r="1">
      <x v="1"/>
      <x v="10"/>
      <x v="3"/>
      <x v="5"/>
      <x v="20"/>
      <x v="162"/>
    </i>
    <i r="2">
      <x v="32"/>
      <x v="4"/>
      <x v="3"/>
      <x v="33"/>
      <x v="9"/>
    </i>
    <i t="blank">
      <x v="64"/>
    </i>
    <i>
      <x v="65"/>
    </i>
    <i r="1">
      <x v="1"/>
      <x v="10"/>
      <x v="3"/>
      <x v="5"/>
      <x v="20"/>
      <x v="162"/>
    </i>
    <i r="2">
      <x v="32"/>
      <x v="4"/>
      <x v="3"/>
      <x v="33"/>
      <x v="9"/>
    </i>
    <i t="blank">
      <x v="65"/>
    </i>
    <i>
      <x v="67"/>
    </i>
    <i r="1">
      <x v="2"/>
      <x v="10"/>
      <x v="3"/>
      <x v="5"/>
      <x v="20"/>
      <x v="163"/>
    </i>
    <i r="2">
      <x v="32"/>
      <x v="4"/>
      <x v="3"/>
      <x v="33"/>
      <x v="9"/>
    </i>
    <i t="blank">
      <x v="67"/>
    </i>
    <i>
      <x v="68"/>
    </i>
    <i r="1">
      <x v="2"/>
      <x v="10"/>
      <x v="3"/>
      <x v="5"/>
      <x v="20"/>
      <x v="164"/>
    </i>
    <i r="2">
      <x v="32"/>
      <x v="4"/>
      <x v="3"/>
      <x v="33"/>
      <x v="9"/>
    </i>
    <i t="blank">
      <x v="68"/>
    </i>
    <i>
      <x v="69"/>
    </i>
    <i r="1">
      <x v="2"/>
      <x v="10"/>
      <x v="3"/>
      <x v="5"/>
      <x v="20"/>
      <x v="165"/>
    </i>
    <i r="2">
      <x v="32"/>
      <x v="4"/>
      <x v="3"/>
      <x v="33"/>
      <x v="9"/>
    </i>
    <i t="blank">
      <x v="69"/>
    </i>
    <i>
      <x v="70"/>
    </i>
    <i r="1">
      <x v="1"/>
      <x v="10"/>
      <x v="3"/>
      <x v="8"/>
      <x v="20"/>
      <x v="166"/>
    </i>
    <i r="2">
      <x v="32"/>
      <x v="4"/>
      <x v="3"/>
      <x v="33"/>
      <x v="9"/>
    </i>
    <i t="blank">
      <x v="70"/>
    </i>
    <i>
      <x v="71"/>
    </i>
    <i r="1">
      <x v="1"/>
      <x v="10"/>
      <x v="3"/>
      <x v="6"/>
      <x v="20"/>
      <x v="167"/>
    </i>
    <i t="blank">
      <x v="71"/>
    </i>
    <i>
      <x v="72"/>
    </i>
    <i r="1">
      <x v="1"/>
      <x v="10"/>
      <x v="3"/>
      <x v="6"/>
      <x v="20"/>
      <x v="167"/>
    </i>
    <i t="blank">
      <x v="72"/>
    </i>
    <i>
      <x v="73"/>
    </i>
    <i r="1">
      <x v="1"/>
      <x v="10"/>
      <x v="3"/>
      <x v="6"/>
      <x v="20"/>
      <x v="167"/>
    </i>
    <i t="blank">
      <x v="73"/>
    </i>
    <i>
      <x v="74"/>
    </i>
    <i r="1">
      <x v="1"/>
      <x v="10"/>
      <x v="3"/>
      <x v="6"/>
      <x v="20"/>
      <x v="167"/>
    </i>
    <i t="blank">
      <x v="74"/>
    </i>
    <i>
      <x v="76"/>
    </i>
    <i r="1">
      <x v="1"/>
      <x v="10"/>
      <x v="3"/>
      <x v="6"/>
      <x v="20"/>
      <x v="167"/>
    </i>
    <i t="blank">
      <x v="76"/>
    </i>
    <i>
      <x v="77"/>
    </i>
    <i r="1">
      <x v="1"/>
      <x v="10"/>
      <x v="3"/>
      <x v="6"/>
      <x v="20"/>
      <x v="167"/>
    </i>
    <i t="blank">
      <x v="77"/>
    </i>
    <i>
      <x v="78"/>
    </i>
    <i r="1">
      <x v="1"/>
      <x v="10"/>
      <x v="3"/>
      <x v="6"/>
      <x v="20"/>
      <x v="167"/>
    </i>
    <i t="blank">
      <x v="78"/>
    </i>
    <i>
      <x v="80"/>
    </i>
    <i r="1">
      <x v="1"/>
      <x v="10"/>
      <x v="3"/>
      <x v="8"/>
      <x v="24"/>
      <x v="265"/>
    </i>
    <i r="2">
      <x v="38"/>
      <x v="4"/>
      <x v="3"/>
      <x v="33"/>
      <x v="9"/>
    </i>
    <i t="blank">
      <x v="80"/>
    </i>
    <i>
      <x v="81"/>
    </i>
    <i r="1">
      <x v="1"/>
      <x v="10"/>
      <x v="3"/>
      <x v="6"/>
      <x v="24"/>
      <x v="167"/>
    </i>
    <i t="blank">
      <x v="81"/>
    </i>
    <i>
      <x v="82"/>
    </i>
    <i r="1">
      <x v="1"/>
      <x v="10"/>
      <x v="3"/>
      <x v="8"/>
      <x v="24"/>
      <x v="266"/>
    </i>
    <i r="2">
      <x v="38"/>
      <x v="4"/>
      <x v="3"/>
      <x v="33"/>
      <x v="9"/>
    </i>
    <i t="blank">
      <x v="82"/>
    </i>
    <i>
      <x v="83"/>
    </i>
    <i r="1">
      <x v="1"/>
      <x v="10"/>
      <x v="3"/>
      <x v="8"/>
      <x v="24"/>
      <x v="267"/>
    </i>
    <i r="2">
      <x v="38"/>
      <x v="4"/>
      <x v="3"/>
      <x v="33"/>
      <x v="9"/>
    </i>
    <i t="blank">
      <x v="83"/>
    </i>
    <i>
      <x v="84"/>
    </i>
    <i r="1">
      <x v="1"/>
      <x v="10"/>
      <x v="3"/>
      <x v="6"/>
      <x v="24"/>
      <x v="167"/>
    </i>
    <i t="blank">
      <x v="84"/>
    </i>
    <i>
      <x v="85"/>
    </i>
    <i r="1">
      <x v="1"/>
      <x v="10"/>
      <x v="3"/>
      <x v="6"/>
      <x v="24"/>
      <x v="167"/>
    </i>
    <i t="blank">
      <x v="85"/>
    </i>
    <i>
      <x v="88"/>
    </i>
    <i r="1">
      <x v="1"/>
      <x v="10"/>
      <x v="3"/>
      <x v="6"/>
      <x v="24"/>
      <x v="167"/>
    </i>
    <i t="blank">
      <x v="88"/>
    </i>
    <i>
      <x v="89"/>
    </i>
    <i r="1">
      <x v="1"/>
      <x v="10"/>
      <x v="3"/>
      <x v="6"/>
      <x v="24"/>
      <x v="167"/>
    </i>
    <i t="blank">
      <x v="89"/>
    </i>
    <i>
      <x v="93"/>
    </i>
    <i r="1">
      <x v="1"/>
      <x v="10"/>
      <x v="3"/>
      <x v="6"/>
      <x v="24"/>
      <x v="167"/>
    </i>
    <i t="blank">
      <x v="93"/>
    </i>
    <i>
      <x v="94"/>
    </i>
    <i r="1">
      <x v="1"/>
      <x v="10"/>
      <x v="3"/>
      <x v="6"/>
      <x v="24"/>
      <x v="167"/>
    </i>
    <i t="blank">
      <x v="94"/>
    </i>
    <i>
      <x v="95"/>
    </i>
    <i r="1">
      <x v="1"/>
      <x v="10"/>
      <x v="3"/>
      <x v="5"/>
      <x v="24"/>
      <x v="268"/>
    </i>
    <i r="2">
      <x v="38"/>
      <x v="4"/>
      <x v="3"/>
      <x v="33"/>
      <x v="9"/>
    </i>
    <i t="blank">
      <x v="95"/>
    </i>
    <i>
      <x v="96"/>
    </i>
    <i r="1">
      <x v="1"/>
      <x v="10"/>
      <x v="3"/>
      <x v="5"/>
      <x v="24"/>
      <x v="268"/>
    </i>
    <i r="2">
      <x v="38"/>
      <x v="4"/>
      <x v="3"/>
      <x v="33"/>
      <x v="9"/>
    </i>
    <i t="blank">
      <x v="96"/>
    </i>
    <i>
      <x v="97"/>
    </i>
    <i r="1">
      <x v="1"/>
      <x v="10"/>
      <x v="3"/>
      <x v="6"/>
      <x v="24"/>
      <x v="167"/>
    </i>
    <i t="blank">
      <x v="97"/>
    </i>
    <i>
      <x v="98"/>
    </i>
    <i r="1">
      <x v="1"/>
      <x v="10"/>
      <x v="3"/>
      <x v="6"/>
      <x v="24"/>
      <x v="167"/>
    </i>
    <i t="blank">
      <x v="98"/>
    </i>
    <i>
      <x v="100"/>
    </i>
    <i r="1">
      <x v="2"/>
      <x v="10"/>
      <x v="3"/>
      <x v="8"/>
      <x v="27"/>
      <x v="308"/>
    </i>
    <i r="2">
      <x v="39"/>
      <x v="4"/>
      <x v="3"/>
      <x v="33"/>
      <x v="9"/>
    </i>
    <i t="blank">
      <x v="100"/>
    </i>
    <i>
      <x v="101"/>
    </i>
    <i r="1">
      <x v="2"/>
      <x v="10"/>
      <x v="3"/>
      <x v="8"/>
      <x v="27"/>
      <x v="309"/>
    </i>
    <i r="2">
      <x v="39"/>
      <x v="4"/>
      <x v="3"/>
      <x v="33"/>
      <x v="9"/>
    </i>
    <i t="blank">
      <x v="101"/>
    </i>
    <i>
      <x v="103"/>
    </i>
    <i r="1">
      <x v="2"/>
      <x v="10"/>
      <x v="3"/>
      <x v="6"/>
      <x v="27"/>
      <x v="9"/>
    </i>
    <i t="blank">
      <x v="103"/>
    </i>
    <i>
      <x v="104"/>
    </i>
    <i r="1">
      <x v="2"/>
      <x v="10"/>
      <x v="3"/>
      <x v="6"/>
      <x v="27"/>
      <x v="9"/>
    </i>
    <i t="blank">
      <x v="104"/>
    </i>
    <i>
      <x v="106"/>
    </i>
    <i r="1">
      <x v="2"/>
      <x v="10"/>
      <x v="3"/>
      <x v="8"/>
      <x v="27"/>
      <x v="310"/>
    </i>
    <i r="2">
      <x v="39"/>
      <x v="4"/>
      <x v="3"/>
      <x v="33"/>
      <x v="9"/>
    </i>
    <i t="blank">
      <x v="106"/>
    </i>
    <i>
      <x v="108"/>
    </i>
    <i r="1">
      <x v="1"/>
      <x v="10"/>
      <x v="3"/>
      <x v="5"/>
      <x v="20"/>
      <x v="168"/>
    </i>
    <i r="2">
      <x v="32"/>
      <x v="4"/>
      <x v="3"/>
      <x v="33"/>
      <x v="9"/>
    </i>
    <i t="blank">
      <x v="108"/>
    </i>
    <i>
      <x v="109"/>
    </i>
    <i r="1">
      <x v="1"/>
      <x v="10"/>
      <x v="3"/>
      <x v="5"/>
      <x v="20"/>
      <x v="168"/>
    </i>
    <i r="2">
      <x v="32"/>
      <x v="4"/>
      <x v="3"/>
      <x v="33"/>
      <x v="9"/>
    </i>
    <i t="blank">
      <x v="109"/>
    </i>
    <i>
      <x v="111"/>
    </i>
    <i r="1">
      <x v="2"/>
      <x v="10"/>
      <x v="3"/>
      <x v="5"/>
      <x v="20"/>
      <x v="169"/>
    </i>
    <i r="2">
      <x v="32"/>
      <x v="4"/>
      <x v="3"/>
      <x v="33"/>
      <x v="9"/>
    </i>
    <i t="blank">
      <x v="111"/>
    </i>
    <i>
      <x v="112"/>
    </i>
    <i r="1">
      <x v="2"/>
      <x v="10"/>
      <x v="3"/>
      <x v="5"/>
      <x v="20"/>
      <x v="170"/>
    </i>
    <i r="2">
      <x v="32"/>
      <x v="4"/>
      <x v="3"/>
      <x v="33"/>
      <x v="9"/>
    </i>
    <i t="blank">
      <x v="112"/>
    </i>
    <i>
      <x v="113"/>
    </i>
    <i r="1">
      <x v="1"/>
      <x v="10"/>
      <x v="3"/>
      <x v="6"/>
      <x v="20"/>
      <x v="167"/>
    </i>
    <i t="blank">
      <x v="113"/>
    </i>
    <i>
      <x v="114"/>
    </i>
    <i r="1">
      <x v="1"/>
      <x v="10"/>
      <x v="3"/>
      <x v="6"/>
      <x v="20"/>
      <x v="167"/>
    </i>
    <i t="blank">
      <x v="114"/>
    </i>
    <i>
      <x v="116"/>
    </i>
    <i r="1">
      <x v="1"/>
      <x v="10"/>
      <x v="3"/>
      <x v="6"/>
      <x v="20"/>
      <x v="167"/>
    </i>
    <i t="blank">
      <x v="116"/>
    </i>
    <i>
      <x v="117"/>
    </i>
    <i r="1">
      <x v="1"/>
      <x v="10"/>
      <x v="3"/>
      <x v="6"/>
      <x v="20"/>
      <x v="167"/>
    </i>
    <i t="blank">
      <x v="117"/>
    </i>
    <i>
      <x v="119"/>
    </i>
    <i r="1">
      <x v="1"/>
      <x v="10"/>
      <x v="3"/>
      <x v="5"/>
      <x v="24"/>
      <x v="269"/>
    </i>
    <i r="2">
      <x v="38"/>
      <x v="4"/>
      <x v="3"/>
      <x v="33"/>
      <x v="9"/>
    </i>
    <i t="blank">
      <x v="119"/>
    </i>
    <i>
      <x v="120"/>
    </i>
    <i r="1">
      <x v="1"/>
      <x v="10"/>
      <x v="3"/>
      <x v="6"/>
      <x v="24"/>
      <x v="167"/>
    </i>
    <i t="blank">
      <x v="120"/>
    </i>
    <i>
      <x v="121"/>
    </i>
    <i r="1">
      <x v="1"/>
      <x v="10"/>
      <x v="3"/>
      <x v="6"/>
      <x v="24"/>
      <x v="167"/>
    </i>
    <i t="blank">
      <x v="121"/>
    </i>
    <i>
      <x v="122"/>
    </i>
    <i r="1">
      <x v="1"/>
      <x v="10"/>
      <x v="3"/>
      <x v="6"/>
      <x v="24"/>
      <x v="167"/>
    </i>
    <i t="blank">
      <x v="122"/>
    </i>
    <i>
      <x v="123"/>
    </i>
    <i r="1">
      <x v="1"/>
      <x v="10"/>
      <x v="3"/>
      <x v="6"/>
      <x v="24"/>
      <x v="167"/>
    </i>
    <i t="blank">
      <x v="123"/>
    </i>
    <i>
      <x v="124"/>
    </i>
    <i r="1">
      <x v="1"/>
      <x v="10"/>
      <x v="3"/>
      <x v="6"/>
      <x v="24"/>
      <x v="167"/>
    </i>
    <i t="blank">
      <x v="124"/>
    </i>
    <i>
      <x v="127"/>
    </i>
    <i r="1">
      <x v="1"/>
      <x v="10"/>
      <x v="3"/>
      <x v="6"/>
      <x v="24"/>
      <x v="167"/>
    </i>
    <i t="blank">
      <x v="127"/>
    </i>
    <i>
      <x v="128"/>
    </i>
    <i r="1">
      <x v="1"/>
      <x v="10"/>
      <x v="3"/>
      <x v="6"/>
      <x v="24"/>
      <x v="167"/>
    </i>
    <i t="blank">
      <x v="128"/>
    </i>
    <i>
      <x v="132"/>
    </i>
    <i r="1">
      <x v="1"/>
      <x v="10"/>
      <x v="3"/>
      <x v="6"/>
      <x v="24"/>
      <x v="167"/>
    </i>
    <i t="blank">
      <x v="132"/>
    </i>
    <i>
      <x v="133"/>
    </i>
    <i r="1">
      <x v="1"/>
      <x v="10"/>
      <x v="3"/>
      <x v="6"/>
      <x v="24"/>
      <x v="167"/>
    </i>
    <i t="blank">
      <x v="133"/>
    </i>
    <i>
      <x v="134"/>
    </i>
    <i r="1">
      <x v="1"/>
      <x v="10"/>
      <x v="3"/>
      <x v="5"/>
      <x v="24"/>
      <x v="268"/>
    </i>
    <i r="2">
      <x v="38"/>
      <x v="4"/>
      <x v="3"/>
      <x v="33"/>
      <x v="9"/>
    </i>
    <i t="blank">
      <x v="134"/>
    </i>
    <i>
      <x v="135"/>
    </i>
    <i r="1">
      <x v="1"/>
      <x v="10"/>
      <x v="3"/>
      <x v="5"/>
      <x v="24"/>
      <x v="268"/>
    </i>
    <i r="2">
      <x v="38"/>
      <x v="4"/>
      <x v="3"/>
      <x v="33"/>
      <x v="9"/>
    </i>
    <i t="blank">
      <x v="135"/>
    </i>
    <i>
      <x v="136"/>
    </i>
    <i r="1">
      <x v="1"/>
      <x v="10"/>
      <x v="3"/>
      <x v="6"/>
      <x v="24"/>
      <x v="167"/>
    </i>
    <i t="blank">
      <x v="136"/>
    </i>
    <i>
      <x v="137"/>
    </i>
    <i r="1">
      <x v="1"/>
      <x v="10"/>
      <x v="3"/>
      <x v="6"/>
      <x v="24"/>
      <x v="167"/>
    </i>
    <i t="blank">
      <x v="137"/>
    </i>
    <i>
      <x v="139"/>
    </i>
    <i r="1">
      <x v="2"/>
      <x v="10"/>
      <x v="3"/>
      <x v="8"/>
      <x v="27"/>
      <x v="311"/>
    </i>
    <i r="2">
      <x v="39"/>
      <x v="4"/>
      <x v="3"/>
      <x v="33"/>
      <x v="9"/>
    </i>
    <i t="blank">
      <x v="139"/>
    </i>
    <i>
      <x v="140"/>
    </i>
    <i r="1">
      <x v="2"/>
      <x v="10"/>
      <x v="3"/>
      <x v="8"/>
      <x v="27"/>
      <x v="312"/>
    </i>
    <i r="2">
      <x v="39"/>
      <x v="4"/>
      <x v="3"/>
      <x v="33"/>
      <x v="9"/>
    </i>
    <i t="blank">
      <x v="140"/>
    </i>
    <i>
      <x v="142"/>
    </i>
    <i r="1">
      <x v="2"/>
      <x v="10"/>
      <x v="3"/>
      <x v="6"/>
      <x v="27"/>
      <x v="9"/>
    </i>
    <i t="blank">
      <x v="142"/>
    </i>
    <i>
      <x v="143"/>
    </i>
    <i r="1">
      <x v="2"/>
      <x v="10"/>
      <x v="3"/>
      <x v="6"/>
      <x v="27"/>
      <x v="9"/>
    </i>
    <i t="blank">
      <x v="143"/>
    </i>
    <i>
      <x v="145"/>
    </i>
    <i r="1">
      <x v="2"/>
      <x v="10"/>
      <x v="3"/>
      <x v="8"/>
      <x v="27"/>
      <x v="313"/>
    </i>
    <i r="2">
      <x v="39"/>
      <x v="4"/>
      <x v="3"/>
      <x v="33"/>
      <x v="9"/>
    </i>
    <i t="blank">
      <x v="145"/>
    </i>
    <i>
      <x v="147"/>
    </i>
    <i r="1">
      <x v="1"/>
      <x v="10"/>
      <x v="3"/>
      <x v="5"/>
      <x v="20"/>
      <x v="168"/>
    </i>
    <i r="2">
      <x v="32"/>
      <x v="4"/>
      <x v="3"/>
      <x v="33"/>
      <x v="9"/>
    </i>
    <i t="blank">
      <x v="147"/>
    </i>
    <i>
      <x v="148"/>
    </i>
    <i r="1">
      <x v="1"/>
      <x v="10"/>
      <x v="3"/>
      <x v="5"/>
      <x v="20"/>
      <x v="168"/>
    </i>
    <i r="2">
      <x v="32"/>
      <x v="4"/>
      <x v="3"/>
      <x v="33"/>
      <x v="9"/>
    </i>
    <i t="blank">
      <x v="148"/>
    </i>
    <i>
      <x v="150"/>
    </i>
    <i r="1">
      <x v="2"/>
      <x v="10"/>
      <x v="3"/>
      <x v="6"/>
      <x v="20"/>
      <x v="167"/>
    </i>
    <i t="blank">
      <x v="150"/>
    </i>
    <i>
      <x v="151"/>
    </i>
    <i r="1">
      <x v="2"/>
      <x v="10"/>
      <x v="3"/>
      <x v="5"/>
      <x v="20"/>
      <x v="171"/>
    </i>
    <i r="2">
      <x v="32"/>
      <x v="4"/>
      <x v="3"/>
      <x v="33"/>
      <x v="9"/>
    </i>
    <i t="blank">
      <x v="151"/>
    </i>
    <i>
      <x v="152"/>
    </i>
    <i r="1">
      <x v="1"/>
      <x v="10"/>
      <x v="3"/>
      <x v="6"/>
      <x v="20"/>
      <x v="167"/>
    </i>
    <i t="blank">
      <x v="152"/>
    </i>
    <i>
      <x v="153"/>
    </i>
    <i r="1">
      <x v="1"/>
      <x v="10"/>
      <x v="3"/>
      <x v="6"/>
      <x v="20"/>
      <x v="167"/>
    </i>
    <i t="blank">
      <x v="153"/>
    </i>
    <i>
      <x v="155"/>
    </i>
    <i r="1">
      <x v="1"/>
      <x v="10"/>
      <x v="3"/>
      <x v="6"/>
      <x v="20"/>
      <x v="167"/>
    </i>
    <i t="blank">
      <x v="155"/>
    </i>
    <i>
      <x v="156"/>
    </i>
    <i r="1">
      <x v="1"/>
      <x v="10"/>
      <x v="3"/>
      <x v="6"/>
      <x v="20"/>
      <x v="167"/>
    </i>
    <i t="blank">
      <x v="156"/>
    </i>
    <i>
      <x v="157"/>
    </i>
    <i r="1">
      <x v="1"/>
      <x v="10"/>
      <x v="3"/>
      <x v="5"/>
      <x v="24"/>
      <x v="270"/>
    </i>
    <i r="2">
      <x v="38"/>
      <x v="4"/>
      <x v="3"/>
      <x v="33"/>
      <x v="9"/>
    </i>
    <i t="blank">
      <x v="157"/>
    </i>
    <i>
      <x v="158"/>
    </i>
    <i r="1">
      <x v="1"/>
      <x v="10"/>
      <x v="3"/>
      <x v="6"/>
      <x v="24"/>
      <x v="167"/>
    </i>
    <i t="blank">
      <x v="158"/>
    </i>
    <i>
      <x v="159"/>
    </i>
    <i r="1">
      <x v="1"/>
      <x v="10"/>
      <x v="3"/>
      <x v="6"/>
      <x v="24"/>
      <x v="167"/>
    </i>
    <i t="blank">
      <x v="159"/>
    </i>
    <i>
      <x v="160"/>
    </i>
    <i r="1">
      <x v="1"/>
      <x v="10"/>
      <x v="3"/>
      <x v="6"/>
      <x v="24"/>
      <x v="167"/>
    </i>
    <i t="blank">
      <x v="160"/>
    </i>
    <i>
      <x v="161"/>
    </i>
    <i r="1">
      <x v="1"/>
      <x v="10"/>
      <x v="3"/>
      <x v="6"/>
      <x v="24"/>
      <x v="167"/>
    </i>
    <i t="blank">
      <x v="161"/>
    </i>
    <i>
      <x v="162"/>
    </i>
    <i r="1">
      <x v="1"/>
      <x v="10"/>
      <x v="3"/>
      <x v="6"/>
      <x v="24"/>
      <x v="167"/>
    </i>
    <i t="blank">
      <x v="162"/>
    </i>
    <i>
      <x v="163"/>
    </i>
    <i r="1">
      <x v="2"/>
      <x v="10"/>
      <x v="3"/>
      <x v="5"/>
      <x v="23"/>
      <x v="199"/>
    </i>
    <i r="2">
      <x v="37"/>
      <x v="4"/>
      <x v="3"/>
      <x v="33"/>
      <x v="9"/>
    </i>
    <i t="blank">
      <x v="163"/>
    </i>
    <i>
      <x v="164"/>
    </i>
    <i r="1">
      <x v="2"/>
      <x v="10"/>
      <x v="3"/>
      <x v="6"/>
      <x v="27"/>
      <x v="9"/>
    </i>
    <i t="blank">
      <x v="164"/>
    </i>
    <i>
      <x v="165"/>
    </i>
    <i r="1">
      <x v="2"/>
      <x v="10"/>
      <x v="3"/>
      <x v="6"/>
      <x v="27"/>
      <x v="9"/>
    </i>
    <i t="blank">
      <x v="165"/>
    </i>
    <i>
      <x v="166"/>
    </i>
    <i r="1">
      <x v="2"/>
      <x v="10"/>
      <x v="3"/>
      <x v="6"/>
      <x v="27"/>
      <x v="9"/>
    </i>
    <i t="blank">
      <x v="166"/>
    </i>
    <i>
      <x v="168"/>
    </i>
    <i r="1">
      <x v="2"/>
      <x v="10"/>
      <x v="3"/>
      <x v="6"/>
      <x v="27"/>
      <x v="9"/>
    </i>
    <i t="blank">
      <x v="168"/>
    </i>
    <i>
      <x v="169"/>
    </i>
    <i r="1">
      <x v="2"/>
      <x v="10"/>
      <x v="3"/>
      <x v="6"/>
      <x v="27"/>
      <x v="9"/>
    </i>
    <i t="blank">
      <x v="169"/>
    </i>
    <i>
      <x v="170"/>
    </i>
    <i r="1">
      <x v="2"/>
      <x v="10"/>
      <x v="3"/>
      <x v="6"/>
      <x v="27"/>
      <x v="9"/>
    </i>
    <i t="blank">
      <x v="170"/>
    </i>
    <i>
      <x v="171"/>
    </i>
    <i r="1">
      <x v="1"/>
      <x v="10"/>
      <x v="3"/>
      <x v="6"/>
      <x v="20"/>
      <x v="167"/>
    </i>
    <i t="blank">
      <x v="171"/>
    </i>
    <i>
      <x v="172"/>
    </i>
    <i r="1">
      <x v="1"/>
      <x v="10"/>
      <x v="3"/>
      <x v="6"/>
      <x v="20"/>
      <x v="167"/>
    </i>
    <i t="blank">
      <x v="172"/>
    </i>
    <i>
      <x v="173"/>
    </i>
    <i r="1">
      <x v="1"/>
      <x v="10"/>
      <x v="3"/>
      <x v="6"/>
      <x v="20"/>
      <x v="167"/>
    </i>
    <i t="blank">
      <x v="173"/>
    </i>
    <i>
      <x v="175"/>
    </i>
    <i r="1">
      <x v="2"/>
      <x v="10"/>
      <x v="3"/>
      <x v="6"/>
      <x v="20"/>
      <x v="167"/>
    </i>
    <i t="blank">
      <x v="175"/>
    </i>
    <i>
      <x v="176"/>
    </i>
    <i r="1">
      <x v="2"/>
      <x v="10"/>
      <x v="3"/>
      <x v="6"/>
      <x v="20"/>
      <x v="167"/>
    </i>
    <i t="blank">
      <x v="176"/>
    </i>
    <i>
      <x v="177"/>
    </i>
    <i r="1">
      <x v="2"/>
      <x v="10"/>
      <x v="3"/>
      <x v="6"/>
      <x v="20"/>
      <x v="167"/>
    </i>
    <i t="blank">
      <x v="177"/>
    </i>
    <i>
      <x v="178"/>
    </i>
    <i r="1">
      <x v="1"/>
      <x v="10"/>
      <x v="3"/>
      <x v="6"/>
      <x v="20"/>
      <x v="167"/>
    </i>
    <i t="blank">
      <x v="178"/>
    </i>
    <i>
      <x v="179"/>
    </i>
    <i r="1">
      <x v="1"/>
      <x v="10"/>
      <x v="3"/>
      <x v="6"/>
      <x v="20"/>
      <x v="167"/>
    </i>
    <i t="blank">
      <x v="179"/>
    </i>
    <i>
      <x v="180"/>
    </i>
    <i r="1">
      <x v="1"/>
      <x v="10"/>
      <x v="3"/>
      <x v="6"/>
      <x v="20"/>
      <x v="167"/>
    </i>
    <i t="blank">
      <x v="180"/>
    </i>
    <i>
      <x v="183"/>
    </i>
    <i r="1">
      <x v="4"/>
      <x v="10"/>
      <x v="3"/>
      <x v="8"/>
      <x v="24"/>
      <x v="271"/>
    </i>
    <i r="2">
      <x v="38"/>
      <x v="4"/>
      <x v="3"/>
      <x v="33"/>
      <x v="9"/>
    </i>
    <i t="blank">
      <x v="183"/>
    </i>
    <i>
      <x v="184"/>
    </i>
    <i r="1">
      <x v="2"/>
      <x v="10"/>
      <x v="3"/>
      <x v="6"/>
      <x v="24"/>
      <x v="167"/>
    </i>
    <i t="blank">
      <x v="184"/>
    </i>
    <i>
      <x v="185"/>
    </i>
    <i r="1">
      <x v="1"/>
      <x v="10"/>
      <x v="3"/>
      <x v="6"/>
      <x v="24"/>
      <x v="167"/>
    </i>
    <i t="blank">
      <x v="185"/>
    </i>
    <i>
      <x v="186"/>
    </i>
    <i r="1">
      <x v="1"/>
      <x v="10"/>
      <x v="3"/>
      <x v="6"/>
      <x v="20"/>
      <x v="167"/>
    </i>
    <i t="blank">
      <x v="186"/>
    </i>
    <i>
      <x v="187"/>
    </i>
    <i r="1">
      <x v="3"/>
      <x v="10"/>
      <x v="3"/>
      <x v="6"/>
      <x v="27"/>
      <x v="9"/>
    </i>
    <i t="blank">
      <x v="187"/>
    </i>
    <i>
      <x v="188"/>
    </i>
    <i r="1">
      <x v="1"/>
      <x v="10"/>
      <x v="3"/>
      <x v="6"/>
      <x v="24"/>
      <x v="167"/>
    </i>
    <i t="blank">
      <x v="188"/>
    </i>
    <i>
      <x v="189"/>
    </i>
    <i r="1">
      <x v="1"/>
      <x v="10"/>
      <x v="3"/>
      <x v="6"/>
      <x v="24"/>
      <x v="167"/>
    </i>
    <i t="blank">
      <x v="189"/>
    </i>
    <i>
      <x v="190"/>
    </i>
    <i r="1">
      <x v="1"/>
      <x v="10"/>
      <x v="3"/>
      <x v="6"/>
      <x v="24"/>
      <x v="167"/>
    </i>
    <i t="blank">
      <x v="190"/>
    </i>
    <i>
      <x v="191"/>
    </i>
    <i r="1">
      <x v="1"/>
      <x v="10"/>
      <x v="3"/>
      <x v="5"/>
      <x v="24"/>
      <x v="272"/>
    </i>
    <i r="2">
      <x v="38"/>
      <x v="4"/>
      <x v="3"/>
      <x v="33"/>
      <x v="9"/>
    </i>
    <i t="blank">
      <x v="191"/>
    </i>
    <i>
      <x v="192"/>
    </i>
    <i r="1">
      <x v="1"/>
      <x v="10"/>
      <x v="3"/>
      <x v="6"/>
      <x v="24"/>
      <x v="167"/>
    </i>
    <i t="blank">
      <x v="192"/>
    </i>
    <i>
      <x v="193"/>
    </i>
    <i r="1">
      <x v="1"/>
      <x v="10"/>
      <x v="3"/>
      <x v="6"/>
      <x v="24"/>
      <x v="167"/>
    </i>
    <i t="blank">
      <x v="193"/>
    </i>
    <i>
      <x v="196"/>
    </i>
    <i r="1">
      <x v="1"/>
      <x v="10"/>
      <x v="3"/>
      <x v="8"/>
      <x v="27"/>
      <x v="314"/>
    </i>
    <i r="2">
      <x v="39"/>
      <x v="4"/>
      <x v="3"/>
      <x v="33"/>
      <x v="9"/>
    </i>
    <i t="blank">
      <x v="196"/>
    </i>
    <i>
      <x v="197"/>
    </i>
    <i r="1">
      <x v="1"/>
      <x v="10"/>
      <x v="3"/>
      <x v="6"/>
      <x v="20"/>
      <x v="167"/>
    </i>
    <i t="blank">
      <x v="197"/>
    </i>
    <i>
      <x v="198"/>
    </i>
    <i r="1">
      <x v="1"/>
      <x v="10"/>
      <x v="3"/>
      <x v="6"/>
      <x v="27"/>
      <x v="9"/>
    </i>
    <i t="blank">
      <x v="198"/>
    </i>
    <i>
      <x v="199"/>
    </i>
    <i r="1">
      <x v="1"/>
      <x v="10"/>
      <x v="3"/>
      <x v="6"/>
      <x v="27"/>
      <x v="9"/>
    </i>
    <i t="blank">
      <x v="199"/>
    </i>
    <i>
      <x v="200"/>
    </i>
    <i r="1">
      <x v="1"/>
      <x v="10"/>
      <x v="3"/>
      <x v="6"/>
      <x v="20"/>
      <x v="167"/>
    </i>
    <i t="blank">
      <x v="200"/>
    </i>
    <i>
      <x v="201"/>
    </i>
    <i r="1">
      <x v="1"/>
      <x v="10"/>
      <x v="3"/>
      <x v="6"/>
      <x v="20"/>
      <x v="167"/>
    </i>
    <i t="blank">
      <x v="201"/>
    </i>
    <i>
      <x v="202"/>
    </i>
    <i r="1">
      <x v="1"/>
      <x v="10"/>
      <x v="3"/>
      <x v="5"/>
      <x v="20"/>
      <x v="172"/>
    </i>
    <i r="2">
      <x v="32"/>
      <x v="4"/>
      <x v="3"/>
      <x v="33"/>
      <x v="9"/>
    </i>
    <i t="blank">
      <x v="202"/>
    </i>
    <i>
      <x v="203"/>
    </i>
    <i r="1">
      <x v="1"/>
      <x v="10"/>
      <x v="3"/>
      <x v="6"/>
      <x v="20"/>
      <x v="167"/>
    </i>
    <i t="blank">
      <x v="203"/>
    </i>
    <i>
      <x v="204"/>
    </i>
    <i r="1">
      <x v="1"/>
      <x v="10"/>
      <x v="3"/>
      <x v="6"/>
      <x v="20"/>
      <x v="167"/>
    </i>
    <i t="blank">
      <x v="204"/>
    </i>
    <i>
      <x v="205"/>
    </i>
    <i r="1">
      <x v="1"/>
      <x v="10"/>
      <x v="3"/>
      <x v="6"/>
      <x v="27"/>
      <x v="9"/>
    </i>
    <i t="blank">
      <x v="205"/>
    </i>
    <i>
      <x v="206"/>
    </i>
    <i r="1">
      <x v="1"/>
      <x v="10"/>
      <x v="3"/>
      <x v="8"/>
      <x v="20"/>
      <x v="173"/>
    </i>
    <i r="2">
      <x v="32"/>
      <x v="4"/>
      <x v="3"/>
      <x v="33"/>
      <x v="9"/>
    </i>
    <i t="blank">
      <x v="206"/>
    </i>
    <i>
      <x v="207"/>
    </i>
    <i r="1">
      <x v="1"/>
      <x v="10"/>
      <x v="3"/>
      <x v="6"/>
      <x v="20"/>
      <x v="167"/>
    </i>
    <i t="blank">
      <x v="207"/>
    </i>
    <i>
      <x v="208"/>
    </i>
    <i r="1">
      <x v="1"/>
      <x v="10"/>
      <x v="3"/>
      <x v="8"/>
      <x v="20"/>
      <x v="174"/>
    </i>
    <i r="2">
      <x v="32"/>
      <x v="4"/>
      <x v="3"/>
      <x v="33"/>
      <x v="9"/>
    </i>
    <i t="blank">
      <x v="208"/>
    </i>
    <i>
      <x v="209"/>
    </i>
    <i r="1">
      <x v="1"/>
      <x v="10"/>
      <x v="3"/>
      <x v="6"/>
      <x v="27"/>
      <x v="9"/>
    </i>
    <i t="blank">
      <x v="209"/>
    </i>
    <i>
      <x v="210"/>
    </i>
    <i r="1">
      <x v="1"/>
      <x v="10"/>
      <x v="3"/>
      <x v="6"/>
      <x v="20"/>
      <x v="167"/>
    </i>
    <i t="blank">
      <x v="210"/>
    </i>
    <i>
      <x v="211"/>
    </i>
    <i r="1">
      <x v="1"/>
      <x v="10"/>
      <x v="3"/>
      <x v="6"/>
      <x v="27"/>
      <x v="9"/>
    </i>
    <i t="blank">
      <x v="211"/>
    </i>
    <i>
      <x v="212"/>
    </i>
    <i r="1">
      <x v="1"/>
      <x v="10"/>
      <x v="3"/>
      <x v="6"/>
      <x v="27"/>
      <x v="9"/>
    </i>
    <i t="blank">
      <x v="212"/>
    </i>
    <i>
      <x v="213"/>
    </i>
    <i r="1">
      <x v="1"/>
      <x v="10"/>
      <x v="3"/>
      <x v="6"/>
      <x v="20"/>
      <x v="167"/>
    </i>
    <i t="blank">
      <x v="213"/>
    </i>
    <i>
      <x v="214"/>
    </i>
    <i r="1">
      <x v="1"/>
      <x v="10"/>
      <x v="3"/>
      <x v="6"/>
      <x v="27"/>
      <x v="9"/>
    </i>
    <i t="blank">
      <x v="214"/>
    </i>
    <i>
      <x v="215"/>
    </i>
    <i r="1">
      <x v="1"/>
      <x v="10"/>
      <x v="3"/>
      <x v="6"/>
      <x v="27"/>
      <x v="9"/>
    </i>
    <i t="blank">
      <x v="215"/>
    </i>
    <i>
      <x v="216"/>
    </i>
    <i r="1">
      <x v="1"/>
      <x v="10"/>
      <x v="3"/>
      <x v="6"/>
      <x v="20"/>
      <x v="167"/>
    </i>
    <i t="blank">
      <x v="216"/>
    </i>
    <i>
      <x v="217"/>
    </i>
    <i r="1">
      <x v="1"/>
      <x v="10"/>
      <x v="3"/>
      <x v="6"/>
      <x v="27"/>
      <x v="9"/>
    </i>
    <i t="blank">
      <x v="217"/>
    </i>
    <i>
      <x v="218"/>
    </i>
    <i r="1">
      <x v="1"/>
      <x v="10"/>
      <x v="3"/>
      <x v="6"/>
      <x v="27"/>
      <x v="9"/>
    </i>
    <i t="blank">
      <x v="218"/>
    </i>
    <i>
      <x v="219"/>
    </i>
    <i r="1">
      <x v="1"/>
      <x v="10"/>
      <x v="3"/>
      <x v="6"/>
      <x v="20"/>
      <x v="167"/>
    </i>
    <i t="blank">
      <x v="219"/>
    </i>
    <i>
      <x v="220"/>
    </i>
    <i r="1">
      <x v="1"/>
      <x v="10"/>
      <x v="3"/>
      <x v="6"/>
      <x v="27"/>
      <x v="9"/>
    </i>
    <i t="blank">
      <x v="220"/>
    </i>
    <i>
      <x v="221"/>
    </i>
    <i r="1">
      <x v="1"/>
      <x v="10"/>
      <x v="3"/>
      <x v="6"/>
      <x v="20"/>
      <x v="167"/>
    </i>
    <i t="blank">
      <x v="221"/>
    </i>
    <i>
      <x v="222"/>
    </i>
    <i r="1">
      <x v="1"/>
      <x v="10"/>
      <x v="3"/>
      <x v="6"/>
      <x v="20"/>
      <x v="167"/>
    </i>
    <i t="blank">
      <x v="222"/>
    </i>
    <i>
      <x v="223"/>
    </i>
    <i r="1">
      <x v="1"/>
      <x v="10"/>
      <x v="3"/>
      <x v="6"/>
      <x v="20"/>
      <x v="167"/>
    </i>
    <i t="blank">
      <x v="223"/>
    </i>
    <i>
      <x v="224"/>
    </i>
    <i r="1">
      <x v="1"/>
      <x v="10"/>
      <x v="3"/>
      <x v="6"/>
      <x v="20"/>
      <x v="167"/>
    </i>
    <i t="blank">
      <x v="224"/>
    </i>
    <i>
      <x v="225"/>
    </i>
    <i r="1">
      <x v="1"/>
      <x v="10"/>
      <x v="3"/>
      <x v="6"/>
      <x v="20"/>
      <x v="167"/>
    </i>
    <i t="blank">
      <x v="225"/>
    </i>
    <i>
      <x v="226"/>
    </i>
    <i r="1">
      <x v="1"/>
      <x v="10"/>
      <x v="3"/>
      <x v="6"/>
      <x v="20"/>
      <x v="167"/>
    </i>
    <i t="blank">
      <x v="226"/>
    </i>
    <i>
      <x v="227"/>
    </i>
    <i r="1">
      <x v="1"/>
      <x v="10"/>
      <x v="3"/>
      <x v="6"/>
      <x v="20"/>
      <x v="167"/>
    </i>
    <i t="blank">
      <x v="227"/>
    </i>
    <i>
      <x v="228"/>
    </i>
    <i r="1">
      <x v="1"/>
      <x v="10"/>
      <x v="3"/>
      <x v="6"/>
      <x v="20"/>
      <x v="167"/>
    </i>
    <i t="blank">
      <x v="228"/>
    </i>
    <i>
      <x v="229"/>
    </i>
    <i r="1">
      <x v="1"/>
      <x v="10"/>
      <x v="3"/>
      <x v="6"/>
      <x v="20"/>
      <x v="167"/>
    </i>
    <i t="blank">
      <x v="229"/>
    </i>
    <i>
      <x v="230"/>
    </i>
    <i r="1">
      <x v="1"/>
      <x v="10"/>
      <x v="3"/>
      <x v="6"/>
      <x v="20"/>
      <x v="167"/>
    </i>
    <i t="blank">
      <x v="230"/>
    </i>
    <i>
      <x v="231"/>
    </i>
    <i r="1">
      <x v="1"/>
      <x v="10"/>
      <x v="3"/>
      <x v="6"/>
      <x v="20"/>
      <x v="167"/>
    </i>
    <i t="blank">
      <x v="231"/>
    </i>
    <i>
      <x v="232"/>
    </i>
    <i r="1">
      <x v="1"/>
      <x v="10"/>
      <x v="3"/>
      <x v="6"/>
      <x v="20"/>
      <x v="167"/>
    </i>
    <i t="blank">
      <x v="232"/>
    </i>
    <i>
      <x v="233"/>
    </i>
    <i r="1">
      <x v="1"/>
      <x v="10"/>
      <x v="3"/>
      <x v="6"/>
      <x v="20"/>
      <x v="167"/>
    </i>
    <i t="blank">
      <x v="233"/>
    </i>
    <i>
      <x v="234"/>
    </i>
    <i r="1">
      <x v="1"/>
      <x v="10"/>
      <x v="3"/>
      <x v="6"/>
      <x v="20"/>
      <x v="167"/>
    </i>
    <i t="blank">
      <x v="234"/>
    </i>
    <i>
      <x v="235"/>
    </i>
    <i r="1">
      <x v="1"/>
      <x v="10"/>
      <x v="3"/>
      <x v="6"/>
      <x v="20"/>
      <x v="167"/>
    </i>
    <i t="blank">
      <x v="235"/>
    </i>
    <i>
      <x v="236"/>
    </i>
    <i r="1">
      <x v="1"/>
      <x v="10"/>
      <x v="3"/>
      <x v="6"/>
      <x v="20"/>
      <x v="167"/>
    </i>
    <i t="blank">
      <x v="236"/>
    </i>
    <i>
      <x v="237"/>
    </i>
    <i r="1">
      <x v="1"/>
      <x v="10"/>
      <x v="3"/>
      <x v="5"/>
      <x v="20"/>
      <x v="175"/>
    </i>
    <i r="2">
      <x v="32"/>
      <x v="4"/>
      <x v="3"/>
      <x v="33"/>
      <x v="9"/>
    </i>
    <i t="blank">
      <x v="237"/>
    </i>
    <i>
      <x v="238"/>
    </i>
    <i r="1">
      <x v="1"/>
      <x v="10"/>
      <x v="3"/>
      <x v="6"/>
      <x v="20"/>
      <x v="167"/>
    </i>
    <i t="blank">
      <x v="238"/>
    </i>
    <i>
      <x v="239"/>
    </i>
    <i r="1">
      <x v="1"/>
      <x v="10"/>
      <x v="3"/>
      <x v="6"/>
      <x v="20"/>
      <x v="167"/>
    </i>
    <i t="blank">
      <x v="239"/>
    </i>
    <i>
      <x v="240"/>
    </i>
    <i r="1">
      <x v="1"/>
      <x v="10"/>
      <x v="3"/>
      <x v="6"/>
      <x v="20"/>
      <x v="167"/>
    </i>
    <i t="blank">
      <x v="240"/>
    </i>
    <i>
      <x v="241"/>
    </i>
    <i r="1">
      <x v="2"/>
      <x v="10"/>
      <x v="3"/>
      <x v="6"/>
      <x v="27"/>
      <x v="9"/>
    </i>
    <i t="blank">
      <x v="241"/>
    </i>
    <i>
      <x v="244"/>
    </i>
    <i r="1">
      <x v="1"/>
      <x v="10"/>
      <x v="3"/>
      <x v="6"/>
      <x v="23"/>
      <x v="197"/>
    </i>
    <i t="blank">
      <x v="244"/>
    </i>
    <i>
      <x v="245"/>
    </i>
    <i r="1">
      <x v="1"/>
      <x v="10"/>
      <x v="3"/>
      <x v="8"/>
      <x v="24"/>
      <x v="273"/>
    </i>
    <i r="2">
      <x v="38"/>
      <x v="4"/>
      <x v="3"/>
      <x v="33"/>
      <x v="9"/>
    </i>
    <i t="blank">
      <x v="245"/>
    </i>
    <i>
      <x v="246"/>
    </i>
    <i r="1">
      <x v="2"/>
      <x v="10"/>
      <x v="3"/>
      <x v="8"/>
      <x v="24"/>
      <x v="274"/>
    </i>
    <i r="2">
      <x v="38"/>
      <x v="4"/>
      <x v="3"/>
      <x v="33"/>
      <x v="9"/>
    </i>
    <i t="blank">
      <x v="246"/>
    </i>
    <i>
      <x v="247"/>
    </i>
    <i r="1">
      <x v="1"/>
      <x v="10"/>
      <x v="3"/>
      <x v="5"/>
      <x v="23"/>
      <x v="275"/>
    </i>
    <i r="2">
      <x v="37"/>
      <x v="4"/>
      <x v="3"/>
      <x v="33"/>
      <x v="9"/>
    </i>
    <i t="blank">
      <x v="247"/>
    </i>
    <i>
      <x v="250"/>
    </i>
    <i r="1">
      <x v="2"/>
      <x v="10"/>
      <x v="3"/>
      <x v="5"/>
      <x v="23"/>
      <x v="276"/>
    </i>
    <i r="2">
      <x v="37"/>
      <x v="4"/>
      <x v="3"/>
      <x v="33"/>
      <x v="9"/>
    </i>
    <i t="blank">
      <x v="250"/>
    </i>
    <i>
      <x v="252"/>
    </i>
    <i r="1">
      <x v="1"/>
      <x v="10"/>
      <x v="3"/>
      <x v="6"/>
      <x v="20"/>
      <x v="167"/>
    </i>
    <i t="blank">
      <x v="252"/>
    </i>
    <i>
      <x v="253"/>
    </i>
    <i r="1">
      <x v="1"/>
      <x v="10"/>
      <x v="3"/>
      <x v="5"/>
      <x v="23"/>
      <x v="200"/>
    </i>
    <i r="2">
      <x v="37"/>
      <x v="4"/>
      <x v="3"/>
      <x v="33"/>
      <x v="9"/>
    </i>
    <i t="blank">
      <x v="253"/>
    </i>
    <i>
      <x v="255"/>
    </i>
    <i r="1">
      <x v="1"/>
      <x v="10"/>
      <x v="3"/>
      <x v="6"/>
      <x v="24"/>
      <x v="167"/>
    </i>
    <i t="blank">
      <x v="255"/>
    </i>
    <i>
      <x v="258"/>
    </i>
    <i r="1">
      <x v="1"/>
      <x v="10"/>
      <x v="3"/>
      <x v="5"/>
      <x v="20"/>
      <x v="176"/>
    </i>
    <i r="2">
      <x v="32"/>
      <x v="4"/>
      <x v="3"/>
      <x v="33"/>
      <x v="9"/>
    </i>
    <i t="blank">
      <x v="258"/>
    </i>
    <i>
      <x v="263"/>
    </i>
    <i r="1">
      <x v="1"/>
      <x v="10"/>
      <x v="3"/>
      <x v="6"/>
      <x v="20"/>
      <x v="167"/>
    </i>
    <i t="blank">
      <x v="263"/>
    </i>
    <i>
      <x v="264"/>
    </i>
    <i r="1">
      <x v="1"/>
      <x v="10"/>
      <x v="3"/>
      <x v="6"/>
      <x v="20"/>
      <x v="167"/>
    </i>
    <i t="blank">
      <x v="264"/>
    </i>
    <i>
      <x v="265"/>
    </i>
    <i r="1">
      <x v="1"/>
      <x v="10"/>
      <x v="3"/>
      <x v="6"/>
      <x v="20"/>
      <x v="167"/>
    </i>
    <i t="blank">
      <x v="265"/>
    </i>
    <i>
      <x v="266"/>
    </i>
    <i r="1">
      <x v="1"/>
      <x v="10"/>
      <x v="3"/>
      <x v="6"/>
      <x v="20"/>
      <x v="167"/>
    </i>
    <i t="blank">
      <x v="266"/>
    </i>
    <i>
      <x v="267"/>
    </i>
    <i r="1">
      <x v="1"/>
      <x v="10"/>
      <x v="3"/>
      <x v="6"/>
      <x v="20"/>
      <x v="167"/>
    </i>
    <i t="blank">
      <x v="267"/>
    </i>
    <i>
      <x v="269"/>
    </i>
    <i r="1">
      <x v="1"/>
      <x v="10"/>
      <x v="3"/>
      <x v="5"/>
      <x v="24"/>
      <x v="277"/>
    </i>
    <i r="2">
      <x v="38"/>
      <x v="4"/>
      <x v="3"/>
      <x v="33"/>
      <x v="9"/>
    </i>
    <i t="blank">
      <x v="269"/>
    </i>
    <i>
      <x v="270"/>
    </i>
    <i r="1">
      <x v="1"/>
      <x v="10"/>
      <x v="3"/>
      <x v="6"/>
      <x v="24"/>
      <x v="167"/>
    </i>
    <i t="blank">
      <x v="270"/>
    </i>
    <i>
      <x v="272"/>
    </i>
    <i r="1">
      <x v="1"/>
      <x v="10"/>
      <x v="3"/>
      <x v="6"/>
      <x v="24"/>
      <x v="167"/>
    </i>
    <i t="blank">
      <x v="272"/>
    </i>
    <i>
      <x v="274"/>
    </i>
    <i r="1">
      <x v="1"/>
      <x v="10"/>
      <x v="3"/>
      <x v="6"/>
      <x v="23"/>
      <x v="167"/>
    </i>
    <i t="blank">
      <x v="274"/>
    </i>
    <i>
      <x v="275"/>
    </i>
    <i r="1">
      <x v="1"/>
      <x v="10"/>
      <x v="3"/>
      <x v="8"/>
      <x v="27"/>
      <x v="315"/>
    </i>
    <i r="2">
      <x v="39"/>
      <x v="4"/>
      <x v="3"/>
      <x v="33"/>
      <x v="9"/>
    </i>
    <i t="blank">
      <x v="275"/>
    </i>
    <i>
      <x v="276"/>
    </i>
    <i r="1">
      <x v="1"/>
      <x v="10"/>
      <x v="3"/>
      <x v="8"/>
      <x v="27"/>
      <x v="316"/>
    </i>
    <i r="2">
      <x v="39"/>
      <x v="4"/>
      <x v="3"/>
      <x v="33"/>
      <x v="9"/>
    </i>
    <i t="blank">
      <x v="276"/>
    </i>
    <i>
      <x v="277"/>
    </i>
    <i r="1">
      <x v="1"/>
      <x v="10"/>
      <x v="3"/>
      <x v="6"/>
      <x v="27"/>
      <x v="9"/>
    </i>
    <i t="blank">
      <x v="277"/>
    </i>
    <i>
      <x v="279"/>
    </i>
    <i r="1">
      <x v="1"/>
      <x v="10"/>
      <x v="3"/>
      <x v="8"/>
      <x v="27"/>
      <x v="317"/>
    </i>
    <i r="2">
      <x v="39"/>
      <x v="4"/>
      <x v="3"/>
      <x v="33"/>
      <x v="9"/>
    </i>
    <i t="blank">
      <x v="279"/>
    </i>
    <i>
      <x v="280"/>
    </i>
    <i r="1">
      <x v="1"/>
      <x v="10"/>
      <x v="3"/>
      <x v="8"/>
      <x v="20"/>
      <x v="177"/>
    </i>
    <i r="2">
      <x v="32"/>
      <x v="4"/>
      <x v="3"/>
      <x v="33"/>
      <x v="9"/>
    </i>
    <i t="blank">
      <x v="280"/>
    </i>
    <i>
      <x v="281"/>
    </i>
    <i r="1">
      <x v="1"/>
      <x v="10"/>
      <x v="3"/>
      <x v="8"/>
      <x v="20"/>
      <x v="177"/>
    </i>
    <i r="2">
      <x v="32"/>
      <x v="4"/>
      <x v="3"/>
      <x v="33"/>
      <x v="9"/>
    </i>
    <i t="blank">
      <x v="281"/>
    </i>
    <i>
      <x v="282"/>
    </i>
    <i r="1">
      <x v="1"/>
      <x v="10"/>
      <x v="3"/>
      <x v="8"/>
      <x v="20"/>
      <x v="177"/>
    </i>
    <i r="2">
      <x v="32"/>
      <x v="4"/>
      <x v="3"/>
      <x v="33"/>
      <x v="9"/>
    </i>
    <i t="blank">
      <x v="282"/>
    </i>
    <i>
      <x v="283"/>
    </i>
    <i r="1">
      <x v="1"/>
      <x v="10"/>
      <x v="3"/>
      <x v="8"/>
      <x v="20"/>
      <x v="177"/>
    </i>
    <i r="2">
      <x v="32"/>
      <x v="4"/>
      <x v="3"/>
      <x v="33"/>
      <x v="9"/>
    </i>
    <i t="blank">
      <x v="283"/>
    </i>
    <i>
      <x v="285"/>
    </i>
    <i r="1">
      <x v="1"/>
      <x v="10"/>
      <x v="3"/>
      <x v="6"/>
      <x v="20"/>
      <x v="167"/>
    </i>
    <i t="blank">
      <x v="285"/>
    </i>
    <i>
      <x v="286"/>
    </i>
    <i r="1">
      <x v="1"/>
      <x v="10"/>
      <x v="3"/>
      <x v="6"/>
      <x v="20"/>
      <x v="167"/>
    </i>
    <i t="blank">
      <x v="286"/>
    </i>
    <i>
      <x v="288"/>
    </i>
    <i r="1">
      <x v="1"/>
      <x v="10"/>
      <x v="3"/>
      <x v="8"/>
      <x v="20"/>
      <x v="178"/>
    </i>
    <i r="2">
      <x v="32"/>
      <x v="4"/>
      <x v="3"/>
      <x v="33"/>
      <x v="9"/>
    </i>
    <i t="blank">
      <x v="288"/>
    </i>
    <i>
      <x v="290"/>
    </i>
    <i r="1">
      <x v="5"/>
      <x v="10"/>
      <x v="3"/>
      <x v="6"/>
      <x v="31"/>
      <x v="167"/>
    </i>
    <i t="blank">
      <x v="290"/>
    </i>
    <i>
      <x v="292"/>
    </i>
    <i r="1">
      <x v="5"/>
      <x v="10"/>
      <x v="3"/>
      <x v="6"/>
      <x v="31"/>
      <x v="167"/>
    </i>
    <i t="blank">
      <x v="292"/>
    </i>
    <i>
      <x v="294"/>
    </i>
    <i r="1">
      <x v="5"/>
      <x v="10"/>
      <x v="3"/>
      <x v="6"/>
      <x v="31"/>
      <x v="167"/>
    </i>
    <i t="blank">
      <x v="294"/>
    </i>
    <i>
      <x v="301"/>
    </i>
    <i r="1">
      <x v="6"/>
      <x v="6"/>
      <x v="3"/>
      <x v="5"/>
      <x v="23"/>
      <x v="278"/>
    </i>
    <i r="2">
      <x v="37"/>
      <x v="4"/>
      <x v="3"/>
      <x v="33"/>
      <x v="9"/>
    </i>
    <i t="blank">
      <x v="301"/>
    </i>
    <i>
      <x v="302"/>
    </i>
    <i r="1">
      <x v="4"/>
      <x v="6"/>
      <x v="3"/>
      <x v="5"/>
      <x v="23"/>
      <x v="279"/>
    </i>
    <i r="2">
      <x v="37"/>
      <x v="4"/>
      <x v="3"/>
      <x v="33"/>
      <x v="9"/>
    </i>
    <i t="blank">
      <x v="302"/>
    </i>
    <i>
      <x v="303"/>
    </i>
    <i r="1">
      <x v="8"/>
      <x v="6"/>
      <x v="3"/>
      <x v="5"/>
      <x v="23"/>
      <x v="280"/>
    </i>
    <i r="2">
      <x v="37"/>
      <x v="4"/>
      <x v="3"/>
      <x v="33"/>
      <x v="9"/>
    </i>
    <i t="blank">
      <x v="303"/>
    </i>
    <i>
      <x v="307"/>
    </i>
    <i r="1">
      <x v="1"/>
      <x v="6"/>
      <x v="3"/>
      <x v="5"/>
      <x v="23"/>
      <x v="281"/>
    </i>
    <i r="2">
      <x v="37"/>
      <x v="4"/>
      <x v="3"/>
      <x v="33"/>
      <x v="9"/>
    </i>
    <i t="blank">
      <x v="307"/>
    </i>
    <i>
      <x v="308"/>
    </i>
    <i r="1">
      <x v="2"/>
      <x v="6"/>
      <x v="3"/>
      <x v="5"/>
      <x v="26"/>
      <x v="318"/>
    </i>
    <i r="2">
      <x v="40"/>
      <x v="4"/>
      <x v="3"/>
      <x v="33"/>
      <x v="9"/>
    </i>
    <i t="blank">
      <x v="308"/>
    </i>
    <i>
      <x v="309"/>
    </i>
    <i r="1">
      <x v="1"/>
      <x v="6"/>
      <x v="3"/>
      <x v="3"/>
      <x v="33"/>
      <x v="9"/>
    </i>
    <i t="blank">
      <x v="309"/>
    </i>
    <i>
      <x v="311"/>
    </i>
    <i r="1">
      <x v="10"/>
      <x v="6"/>
      <x v="3"/>
      <x v="5"/>
      <x v="31"/>
      <x v="319"/>
    </i>
    <i r="2">
      <x v="41"/>
      <x v="4"/>
      <x v="3"/>
      <x v="33"/>
      <x v="9"/>
    </i>
    <i t="blank">
      <x v="311"/>
    </i>
    <i>
      <x v="314"/>
    </i>
    <i r="1">
      <x v="11"/>
      <x v="6"/>
      <x v="3"/>
      <x v="5"/>
      <x v="23"/>
      <x v="282"/>
    </i>
    <i r="2">
      <x v="37"/>
      <x v="4"/>
      <x v="3"/>
      <x v="33"/>
      <x v="9"/>
    </i>
    <i t="blank">
      <x v="314"/>
    </i>
    <i>
      <x v="315"/>
    </i>
    <i r="1">
      <x v="2"/>
      <x v="6"/>
      <x v="3"/>
      <x v="5"/>
      <x v="23"/>
      <x v="283"/>
    </i>
    <i r="2">
      <x v="37"/>
      <x v="4"/>
      <x v="3"/>
      <x v="33"/>
      <x v="9"/>
    </i>
    <i t="blank">
      <x v="315"/>
    </i>
    <i>
      <x v="316"/>
    </i>
    <i r="1">
      <x v="1"/>
      <x v="6"/>
      <x v="3"/>
      <x v="5"/>
      <x v="23"/>
      <x v="284"/>
    </i>
    <i r="2">
      <x v="37"/>
      <x v="4"/>
      <x v="3"/>
      <x v="33"/>
      <x v="9"/>
    </i>
    <i t="blank">
      <x v="316"/>
    </i>
    <i>
      <x v="317"/>
    </i>
    <i r="1">
      <x v="4"/>
      <x v="6"/>
      <x v="3"/>
      <x v="5"/>
      <x v="23"/>
      <x v="285"/>
    </i>
    <i r="2">
      <x v="37"/>
      <x v="4"/>
      <x v="3"/>
      <x v="33"/>
      <x v="9"/>
    </i>
    <i t="blank">
      <x v="317"/>
    </i>
    <i>
      <x v="318"/>
    </i>
    <i r="1">
      <x v="1"/>
      <x v="6"/>
      <x v="3"/>
      <x v="5"/>
      <x v="23"/>
      <x v="286"/>
    </i>
    <i r="2">
      <x v="37"/>
      <x v="4"/>
      <x v="3"/>
      <x v="33"/>
      <x v="9"/>
    </i>
    <i t="blank">
      <x v="318"/>
    </i>
    <i>
      <x v="319"/>
    </i>
    <i r="1">
      <x v="2"/>
      <x v="6"/>
      <x v="3"/>
      <x v="5"/>
      <x v="23"/>
      <x v="287"/>
    </i>
    <i r="2">
      <x v="37"/>
      <x v="4"/>
      <x v="3"/>
      <x v="33"/>
      <x v="9"/>
    </i>
    <i t="blank">
      <x v="319"/>
    </i>
    <i>
      <x v="320"/>
    </i>
    <i r="1">
      <x v="2"/>
      <x v="6"/>
      <x v="3"/>
      <x v="5"/>
      <x v="23"/>
      <x v="288"/>
    </i>
    <i r="2">
      <x v="37"/>
      <x v="4"/>
      <x v="3"/>
      <x v="33"/>
      <x v="9"/>
    </i>
    <i t="blank">
      <x v="320"/>
    </i>
    <i>
      <x v="321"/>
    </i>
    <i r="1">
      <x v="1"/>
      <x v="6"/>
      <x v="3"/>
      <x v="5"/>
      <x v="23"/>
      <x v="288"/>
    </i>
    <i r="2">
      <x v="37"/>
      <x v="4"/>
      <x v="3"/>
      <x v="33"/>
      <x v="9"/>
    </i>
    <i t="blank">
      <x v="321"/>
    </i>
    <i>
      <x v="322"/>
    </i>
    <i r="1">
      <x v="1"/>
      <x v="6"/>
      <x v="3"/>
      <x v="5"/>
      <x v="23"/>
      <x v="289"/>
    </i>
    <i r="2">
      <x v="37"/>
      <x v="4"/>
      <x v="3"/>
      <x v="33"/>
      <x v="9"/>
    </i>
    <i t="blank">
      <x v="322"/>
    </i>
    <i>
      <x v="323"/>
    </i>
    <i r="1">
      <x v="1"/>
      <x v="6"/>
      <x v="3"/>
      <x v="5"/>
      <x v="23"/>
      <x v="289"/>
    </i>
    <i r="2">
      <x v="37"/>
      <x v="4"/>
      <x v="3"/>
      <x v="33"/>
      <x v="9"/>
    </i>
    <i t="blank">
      <x v="323"/>
    </i>
    <i>
      <x v="324"/>
    </i>
    <i r="1">
      <x v="2"/>
      <x v="6"/>
      <x v="3"/>
      <x v="5"/>
      <x v="23"/>
      <x v="290"/>
    </i>
    <i r="2">
      <x v="37"/>
      <x v="4"/>
      <x v="3"/>
      <x v="33"/>
      <x v="9"/>
    </i>
    <i t="blank">
      <x v="324"/>
    </i>
    <i>
      <x v="325"/>
    </i>
    <i r="1">
      <x v="1"/>
      <x v="6"/>
      <x v="3"/>
      <x v="5"/>
      <x v="23"/>
      <x v="291"/>
    </i>
    <i r="2">
      <x v="37"/>
      <x v="4"/>
      <x v="3"/>
      <x v="33"/>
      <x v="9"/>
    </i>
    <i t="blank">
      <x v="325"/>
    </i>
    <i>
      <x v="326"/>
    </i>
    <i r="1">
      <x v="1"/>
      <x v="6"/>
      <x v="3"/>
      <x v="5"/>
      <x v="23"/>
      <x v="292"/>
    </i>
    <i r="2">
      <x v="37"/>
      <x v="4"/>
      <x v="3"/>
      <x v="33"/>
      <x v="9"/>
    </i>
    <i t="blank">
      <x v="326"/>
    </i>
    <i>
      <x v="327"/>
    </i>
    <i r="1">
      <x v="1"/>
      <x v="6"/>
      <x v="3"/>
      <x v="5"/>
      <x v="23"/>
      <x v="292"/>
    </i>
    <i r="2">
      <x v="37"/>
      <x v="4"/>
      <x v="3"/>
      <x v="33"/>
      <x v="9"/>
    </i>
    <i t="blank">
      <x v="327"/>
    </i>
    <i>
      <x v="328"/>
    </i>
    <i r="1">
      <x v="1"/>
      <x v="6"/>
      <x v="3"/>
      <x v="5"/>
      <x v="23"/>
      <x v="293"/>
    </i>
    <i r="2">
      <x v="37"/>
      <x v="4"/>
      <x v="3"/>
      <x v="33"/>
      <x v="9"/>
    </i>
    <i t="blank">
      <x v="328"/>
    </i>
    <i>
      <x v="329"/>
    </i>
    <i r="1">
      <x v="2"/>
      <x v="6"/>
      <x v="3"/>
      <x v="5"/>
      <x v="23"/>
      <x v="294"/>
    </i>
    <i r="2">
      <x v="37"/>
      <x v="4"/>
      <x v="3"/>
      <x v="33"/>
      <x v="9"/>
    </i>
    <i t="blank">
      <x v="329"/>
    </i>
    <i>
      <x v="330"/>
    </i>
    <i r="1">
      <x v="1"/>
      <x v="6"/>
      <x v="3"/>
      <x v="5"/>
      <x v="23"/>
      <x v="295"/>
    </i>
    <i r="2">
      <x v="37"/>
      <x v="4"/>
      <x v="3"/>
      <x v="33"/>
      <x v="9"/>
    </i>
    <i t="blank">
      <x v="330"/>
    </i>
    <i>
      <x v="333"/>
    </i>
    <i r="1">
      <x v="13"/>
      <x v="6"/>
      <x v="3"/>
      <x v="5"/>
      <x v="23"/>
      <x v="296"/>
    </i>
    <i r="2">
      <x v="37"/>
      <x v="4"/>
      <x v="3"/>
      <x v="33"/>
      <x v="9"/>
    </i>
    <i t="blank">
      <x v="333"/>
    </i>
    <i>
      <x v="334"/>
    </i>
    <i r="1">
      <x v="1"/>
      <x v="6"/>
      <x v="3"/>
      <x v="5"/>
      <x v="23"/>
      <x v="297"/>
    </i>
    <i r="2">
      <x v="37"/>
      <x v="4"/>
      <x v="3"/>
      <x v="33"/>
      <x v="9"/>
    </i>
    <i t="blank">
      <x v="334"/>
    </i>
    <i>
      <x v="335"/>
    </i>
    <i r="1">
      <x v="1"/>
      <x v="6"/>
      <x v="3"/>
      <x v="5"/>
      <x v="25"/>
      <x v="320"/>
    </i>
    <i r="2">
      <x v="42"/>
      <x v="4"/>
      <x v="3"/>
      <x v="33"/>
      <x v="9"/>
    </i>
    <i t="blank">
      <x v="335"/>
    </i>
    <i>
      <x v="336"/>
    </i>
    <i r="1">
      <x v="1"/>
      <x v="6"/>
      <x v="3"/>
      <x v="5"/>
      <x v="25"/>
      <x v="321"/>
    </i>
    <i r="2">
      <x v="42"/>
      <x v="4"/>
      <x v="3"/>
      <x v="33"/>
      <x v="9"/>
    </i>
    <i t="blank">
      <x v="336"/>
    </i>
    <i>
      <x v="337"/>
    </i>
    <i r="1">
      <x v="4"/>
      <x v="6"/>
      <x v="3"/>
      <x v="5"/>
      <x v="25"/>
      <x v="322"/>
    </i>
    <i r="2">
      <x v="42"/>
      <x v="4"/>
      <x v="3"/>
      <x v="33"/>
      <x v="9"/>
    </i>
    <i t="blank">
      <x v="337"/>
    </i>
    <i>
      <x v="338"/>
    </i>
    <i r="1">
      <x v="2"/>
      <x v="6"/>
      <x v="3"/>
      <x v="5"/>
      <x v="25"/>
      <x v="323"/>
    </i>
    <i r="2">
      <x v="42"/>
      <x v="4"/>
      <x v="3"/>
      <x v="33"/>
      <x v="9"/>
    </i>
    <i t="blank">
      <x v="338"/>
    </i>
    <i>
      <x v="339"/>
    </i>
    <i r="1">
      <x v="1"/>
      <x v="6"/>
      <x v="3"/>
      <x v="5"/>
      <x v="25"/>
      <x v="324"/>
    </i>
    <i r="2">
      <x v="42"/>
      <x v="4"/>
      <x v="3"/>
      <x v="33"/>
      <x v="9"/>
    </i>
    <i t="blank">
      <x v="339"/>
    </i>
    <i>
      <x v="342"/>
    </i>
    <i r="1">
      <x v="11"/>
      <x v="6"/>
      <x v="3"/>
      <x v="5"/>
      <x v="25"/>
      <x v="325"/>
    </i>
    <i r="2">
      <x v="42"/>
      <x v="4"/>
      <x v="3"/>
      <x v="33"/>
      <x v="9"/>
    </i>
    <i t="blank">
      <x v="342"/>
    </i>
    <i>
      <x v="343"/>
    </i>
    <i r="1">
      <x v="1"/>
      <x v="6"/>
      <x v="3"/>
      <x v="5"/>
      <x v="25"/>
      <x v="326"/>
    </i>
    <i r="2">
      <x v="42"/>
      <x v="4"/>
      <x v="3"/>
      <x v="33"/>
      <x v="9"/>
    </i>
    <i t="blank">
      <x v="343"/>
    </i>
    <i>
      <x v="344"/>
    </i>
    <i r="1">
      <x v="4"/>
      <x v="6"/>
      <x v="3"/>
      <x v="5"/>
      <x v="25"/>
      <x v="327"/>
    </i>
    <i r="2">
      <x v="42"/>
      <x v="4"/>
      <x v="3"/>
      <x v="33"/>
      <x v="9"/>
    </i>
    <i t="blank">
      <x v="344"/>
    </i>
    <i>
      <x v="345"/>
    </i>
    <i r="1">
      <x v="2"/>
      <x v="6"/>
      <x v="3"/>
      <x v="5"/>
      <x v="25"/>
      <x v="328"/>
    </i>
    <i r="2">
      <x v="42"/>
      <x v="4"/>
      <x v="3"/>
      <x v="33"/>
      <x v="9"/>
    </i>
    <i t="blank">
      <x v="345"/>
    </i>
    <i>
      <x v="346"/>
    </i>
    <i r="1">
      <x v="5"/>
      <x v="6"/>
      <x v="3"/>
      <x v="5"/>
      <x v="25"/>
      <x v="329"/>
    </i>
    <i r="2">
      <x v="42"/>
      <x v="4"/>
      <x v="3"/>
      <x v="33"/>
      <x v="9"/>
    </i>
    <i t="blank">
      <x v="346"/>
    </i>
    <i>
      <x v="347"/>
    </i>
    <i r="1">
      <x v="2"/>
      <x v="6"/>
      <x v="3"/>
      <x v="5"/>
      <x v="25"/>
      <x v="330"/>
    </i>
    <i r="2">
      <x v="42"/>
      <x v="4"/>
      <x v="3"/>
      <x v="33"/>
      <x v="9"/>
    </i>
    <i t="blank">
      <x v="347"/>
    </i>
    <i>
      <x v="348"/>
    </i>
    <i r="1">
      <x v="2"/>
      <x v="6"/>
      <x v="3"/>
      <x v="5"/>
      <x v="25"/>
      <x v="331"/>
    </i>
    <i r="2">
      <x v="42"/>
      <x v="4"/>
      <x v="3"/>
      <x v="33"/>
      <x v="9"/>
    </i>
    <i t="blank">
      <x v="348"/>
    </i>
    <i>
      <x v="349"/>
    </i>
    <i r="1">
      <x v="4"/>
      <x v="6"/>
      <x v="3"/>
      <x v="5"/>
      <x v="25"/>
      <x v="332"/>
    </i>
    <i r="2">
      <x v="42"/>
      <x v="4"/>
      <x v="3"/>
      <x v="33"/>
      <x v="9"/>
    </i>
    <i t="blank">
      <x v="349"/>
    </i>
    <i>
      <x v="350"/>
    </i>
    <i r="1">
      <x v="1"/>
      <x v="6"/>
      <x v="3"/>
      <x v="6"/>
      <x v="25"/>
      <x v="333"/>
    </i>
    <i t="blank">
      <x v="350"/>
    </i>
    <i>
      <x v="351"/>
    </i>
    <i r="1">
      <x v="1"/>
      <x v="6"/>
      <x v="3"/>
      <x v="5"/>
      <x v="25"/>
      <x v="334"/>
    </i>
    <i r="2">
      <x v="42"/>
      <x v="4"/>
      <x v="3"/>
      <x v="33"/>
      <x v="9"/>
    </i>
    <i t="blank">
      <x v="351"/>
    </i>
    <i>
      <x v="352"/>
    </i>
    <i r="1">
      <x v="1"/>
      <x v="6"/>
      <x v="3"/>
      <x v="5"/>
      <x v="25"/>
      <x v="335"/>
    </i>
    <i r="2">
      <x v="42"/>
      <x v="4"/>
      <x v="3"/>
      <x v="33"/>
      <x v="9"/>
    </i>
    <i t="blank">
      <x v="352"/>
    </i>
    <i>
      <x v="353"/>
    </i>
    <i r="1">
      <x v="1"/>
      <x v="6"/>
      <x v="3"/>
      <x v="5"/>
      <x v="25"/>
      <x v="336"/>
    </i>
    <i r="2">
      <x v="42"/>
      <x v="4"/>
      <x v="3"/>
      <x v="33"/>
      <x v="9"/>
    </i>
    <i t="blank">
      <x v="353"/>
    </i>
    <i>
      <x v="354"/>
    </i>
    <i r="1">
      <x v="3"/>
      <x v="6"/>
      <x v="3"/>
      <x v="3"/>
      <x v="33"/>
      <x v="9"/>
    </i>
    <i t="blank">
      <x v="354"/>
    </i>
    <i>
      <x v="355"/>
    </i>
    <i r="1">
      <x v="3"/>
      <x v="6"/>
      <x v="3"/>
      <x v="5"/>
      <x v="26"/>
      <x v="337"/>
    </i>
    <i r="2">
      <x v="40"/>
      <x v="4"/>
      <x v="3"/>
      <x v="33"/>
      <x v="9"/>
    </i>
    <i t="blank">
      <x v="355"/>
    </i>
    <i>
      <x v="357"/>
    </i>
    <i r="1">
      <x v="3"/>
      <x v="6"/>
      <x v="3"/>
      <x v="5"/>
      <x v="25"/>
      <x v="338"/>
    </i>
    <i r="2">
      <x v="42"/>
      <x v="4"/>
      <x v="3"/>
      <x v="33"/>
      <x v="9"/>
    </i>
    <i t="blank">
      <x v="357"/>
    </i>
    <i>
      <x v="359"/>
    </i>
    <i r="1">
      <x v="3"/>
      <x v="6"/>
      <x v="3"/>
      <x v="5"/>
      <x v="25"/>
      <x v="339"/>
    </i>
    <i r="2">
      <x v="42"/>
      <x v="4"/>
      <x v="3"/>
      <x v="33"/>
      <x v="9"/>
    </i>
    <i t="blank">
      <x v="359"/>
    </i>
    <i>
      <x v="361"/>
    </i>
    <i r="1">
      <x v="15"/>
      <x v="6"/>
      <x v="3"/>
      <x v="5"/>
      <x v="25"/>
      <x v="340"/>
    </i>
    <i r="2">
      <x v="42"/>
      <x v="4"/>
      <x v="3"/>
      <x v="33"/>
      <x v="9"/>
    </i>
    <i t="blank">
      <x v="361"/>
    </i>
    <i>
      <x v="363"/>
    </i>
    <i r="1">
      <x v="4"/>
      <x v="6"/>
      <x v="3"/>
      <x v="5"/>
      <x v="25"/>
      <x v="341"/>
    </i>
    <i r="2">
      <x v="42"/>
      <x v="4"/>
      <x v="3"/>
      <x v="33"/>
      <x v="9"/>
    </i>
    <i t="blank">
      <x v="363"/>
    </i>
    <i>
      <x v="364"/>
    </i>
    <i r="1">
      <x v="1"/>
      <x v="10"/>
      <x v="3"/>
      <x v="6"/>
      <x v="25"/>
      <x v="333"/>
    </i>
    <i t="blank">
      <x v="364"/>
    </i>
    <i>
      <x v="365"/>
    </i>
    <i r="1">
      <x v="7"/>
      <x v="6"/>
      <x v="3"/>
      <x v="5"/>
      <x v="25"/>
      <x v="342"/>
    </i>
    <i r="2">
      <x v="42"/>
      <x v="4"/>
      <x v="3"/>
      <x v="33"/>
      <x v="9"/>
    </i>
    <i t="blank">
      <x v="365"/>
    </i>
    <i>
      <x v="367"/>
    </i>
    <i r="1">
      <x v="6"/>
      <x v="6"/>
      <x v="3"/>
      <x v="5"/>
      <x v="25"/>
      <x v="343"/>
    </i>
    <i r="2">
      <x v="42"/>
      <x v="4"/>
      <x v="3"/>
      <x v="33"/>
      <x v="9"/>
    </i>
    <i t="blank">
      <x v="367"/>
    </i>
    <i>
      <x v="371"/>
    </i>
    <i r="1">
      <x v="7"/>
      <x v="6"/>
      <x v="3"/>
      <x v="5"/>
      <x v="25"/>
      <x v="344"/>
    </i>
    <i r="2">
      <x v="42"/>
      <x v="4"/>
      <x v="3"/>
      <x v="33"/>
      <x v="9"/>
    </i>
    <i t="blank">
      <x v="371"/>
    </i>
    <i>
      <x v="372"/>
    </i>
    <i r="1">
      <x v="6"/>
      <x v="6"/>
      <x v="3"/>
      <x v="5"/>
      <x v="25"/>
      <x v="345"/>
    </i>
    <i r="2">
      <x v="42"/>
      <x v="4"/>
      <x v="3"/>
      <x v="33"/>
      <x v="9"/>
    </i>
    <i t="blank">
      <x v="372"/>
    </i>
    <i>
      <x v="374"/>
    </i>
    <i r="1">
      <x v="15"/>
      <x v="6"/>
      <x v="3"/>
      <x v="5"/>
      <x v="25"/>
      <x v="346"/>
    </i>
    <i r="2">
      <x v="42"/>
      <x v="4"/>
      <x v="3"/>
      <x v="33"/>
      <x v="9"/>
    </i>
    <i t="blank">
      <x v="374"/>
    </i>
    <i>
      <x v="377"/>
    </i>
    <i r="1">
      <x v="2"/>
      <x v="6"/>
      <x v="3"/>
      <x v="5"/>
      <x v="25"/>
      <x v="347"/>
    </i>
    <i r="2">
      <x v="42"/>
      <x v="4"/>
      <x v="3"/>
      <x v="33"/>
      <x v="9"/>
    </i>
    <i t="blank">
      <x v="377"/>
    </i>
    <i>
      <x v="378"/>
    </i>
    <i r="1">
      <x v="3"/>
      <x v="6"/>
      <x v="3"/>
      <x v="5"/>
      <x v="25"/>
      <x v="348"/>
    </i>
    <i r="2">
      <x v="42"/>
      <x v="4"/>
      <x v="3"/>
      <x v="33"/>
      <x v="9"/>
    </i>
    <i t="blank">
      <x v="378"/>
    </i>
    <i>
      <x v="380"/>
    </i>
    <i r="1">
      <x v="3"/>
      <x v="6"/>
      <x v="3"/>
      <x v="5"/>
      <x v="25"/>
      <x v="349"/>
    </i>
    <i r="2">
      <x v="42"/>
      <x v="4"/>
      <x v="3"/>
      <x v="33"/>
      <x v="9"/>
    </i>
    <i t="blank">
      <x v="380"/>
    </i>
    <i>
      <x v="382"/>
    </i>
    <i r="1">
      <x v="1"/>
      <x v="6"/>
      <x v="3"/>
      <x v="5"/>
      <x v="25"/>
      <x v="350"/>
    </i>
    <i r="2">
      <x v="42"/>
      <x v="4"/>
      <x v="3"/>
      <x v="33"/>
      <x v="9"/>
    </i>
    <i t="blank">
      <x v="382"/>
    </i>
    <i>
      <x v="383"/>
    </i>
    <i r="1">
      <x v="4"/>
      <x v="6"/>
      <x v="3"/>
      <x v="5"/>
      <x v="25"/>
      <x v="351"/>
    </i>
    <i r="2">
      <x v="42"/>
      <x v="4"/>
      <x v="3"/>
      <x v="33"/>
      <x v="9"/>
    </i>
    <i t="blank">
      <x v="383"/>
    </i>
    <i>
      <x v="385"/>
    </i>
    <i r="1">
      <x v="2"/>
      <x v="6"/>
      <x v="3"/>
      <x v="5"/>
      <x v="25"/>
      <x v="352"/>
    </i>
    <i r="2">
      <x v="42"/>
      <x v="4"/>
      <x v="3"/>
      <x v="33"/>
      <x v="9"/>
    </i>
    <i t="blank">
      <x v="385"/>
    </i>
    <i>
      <x v="386"/>
    </i>
    <i r="1">
      <x v="3"/>
      <x v="6"/>
      <x v="3"/>
      <x v="5"/>
      <x v="25"/>
      <x v="353"/>
    </i>
    <i r="2">
      <x v="42"/>
      <x v="4"/>
      <x v="3"/>
      <x v="33"/>
      <x v="9"/>
    </i>
    <i t="blank">
      <x v="386"/>
    </i>
    <i>
      <x v="387"/>
    </i>
    <i r="1">
      <x v="2"/>
      <x v="6"/>
      <x v="3"/>
      <x v="5"/>
      <x v="25"/>
      <x v="353"/>
    </i>
    <i r="2">
      <x v="42"/>
      <x v="4"/>
      <x v="3"/>
      <x v="33"/>
      <x v="9"/>
    </i>
    <i t="blank">
      <x v="387"/>
    </i>
    <i>
      <x v="388"/>
    </i>
    <i r="1">
      <x v="1"/>
      <x v="6"/>
      <x v="3"/>
      <x v="5"/>
      <x v="25"/>
      <x v="354"/>
    </i>
    <i r="2">
      <x v="42"/>
      <x v="4"/>
      <x v="3"/>
      <x v="33"/>
      <x v="9"/>
    </i>
    <i t="blank">
      <x v="388"/>
    </i>
    <i>
      <x v="389"/>
    </i>
    <i r="1">
      <x v="1"/>
      <x v="6"/>
      <x v="3"/>
      <x v="5"/>
      <x v="25"/>
      <x v="355"/>
    </i>
    <i r="2">
      <x v="42"/>
      <x v="4"/>
      <x v="3"/>
      <x v="33"/>
      <x v="9"/>
    </i>
    <i t="blank">
      <x v="389"/>
    </i>
    <i>
      <x v="390"/>
    </i>
    <i r="1">
      <x v="1"/>
      <x v="6"/>
      <x v="3"/>
      <x v="5"/>
      <x v="25"/>
      <x v="356"/>
    </i>
    <i r="2">
      <x v="42"/>
      <x v="4"/>
      <x v="3"/>
      <x v="33"/>
      <x v="9"/>
    </i>
    <i t="blank">
      <x v="390"/>
    </i>
    <i>
      <x v="391"/>
    </i>
    <i r="1">
      <x v="1"/>
      <x v="6"/>
      <x v="3"/>
      <x v="5"/>
      <x v="25"/>
      <x v="356"/>
    </i>
    <i r="2">
      <x v="42"/>
      <x v="4"/>
      <x v="3"/>
      <x v="33"/>
      <x v="9"/>
    </i>
    <i t="blank">
      <x v="391"/>
    </i>
    <i>
      <x v="392"/>
    </i>
    <i r="1">
      <x v="1"/>
      <x v="6"/>
      <x v="3"/>
      <x v="5"/>
      <x v="25"/>
      <x v="357"/>
    </i>
    <i r="2">
      <x v="42"/>
      <x v="4"/>
      <x v="3"/>
      <x v="33"/>
      <x v="9"/>
    </i>
    <i t="blank">
      <x v="392"/>
    </i>
    <i>
      <x v="393"/>
    </i>
    <i r="1">
      <x v="1"/>
      <x v="6"/>
      <x v="3"/>
      <x v="5"/>
      <x v="25"/>
      <x v="358"/>
    </i>
    <i r="2">
      <x v="42"/>
      <x v="4"/>
      <x v="3"/>
      <x v="33"/>
      <x v="9"/>
    </i>
    <i t="blank">
      <x v="393"/>
    </i>
    <i>
      <x v="394"/>
    </i>
    <i r="1">
      <x v="1"/>
      <x v="6"/>
      <x v="3"/>
      <x v="5"/>
      <x v="25"/>
      <x v="359"/>
    </i>
    <i r="2">
      <x v="42"/>
      <x v="4"/>
      <x v="3"/>
      <x v="33"/>
      <x v="9"/>
    </i>
    <i t="blank">
      <x v="394"/>
    </i>
    <i>
      <x v="395"/>
    </i>
    <i r="1">
      <x v="1"/>
      <x v="6"/>
      <x v="3"/>
      <x v="5"/>
      <x v="25"/>
      <x v="360"/>
    </i>
    <i r="2">
      <x v="42"/>
      <x v="4"/>
      <x v="3"/>
      <x v="33"/>
      <x v="9"/>
    </i>
    <i t="blank">
      <x v="395"/>
    </i>
    <i>
      <x v="396"/>
    </i>
    <i r="1">
      <x v="1"/>
      <x v="6"/>
      <x v="3"/>
      <x v="5"/>
      <x v="25"/>
      <x v="361"/>
    </i>
    <i r="2">
      <x v="42"/>
      <x v="4"/>
      <x v="3"/>
      <x v="33"/>
      <x v="9"/>
    </i>
    <i t="blank">
      <x v="396"/>
    </i>
    <i>
      <x v="397"/>
    </i>
    <i r="1">
      <x v="1"/>
      <x v="6"/>
      <x v="3"/>
      <x v="5"/>
      <x v="25"/>
      <x v="362"/>
    </i>
    <i r="2">
      <x v="42"/>
      <x v="4"/>
      <x v="3"/>
      <x v="33"/>
      <x v="9"/>
    </i>
    <i t="blank">
      <x v="397"/>
    </i>
    <i>
      <x v="398"/>
    </i>
    <i r="1">
      <x v="1"/>
      <x v="6"/>
      <x v="3"/>
      <x v="5"/>
      <x v="25"/>
      <x v="363"/>
    </i>
    <i r="2">
      <x v="42"/>
      <x v="4"/>
      <x v="3"/>
      <x v="33"/>
      <x v="9"/>
    </i>
    <i t="blank">
      <x v="398"/>
    </i>
    <i>
      <x v="399"/>
    </i>
    <i r="1">
      <x v="1"/>
      <x v="6"/>
      <x v="3"/>
      <x v="5"/>
      <x v="25"/>
      <x v="364"/>
    </i>
    <i r="2">
      <x v="42"/>
      <x v="4"/>
      <x v="3"/>
      <x v="33"/>
      <x v="9"/>
    </i>
    <i t="blank">
      <x v="399"/>
    </i>
    <i>
      <x v="400"/>
    </i>
    <i r="1">
      <x v="4"/>
      <x v="6"/>
      <x v="3"/>
      <x v="5"/>
      <x v="25"/>
      <x v="365"/>
    </i>
    <i r="2">
      <x v="42"/>
      <x v="4"/>
      <x v="3"/>
      <x v="33"/>
      <x v="9"/>
    </i>
    <i t="blank">
      <x v="400"/>
    </i>
    <i>
      <x v="401"/>
    </i>
    <i r="1">
      <x v="4"/>
      <x v="6"/>
      <x v="3"/>
      <x v="5"/>
      <x v="25"/>
      <x v="366"/>
    </i>
    <i r="2">
      <x v="42"/>
      <x v="4"/>
      <x v="3"/>
      <x v="33"/>
      <x v="9"/>
    </i>
    <i t="blank">
      <x v="401"/>
    </i>
    <i>
      <x v="403"/>
    </i>
    <i r="1">
      <x v="1"/>
      <x v="6"/>
      <x v="3"/>
      <x v="5"/>
      <x v="25"/>
      <x v="367"/>
    </i>
    <i r="2">
      <x v="42"/>
      <x v="4"/>
      <x v="3"/>
      <x v="33"/>
      <x v="9"/>
    </i>
    <i t="blank">
      <x v="403"/>
    </i>
    <i>
      <x v="404"/>
    </i>
    <i r="1">
      <x v="2"/>
      <x v="6"/>
      <x v="3"/>
      <x v="5"/>
      <x v="25"/>
      <x v="368"/>
    </i>
    <i r="2">
      <x v="42"/>
      <x v="4"/>
      <x v="3"/>
      <x v="33"/>
      <x v="9"/>
    </i>
    <i t="blank">
      <x v="404"/>
    </i>
    <i>
      <x v="405"/>
    </i>
    <i r="1">
      <x v="1"/>
      <x v="6"/>
      <x v="3"/>
      <x v="5"/>
      <x v="25"/>
      <x v="369"/>
    </i>
    <i r="2">
      <x v="42"/>
      <x v="4"/>
      <x v="3"/>
      <x v="33"/>
      <x v="9"/>
    </i>
    <i t="blank">
      <x v="405"/>
    </i>
    <i>
      <x v="406"/>
    </i>
    <i r="1">
      <x v="2"/>
      <x v="6"/>
      <x v="3"/>
      <x v="5"/>
      <x v="25"/>
      <x v="370"/>
    </i>
    <i r="2">
      <x v="42"/>
      <x v="4"/>
      <x v="3"/>
      <x v="33"/>
      <x v="9"/>
    </i>
    <i t="blank">
      <x v="406"/>
    </i>
    <i>
      <x v="407"/>
    </i>
    <i r="1">
      <x v="1"/>
      <x v="6"/>
      <x v="3"/>
      <x v="5"/>
      <x v="25"/>
      <x v="371"/>
    </i>
    <i r="2">
      <x v="42"/>
      <x v="4"/>
      <x v="3"/>
      <x v="33"/>
      <x v="9"/>
    </i>
    <i t="blank">
      <x v="407"/>
    </i>
    <i>
      <x v="408"/>
    </i>
    <i r="1">
      <x v="1"/>
      <x v="6"/>
      <x v="3"/>
      <x v="5"/>
      <x v="25"/>
      <x v="372"/>
    </i>
    <i r="2">
      <x v="42"/>
      <x v="4"/>
      <x v="3"/>
      <x v="33"/>
      <x v="9"/>
    </i>
    <i t="blank">
      <x v="408"/>
    </i>
    <i>
      <x v="409"/>
    </i>
    <i r="1">
      <x v="1"/>
      <x v="6"/>
      <x v="3"/>
      <x v="5"/>
      <x v="25"/>
      <x v="373"/>
    </i>
    <i r="2">
      <x v="42"/>
      <x v="4"/>
      <x v="3"/>
      <x v="33"/>
      <x v="9"/>
    </i>
    <i t="blank">
      <x v="409"/>
    </i>
    <i>
      <x v="410"/>
    </i>
    <i r="1">
      <x v="1"/>
      <x v="6"/>
      <x v="3"/>
      <x v="5"/>
      <x v="25"/>
      <x v="374"/>
    </i>
    <i r="2">
      <x v="42"/>
      <x v="4"/>
      <x v="3"/>
      <x v="33"/>
      <x v="9"/>
    </i>
    <i t="blank">
      <x v="410"/>
    </i>
    <i>
      <x v="411"/>
    </i>
    <i r="1">
      <x v="3"/>
      <x v="6"/>
      <x v="3"/>
      <x v="5"/>
      <x v="25"/>
      <x v="375"/>
    </i>
    <i r="2">
      <x v="42"/>
      <x v="4"/>
      <x v="3"/>
      <x v="33"/>
      <x v="9"/>
    </i>
    <i t="blank">
      <x v="411"/>
    </i>
    <i>
      <x v="412"/>
    </i>
    <i r="1">
      <x v="1"/>
      <x v="6"/>
      <x v="3"/>
      <x v="5"/>
      <x v="25"/>
      <x v="376"/>
    </i>
    <i r="2">
      <x v="42"/>
      <x v="4"/>
      <x v="3"/>
      <x v="33"/>
      <x v="9"/>
    </i>
    <i t="blank">
      <x v="412"/>
    </i>
    <i>
      <x v="413"/>
    </i>
    <i r="1">
      <x v="1"/>
      <x v="6"/>
      <x v="3"/>
      <x v="5"/>
      <x v="25"/>
      <x v="377"/>
    </i>
    <i r="2">
      <x v="42"/>
      <x v="4"/>
      <x v="3"/>
      <x v="33"/>
      <x v="9"/>
    </i>
    <i t="blank">
      <x v="413"/>
    </i>
    <i>
      <x v="414"/>
    </i>
    <i r="1">
      <x v="3"/>
      <x v="6"/>
      <x v="3"/>
      <x v="5"/>
      <x v="31"/>
      <x v="378"/>
    </i>
    <i r="2">
      <x v="41"/>
      <x v="4"/>
      <x v="3"/>
      <x v="33"/>
      <x v="9"/>
    </i>
    <i t="blank">
      <x v="414"/>
    </i>
    <i>
      <x v="415"/>
    </i>
    <i r="1">
      <x v="10"/>
      <x v="6"/>
      <x v="3"/>
      <x v="6"/>
      <x v="31"/>
      <x v="167"/>
    </i>
    <i t="blank">
      <x v="415"/>
    </i>
    <i>
      <x v="417"/>
    </i>
    <i r="1">
      <x v="10"/>
      <x v="6"/>
      <x v="3"/>
      <x v="6"/>
      <x v="31"/>
      <x v="167"/>
    </i>
    <i t="blank">
      <x v="417"/>
    </i>
    <i>
      <x v="419"/>
    </i>
    <i r="1">
      <x v="10"/>
      <x v="43"/>
      <x v="3"/>
      <x v="6"/>
      <x v="31"/>
      <x v="167"/>
    </i>
    <i t="blank">
      <x v="419"/>
    </i>
    <i>
      <x v="421"/>
    </i>
    <i r="1">
      <x v="1"/>
      <x v="10"/>
      <x v="3"/>
      <x v="6"/>
      <x v="25"/>
      <x v="333"/>
    </i>
    <i t="blank">
      <x v="421"/>
    </i>
    <i>
      <x v="423"/>
    </i>
    <i r="1">
      <x v="1"/>
      <x v="10"/>
      <x v="3"/>
      <x v="5"/>
      <x v="25"/>
      <x v="379"/>
    </i>
    <i r="2">
      <x v="42"/>
      <x v="4"/>
      <x v="3"/>
      <x v="33"/>
      <x v="9"/>
    </i>
    <i t="blank">
      <x v="423"/>
    </i>
    <i>
      <x v="425"/>
    </i>
    <i r="1">
      <x v="3"/>
      <x v="6"/>
      <x v="3"/>
      <x v="3"/>
      <x v="33"/>
      <x v="9"/>
    </i>
    <i t="blank">
      <x v="425"/>
    </i>
    <i>
      <x v="426"/>
    </i>
    <i r="1">
      <x v="3"/>
      <x v="6"/>
      <x v="3"/>
      <x v="3"/>
      <x v="33"/>
      <x v="9"/>
    </i>
    <i t="blank">
      <x v="426"/>
    </i>
    <i>
      <x v="427"/>
    </i>
    <i r="1">
      <x v="1"/>
      <x v="6"/>
      <x v="3"/>
      <x v="3"/>
      <x v="33"/>
      <x v="9"/>
    </i>
    <i t="blank">
      <x v="427"/>
    </i>
    <i>
      <x v="428"/>
    </i>
    <i r="1">
      <x v="1"/>
      <x v="6"/>
      <x v="3"/>
      <x v="3"/>
      <x v="33"/>
      <x v="9"/>
    </i>
    <i t="blank">
      <x v="428"/>
    </i>
    <i>
      <x v="429"/>
    </i>
    <i r="1">
      <x v="2"/>
      <x v="6"/>
      <x v="3"/>
      <x v="3"/>
      <x v="33"/>
      <x v="9"/>
    </i>
    <i t="blank">
      <x v="429"/>
    </i>
    <i>
      <x v="430"/>
    </i>
    <i r="1">
      <x v="2"/>
      <x v="6"/>
      <x v="3"/>
      <x v="3"/>
      <x v="33"/>
      <x v="9"/>
    </i>
    <i t="blank">
      <x v="430"/>
    </i>
    <i>
      <x v="431"/>
    </i>
    <i r="1">
      <x v="2"/>
      <x v="6"/>
      <x v="3"/>
      <x v="3"/>
      <x v="33"/>
      <x v="9"/>
    </i>
    <i t="blank">
      <x v="431"/>
    </i>
    <i>
      <x v="432"/>
    </i>
    <i r="1">
      <x v="1"/>
      <x v="6"/>
      <x v="3"/>
      <x v="3"/>
      <x v="33"/>
      <x v="9"/>
    </i>
    <i t="blank">
      <x v="432"/>
    </i>
    <i>
      <x v="433"/>
    </i>
    <i r="1">
      <x v="2"/>
      <x v="6"/>
      <x v="3"/>
      <x v="3"/>
      <x v="33"/>
      <x v="9"/>
    </i>
    <i t="blank">
      <x v="433"/>
    </i>
    <i>
      <x v="435"/>
    </i>
    <i r="1">
      <x v="1"/>
      <x v="6"/>
      <x v="3"/>
      <x v="3"/>
      <x v="33"/>
      <x v="9"/>
    </i>
    <i t="blank">
      <x v="435"/>
    </i>
    <i>
      <x v="437"/>
    </i>
    <i r="1">
      <x v="1"/>
      <x v="6"/>
      <x v="3"/>
      <x v="3"/>
      <x v="33"/>
      <x v="9"/>
    </i>
    <i t="blank">
      <x v="437"/>
    </i>
    <i>
      <x v="438"/>
    </i>
    <i r="1">
      <x v="1"/>
      <x v="6"/>
      <x v="3"/>
      <x v="3"/>
      <x v="33"/>
      <x v="9"/>
    </i>
    <i t="blank">
      <x v="438"/>
    </i>
    <i>
      <x v="439"/>
    </i>
    <i r="1">
      <x v="1"/>
      <x v="6"/>
      <x v="3"/>
      <x v="3"/>
      <x v="33"/>
      <x v="9"/>
    </i>
    <i t="blank">
      <x v="439"/>
    </i>
    <i>
      <x v="440"/>
    </i>
    <i r="1">
      <x v="1"/>
      <x v="6"/>
      <x v="3"/>
      <x v="3"/>
      <x v="33"/>
      <x v="9"/>
    </i>
    <i t="blank">
      <x v="440"/>
    </i>
    <i>
      <x v="443"/>
    </i>
    <i r="1">
      <x v="1"/>
      <x v="33"/>
      <x v="3"/>
      <x v="3"/>
      <x v="33"/>
      <x v="9"/>
    </i>
    <i t="blank">
      <x v="443"/>
    </i>
    <i>
      <x v="447"/>
    </i>
    <i r="1">
      <x v="2"/>
      <x v="6"/>
      <x v="3"/>
      <x v="6"/>
      <x v="16"/>
      <x v="11"/>
    </i>
    <i r="2">
      <x v="33"/>
      <x v="3"/>
      <x v="3"/>
      <x v="33"/>
      <x v="9"/>
    </i>
    <i t="blank">
      <x v="447"/>
    </i>
    <i>
      <x v="450"/>
    </i>
    <i r="1">
      <x v="2"/>
      <x v="33"/>
      <x v="3"/>
      <x v="3"/>
      <x v="33"/>
      <x v="9"/>
    </i>
    <i t="blank">
      <x v="450"/>
    </i>
    <i>
      <x v="452"/>
    </i>
    <i r="1">
      <x v="1"/>
      <x v="33"/>
      <x v="3"/>
      <x v="3"/>
      <x v="33"/>
      <x v="9"/>
    </i>
    <i t="blank">
      <x v="452"/>
    </i>
    <i>
      <x v="453"/>
    </i>
    <i r="1">
      <x v="1"/>
      <x v="33"/>
      <x v="3"/>
      <x v="3"/>
      <x v="33"/>
      <x v="9"/>
    </i>
    <i t="blank">
      <x v="453"/>
    </i>
    <i>
      <x v="454"/>
    </i>
    <i r="1">
      <x v="5"/>
      <x v="6"/>
      <x v="3"/>
      <x v="3"/>
      <x v="33"/>
      <x v="9"/>
    </i>
    <i t="blank">
      <x v="454"/>
    </i>
    <i>
      <x v="455"/>
    </i>
    <i r="1">
      <x v="2"/>
      <x v="33"/>
      <x v="3"/>
      <x v="3"/>
      <x v="33"/>
      <x v="9"/>
    </i>
    <i t="blank">
      <x v="455"/>
    </i>
    <i>
      <x v="456"/>
    </i>
    <i r="1">
      <x v="2"/>
      <x v="33"/>
      <x v="3"/>
      <x v="3"/>
      <x v="33"/>
      <x v="9"/>
    </i>
    <i t="blank">
      <x v="456"/>
    </i>
    <i>
      <x v="457"/>
    </i>
    <i r="1">
      <x v="2"/>
      <x v="33"/>
      <x v="3"/>
      <x v="3"/>
      <x v="33"/>
      <x v="9"/>
    </i>
    <i t="blank">
      <x v="457"/>
    </i>
    <i>
      <x v="459"/>
    </i>
    <i r="1">
      <x v="2"/>
      <x v="6"/>
      <x v="3"/>
      <x v="3"/>
      <x v="33"/>
      <x v="9"/>
    </i>
    <i t="blank">
      <x v="459"/>
    </i>
    <i>
      <x v="460"/>
    </i>
    <i r="1">
      <x v="2"/>
      <x v="33"/>
      <x v="3"/>
      <x v="3"/>
      <x v="33"/>
      <x v="9"/>
    </i>
    <i t="blank">
      <x v="460"/>
    </i>
    <i>
      <x v="461"/>
    </i>
    <i r="1">
      <x v="2"/>
      <x v="34"/>
      <x v="3"/>
      <x v="6"/>
      <x v="23"/>
      <x v="9"/>
    </i>
    <i t="blank">
      <x v="461"/>
    </i>
    <i>
      <x v="462"/>
    </i>
    <i r="1">
      <x v="2"/>
      <x v="34"/>
      <x v="3"/>
      <x v="6"/>
      <x v="23"/>
      <x v="201"/>
    </i>
    <i t="blank">
      <x v="462"/>
    </i>
    <i>
      <x v="463"/>
    </i>
    <i r="1">
      <x v="2"/>
      <x v="34"/>
      <x v="3"/>
      <x v="6"/>
      <x v="22"/>
      <x v="9"/>
    </i>
    <i t="blank">
      <x v="463"/>
    </i>
    <i>
      <x v="464"/>
    </i>
    <i r="1">
      <x v="2"/>
      <x v="37"/>
      <x v="3"/>
      <x v="6"/>
      <x v="23"/>
      <x v="298"/>
    </i>
    <i t="blank">
      <x v="464"/>
    </i>
    <i>
      <x v="466"/>
    </i>
    <i r="1">
      <x v="3"/>
      <x v="34"/>
      <x v="3"/>
      <x v="5"/>
      <x v="22"/>
      <x v="189"/>
    </i>
    <i r="2">
      <x v="44"/>
      <x v="5"/>
      <x v="5"/>
      <x v="28"/>
      <x v="167"/>
    </i>
    <i r="1">
      <x v="4"/>
      <x v="44"/>
      <x v="3"/>
      <x v="3"/>
      <x v="33"/>
      <x v="9"/>
    </i>
    <i t="blank">
      <x v="466"/>
    </i>
    <i>
      <x v="467"/>
    </i>
    <i r="1">
      <x v="2"/>
      <x v="6"/>
      <x v="3"/>
      <x v="3"/>
      <x v="33"/>
      <x v="9"/>
    </i>
    <i t="blank">
      <x v="467"/>
    </i>
    <i>
      <x v="469"/>
    </i>
    <i r="1">
      <x v="3"/>
      <x v="6"/>
      <x v="3"/>
      <x v="3"/>
      <x v="33"/>
      <x v="9"/>
    </i>
    <i t="blank">
      <x v="469"/>
    </i>
    <i>
      <x v="471"/>
    </i>
    <i r="1">
      <x v="2"/>
      <x v="6"/>
      <x v="3"/>
      <x v="3"/>
      <x v="33"/>
      <x v="9"/>
    </i>
    <i t="blank">
      <x v="471"/>
    </i>
    <i>
      <x v="473"/>
    </i>
    <i r="1">
      <x v="2"/>
      <x v="6"/>
      <x v="3"/>
      <x v="3"/>
      <x v="33"/>
      <x v="9"/>
    </i>
    <i t="blank">
      <x v="473"/>
    </i>
    <i>
      <x v="474"/>
    </i>
    <i r="1">
      <x v="1"/>
      <x v="6"/>
      <x v="3"/>
      <x v="3"/>
      <x v="33"/>
      <x v="9"/>
    </i>
    <i t="blank">
      <x v="474"/>
    </i>
    <i>
      <x v="475"/>
    </i>
    <i r="1">
      <x v="1"/>
      <x v="6"/>
      <x v="3"/>
      <x v="3"/>
      <x v="33"/>
      <x v="9"/>
    </i>
    <i t="blank">
      <x v="475"/>
    </i>
    <i>
      <x v="476"/>
    </i>
    <i r="1">
      <x v="2"/>
      <x v="6"/>
      <x v="3"/>
      <x v="6"/>
      <x v="23"/>
      <x v="9"/>
    </i>
    <i t="blank">
      <x v="476"/>
    </i>
    <i>
      <x v="477"/>
    </i>
    <i r="1">
      <x v="3"/>
      <x v="6"/>
      <x v="3"/>
      <x v="5"/>
      <x v="23"/>
      <x v="202"/>
    </i>
    <i r="2">
      <x v="37"/>
      <x v="4"/>
      <x v="3"/>
      <x v="33"/>
      <x v="9"/>
    </i>
    <i t="blank">
      <x v="477"/>
    </i>
    <i>
      <x v="478"/>
    </i>
    <i r="1">
      <x v="1"/>
      <x v="33"/>
      <x v="3"/>
      <x v="3"/>
      <x v="33"/>
      <x v="9"/>
    </i>
    <i t="blank">
      <x v="478"/>
    </i>
    <i>
      <x v="479"/>
    </i>
    <i r="1">
      <x v="2"/>
      <x v="6"/>
      <x v="3"/>
      <x v="3"/>
      <x v="33"/>
      <x v="9"/>
    </i>
    <i t="blank">
      <x v="479"/>
    </i>
    <i>
      <x v="481"/>
    </i>
    <i r="1">
      <x v="15"/>
      <x v="47"/>
      <x v="3"/>
      <x v="3"/>
      <x v="33"/>
      <x v="9"/>
    </i>
    <i t="blank">
      <x v="481"/>
    </i>
    <i>
      <x v="482"/>
    </i>
    <i r="1">
      <x v="1"/>
      <x v="33"/>
      <x v="3"/>
      <x v="3"/>
      <x v="33"/>
      <x v="9"/>
    </i>
    <i t="blank">
      <x v="482"/>
    </i>
    <i>
      <x v="484"/>
    </i>
    <i r="1">
      <x v="3"/>
      <x v="6"/>
      <x v="3"/>
      <x v="3"/>
      <x v="33"/>
      <x v="9"/>
    </i>
    <i t="blank">
      <x v="484"/>
    </i>
    <i>
      <x v="485"/>
    </i>
    <i r="1">
      <x v="1"/>
      <x v="44"/>
      <x v="3"/>
      <x v="3"/>
      <x v="33"/>
      <x v="9"/>
    </i>
    <i t="blank">
      <x v="485"/>
    </i>
    <i>
      <x v="493"/>
    </i>
    <i r="1">
      <x v="1"/>
      <x v="6"/>
      <x v="3"/>
      <x v="6"/>
      <x v="23"/>
      <x v="167"/>
    </i>
    <i t="blank">
      <x v="493"/>
    </i>
    <i>
      <x v="494"/>
    </i>
    <i r="1">
      <x v="1"/>
      <x v="6"/>
      <x v="3"/>
      <x v="6"/>
      <x v="23"/>
      <x v="167"/>
    </i>
    <i t="blank">
      <x v="494"/>
    </i>
    <i>
      <x v="495"/>
    </i>
    <i r="1">
      <x v="1"/>
      <x v="6"/>
      <x v="3"/>
      <x v="6"/>
      <x v="23"/>
      <x v="167"/>
    </i>
    <i t="blank">
      <x v="495"/>
    </i>
    <i>
      <x v="496"/>
    </i>
    <i r="1">
      <x v="1"/>
      <x v="6"/>
      <x v="3"/>
      <x v="6"/>
      <x v="23"/>
      <x v="167"/>
    </i>
    <i t="blank">
      <x v="496"/>
    </i>
    <i>
      <x v="497"/>
    </i>
    <i r="1">
      <x v="1"/>
      <x v="6"/>
      <x v="3"/>
      <x v="6"/>
      <x v="23"/>
      <x v="167"/>
    </i>
    <i t="blank">
      <x v="497"/>
    </i>
    <i>
      <x v="498"/>
    </i>
    <i r="1">
      <x v="1"/>
      <x v="6"/>
      <x v="3"/>
      <x v="6"/>
      <x v="23"/>
      <x v="167"/>
    </i>
    <i t="blank">
      <x v="498"/>
    </i>
    <i>
      <x v="499"/>
    </i>
    <i r="1">
      <x v="1"/>
      <x v="6"/>
      <x v="3"/>
      <x v="6"/>
      <x v="23"/>
      <x v="167"/>
    </i>
    <i t="blank">
      <x v="499"/>
    </i>
    <i>
      <x v="500"/>
    </i>
    <i r="1">
      <x v="1"/>
      <x v="6"/>
      <x v="3"/>
      <x v="6"/>
      <x v="23"/>
      <x v="167"/>
    </i>
    <i t="blank">
      <x v="500"/>
    </i>
    <i>
      <x v="501"/>
    </i>
    <i r="1">
      <x v="1"/>
      <x v="6"/>
      <x v="3"/>
      <x v="6"/>
      <x v="23"/>
      <x v="167"/>
    </i>
    <i t="blank">
      <x v="501"/>
    </i>
    <i>
      <x v="502"/>
    </i>
    <i r="1">
      <x v="1"/>
      <x v="6"/>
      <x v="3"/>
      <x v="6"/>
      <x v="23"/>
      <x v="167"/>
    </i>
    <i t="blank">
      <x v="502"/>
    </i>
    <i>
      <x v="503"/>
    </i>
    <i r="1">
      <x v="1"/>
      <x v="6"/>
      <x v="3"/>
      <x v="6"/>
      <x v="23"/>
      <x v="167"/>
    </i>
    <i t="blank">
      <x v="503"/>
    </i>
    <i>
      <x v="504"/>
    </i>
    <i r="1">
      <x v="1"/>
      <x v="6"/>
      <x v="3"/>
      <x v="6"/>
      <x v="23"/>
      <x v="167"/>
    </i>
    <i t="blank">
      <x v="504"/>
    </i>
    <i>
      <x v="505"/>
    </i>
    <i r="1">
      <x v="1"/>
      <x v="6"/>
      <x v="3"/>
      <x v="6"/>
      <x v="23"/>
      <x v="167"/>
    </i>
    <i t="blank">
      <x v="505"/>
    </i>
    <i>
      <x v="506"/>
    </i>
    <i r="1">
      <x v="1"/>
      <x v="6"/>
      <x v="3"/>
      <x v="6"/>
      <x v="23"/>
      <x v="167"/>
    </i>
    <i t="blank">
      <x v="506"/>
    </i>
    <i>
      <x v="507"/>
    </i>
    <i r="1">
      <x v="1"/>
      <x v="6"/>
      <x v="3"/>
      <x v="6"/>
      <x v="23"/>
      <x v="167"/>
    </i>
    <i t="blank">
      <x v="507"/>
    </i>
    <i>
      <x v="508"/>
    </i>
    <i r="1">
      <x v="1"/>
      <x v="6"/>
      <x v="3"/>
      <x v="6"/>
      <x v="23"/>
      <x v="167"/>
    </i>
    <i t="blank">
      <x v="508"/>
    </i>
    <i>
      <x v="509"/>
    </i>
    <i r="1">
      <x v="1"/>
      <x v="33"/>
      <x v="3"/>
      <x v="3"/>
      <x v="33"/>
      <x v="9"/>
    </i>
    <i t="blank">
      <x v="509"/>
    </i>
    <i>
      <x v="510"/>
    </i>
    <i r="1">
      <x v="1"/>
      <x v="6"/>
      <x v="3"/>
      <x v="3"/>
      <x v="33"/>
      <x v="9"/>
    </i>
    <i t="blank">
      <x v="510"/>
    </i>
    <i>
      <x v="511"/>
    </i>
    <i r="1">
      <x v="1"/>
      <x v="6"/>
      <x v="3"/>
      <x v="3"/>
      <x v="33"/>
      <x v="9"/>
    </i>
    <i t="blank">
      <x v="511"/>
    </i>
    <i>
      <x v="512"/>
    </i>
    <i r="1">
      <x v="1"/>
      <x v="6"/>
      <x v="3"/>
      <x v="6"/>
      <x v="23"/>
      <x v="9"/>
    </i>
    <i t="blank">
      <x v="512"/>
    </i>
    <i>
      <x v="516"/>
    </i>
    <i r="1">
      <x v="2"/>
      <x v="6"/>
      <x v="3"/>
      <x v="5"/>
      <x v="19"/>
      <x v="179"/>
    </i>
    <i r="2">
      <x v="35"/>
      <x v="4"/>
      <x v="3"/>
      <x v="33"/>
      <x v="9"/>
    </i>
    <i t="blank">
      <x v="516"/>
    </i>
    <i>
      <x v="517"/>
    </i>
    <i r="1">
      <x v="3"/>
      <x v="6"/>
      <x v="3"/>
      <x v="5"/>
      <x v="19"/>
      <x v="180"/>
    </i>
    <i r="2">
      <x v="35"/>
      <x v="4"/>
      <x v="3"/>
      <x v="33"/>
      <x v="9"/>
    </i>
    <i t="blank">
      <x v="517"/>
    </i>
    <i>
      <x v="518"/>
    </i>
    <i r="1">
      <x v="1"/>
      <x v="6"/>
      <x v="3"/>
      <x v="5"/>
      <x v="19"/>
      <x v="181"/>
    </i>
    <i r="2">
      <x v="35"/>
      <x v="4"/>
      <x v="3"/>
      <x v="33"/>
      <x v="9"/>
    </i>
    <i t="blank">
      <x v="518"/>
    </i>
    <i>
      <x v="519"/>
    </i>
    <i r="1">
      <x v="1"/>
      <x v="6"/>
      <x v="3"/>
      <x v="3"/>
      <x v="33"/>
      <x v="9"/>
    </i>
    <i t="blank">
      <x v="519"/>
    </i>
    <i>
      <x v="520"/>
    </i>
    <i r="1">
      <x v="2"/>
      <x v="6"/>
      <x v="3"/>
      <x v="3"/>
      <x v="33"/>
      <x v="9"/>
    </i>
    <i t="blank">
      <x v="520"/>
    </i>
    <i>
      <x v="521"/>
    </i>
    <i r="1">
      <x v="2"/>
      <x v="6"/>
      <x v="3"/>
      <x v="5"/>
      <x v="21"/>
      <x v="190"/>
    </i>
    <i r="2">
      <x v="34"/>
      <x v="4"/>
      <x v="3"/>
      <x v="33"/>
      <x v="9"/>
    </i>
    <i t="blank">
      <x v="521"/>
    </i>
    <i>
      <x v="522"/>
    </i>
    <i r="1">
      <x v="1"/>
      <x v="6"/>
      <x v="3"/>
      <x v="5"/>
      <x v="21"/>
      <x v="191"/>
    </i>
    <i r="2">
      <x v="34"/>
      <x v="4"/>
      <x v="3"/>
      <x v="33"/>
      <x v="9"/>
    </i>
    <i t="blank">
      <x v="522"/>
    </i>
    <i>
      <x v="523"/>
    </i>
    <i r="1">
      <x v="1"/>
      <x v="6"/>
      <x v="3"/>
      <x v="5"/>
      <x v="21"/>
      <x v="167"/>
    </i>
    <i r="2">
      <x v="34"/>
      <x v="4"/>
      <x v="3"/>
      <x v="33"/>
      <x v="9"/>
    </i>
    <i t="blank">
      <x v="523"/>
    </i>
    <i>
      <x v="524"/>
    </i>
    <i r="1">
      <x v="1"/>
      <x v="6"/>
      <x v="3"/>
      <x v="5"/>
      <x v="21"/>
      <x v="191"/>
    </i>
    <i r="2">
      <x v="34"/>
      <x v="4"/>
      <x v="3"/>
      <x v="33"/>
      <x v="9"/>
    </i>
    <i t="blank">
      <x v="524"/>
    </i>
    <i>
      <x v="525"/>
    </i>
    <i r="1">
      <x v="3"/>
      <x v="6"/>
      <x v="3"/>
      <x v="5"/>
      <x v="21"/>
      <x v="167"/>
    </i>
    <i r="2">
      <x v="34"/>
      <x v="4"/>
      <x v="3"/>
      <x v="33"/>
      <x v="9"/>
    </i>
    <i t="blank">
      <x v="525"/>
    </i>
    <i>
      <x v="526"/>
    </i>
    <i r="1">
      <x v="1"/>
      <x v="6"/>
      <x v="3"/>
      <x v="5"/>
      <x v="21"/>
      <x v="167"/>
    </i>
    <i r="2">
      <x v="34"/>
      <x v="4"/>
      <x v="3"/>
      <x v="33"/>
      <x v="9"/>
    </i>
    <i t="blank">
      <x v="526"/>
    </i>
    <i>
      <x v="527"/>
    </i>
    <i r="1">
      <x v="3"/>
      <x v="6"/>
      <x v="3"/>
      <x v="5"/>
      <x v="21"/>
      <x v="192"/>
    </i>
    <i r="2">
      <x v="34"/>
      <x v="4"/>
      <x v="3"/>
      <x v="33"/>
      <x v="9"/>
    </i>
    <i t="blank">
      <x v="527"/>
    </i>
    <i>
      <x v="528"/>
    </i>
    <i r="1">
      <x v="3"/>
      <x v="6"/>
      <x v="3"/>
      <x v="5"/>
      <x v="21"/>
      <x v="193"/>
    </i>
    <i r="2">
      <x v="34"/>
      <x v="4"/>
      <x v="3"/>
      <x v="33"/>
      <x v="9"/>
    </i>
    <i t="blank">
      <x v="528"/>
    </i>
    <i>
      <x v="529"/>
    </i>
    <i r="1">
      <x v="3"/>
      <x v="6"/>
      <x v="3"/>
      <x v="5"/>
      <x v="21"/>
      <x v="193"/>
    </i>
    <i r="2">
      <x v="34"/>
      <x v="4"/>
      <x v="3"/>
      <x v="33"/>
      <x v="9"/>
    </i>
    <i t="blank">
      <x v="529"/>
    </i>
    <i>
      <x v="530"/>
    </i>
    <i r="1">
      <x v="3"/>
      <x v="6"/>
      <x v="3"/>
      <x v="5"/>
      <x v="21"/>
      <x v="193"/>
    </i>
    <i r="2">
      <x v="34"/>
      <x v="4"/>
      <x v="3"/>
      <x v="33"/>
      <x v="9"/>
    </i>
    <i t="blank">
      <x v="530"/>
    </i>
    <i>
      <x v="531"/>
    </i>
    <i r="1">
      <x v="3"/>
      <x v="6"/>
      <x v="3"/>
      <x v="5"/>
      <x v="21"/>
      <x v="193"/>
    </i>
    <i r="2">
      <x v="34"/>
      <x v="4"/>
      <x v="3"/>
      <x v="33"/>
      <x v="9"/>
    </i>
    <i t="blank">
      <x v="531"/>
    </i>
    <i>
      <x v="532"/>
    </i>
    <i r="1">
      <x v="3"/>
      <x v="6"/>
      <x v="3"/>
      <x v="5"/>
      <x v="21"/>
      <x v="191"/>
    </i>
    <i r="2">
      <x v="34"/>
      <x v="4"/>
      <x v="3"/>
      <x v="33"/>
      <x v="9"/>
    </i>
    <i t="blank">
      <x v="532"/>
    </i>
    <i>
      <x v="533"/>
    </i>
    <i r="1">
      <x v="2"/>
      <x v="6"/>
      <x v="3"/>
      <x v="5"/>
      <x v="21"/>
      <x v="194"/>
    </i>
    <i r="2">
      <x v="34"/>
      <x v="4"/>
      <x v="3"/>
      <x v="33"/>
      <x v="9"/>
    </i>
    <i t="blank">
      <x v="533"/>
    </i>
    <i>
      <x v="534"/>
    </i>
    <i r="1">
      <x v="15"/>
      <x v="6"/>
      <x v="3"/>
      <x v="5"/>
      <x v="19"/>
      <x v="182"/>
    </i>
    <i r="2">
      <x v="35"/>
      <x v="4"/>
      <x v="3"/>
      <x v="33"/>
      <x v="9"/>
    </i>
    <i t="blank">
      <x v="534"/>
    </i>
    <i>
      <x v="535"/>
    </i>
    <i r="1">
      <x v="15"/>
      <x v="6"/>
      <x v="3"/>
      <x v="5"/>
      <x v="19"/>
      <x v="183"/>
    </i>
    <i r="2">
      <x v="35"/>
      <x v="4"/>
      <x v="3"/>
      <x v="33"/>
      <x v="9"/>
    </i>
    <i t="blank">
      <x v="535"/>
    </i>
    <i>
      <x v="536"/>
    </i>
    <i r="1">
      <x v="4"/>
      <x v="6"/>
      <x v="3"/>
      <x v="5"/>
      <x v="19"/>
      <x v="184"/>
    </i>
    <i r="2">
      <x v="35"/>
      <x v="4"/>
      <x v="3"/>
      <x v="33"/>
      <x v="9"/>
    </i>
    <i t="blank">
      <x v="536"/>
    </i>
    <i>
      <x v="537"/>
    </i>
    <i r="1">
      <x v="3"/>
      <x v="6"/>
      <x v="3"/>
      <x v="5"/>
      <x v="19"/>
      <x v="185"/>
    </i>
    <i r="2">
      <x v="35"/>
      <x v="4"/>
      <x v="3"/>
      <x v="33"/>
      <x v="9"/>
    </i>
    <i t="blank">
      <x v="537"/>
    </i>
    <i>
      <x v="538"/>
    </i>
    <i r="1">
      <x v="3"/>
      <x v="6"/>
      <x v="3"/>
      <x v="5"/>
      <x v="19"/>
      <x v="186"/>
    </i>
    <i r="2">
      <x v="35"/>
      <x v="4"/>
      <x v="3"/>
      <x v="33"/>
      <x v="9"/>
    </i>
    <i t="blank">
      <x v="538"/>
    </i>
    <i>
      <x v="539"/>
    </i>
    <i r="1">
      <x v="1"/>
      <x v="6"/>
      <x v="3"/>
      <x v="3"/>
      <x v="33"/>
      <x v="9"/>
    </i>
    <i t="blank">
      <x v="539"/>
    </i>
    <i>
      <x v="540"/>
    </i>
    <i r="1">
      <x v="2"/>
      <x v="6"/>
      <x v="3"/>
      <x v="3"/>
      <x v="33"/>
      <x v="9"/>
    </i>
    <i t="blank">
      <x v="540"/>
    </i>
    <i>
      <x v="541"/>
    </i>
    <i r="1">
      <x v="2"/>
      <x v="6"/>
      <x v="3"/>
      <x v="3"/>
      <x v="33"/>
      <x v="9"/>
    </i>
    <i t="blank">
      <x v="541"/>
    </i>
    <i>
      <x v="542"/>
    </i>
    <i r="1">
      <x v="2"/>
      <x v="6"/>
      <x v="3"/>
      <x v="5"/>
      <x v="19"/>
      <x v="187"/>
    </i>
    <i r="2">
      <x v="35"/>
      <x v="4"/>
      <x v="3"/>
      <x v="33"/>
      <x v="9"/>
    </i>
    <i t="blank">
      <x v="542"/>
    </i>
    <i>
      <x v="543"/>
    </i>
    <i r="1">
      <x v="3"/>
      <x v="6"/>
      <x v="3"/>
      <x v="5"/>
      <x v="21"/>
      <x v="193"/>
    </i>
    <i r="2">
      <x v="34"/>
      <x v="4"/>
      <x v="3"/>
      <x v="33"/>
      <x v="9"/>
    </i>
    <i t="blank">
      <x v="543"/>
    </i>
    <i>
      <x v="544"/>
    </i>
    <i r="1">
      <x v="3"/>
      <x v="6"/>
      <x v="3"/>
      <x v="5"/>
      <x v="21"/>
      <x v="193"/>
    </i>
    <i r="2">
      <x v="34"/>
      <x v="4"/>
      <x v="3"/>
      <x v="33"/>
      <x v="9"/>
    </i>
    <i t="blank">
      <x v="544"/>
    </i>
    <i>
      <x v="545"/>
    </i>
    <i r="1">
      <x v="3"/>
      <x v="6"/>
      <x v="3"/>
      <x v="5"/>
      <x v="21"/>
      <x v="193"/>
    </i>
    <i r="2">
      <x v="34"/>
      <x v="4"/>
      <x v="3"/>
      <x v="33"/>
      <x v="9"/>
    </i>
    <i t="blank">
      <x v="545"/>
    </i>
    <i>
      <x v="546"/>
    </i>
    <i r="1">
      <x v="3"/>
      <x v="6"/>
      <x v="3"/>
      <x v="5"/>
      <x v="21"/>
      <x v="195"/>
    </i>
    <i r="2">
      <x v="34"/>
      <x v="4"/>
      <x v="3"/>
      <x v="33"/>
      <x v="9"/>
    </i>
    <i t="blank">
      <x v="546"/>
    </i>
    <i>
      <x v="548"/>
    </i>
    <i r="1">
      <x v="3"/>
      <x v="6"/>
      <x v="3"/>
      <x v="5"/>
      <x v="21"/>
      <x v="196"/>
    </i>
    <i r="2">
      <x v="34"/>
      <x v="4"/>
      <x v="3"/>
      <x v="33"/>
      <x v="9"/>
    </i>
    <i t="blank">
      <x v="548"/>
    </i>
    <i>
      <x v="549"/>
    </i>
    <i r="1">
      <x v="1"/>
      <x v="6"/>
      <x v="3"/>
      <x v="5"/>
      <x v="21"/>
      <x v="193"/>
    </i>
    <i r="2">
      <x v="34"/>
      <x v="4"/>
      <x v="3"/>
      <x v="33"/>
      <x v="9"/>
    </i>
    <i t="blank">
      <x v="549"/>
    </i>
    <i>
      <x v="550"/>
    </i>
    <i r="1">
      <x v="2"/>
      <x v="6"/>
      <x v="3"/>
      <x v="5"/>
      <x v="31"/>
      <x v="407"/>
    </i>
    <i r="2">
      <x v="41"/>
      <x v="4"/>
      <x v="3"/>
      <x v="33"/>
      <x v="9"/>
    </i>
    <i t="blank">
      <x v="550"/>
    </i>
    <i>
      <x v="551"/>
    </i>
    <i r="1">
      <x v="2"/>
      <x v="6"/>
      <x v="3"/>
      <x v="6"/>
      <x v="31"/>
      <x v="167"/>
    </i>
    <i t="blank">
      <x v="551"/>
    </i>
    <i>
      <x v="553"/>
    </i>
    <i r="1">
      <x v="2"/>
      <x v="6"/>
      <x v="3"/>
      <x v="6"/>
      <x v="31"/>
      <x v="167"/>
    </i>
    <i t="blank">
      <x v="553"/>
    </i>
    <i>
      <x v="554"/>
    </i>
    <i r="1">
      <x v="8"/>
      <x v="6"/>
      <x v="3"/>
      <x v="5"/>
      <x v="31"/>
      <x v="408"/>
    </i>
    <i r="2">
      <x v="41"/>
      <x v="4"/>
      <x v="3"/>
      <x v="33"/>
      <x v="9"/>
    </i>
    <i t="blank">
      <x v="554"/>
    </i>
    <i>
      <x v="555"/>
    </i>
    <i r="1">
      <x v="8"/>
      <x v="6"/>
      <x v="3"/>
      <x v="6"/>
      <x v="31"/>
      <x v="167"/>
    </i>
    <i t="blank">
      <x v="555"/>
    </i>
    <i>
      <x v="556"/>
    </i>
    <i r="1">
      <x v="8"/>
      <x v="6"/>
      <x v="3"/>
      <x v="6"/>
      <x v="31"/>
      <x v="167"/>
    </i>
    <i t="blank">
      <x v="556"/>
    </i>
    <i>
      <x v="557"/>
    </i>
    <i r="1">
      <x v="2"/>
      <x v="6"/>
      <x v="3"/>
      <x v="5"/>
      <x v="19"/>
      <x v="188"/>
    </i>
    <i r="2">
      <x v="35"/>
      <x v="4"/>
      <x v="3"/>
      <x v="33"/>
      <x v="9"/>
    </i>
    <i t="blank">
      <x v="557"/>
    </i>
    <i>
      <x v="558"/>
    </i>
    <i r="1">
      <x v="2"/>
      <x v="6"/>
      <x v="3"/>
      <x v="5"/>
      <x v="31"/>
      <x v="409"/>
    </i>
    <i r="2">
      <x v="41"/>
      <x v="4"/>
      <x v="3"/>
      <x v="33"/>
      <x v="9"/>
    </i>
    <i t="blank">
      <x v="558"/>
    </i>
    <i>
      <x v="560"/>
    </i>
    <i r="1">
      <x v="2"/>
      <x v="6"/>
      <x v="3"/>
      <x v="5"/>
      <x v="29"/>
      <x v="380"/>
    </i>
    <i r="2">
      <x v="45"/>
      <x v="4"/>
      <x v="3"/>
      <x v="33"/>
      <x v="9"/>
    </i>
    <i t="blank">
      <x v="560"/>
    </i>
    <i>
      <x v="562"/>
    </i>
    <i r="1">
      <x v="2"/>
      <x v="6"/>
      <x v="3"/>
      <x v="5"/>
      <x v="31"/>
      <x v="319"/>
    </i>
    <i r="2">
      <x v="41"/>
      <x v="4"/>
      <x v="3"/>
      <x v="33"/>
      <x v="9"/>
    </i>
    <i t="blank">
      <x v="562"/>
    </i>
    <i>
      <x v="564"/>
    </i>
    <i r="1">
      <x v="6"/>
      <x v="6"/>
      <x v="3"/>
      <x v="5"/>
      <x v="31"/>
      <x v="410"/>
    </i>
    <i r="2">
      <x v="41"/>
      <x v="4"/>
      <x v="3"/>
      <x v="33"/>
      <x v="9"/>
    </i>
    <i t="blank">
      <x v="564"/>
    </i>
    <i>
      <x v="565"/>
    </i>
    <i r="1">
      <x v="4"/>
      <x v="6"/>
      <x v="3"/>
      <x v="5"/>
      <x v="31"/>
      <x v="381"/>
    </i>
    <i r="2">
      <x v="41"/>
      <x v="4"/>
      <x v="3"/>
      <x v="33"/>
      <x v="9"/>
    </i>
    <i t="blank">
      <x v="565"/>
    </i>
    <i>
      <x v="567"/>
    </i>
    <i r="1">
      <x v="6"/>
      <x v="6"/>
      <x v="3"/>
      <x v="5"/>
      <x v="29"/>
      <x v="382"/>
    </i>
    <i r="2">
      <x v="45"/>
      <x v="4"/>
      <x v="3"/>
      <x v="33"/>
      <x v="9"/>
    </i>
    <i t="blank">
      <x v="567"/>
    </i>
    <i>
      <x v="578"/>
    </i>
    <i r="1">
      <x v="15"/>
      <x v="6"/>
      <x v="3"/>
      <x v="8"/>
      <x v="22"/>
      <x v="204"/>
    </i>
    <i r="2">
      <x v="36"/>
      <x v="4"/>
      <x v="13"/>
      <x v="26"/>
      <x v="383"/>
    </i>
    <i r="2">
      <x v="40"/>
      <x v="5"/>
      <x v="3"/>
      <x v="33"/>
      <x v="9"/>
    </i>
    <i t="blank">
      <x v="578"/>
    </i>
    <i>
      <x v="580"/>
    </i>
    <i r="1">
      <x v="4"/>
      <x v="6"/>
      <x v="3"/>
      <x v="5"/>
      <x v="24"/>
      <x v="299"/>
    </i>
    <i r="2">
      <x v="38"/>
      <x v="4"/>
      <x v="3"/>
      <x v="33"/>
      <x v="9"/>
    </i>
    <i t="blank">
      <x v="580"/>
    </i>
    <i>
      <x v="581"/>
    </i>
    <i r="1">
      <x v="2"/>
      <x v="6"/>
      <x v="3"/>
      <x v="3"/>
      <x v="33"/>
      <x v="9"/>
    </i>
    <i t="blank">
      <x v="581"/>
    </i>
    <i>
      <x v="583"/>
    </i>
    <i r="1">
      <x v="15"/>
      <x v="6"/>
      <x v="3"/>
      <x v="6"/>
      <x v="25"/>
      <x v="167"/>
    </i>
    <i t="blank">
      <x v="583"/>
    </i>
    <i>
      <x v="584"/>
    </i>
    <i r="1">
      <x v="14"/>
      <x v="6"/>
      <x v="3"/>
      <x v="6"/>
      <x v="25"/>
      <x v="167"/>
    </i>
    <i t="blank">
      <x v="584"/>
    </i>
    <i>
      <x v="585"/>
    </i>
    <i r="1">
      <x v="17"/>
      <x v="6"/>
      <x v="3"/>
      <x v="5"/>
      <x v="25"/>
      <x v="384"/>
    </i>
    <i r="2">
      <x v="42"/>
      <x v="4"/>
      <x v="3"/>
      <x v="33"/>
      <x v="9"/>
    </i>
    <i t="blank">
      <x v="585"/>
    </i>
    <i>
      <x v="586"/>
    </i>
    <i r="1">
      <x v="14"/>
      <x v="6"/>
      <x v="3"/>
      <x v="5"/>
      <x v="25"/>
      <x v="385"/>
    </i>
    <i r="2">
      <x v="42"/>
      <x v="4"/>
      <x v="3"/>
      <x v="33"/>
      <x v="9"/>
    </i>
    <i t="blank">
      <x v="586"/>
    </i>
    <i>
      <x v="587"/>
    </i>
    <i r="1">
      <x v="14"/>
      <x v="6"/>
      <x v="3"/>
      <x v="5"/>
      <x v="25"/>
      <x v="386"/>
    </i>
    <i r="2">
      <x v="42"/>
      <x v="4"/>
      <x v="3"/>
      <x v="33"/>
      <x v="9"/>
    </i>
    <i t="blank">
      <x v="587"/>
    </i>
    <i>
      <x v="588"/>
    </i>
    <i r="1">
      <x v="14"/>
      <x v="6"/>
      <x v="3"/>
      <x v="5"/>
      <x v="25"/>
      <x v="387"/>
    </i>
    <i r="2">
      <x v="42"/>
      <x v="4"/>
      <x v="3"/>
      <x v="33"/>
      <x v="9"/>
    </i>
    <i t="blank">
      <x v="588"/>
    </i>
    <i>
      <x v="589"/>
    </i>
    <i r="1">
      <x v="14"/>
      <x v="6"/>
      <x v="3"/>
      <x v="5"/>
      <x v="25"/>
      <x v="388"/>
    </i>
    <i r="2">
      <x v="42"/>
      <x v="4"/>
      <x v="3"/>
      <x v="33"/>
      <x v="9"/>
    </i>
    <i t="blank">
      <x v="589"/>
    </i>
    <i>
      <x v="590"/>
    </i>
    <i r="1">
      <x v="14"/>
      <x v="6"/>
      <x v="3"/>
      <x v="5"/>
      <x v="25"/>
      <x v="389"/>
    </i>
    <i r="2">
      <x v="42"/>
      <x v="4"/>
      <x v="3"/>
      <x v="33"/>
      <x v="9"/>
    </i>
    <i t="blank">
      <x v="590"/>
    </i>
    <i>
      <x v="591"/>
    </i>
    <i r="1">
      <x v="7"/>
      <x v="6"/>
      <x v="3"/>
      <x v="5"/>
      <x v="25"/>
      <x v="390"/>
    </i>
    <i r="2">
      <x v="42"/>
      <x v="4"/>
      <x v="3"/>
      <x v="33"/>
      <x v="9"/>
    </i>
    <i t="blank">
      <x v="591"/>
    </i>
    <i>
      <x v="594"/>
    </i>
    <i r="1">
      <x v="6"/>
      <x v="6"/>
      <x v="3"/>
      <x v="5"/>
      <x v="25"/>
      <x v="391"/>
    </i>
    <i r="2">
      <x v="42"/>
      <x v="4"/>
      <x v="3"/>
      <x v="33"/>
      <x v="9"/>
    </i>
    <i t="blank">
      <x v="594"/>
    </i>
    <i>
      <x v="595"/>
    </i>
    <i r="1">
      <x v="14"/>
      <x v="6"/>
      <x v="3"/>
      <x v="5"/>
      <x v="25"/>
      <x v="392"/>
    </i>
    <i r="2">
      <x v="42"/>
      <x v="4"/>
      <x v="3"/>
      <x v="33"/>
      <x v="9"/>
    </i>
    <i t="blank">
      <x v="595"/>
    </i>
    <i>
      <x v="596"/>
    </i>
    <i r="1">
      <x v="7"/>
      <x v="6"/>
      <x v="3"/>
      <x v="5"/>
      <x v="23"/>
      <x v="205"/>
    </i>
    <i r="2">
      <x v="37"/>
      <x v="4"/>
      <x v="3"/>
      <x v="33"/>
      <x v="9"/>
    </i>
    <i t="blank">
      <x v="596"/>
    </i>
    <i>
      <x v="597"/>
    </i>
    <i r="1">
      <x v="15"/>
      <x v="6"/>
      <x v="3"/>
      <x v="5"/>
      <x v="25"/>
      <x v="393"/>
    </i>
    <i r="2">
      <x v="42"/>
      <x v="4"/>
      <x v="3"/>
      <x v="33"/>
      <x v="9"/>
    </i>
    <i t="blank">
      <x v="597"/>
    </i>
    <i>
      <x v="598"/>
    </i>
    <i r="1">
      <x v="6"/>
      <x v="6"/>
      <x v="3"/>
      <x v="5"/>
      <x v="25"/>
      <x v="394"/>
    </i>
    <i r="2">
      <x v="42"/>
      <x v="4"/>
      <x v="3"/>
      <x v="33"/>
      <x v="9"/>
    </i>
    <i t="blank">
      <x v="598"/>
    </i>
    <i>
      <x v="599"/>
    </i>
    <i r="1">
      <x v="8"/>
      <x v="6"/>
      <x v="3"/>
      <x v="5"/>
      <x v="25"/>
      <x v="395"/>
    </i>
    <i r="2">
      <x v="42"/>
      <x v="4"/>
      <x v="3"/>
      <x v="33"/>
      <x v="9"/>
    </i>
    <i t="blank">
      <x v="599"/>
    </i>
    <i>
      <x v="600"/>
    </i>
    <i r="1">
      <x v="3"/>
      <x v="6"/>
      <x v="3"/>
      <x v="5"/>
      <x v="25"/>
      <x v="396"/>
    </i>
    <i r="2">
      <x v="42"/>
      <x v="4"/>
      <x v="3"/>
      <x v="33"/>
      <x v="9"/>
    </i>
    <i t="blank">
      <x v="600"/>
    </i>
    <i>
      <x v="601"/>
    </i>
    <i r="1">
      <x v="2"/>
      <x v="6"/>
      <x v="3"/>
      <x v="6"/>
      <x v="25"/>
      <x v="167"/>
    </i>
    <i t="blank">
      <x v="601"/>
    </i>
    <i>
      <x v="602"/>
    </i>
    <i r="1">
      <x v="2"/>
      <x v="6"/>
      <x v="3"/>
      <x v="6"/>
      <x v="25"/>
      <x v="167"/>
    </i>
    <i t="blank">
      <x v="602"/>
    </i>
    <i>
      <x v="603"/>
    </i>
    <i r="1">
      <x v="2"/>
      <x v="6"/>
      <x v="3"/>
      <x v="6"/>
      <x v="25"/>
      <x v="167"/>
    </i>
    <i t="blank">
      <x v="603"/>
    </i>
    <i>
      <x v="604"/>
    </i>
    <i r="1">
      <x v="2"/>
      <x v="6"/>
      <x v="3"/>
      <x v="6"/>
      <x v="25"/>
      <x v="167"/>
    </i>
    <i t="blank">
      <x v="604"/>
    </i>
    <i>
      <x v="605"/>
    </i>
    <i r="1">
      <x v="2"/>
      <x v="6"/>
      <x v="3"/>
      <x v="6"/>
      <x v="25"/>
      <x v="167"/>
    </i>
    <i t="blank">
      <x v="605"/>
    </i>
    <i>
      <x v="606"/>
    </i>
    <i r="1">
      <x v="3"/>
      <x v="6"/>
      <x v="3"/>
      <x v="5"/>
      <x v="25"/>
      <x v="397"/>
    </i>
    <i r="2">
      <x v="42"/>
      <x v="4"/>
      <x v="3"/>
      <x v="33"/>
      <x v="9"/>
    </i>
    <i t="blank">
      <x v="606"/>
    </i>
    <i>
      <x v="608"/>
    </i>
    <i r="1">
      <x v="3"/>
      <x v="6"/>
      <x v="3"/>
      <x v="5"/>
      <x v="25"/>
      <x v="398"/>
    </i>
    <i r="2">
      <x v="42"/>
      <x v="4"/>
      <x v="3"/>
      <x v="33"/>
      <x v="9"/>
    </i>
    <i t="blank">
      <x v="608"/>
    </i>
    <i>
      <x v="610"/>
    </i>
    <i r="1">
      <x v="4"/>
      <x v="6"/>
      <x v="3"/>
      <x v="5"/>
      <x v="25"/>
      <x v="399"/>
    </i>
    <i r="2">
      <x v="42"/>
      <x v="4"/>
      <x v="3"/>
      <x v="33"/>
      <x v="9"/>
    </i>
    <i t="blank">
      <x v="610"/>
    </i>
    <i>
      <x v="612"/>
    </i>
    <i r="1">
      <x v="3"/>
      <x v="6"/>
      <x v="3"/>
      <x v="6"/>
      <x v="25"/>
      <x v="167"/>
    </i>
    <i t="blank">
      <x v="612"/>
    </i>
    <i>
      <x v="614"/>
    </i>
    <i r="1">
      <x v="4"/>
      <x v="6"/>
      <x v="3"/>
      <x v="5"/>
      <x v="25"/>
      <x v="400"/>
    </i>
    <i r="2">
      <x v="42"/>
      <x v="4"/>
      <x v="3"/>
      <x v="33"/>
      <x v="9"/>
    </i>
    <i t="blank">
      <x v="614"/>
    </i>
    <i>
      <x v="616"/>
    </i>
    <i r="1">
      <x v="14"/>
      <x v="6"/>
      <x v="3"/>
      <x v="6"/>
      <x v="25"/>
      <x v="167"/>
    </i>
    <i t="blank">
      <x v="616"/>
    </i>
    <i>
      <x v="618"/>
    </i>
    <i r="1">
      <x v="14"/>
      <x v="6"/>
      <x v="3"/>
      <x v="6"/>
      <x v="25"/>
      <x v="167"/>
    </i>
    <i t="blank">
      <x v="618"/>
    </i>
    <i>
      <x v="620"/>
    </i>
    <i r="1">
      <x v="14"/>
      <x v="6"/>
      <x v="3"/>
      <x v="6"/>
      <x v="25"/>
      <x v="167"/>
    </i>
    <i t="blank">
      <x v="620"/>
    </i>
    <i>
      <x v="622"/>
    </i>
    <i r="1">
      <x v="6"/>
      <x v="6"/>
      <x v="3"/>
      <x v="5"/>
      <x v="25"/>
      <x v="401"/>
    </i>
    <i r="2">
      <x v="42"/>
      <x v="4"/>
      <x v="3"/>
      <x v="33"/>
      <x v="9"/>
    </i>
    <i t="blank">
      <x v="622"/>
    </i>
    <i>
      <x v="624"/>
    </i>
    <i r="1">
      <x v="6"/>
      <x v="6"/>
      <x v="3"/>
      <x v="5"/>
      <x v="25"/>
      <x v="401"/>
    </i>
    <i r="2">
      <x v="42"/>
      <x v="4"/>
      <x v="3"/>
      <x v="33"/>
      <x v="9"/>
    </i>
    <i t="blank">
      <x v="624"/>
    </i>
    <i>
      <x v="626"/>
    </i>
    <i r="1">
      <x v="3"/>
      <x v="6"/>
      <x v="3"/>
      <x v="5"/>
      <x v="25"/>
      <x v="402"/>
    </i>
    <i r="2">
      <x v="42"/>
      <x v="4"/>
      <x v="3"/>
      <x v="33"/>
      <x v="9"/>
    </i>
    <i t="blank">
      <x v="626"/>
    </i>
    <i>
      <x v="627"/>
    </i>
    <i r="1">
      <x v="3"/>
      <x v="6"/>
      <x v="3"/>
      <x v="5"/>
      <x v="25"/>
      <x v="403"/>
    </i>
    <i r="2">
      <x v="42"/>
      <x v="4"/>
      <x v="3"/>
      <x v="33"/>
      <x v="9"/>
    </i>
    <i t="blank">
      <x v="627"/>
    </i>
    <i>
      <x v="628"/>
    </i>
    <i r="1">
      <x v="3"/>
      <x v="6"/>
      <x v="3"/>
      <x v="5"/>
      <x v="25"/>
      <x v="404"/>
    </i>
    <i r="2">
      <x v="42"/>
      <x v="4"/>
      <x v="3"/>
      <x v="33"/>
      <x v="9"/>
    </i>
    <i t="blank">
      <x v="628"/>
    </i>
    <i>
      <x v="629"/>
    </i>
    <i r="1">
      <x v="2"/>
      <x v="6"/>
      <x v="3"/>
      <x v="3"/>
      <x v="33"/>
      <x v="9"/>
    </i>
    <i t="blank">
      <x v="629"/>
    </i>
    <i>
      <x v="630"/>
    </i>
    <i r="1">
      <x v="3"/>
      <x v="46"/>
      <x v="3"/>
      <x v="6"/>
      <x v="30"/>
      <x v="167"/>
    </i>
    <i t="blank">
      <x v="630"/>
    </i>
    <i>
      <x v="632"/>
    </i>
    <i r="1">
      <x v="3"/>
      <x v="46"/>
      <x v="3"/>
      <x v="6"/>
      <x v="30"/>
      <x v="167"/>
    </i>
    <i t="blank">
      <x v="632"/>
    </i>
    <i>
      <x v="634"/>
    </i>
    <i r="1">
      <x v="3"/>
      <x v="46"/>
      <x v="3"/>
      <x v="6"/>
      <x v="30"/>
      <x v="167"/>
    </i>
    <i t="blank">
      <x v="634"/>
    </i>
    <i>
      <x v="636"/>
    </i>
    <i r="1">
      <x v="2"/>
      <x v="6"/>
      <x v="3"/>
      <x v="3"/>
      <x v="33"/>
      <x v="9"/>
    </i>
    <i t="blank">
      <x v="636"/>
    </i>
    <i>
      <x v="638"/>
    </i>
    <i r="1">
      <x v="15"/>
      <x v="6"/>
      <x v="3"/>
      <x v="5"/>
      <x v="22"/>
      <x v="206"/>
    </i>
    <i r="2">
      <x v="36"/>
      <x v="4"/>
      <x v="3"/>
      <x v="33"/>
      <x v="9"/>
    </i>
    <i t="blank">
      <x v="638"/>
    </i>
    <i>
      <x v="640"/>
    </i>
    <i r="1">
      <x v="15"/>
      <x v="6"/>
      <x v="3"/>
      <x v="5"/>
      <x v="22"/>
      <x v="206"/>
    </i>
    <i r="2">
      <x v="36"/>
      <x v="4"/>
      <x v="3"/>
      <x v="33"/>
      <x v="9"/>
    </i>
    <i t="blank">
      <x v="640"/>
    </i>
    <i>
      <x v="641"/>
    </i>
    <i r="1">
      <x v="3"/>
      <x v="6"/>
      <x v="3"/>
      <x v="5"/>
      <x v="22"/>
      <x v="207"/>
    </i>
    <i r="2">
      <x v="36"/>
      <x v="4"/>
      <x v="3"/>
      <x v="33"/>
      <x v="9"/>
    </i>
    <i t="blank">
      <x v="641"/>
    </i>
    <i>
      <x v="643"/>
    </i>
    <i r="1">
      <x v="4"/>
      <x v="6"/>
      <x v="3"/>
      <x v="5"/>
      <x v="22"/>
      <x v="208"/>
    </i>
    <i r="2">
      <x v="36"/>
      <x v="4"/>
      <x v="3"/>
      <x v="33"/>
      <x v="9"/>
    </i>
    <i t="blank">
      <x v="643"/>
    </i>
    <i>
      <x v="644"/>
    </i>
    <i r="1">
      <x v="4"/>
      <x v="6"/>
      <x v="3"/>
      <x v="5"/>
      <x v="22"/>
      <x v="209"/>
    </i>
    <i r="2">
      <x v="36"/>
      <x v="4"/>
      <x v="3"/>
      <x v="33"/>
      <x v="9"/>
    </i>
    <i t="blank">
      <x v="644"/>
    </i>
    <i>
      <x v="645"/>
    </i>
    <i r="1">
      <x v="15"/>
      <x v="6"/>
      <x v="3"/>
      <x v="5"/>
      <x v="22"/>
      <x v="210"/>
    </i>
    <i r="2">
      <x v="36"/>
      <x v="4"/>
      <x v="3"/>
      <x v="33"/>
      <x v="9"/>
    </i>
    <i t="blank">
      <x v="645"/>
    </i>
    <i>
      <x v="647"/>
    </i>
    <i r="1">
      <x v="3"/>
      <x v="6"/>
      <x v="3"/>
      <x v="5"/>
      <x v="22"/>
      <x v="211"/>
    </i>
    <i r="2">
      <x v="36"/>
      <x v="4"/>
      <x v="3"/>
      <x v="33"/>
      <x v="9"/>
    </i>
    <i t="blank">
      <x v="647"/>
    </i>
    <i>
      <x v="649"/>
    </i>
    <i r="1">
      <x v="14"/>
      <x v="6"/>
      <x v="3"/>
      <x v="5"/>
      <x v="22"/>
      <x v="212"/>
    </i>
    <i r="2">
      <x v="36"/>
      <x v="4"/>
      <x v="3"/>
      <x v="33"/>
      <x v="9"/>
    </i>
    <i t="blank">
      <x v="649"/>
    </i>
    <i>
      <x v="651"/>
    </i>
    <i r="1">
      <x v="14"/>
      <x v="6"/>
      <x v="3"/>
      <x v="5"/>
      <x v="22"/>
      <x v="213"/>
    </i>
    <i r="2">
      <x v="36"/>
      <x v="4"/>
      <x v="3"/>
      <x v="33"/>
      <x v="9"/>
    </i>
    <i t="blank">
      <x v="651"/>
    </i>
    <i>
      <x v="652"/>
    </i>
    <i r="1">
      <x v="15"/>
      <x v="6"/>
      <x v="3"/>
      <x v="5"/>
      <x v="22"/>
      <x v="214"/>
    </i>
    <i r="2">
      <x v="36"/>
      <x v="4"/>
      <x v="3"/>
      <x v="33"/>
      <x v="9"/>
    </i>
    <i t="blank">
      <x v="652"/>
    </i>
    <i>
      <x v="653"/>
    </i>
    <i r="1">
      <x v="14"/>
      <x v="6"/>
      <x v="3"/>
      <x v="5"/>
      <x v="27"/>
      <x v="405"/>
    </i>
    <i r="2">
      <x v="39"/>
      <x v="4"/>
      <x v="3"/>
      <x v="33"/>
      <x v="9"/>
    </i>
    <i t="blank">
      <x v="653"/>
    </i>
    <i>
      <x v="656"/>
    </i>
    <i r="1">
      <x v="4"/>
      <x v="6"/>
      <x v="3"/>
      <x v="5"/>
      <x v="22"/>
      <x v="215"/>
    </i>
    <i r="2">
      <x v="36"/>
      <x v="4"/>
      <x v="3"/>
      <x v="33"/>
      <x v="9"/>
    </i>
    <i t="blank">
      <x v="656"/>
    </i>
    <i>
      <x v="657"/>
    </i>
    <i r="1">
      <x v="4"/>
      <x v="6"/>
      <x v="3"/>
      <x v="5"/>
      <x v="27"/>
      <x v="406"/>
    </i>
    <i r="2">
      <x v="39"/>
      <x v="4"/>
      <x v="3"/>
      <x v="33"/>
      <x v="9"/>
    </i>
    <i t="blank">
      <x v="657"/>
    </i>
    <i>
      <x v="661"/>
    </i>
    <i r="1">
      <x v="15"/>
      <x v="6"/>
      <x v="3"/>
      <x v="6"/>
      <x v="22"/>
      <x v="167"/>
    </i>
    <i t="blank">
      <x v="661"/>
    </i>
    <i>
      <x v="662"/>
    </i>
    <i r="1">
      <x v="3"/>
      <x v="6"/>
      <x v="3"/>
      <x v="5"/>
      <x v="22"/>
      <x v="216"/>
    </i>
    <i r="2">
      <x v="36"/>
      <x v="4"/>
      <x v="3"/>
      <x v="33"/>
      <x v="9"/>
    </i>
    <i t="blank">
      <x v="662"/>
    </i>
    <i>
      <x v="664"/>
    </i>
    <i r="1">
      <x v="2"/>
      <x v="6"/>
      <x v="3"/>
      <x v="5"/>
      <x v="22"/>
      <x v="217"/>
    </i>
    <i r="2">
      <x v="36"/>
      <x v="4"/>
      <x v="3"/>
      <x v="33"/>
      <x v="9"/>
    </i>
    <i t="blank">
      <x v="664"/>
    </i>
    <i>
      <x v="666"/>
    </i>
    <i r="1">
      <x v="2"/>
      <x v="6"/>
      <x v="3"/>
      <x v="6"/>
      <x v="22"/>
      <x v="167"/>
    </i>
    <i t="blank">
      <x v="666"/>
    </i>
    <i>
      <x v="667"/>
    </i>
    <i r="1">
      <x v="2"/>
      <x v="6"/>
      <x v="3"/>
      <x v="6"/>
      <x v="22"/>
      <x v="167"/>
    </i>
    <i t="blank">
      <x v="667"/>
    </i>
    <i>
      <x v="669"/>
    </i>
    <i r="1">
      <x v="2"/>
      <x v="6"/>
      <x v="3"/>
      <x v="5"/>
      <x v="22"/>
      <x v="218"/>
    </i>
    <i r="2">
      <x v="36"/>
      <x v="4"/>
      <x v="3"/>
      <x v="33"/>
      <x v="9"/>
    </i>
    <i t="blank">
      <x v="669"/>
    </i>
    <i>
      <x v="671"/>
    </i>
    <i r="1">
      <x v="3"/>
      <x v="6"/>
      <x v="3"/>
      <x v="5"/>
      <x v="22"/>
      <x v="219"/>
    </i>
    <i r="2">
      <x v="36"/>
      <x v="4"/>
      <x v="3"/>
      <x v="33"/>
      <x v="9"/>
    </i>
    <i t="blank">
      <x v="671"/>
    </i>
    <i>
      <x v="673"/>
    </i>
    <i r="1">
      <x v="3"/>
      <x v="6"/>
      <x v="3"/>
      <x v="6"/>
      <x v="22"/>
      <x v="167"/>
    </i>
    <i t="blank">
      <x v="673"/>
    </i>
    <i>
      <x v="675"/>
    </i>
    <i r="1">
      <x v="2"/>
      <x v="6"/>
      <x v="3"/>
      <x v="5"/>
      <x v="22"/>
      <x v="220"/>
    </i>
    <i r="2">
      <x v="36"/>
      <x v="4"/>
      <x v="3"/>
      <x v="33"/>
      <x v="9"/>
    </i>
    <i t="blank">
      <x v="675"/>
    </i>
    <i>
      <x v="677"/>
    </i>
    <i r="1">
      <x v="2"/>
      <x v="6"/>
      <x v="3"/>
      <x v="6"/>
      <x v="22"/>
      <x v="167"/>
    </i>
    <i t="blank">
      <x v="677"/>
    </i>
    <i>
      <x v="680"/>
    </i>
    <i r="1">
      <x v="3"/>
      <x v="6"/>
      <x v="3"/>
      <x v="5"/>
      <x v="22"/>
      <x v="219"/>
    </i>
    <i r="2">
      <x v="36"/>
      <x v="4"/>
      <x v="3"/>
      <x v="33"/>
      <x v="9"/>
    </i>
    <i t="blank">
      <x v="680"/>
    </i>
    <i>
      <x v="681"/>
    </i>
    <i r="1">
      <x v="2"/>
      <x v="6"/>
      <x v="3"/>
      <x v="6"/>
      <x v="22"/>
      <x v="167"/>
    </i>
    <i t="blank">
      <x v="681"/>
    </i>
    <i>
      <x v="682"/>
    </i>
    <i r="1">
      <x v="2"/>
      <x v="6"/>
      <x v="3"/>
      <x v="6"/>
      <x v="22"/>
      <x v="167"/>
    </i>
    <i t="blank">
      <x v="682"/>
    </i>
    <i>
      <x v="684"/>
    </i>
    <i r="1">
      <x v="3"/>
      <x v="6"/>
      <x v="3"/>
      <x v="6"/>
      <x v="22"/>
      <x v="167"/>
    </i>
    <i t="blank">
      <x v="684"/>
    </i>
    <i>
      <x v="686"/>
    </i>
    <i r="1">
      <x v="3"/>
      <x v="6"/>
      <x v="3"/>
      <x v="6"/>
      <x v="22"/>
      <x v="167"/>
    </i>
    <i t="blank">
      <x v="686"/>
    </i>
    <i>
      <x v="688"/>
    </i>
    <i r="1">
      <x v="3"/>
      <x v="6"/>
      <x v="3"/>
      <x v="6"/>
      <x v="22"/>
      <x v="167"/>
    </i>
    <i t="blank">
      <x v="688"/>
    </i>
    <i>
      <x v="690"/>
    </i>
    <i r="1">
      <x v="2"/>
      <x v="6"/>
      <x v="3"/>
      <x v="6"/>
      <x v="22"/>
      <x v="167"/>
    </i>
    <i t="blank">
      <x v="690"/>
    </i>
    <i>
      <x v="691"/>
    </i>
    <i r="1">
      <x v="2"/>
      <x v="6"/>
      <x v="3"/>
      <x v="6"/>
      <x v="22"/>
      <x v="167"/>
    </i>
    <i t="blank">
      <x v="691"/>
    </i>
    <i>
      <x v="693"/>
    </i>
    <i r="1">
      <x v="2"/>
      <x v="6"/>
      <x v="3"/>
      <x v="6"/>
      <x v="22"/>
      <x v="167"/>
    </i>
    <i t="blank">
      <x v="693"/>
    </i>
    <i>
      <x v="695"/>
    </i>
    <i r="1">
      <x v="3"/>
      <x v="6"/>
      <x v="3"/>
      <x v="8"/>
      <x v="22"/>
      <x v="221"/>
    </i>
    <i r="2">
      <x v="36"/>
      <x v="4"/>
      <x v="3"/>
      <x v="33"/>
      <x v="9"/>
    </i>
    <i t="blank">
      <x v="695"/>
    </i>
    <i>
      <x v="696"/>
    </i>
    <i r="1">
      <x v="3"/>
      <x v="6"/>
      <x v="3"/>
      <x v="8"/>
      <x v="22"/>
      <x v="222"/>
    </i>
    <i r="2">
      <x v="36"/>
      <x v="4"/>
      <x v="3"/>
      <x v="33"/>
      <x v="9"/>
    </i>
    <i t="blank">
      <x v="696"/>
    </i>
    <i>
      <x v="697"/>
    </i>
    <i r="1">
      <x v="3"/>
      <x v="6"/>
      <x v="3"/>
      <x v="8"/>
      <x v="22"/>
      <x v="223"/>
    </i>
    <i r="2">
      <x v="36"/>
      <x v="4"/>
      <x v="3"/>
      <x v="33"/>
      <x v="9"/>
    </i>
    <i t="blank">
      <x v="697"/>
    </i>
    <i>
      <x v="698"/>
    </i>
    <i r="1">
      <x v="3"/>
      <x v="6"/>
      <x v="3"/>
      <x v="5"/>
      <x v="22"/>
      <x v="224"/>
    </i>
    <i r="2">
      <x v="36"/>
      <x v="4"/>
      <x v="3"/>
      <x v="33"/>
      <x v="9"/>
    </i>
    <i t="blank">
      <x v="698"/>
    </i>
    <i>
      <x v="699"/>
    </i>
    <i r="1">
      <x v="2"/>
      <x v="6"/>
      <x v="3"/>
      <x v="5"/>
      <x v="22"/>
      <x v="225"/>
    </i>
    <i r="2">
      <x v="36"/>
      <x v="4"/>
      <x v="3"/>
      <x v="33"/>
      <x v="9"/>
    </i>
    <i t="blank">
      <x v="699"/>
    </i>
    <i>
      <x v="701"/>
    </i>
    <i r="1">
      <x v="2"/>
      <x v="6"/>
      <x v="3"/>
      <x v="5"/>
      <x v="22"/>
      <x v="225"/>
    </i>
    <i r="2">
      <x v="36"/>
      <x v="4"/>
      <x v="3"/>
      <x v="33"/>
      <x v="9"/>
    </i>
    <i t="blank">
      <x v="701"/>
    </i>
    <i>
      <x v="702"/>
    </i>
    <i r="1">
      <x v="2"/>
      <x v="6"/>
      <x v="3"/>
      <x v="5"/>
      <x v="22"/>
      <x v="226"/>
    </i>
    <i r="2">
      <x v="36"/>
      <x v="4"/>
      <x v="3"/>
      <x v="33"/>
      <x v="9"/>
    </i>
    <i t="blank">
      <x v="702"/>
    </i>
    <i>
      <x v="703"/>
    </i>
    <i r="1">
      <x v="3"/>
      <x v="6"/>
      <x v="3"/>
      <x v="5"/>
      <x v="22"/>
      <x v="227"/>
    </i>
    <i r="2">
      <x v="36"/>
      <x v="4"/>
      <x v="3"/>
      <x v="33"/>
      <x v="9"/>
    </i>
    <i t="blank">
      <x v="703"/>
    </i>
    <i>
      <x v="705"/>
    </i>
    <i r="1">
      <x v="2"/>
      <x v="6"/>
      <x v="3"/>
      <x v="5"/>
      <x v="22"/>
      <x v="228"/>
    </i>
    <i r="2">
      <x v="36"/>
      <x v="4"/>
      <x v="3"/>
      <x v="33"/>
      <x v="9"/>
    </i>
    <i t="blank">
      <x v="705"/>
    </i>
    <i>
      <x v="708"/>
    </i>
    <i r="1">
      <x v="4"/>
      <x v="6"/>
      <x v="3"/>
      <x v="5"/>
      <x v="22"/>
      <x v="229"/>
    </i>
    <i r="2">
      <x v="36"/>
      <x v="4"/>
      <x v="3"/>
      <x v="33"/>
      <x v="9"/>
    </i>
    <i t="blank">
      <x v="708"/>
    </i>
    <i>
      <x v="710"/>
    </i>
    <i r="1">
      <x v="3"/>
      <x v="6"/>
      <x v="3"/>
      <x v="5"/>
      <x v="22"/>
      <x v="229"/>
    </i>
    <i r="2">
      <x v="36"/>
      <x v="4"/>
      <x v="3"/>
      <x v="33"/>
      <x v="9"/>
    </i>
    <i t="blank">
      <x v="710"/>
    </i>
    <i>
      <x v="711"/>
    </i>
    <i r="1">
      <x v="4"/>
      <x v="6"/>
      <x v="3"/>
      <x v="6"/>
      <x v="22"/>
      <x v="167"/>
    </i>
    <i t="blank">
      <x v="711"/>
    </i>
    <i>
      <x v="712"/>
    </i>
    <i r="1">
      <x v="2"/>
      <x v="6"/>
      <x v="3"/>
      <x v="6"/>
      <x v="22"/>
      <x v="167"/>
    </i>
    <i t="blank">
      <x v="712"/>
    </i>
    <i>
      <x v="714"/>
    </i>
    <i r="1">
      <x v="2"/>
      <x v="6"/>
      <x v="3"/>
      <x v="6"/>
      <x v="22"/>
      <x v="167"/>
    </i>
    <i t="blank">
      <x v="714"/>
    </i>
    <i>
      <x v="716"/>
    </i>
    <i r="1">
      <x v="2"/>
      <x v="6"/>
      <x v="3"/>
      <x v="8"/>
      <x v="22"/>
      <x v="221"/>
    </i>
    <i r="2">
      <x v="36"/>
      <x v="4"/>
      <x v="3"/>
      <x v="33"/>
      <x v="9"/>
    </i>
    <i t="blank">
      <x v="716"/>
    </i>
    <i>
      <x v="717"/>
    </i>
    <i r="1">
      <x v="4"/>
      <x v="6"/>
      <x v="3"/>
      <x v="5"/>
      <x v="22"/>
      <x v="230"/>
    </i>
    <i r="2">
      <x v="36"/>
      <x v="4"/>
      <x v="3"/>
      <x v="33"/>
      <x v="9"/>
    </i>
    <i t="blank">
      <x v="717"/>
    </i>
    <i>
      <x v="718"/>
    </i>
    <i r="1">
      <x v="4"/>
      <x v="6"/>
      <x v="3"/>
      <x v="5"/>
      <x v="22"/>
      <x v="231"/>
    </i>
    <i r="2">
      <x v="36"/>
      <x v="4"/>
      <x v="3"/>
      <x v="33"/>
      <x v="9"/>
    </i>
    <i t="blank">
      <x v="718"/>
    </i>
    <i>
      <x v="719"/>
    </i>
    <i r="1">
      <x v="3"/>
      <x v="6"/>
      <x v="3"/>
      <x v="5"/>
      <x v="24"/>
      <x v="300"/>
    </i>
    <i r="2">
      <x v="38"/>
      <x v="4"/>
      <x v="3"/>
      <x v="33"/>
      <x v="9"/>
    </i>
    <i t="blank">
      <x v="719"/>
    </i>
    <i>
      <x v="720"/>
    </i>
    <i r="1">
      <x v="3"/>
      <x v="6"/>
      <x v="3"/>
      <x v="5"/>
      <x v="24"/>
      <x v="300"/>
    </i>
    <i r="2">
      <x v="38"/>
      <x v="4"/>
      <x v="3"/>
      <x v="33"/>
      <x v="9"/>
    </i>
    <i t="blank">
      <x v="720"/>
    </i>
    <i>
      <x v="721"/>
    </i>
    <i r="1">
      <x v="3"/>
      <x v="6"/>
      <x v="3"/>
      <x v="5"/>
      <x v="24"/>
      <x v="301"/>
    </i>
    <i r="2">
      <x v="38"/>
      <x v="4"/>
      <x v="3"/>
      <x v="33"/>
      <x v="9"/>
    </i>
    <i t="blank">
      <x v="721"/>
    </i>
    <i>
      <x v="722"/>
    </i>
    <i r="1">
      <x v="3"/>
      <x v="6"/>
      <x v="3"/>
      <x v="5"/>
      <x v="24"/>
      <x v="302"/>
    </i>
    <i r="2">
      <x v="38"/>
      <x v="4"/>
      <x v="3"/>
      <x v="33"/>
      <x v="9"/>
    </i>
    <i t="blank">
      <x v="722"/>
    </i>
    <i>
      <x v="723"/>
    </i>
    <i r="1">
      <x v="3"/>
      <x v="6"/>
      <x v="3"/>
      <x v="5"/>
      <x v="24"/>
      <x v="303"/>
    </i>
    <i r="2">
      <x v="38"/>
      <x v="4"/>
      <x v="3"/>
      <x v="33"/>
      <x v="9"/>
    </i>
    <i t="blank">
      <x v="723"/>
    </i>
    <i>
      <x v="724"/>
    </i>
    <i r="1">
      <x v="4"/>
      <x v="6"/>
      <x v="3"/>
      <x v="6"/>
      <x v="22"/>
      <x v="167"/>
    </i>
    <i t="blank">
      <x v="724"/>
    </i>
    <i>
      <x v="726"/>
    </i>
    <i r="1">
      <x v="4"/>
      <x v="6"/>
      <x v="3"/>
      <x v="6"/>
      <x v="22"/>
      <x v="167"/>
    </i>
    <i t="blank">
      <x v="726"/>
    </i>
    <i>
      <x v="728"/>
    </i>
    <i r="1">
      <x v="3"/>
      <x v="6"/>
      <x v="3"/>
      <x v="5"/>
      <x v="22"/>
      <x v="232"/>
    </i>
    <i r="2">
      <x v="36"/>
      <x v="4"/>
      <x v="3"/>
      <x v="33"/>
      <x v="9"/>
    </i>
    <i t="blank">
      <x v="728"/>
    </i>
    <i>
      <x v="730"/>
    </i>
    <i r="1">
      <x v="3"/>
      <x v="6"/>
      <x v="3"/>
      <x v="6"/>
      <x v="22"/>
      <x v="167"/>
    </i>
    <i t="blank">
      <x v="730"/>
    </i>
    <i>
      <x v="732"/>
    </i>
    <i r="1">
      <x v="15"/>
      <x v="6"/>
      <x v="3"/>
      <x v="5"/>
      <x v="22"/>
      <x v="167"/>
    </i>
    <i r="2">
      <x v="36"/>
      <x v="4"/>
      <x v="3"/>
      <x v="33"/>
      <x v="9"/>
    </i>
    <i t="blank">
      <x v="732"/>
    </i>
    <i>
      <x v="734"/>
    </i>
    <i r="1">
      <x v="15"/>
      <x v="6"/>
      <x v="3"/>
      <x v="5"/>
      <x v="22"/>
      <x v="233"/>
    </i>
    <i r="2">
      <x v="36"/>
      <x v="4"/>
      <x v="3"/>
      <x v="33"/>
      <x v="9"/>
    </i>
    <i t="blank">
      <x v="734"/>
    </i>
    <i>
      <x v="736"/>
    </i>
    <i r="1">
      <x v="4"/>
      <x v="6"/>
      <x v="3"/>
      <x v="5"/>
      <x v="22"/>
      <x v="234"/>
    </i>
    <i r="2">
      <x v="36"/>
      <x v="4"/>
      <x v="3"/>
      <x v="33"/>
      <x v="9"/>
    </i>
    <i t="blank">
      <x v="736"/>
    </i>
    <i>
      <x v="738"/>
    </i>
    <i r="1">
      <x v="3"/>
      <x v="6"/>
      <x v="3"/>
      <x v="5"/>
      <x v="22"/>
      <x v="234"/>
    </i>
    <i r="2">
      <x v="36"/>
      <x v="4"/>
      <x v="3"/>
      <x v="33"/>
      <x v="9"/>
    </i>
    <i t="blank">
      <x v="738"/>
    </i>
    <i>
      <x v="740"/>
    </i>
    <i r="1">
      <x v="3"/>
      <x v="6"/>
      <x v="3"/>
      <x v="5"/>
      <x v="22"/>
      <x v="235"/>
    </i>
    <i r="2">
      <x v="36"/>
      <x v="4"/>
      <x v="3"/>
      <x v="33"/>
      <x v="9"/>
    </i>
    <i t="blank">
      <x v="740"/>
    </i>
    <i>
      <x v="742"/>
    </i>
    <i r="1">
      <x v="3"/>
      <x v="6"/>
      <x v="3"/>
      <x v="5"/>
      <x v="22"/>
      <x v="234"/>
    </i>
    <i r="2">
      <x v="36"/>
      <x v="4"/>
      <x v="3"/>
      <x v="33"/>
      <x v="9"/>
    </i>
    <i t="blank">
      <x v="742"/>
    </i>
    <i>
      <x v="744"/>
    </i>
    <i r="1">
      <x v="3"/>
      <x v="6"/>
      <x v="3"/>
      <x v="5"/>
      <x v="22"/>
      <x v="234"/>
    </i>
    <i r="2">
      <x v="36"/>
      <x v="4"/>
      <x v="3"/>
      <x v="33"/>
      <x v="9"/>
    </i>
    <i t="blank">
      <x v="744"/>
    </i>
    <i>
      <x v="746"/>
    </i>
    <i r="1">
      <x v="15"/>
      <x v="6"/>
      <x v="3"/>
      <x v="5"/>
      <x v="22"/>
      <x v="235"/>
    </i>
    <i r="2">
      <x v="36"/>
      <x v="4"/>
      <x v="3"/>
      <x v="33"/>
      <x v="9"/>
    </i>
    <i t="blank">
      <x v="746"/>
    </i>
    <i>
      <x v="749"/>
    </i>
    <i r="1">
      <x v="4"/>
      <x v="6"/>
      <x v="3"/>
      <x v="5"/>
      <x v="22"/>
      <x v="236"/>
    </i>
    <i r="2">
      <x v="36"/>
      <x v="4"/>
      <x v="3"/>
      <x v="33"/>
      <x v="9"/>
    </i>
    <i t="blank">
      <x v="749"/>
    </i>
    <i>
      <x v="751"/>
    </i>
    <i r="1">
      <x v="3"/>
      <x v="6"/>
      <x v="3"/>
      <x v="5"/>
      <x v="22"/>
      <x v="237"/>
    </i>
    <i r="2">
      <x v="36"/>
      <x v="4"/>
      <x v="3"/>
      <x v="33"/>
      <x v="9"/>
    </i>
    <i t="blank">
      <x v="751"/>
    </i>
    <i>
      <x v="753"/>
    </i>
    <i r="1">
      <x v="15"/>
      <x v="6"/>
      <x v="3"/>
      <x v="5"/>
      <x v="22"/>
      <x v="235"/>
    </i>
    <i r="2">
      <x v="36"/>
      <x v="4"/>
      <x v="3"/>
      <x v="33"/>
      <x v="9"/>
    </i>
    <i t="blank">
      <x v="753"/>
    </i>
    <i>
      <x v="754"/>
    </i>
    <i r="1">
      <x v="6"/>
      <x v="6"/>
      <x v="3"/>
      <x v="5"/>
      <x v="22"/>
      <x v="238"/>
    </i>
    <i r="2">
      <x v="36"/>
      <x v="4"/>
      <x v="3"/>
      <x v="33"/>
      <x v="9"/>
    </i>
    <i t="blank">
      <x v="754"/>
    </i>
    <i>
      <x v="755"/>
    </i>
    <i r="1">
      <x v="4"/>
      <x v="6"/>
      <x v="3"/>
      <x v="5"/>
      <x v="22"/>
      <x v="239"/>
    </i>
    <i r="2">
      <x v="36"/>
      <x v="4"/>
      <x v="3"/>
      <x v="33"/>
      <x v="9"/>
    </i>
    <i t="blank">
      <x v="755"/>
    </i>
    <i>
      <x v="757"/>
    </i>
    <i r="1">
      <x v="15"/>
      <x v="6"/>
      <x v="3"/>
      <x v="6"/>
      <x v="22"/>
      <x v="167"/>
    </i>
    <i t="blank">
      <x v="757"/>
    </i>
    <i>
      <x v="759"/>
    </i>
    <i r="1">
      <x v="4"/>
      <x v="6"/>
      <x v="3"/>
      <x v="5"/>
      <x v="22"/>
      <x v="240"/>
    </i>
    <i r="2">
      <x v="36"/>
      <x v="4"/>
      <x v="3"/>
      <x v="33"/>
      <x v="9"/>
    </i>
    <i t="blank">
      <x v="759"/>
    </i>
    <i>
      <x v="761"/>
    </i>
    <i r="1">
      <x v="3"/>
      <x v="6"/>
      <x v="3"/>
      <x v="5"/>
      <x v="22"/>
      <x v="241"/>
    </i>
    <i r="2">
      <x v="36"/>
      <x v="4"/>
      <x v="3"/>
      <x v="33"/>
      <x v="9"/>
    </i>
    <i t="blank">
      <x v="761"/>
    </i>
    <i>
      <x v="763"/>
    </i>
    <i r="1">
      <x v="3"/>
      <x v="6"/>
      <x v="3"/>
      <x v="5"/>
      <x v="22"/>
      <x v="242"/>
    </i>
    <i r="2">
      <x v="36"/>
      <x v="4"/>
      <x v="3"/>
      <x v="33"/>
      <x v="9"/>
    </i>
    <i t="blank">
      <x v="763"/>
    </i>
    <i>
      <x v="765"/>
    </i>
    <i r="1">
      <x v="3"/>
      <x v="6"/>
      <x v="3"/>
      <x v="5"/>
      <x v="22"/>
      <x v="243"/>
    </i>
    <i r="2">
      <x v="36"/>
      <x v="4"/>
      <x v="3"/>
      <x v="33"/>
      <x v="9"/>
    </i>
    <i t="blank">
      <x v="765"/>
    </i>
    <i>
      <x v="767"/>
    </i>
    <i r="1">
      <x v="4"/>
      <x v="6"/>
      <x v="3"/>
      <x v="6"/>
      <x v="22"/>
      <x v="167"/>
    </i>
    <i t="blank">
      <x v="767"/>
    </i>
    <i>
      <x v="769"/>
    </i>
    <i r="1">
      <x v="4"/>
      <x v="6"/>
      <x v="3"/>
      <x v="6"/>
      <x v="22"/>
      <x v="167"/>
    </i>
    <i t="blank">
      <x v="769"/>
    </i>
    <i>
      <x v="771"/>
    </i>
    <i r="1">
      <x v="3"/>
      <x v="6"/>
      <x v="3"/>
      <x v="5"/>
      <x v="22"/>
      <x v="244"/>
    </i>
    <i r="2">
      <x v="36"/>
      <x v="4"/>
      <x v="3"/>
      <x v="33"/>
      <x v="9"/>
    </i>
    <i t="blank">
      <x v="771"/>
    </i>
    <i>
      <x v="773"/>
    </i>
    <i r="1">
      <x v="2"/>
      <x v="6"/>
      <x v="3"/>
      <x v="5"/>
      <x v="22"/>
      <x v="245"/>
    </i>
    <i r="2">
      <x v="36"/>
      <x v="4"/>
      <x v="3"/>
      <x v="33"/>
      <x v="9"/>
    </i>
    <i t="blank">
      <x v="773"/>
    </i>
    <i>
      <x v="775"/>
    </i>
    <i r="1">
      <x v="2"/>
      <x v="6"/>
      <x v="3"/>
      <x v="6"/>
      <x v="22"/>
      <x v="167"/>
    </i>
    <i t="blank">
      <x v="775"/>
    </i>
    <i>
      <x v="777"/>
    </i>
    <i r="1">
      <x v="3"/>
      <x v="6"/>
      <x v="3"/>
      <x v="5"/>
      <x v="22"/>
      <x v="246"/>
    </i>
    <i r="2">
      <x v="36"/>
      <x v="4"/>
      <x v="3"/>
      <x v="33"/>
      <x v="9"/>
    </i>
    <i t="blank">
      <x v="777"/>
    </i>
    <i>
      <x v="779"/>
    </i>
    <i r="1">
      <x v="3"/>
      <x v="6"/>
      <x v="3"/>
      <x v="6"/>
      <x v="22"/>
      <x v="167"/>
    </i>
    <i t="blank">
      <x v="779"/>
    </i>
    <i>
      <x v="781"/>
    </i>
    <i r="1">
      <x v="3"/>
      <x v="6"/>
      <x v="3"/>
      <x v="8"/>
      <x v="22"/>
      <x v="221"/>
    </i>
    <i r="2">
      <x v="36"/>
      <x v="4"/>
      <x v="3"/>
      <x v="33"/>
      <x v="9"/>
    </i>
    <i t="blank">
      <x v="781"/>
    </i>
    <i>
      <x v="783"/>
    </i>
    <i r="1">
      <x v="3"/>
      <x v="6"/>
      <x v="3"/>
      <x v="8"/>
      <x v="22"/>
      <x v="221"/>
    </i>
    <i r="2">
      <x v="36"/>
      <x v="4"/>
      <x v="3"/>
      <x v="33"/>
      <x v="9"/>
    </i>
    <i t="blank">
      <x v="783"/>
    </i>
    <i>
      <x v="785"/>
    </i>
    <i r="1">
      <x v="3"/>
      <x v="6"/>
      <x v="3"/>
      <x v="8"/>
      <x v="22"/>
      <x v="221"/>
    </i>
    <i r="2">
      <x v="36"/>
      <x v="4"/>
      <x v="3"/>
      <x v="33"/>
      <x v="9"/>
    </i>
    <i t="blank">
      <x v="785"/>
    </i>
    <i>
      <x v="787"/>
    </i>
    <i r="1">
      <x v="3"/>
      <x v="6"/>
      <x v="3"/>
      <x v="8"/>
      <x v="22"/>
      <x v="221"/>
    </i>
    <i r="2">
      <x v="36"/>
      <x v="4"/>
      <x v="3"/>
      <x v="33"/>
      <x v="9"/>
    </i>
    <i t="blank">
      <x v="787"/>
    </i>
    <i>
      <x v="788"/>
    </i>
    <i r="1">
      <x v="2"/>
      <x v="6"/>
      <x v="3"/>
      <x v="6"/>
      <x v="22"/>
      <x v="167"/>
    </i>
    <i t="blank">
      <x v="788"/>
    </i>
    <i>
      <x v="793"/>
    </i>
    <i r="1">
      <x v="3"/>
      <x v="6"/>
      <x v="3"/>
      <x v="5"/>
      <x v="22"/>
      <x v="235"/>
    </i>
    <i r="2">
      <x v="36"/>
      <x v="4"/>
      <x v="3"/>
      <x v="33"/>
      <x v="9"/>
    </i>
    <i t="blank">
      <x v="793"/>
    </i>
    <i>
      <x v="795"/>
    </i>
    <i r="1">
      <x v="3"/>
      <x v="6"/>
      <x v="3"/>
      <x v="5"/>
      <x v="22"/>
      <x v="234"/>
    </i>
    <i r="2">
      <x v="36"/>
      <x v="4"/>
      <x v="3"/>
      <x v="33"/>
      <x v="9"/>
    </i>
    <i t="blank">
      <x v="795"/>
    </i>
    <i>
      <x v="797"/>
    </i>
    <i r="1">
      <x v="3"/>
      <x v="6"/>
      <x v="3"/>
      <x v="5"/>
      <x v="22"/>
      <x v="234"/>
    </i>
    <i r="2">
      <x v="36"/>
      <x v="4"/>
      <x v="3"/>
      <x v="33"/>
      <x v="9"/>
    </i>
    <i t="blank">
      <x v="797"/>
    </i>
    <i>
      <x v="799"/>
    </i>
    <i r="1">
      <x v="4"/>
      <x v="6"/>
      <x v="3"/>
      <x v="5"/>
      <x v="22"/>
      <x v="234"/>
    </i>
    <i r="2">
      <x v="36"/>
      <x v="4"/>
      <x v="3"/>
      <x v="33"/>
      <x v="9"/>
    </i>
    <i t="blank">
      <x v="799"/>
    </i>
    <i>
      <x v="801"/>
    </i>
    <i r="1">
      <x v="3"/>
      <x v="6"/>
      <x v="3"/>
      <x v="5"/>
      <x v="22"/>
      <x v="235"/>
    </i>
    <i r="2">
      <x v="36"/>
      <x v="4"/>
      <x v="3"/>
      <x v="33"/>
      <x v="9"/>
    </i>
    <i t="blank">
      <x v="801"/>
    </i>
    <i>
      <x v="803"/>
    </i>
    <i r="1">
      <x v="3"/>
      <x v="6"/>
      <x v="3"/>
      <x v="5"/>
      <x v="22"/>
      <x v="234"/>
    </i>
    <i r="2">
      <x v="36"/>
      <x v="4"/>
      <x v="3"/>
      <x v="33"/>
      <x v="9"/>
    </i>
    <i t="blank">
      <x v="803"/>
    </i>
    <i>
      <x v="805"/>
    </i>
    <i r="1">
      <x v="4"/>
      <x v="6"/>
      <x v="3"/>
      <x v="5"/>
      <x v="22"/>
      <x v="235"/>
    </i>
    <i r="2">
      <x v="36"/>
      <x v="4"/>
      <x v="3"/>
      <x v="33"/>
      <x v="9"/>
    </i>
    <i t="blank">
      <x v="805"/>
    </i>
    <i>
      <x v="806"/>
    </i>
    <i r="1">
      <x v="3"/>
      <x v="6"/>
      <x v="3"/>
      <x v="8"/>
      <x v="22"/>
      <x v="247"/>
    </i>
    <i r="2">
      <x v="36"/>
      <x v="4"/>
      <x v="3"/>
      <x v="33"/>
      <x v="9"/>
    </i>
    <i t="blank">
      <x v="806"/>
    </i>
    <i>
      <x v="809"/>
    </i>
    <i r="1">
      <x v="15"/>
      <x v="6"/>
      <x v="3"/>
      <x v="5"/>
      <x v="22"/>
      <x v="234"/>
    </i>
    <i r="2">
      <x v="36"/>
      <x v="4"/>
      <x v="3"/>
      <x v="33"/>
      <x v="9"/>
    </i>
    <i t="blank">
      <x v="809"/>
    </i>
    <i>
      <x v="811"/>
    </i>
    <i r="1">
      <x v="3"/>
      <x v="6"/>
      <x v="3"/>
      <x v="5"/>
      <x v="22"/>
      <x v="234"/>
    </i>
    <i r="2">
      <x v="36"/>
      <x v="4"/>
      <x v="3"/>
      <x v="33"/>
      <x v="9"/>
    </i>
    <i t="blank">
      <x v="811"/>
    </i>
    <i>
      <x v="813"/>
    </i>
    <i r="1">
      <x v="3"/>
      <x v="6"/>
      <x v="3"/>
      <x v="5"/>
      <x v="22"/>
      <x v="248"/>
    </i>
    <i r="2">
      <x v="36"/>
      <x v="4"/>
      <x v="3"/>
      <x v="33"/>
      <x v="9"/>
    </i>
    <i t="blank">
      <x v="813"/>
    </i>
    <i>
      <x v="816"/>
    </i>
    <i r="1">
      <x v="4"/>
      <x v="6"/>
      <x v="3"/>
      <x v="5"/>
      <x v="22"/>
      <x v="235"/>
    </i>
    <i r="2">
      <x v="36"/>
      <x v="4"/>
      <x v="3"/>
      <x v="33"/>
      <x v="9"/>
    </i>
    <i t="blank">
      <x v="816"/>
    </i>
    <i>
      <x v="818"/>
    </i>
    <i r="1">
      <x v="3"/>
      <x v="6"/>
      <x v="3"/>
      <x v="5"/>
      <x v="22"/>
      <x v="248"/>
    </i>
    <i r="2">
      <x v="36"/>
      <x v="4"/>
      <x v="3"/>
      <x v="33"/>
      <x v="9"/>
    </i>
    <i t="blank">
      <x v="818"/>
    </i>
    <i>
      <x v="819"/>
    </i>
    <i r="1">
      <x v="15"/>
      <x v="6"/>
      <x v="3"/>
      <x v="5"/>
      <x v="22"/>
      <x v="249"/>
    </i>
    <i r="2">
      <x v="36"/>
      <x v="4"/>
      <x v="3"/>
      <x v="33"/>
      <x v="9"/>
    </i>
    <i t="blank">
      <x v="819"/>
    </i>
    <i>
      <x v="821"/>
    </i>
    <i r="1">
      <x v="3"/>
      <x v="6"/>
      <x v="3"/>
      <x v="8"/>
      <x v="22"/>
      <x v="221"/>
    </i>
    <i r="2">
      <x v="36"/>
      <x v="4"/>
      <x v="3"/>
      <x v="33"/>
      <x v="9"/>
    </i>
    <i t="blank">
      <x v="821"/>
    </i>
    <i>
      <x v="823"/>
    </i>
    <i r="1">
      <x v="2"/>
      <x v="6"/>
      <x v="3"/>
      <x v="5"/>
      <x v="22"/>
      <x v="250"/>
    </i>
    <i r="2">
      <x v="36"/>
      <x v="4"/>
      <x v="3"/>
      <x v="33"/>
      <x v="9"/>
    </i>
    <i t="blank">
      <x v="823"/>
    </i>
    <i>
      <x v="825"/>
    </i>
    <i r="1">
      <x v="3"/>
      <x v="6"/>
      <x v="3"/>
      <x v="8"/>
      <x v="22"/>
      <x v="221"/>
    </i>
    <i r="2">
      <x v="36"/>
      <x v="4"/>
      <x v="3"/>
      <x v="33"/>
      <x v="9"/>
    </i>
    <i t="blank">
      <x v="825"/>
    </i>
    <i>
      <x v="828"/>
    </i>
    <i r="1">
      <x v="15"/>
      <x v="6"/>
      <x v="3"/>
      <x v="5"/>
      <x v="22"/>
      <x v="251"/>
    </i>
    <i r="2">
      <x v="36"/>
      <x v="4"/>
      <x v="3"/>
      <x v="33"/>
      <x v="9"/>
    </i>
    <i t="blank">
      <x v="828"/>
    </i>
    <i>
      <x v="831"/>
    </i>
    <i r="1">
      <x v="2"/>
      <x v="6"/>
      <x v="3"/>
      <x v="5"/>
      <x v="22"/>
      <x v="235"/>
    </i>
    <i r="2">
      <x v="36"/>
      <x v="4"/>
      <x v="3"/>
      <x v="33"/>
      <x v="9"/>
    </i>
    <i t="blank">
      <x v="831"/>
    </i>
    <i>
      <x v="833"/>
    </i>
    <i r="1">
      <x v="3"/>
      <x v="6"/>
      <x v="3"/>
      <x v="5"/>
      <x v="22"/>
      <x v="252"/>
    </i>
    <i r="2">
      <x v="36"/>
      <x v="4"/>
      <x v="3"/>
      <x v="33"/>
      <x v="9"/>
    </i>
    <i t="blank">
      <x v="833"/>
    </i>
    <i>
      <x v="834"/>
    </i>
    <i r="1">
      <x v="2"/>
      <x v="6"/>
      <x v="3"/>
      <x v="6"/>
      <x v="22"/>
      <x v="167"/>
    </i>
    <i t="blank">
      <x v="834"/>
    </i>
    <i>
      <x v="835"/>
    </i>
    <i r="1">
      <x v="3"/>
      <x v="6"/>
      <x v="3"/>
      <x v="5"/>
      <x v="22"/>
      <x v="253"/>
    </i>
    <i r="2">
      <x v="36"/>
      <x v="4"/>
      <x v="3"/>
      <x v="33"/>
      <x v="9"/>
    </i>
    <i t="blank">
      <x v="835"/>
    </i>
    <i>
      <x v="838"/>
    </i>
    <i r="1">
      <x v="2"/>
      <x v="6"/>
      <x v="3"/>
      <x v="6"/>
      <x v="22"/>
      <x v="167"/>
    </i>
    <i t="blank">
      <x v="838"/>
    </i>
    <i>
      <x v="839"/>
    </i>
    <i r="1">
      <x v="2"/>
      <x v="6"/>
      <x v="3"/>
      <x v="5"/>
      <x v="22"/>
      <x v="254"/>
    </i>
    <i r="2">
      <x v="36"/>
      <x v="4"/>
      <x v="3"/>
      <x v="33"/>
      <x v="9"/>
    </i>
    <i t="blank">
      <x v="839"/>
    </i>
    <i>
      <x v="841"/>
    </i>
    <i r="1">
      <x v="2"/>
      <x v="6"/>
      <x v="3"/>
      <x v="8"/>
      <x v="22"/>
      <x v="221"/>
    </i>
    <i r="2">
      <x v="36"/>
      <x v="4"/>
      <x v="3"/>
      <x v="33"/>
      <x v="9"/>
    </i>
    <i t="blank">
      <x v="841"/>
    </i>
    <i>
      <x v="843"/>
    </i>
    <i r="1">
      <x v="2"/>
      <x v="6"/>
      <x v="3"/>
      <x v="8"/>
      <x v="22"/>
      <x v="221"/>
    </i>
    <i r="2">
      <x v="36"/>
      <x v="4"/>
      <x v="3"/>
      <x v="33"/>
      <x v="9"/>
    </i>
    <i t="blank">
      <x v="843"/>
    </i>
    <i>
      <x v="845"/>
    </i>
    <i r="1">
      <x v="2"/>
      <x v="6"/>
      <x v="3"/>
      <x v="8"/>
      <x v="22"/>
      <x v="221"/>
    </i>
    <i r="2">
      <x v="36"/>
      <x v="4"/>
      <x v="3"/>
      <x v="33"/>
      <x v="9"/>
    </i>
    <i t="blank">
      <x v="845"/>
    </i>
    <i>
      <x v="847"/>
    </i>
    <i r="1">
      <x v="2"/>
      <x v="6"/>
      <x v="3"/>
      <x v="8"/>
      <x v="22"/>
      <x v="221"/>
    </i>
    <i r="2">
      <x v="36"/>
      <x v="4"/>
      <x v="3"/>
      <x v="33"/>
      <x v="9"/>
    </i>
    <i t="blank">
      <x v="847"/>
    </i>
    <i>
      <x v="848"/>
    </i>
    <i r="1">
      <x v="2"/>
      <x v="6"/>
      <x v="3"/>
      <x v="5"/>
      <x v="22"/>
      <x v="255"/>
    </i>
    <i r="2">
      <x v="36"/>
      <x v="4"/>
      <x v="3"/>
      <x v="33"/>
      <x v="9"/>
    </i>
    <i t="blank">
      <x v="848"/>
    </i>
    <i>
      <x v="850"/>
    </i>
    <i r="1">
      <x v="1"/>
      <x v="6"/>
      <x v="3"/>
      <x v="5"/>
      <x v="22"/>
      <x v="255"/>
    </i>
    <i r="2">
      <x v="36"/>
      <x v="4"/>
      <x v="3"/>
      <x v="33"/>
      <x v="9"/>
    </i>
    <i t="blank">
      <x v="850"/>
    </i>
    <i>
      <x v="851"/>
    </i>
    <i r="1">
      <x v="1"/>
      <x v="6"/>
      <x v="3"/>
      <x v="5"/>
      <x v="22"/>
      <x v="255"/>
    </i>
    <i r="2">
      <x v="36"/>
      <x v="4"/>
      <x v="3"/>
      <x v="33"/>
      <x v="9"/>
    </i>
    <i t="blank">
      <x v="851"/>
    </i>
    <i>
      <x v="852"/>
    </i>
    <i r="1">
      <x v="12"/>
      <x v="47"/>
      <x v="3"/>
      <x v="5"/>
      <x v="32"/>
      <x v="411"/>
    </i>
    <i r="3">
      <x v="4"/>
      <x v="3"/>
      <x v="33"/>
      <x v="9"/>
    </i>
    <i t="blank">
      <x v="852"/>
    </i>
    <i>
      <x v="853"/>
    </i>
    <i r="1">
      <x v="8"/>
      <x v="43"/>
      <x v="3"/>
      <x v="6"/>
      <x v="31"/>
      <x v="167"/>
    </i>
    <i r="2">
      <x v="47"/>
      <x v="3"/>
      <x v="5"/>
      <x v="32"/>
      <x v="412"/>
    </i>
    <i r="3">
      <x v="4"/>
      <x v="3"/>
      <x v="33"/>
      <x v="9"/>
    </i>
    <i t="blank">
      <x v="853"/>
    </i>
    <i>
      <x v="854"/>
    </i>
    <i r="1">
      <x v="14"/>
      <x v="43"/>
      <x v="3"/>
      <x v="6"/>
      <x v="31"/>
      <x v="167"/>
    </i>
    <i r="2">
      <x v="47"/>
      <x v="3"/>
      <x v="6"/>
      <x v="32"/>
      <x v="167"/>
    </i>
    <i t="blank">
      <x v="854"/>
    </i>
    <i>
      <x v="855"/>
    </i>
    <i r="1">
      <x v="3"/>
      <x v="43"/>
      <x v="3"/>
      <x v="6"/>
      <x v="31"/>
      <x v="167"/>
    </i>
    <i t="blank">
      <x v="855"/>
    </i>
    <i>
      <x v="856"/>
    </i>
    <i r="1">
      <x v="3"/>
      <x v="41"/>
      <x v="4"/>
      <x v="3"/>
      <x v="33"/>
      <x v="9"/>
    </i>
    <i r="2">
      <x v="43"/>
      <x v="3"/>
      <x v="5"/>
      <x v="31"/>
      <x v="413"/>
    </i>
    <i t="blank">
      <x v="856"/>
    </i>
    <i>
      <x v="857"/>
    </i>
    <i r="1">
      <x v="2"/>
      <x v="43"/>
      <x v="3"/>
      <x v="6"/>
      <x v="31"/>
      <x v="167"/>
    </i>
    <i t="blank">
      <x v="857"/>
    </i>
  </rowItems>
  <colItems count="1">
    <i/>
  </colItems>
  <pageFields count="1">
    <pageField fld="0" hier="-1"/>
  </pageFields>
  <formats count="88">
    <format dxfId="108">
      <pivotArea field="10" type="button" dataOnly="0" labelOnly="1" outline="0" axis="axisRow" fieldPosition="0"/>
    </format>
    <format dxfId="107">
      <pivotArea field="4" type="button" dataOnly="0" labelOnly="1" outline="0" axis="axisRow" fieldPosition="2"/>
    </format>
    <format dxfId="106">
      <pivotArea field="5" type="button" dataOnly="0" labelOnly="1" outline="0" axis="axisRow" fieldPosition="3"/>
    </format>
    <format dxfId="105">
      <pivotArea field="6" type="button" dataOnly="0" labelOnly="1" outline="0" axis="axisRow" fieldPosition="4"/>
    </format>
    <format dxfId="104">
      <pivotArea field="7" type="button" dataOnly="0" labelOnly="1" outline="0" axis="axisRow" fieldPosition="5"/>
    </format>
    <format dxfId="103">
      <pivotArea field="8" type="button" dataOnly="0" labelOnly="1" outline="0" axis="axisRow" fieldPosition="6"/>
    </format>
    <format dxfId="102">
      <pivotArea dataOnly="0" labelOnly="1" fieldPosition="0">
        <references count="1">
          <reference field="10" count="0"/>
        </references>
      </pivotArea>
    </format>
    <format dxfId="101">
      <pivotArea dataOnly="0" labelOnly="1" outline="0" fieldPosition="0">
        <references count="2">
          <reference field="2" count="2">
            <x v="2"/>
            <x v="3"/>
          </reference>
          <reference field="10" count="1" selected="0">
            <x v="0"/>
          </reference>
        </references>
      </pivotArea>
    </format>
    <format dxfId="100">
      <pivotArea dataOnly="0" labelOnly="1" outline="0" fieldPosition="0">
        <references count="2">
          <reference field="2" count="2">
            <x v="1"/>
            <x v="2"/>
          </reference>
          <reference field="10" count="1" selected="0">
            <x v="1"/>
          </reference>
        </references>
      </pivotArea>
    </format>
    <format dxfId="99">
      <pivotArea dataOnly="0" labelOnly="1" outline="0" fieldPosition="0">
        <references count="3">
          <reference field="2" count="1" selected="0">
            <x v="2"/>
          </reference>
          <reference field="4" count="1">
            <x v="0"/>
          </reference>
          <reference field="10" count="1" selected="0">
            <x v="0"/>
          </reference>
        </references>
      </pivotArea>
    </format>
    <format dxfId="98">
      <pivotArea dataOnly="0" labelOnly="1" outline="0" fieldPosition="0">
        <references count="3">
          <reference field="2" count="1" selected="0">
            <x v="3"/>
          </reference>
          <reference field="4" count="2">
            <x v="1"/>
            <x v="2"/>
          </reference>
          <reference field="10" count="1" selected="0">
            <x v="0"/>
          </reference>
        </references>
      </pivotArea>
    </format>
    <format dxfId="97">
      <pivotArea dataOnly="0" labelOnly="1" outline="0" fieldPosition="0">
        <references count="3">
          <reference field="2" count="1" selected="0">
            <x v="1"/>
          </reference>
          <reference field="4" count="1">
            <x v="0"/>
          </reference>
          <reference field="10" count="1" selected="0">
            <x v="1"/>
          </reference>
        </references>
      </pivotArea>
    </format>
    <format dxfId="96">
      <pivotArea dataOnly="0" labelOnly="1" outline="0" fieldPosition="0">
        <references count="3">
          <reference field="2" count="1" selected="0">
            <x v="2"/>
          </reference>
          <reference field="4" count="1">
            <x v="1"/>
          </reference>
          <reference field="10" count="1" selected="0">
            <x v="1"/>
          </reference>
        </references>
      </pivotArea>
    </format>
    <format dxfId="95">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94">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93">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92">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91">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90">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89">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88">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87">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86">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85">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13"/>
          </reference>
          <reference field="10" count="1" selected="0">
            <x v="0"/>
          </reference>
        </references>
      </pivotArea>
    </format>
    <format dxfId="84">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18"/>
          </reference>
          <reference field="10" count="1" selected="0">
            <x v="0"/>
          </reference>
        </references>
      </pivotArea>
    </format>
    <format dxfId="83">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33"/>
          </reference>
          <reference field="10" count="1" selected="0">
            <x v="0"/>
          </reference>
        </references>
      </pivotArea>
    </format>
    <format dxfId="82">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13"/>
          </reference>
          <reference field="10" count="1" selected="0">
            <x v="1"/>
          </reference>
        </references>
      </pivotArea>
    </format>
    <format dxfId="81">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18"/>
          </reference>
          <reference field="10" count="1" selected="0">
            <x v="1"/>
          </reference>
        </references>
      </pivotArea>
    </format>
    <format dxfId="80">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13"/>
          </reference>
          <reference field="8" count="1">
            <x v="5"/>
          </reference>
          <reference field="10" count="1" selected="0">
            <x v="0"/>
          </reference>
        </references>
      </pivotArea>
    </format>
    <format dxfId="79">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18"/>
          </reference>
          <reference field="8" count="1">
            <x v="10"/>
          </reference>
          <reference field="10" count="1" selected="0">
            <x v="0"/>
          </reference>
        </references>
      </pivotArea>
    </format>
    <format dxfId="78">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33"/>
          </reference>
          <reference field="8" count="1">
            <x v="9"/>
          </reference>
          <reference field="10" count="1" selected="0">
            <x v="0"/>
          </reference>
        </references>
      </pivotArea>
    </format>
    <format dxfId="77">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13"/>
          </reference>
          <reference field="8" count="1">
            <x v="7"/>
          </reference>
          <reference field="10" count="1" selected="0">
            <x v="1"/>
          </reference>
        </references>
      </pivotArea>
    </format>
    <format dxfId="76">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18"/>
          </reference>
          <reference field="8" count="1">
            <x v="11"/>
          </reference>
          <reference field="10" count="1" selected="0">
            <x v="1"/>
          </reference>
        </references>
      </pivotArea>
    </format>
    <format dxfId="75">
      <pivotArea dataOnly="0" labelOnly="1" fieldPosition="0">
        <references count="1">
          <reference field="10" count="1">
            <x v="0"/>
          </reference>
        </references>
      </pivotArea>
    </format>
    <format dxfId="74">
      <pivotArea dataOnly="0" labelOnly="1" fieldPosition="0">
        <references count="1">
          <reference field="10" count="1">
            <x v="1"/>
          </reference>
        </references>
      </pivotArea>
    </format>
    <format dxfId="73">
      <pivotArea dataOnly="0" fieldPosition="0">
        <references count="1">
          <reference field="10" count="1">
            <x v="1"/>
          </reference>
        </references>
      </pivotArea>
    </format>
    <format dxfId="72">
      <pivotArea dataOnly="0" fieldPosition="0">
        <references count="1">
          <reference field="10" count="0"/>
        </references>
      </pivotArea>
    </format>
    <format dxfId="71">
      <pivotArea field="10" type="button" dataOnly="0" labelOnly="1" outline="0" axis="axisRow" fieldPosition="0"/>
    </format>
    <format dxfId="70">
      <pivotArea field="4" type="button" dataOnly="0" labelOnly="1" outline="0" axis="axisRow" fieldPosition="2"/>
    </format>
    <format dxfId="69">
      <pivotArea field="5" type="button" dataOnly="0" labelOnly="1" outline="0" axis="axisRow" fieldPosition="3"/>
    </format>
    <format dxfId="68">
      <pivotArea field="6" type="button" dataOnly="0" labelOnly="1" outline="0" axis="axisRow" fieldPosition="4"/>
    </format>
    <format dxfId="67">
      <pivotArea field="7" type="button" dataOnly="0" labelOnly="1" outline="0" axis="axisRow" fieldPosition="5"/>
    </format>
    <format dxfId="66">
      <pivotArea field="8" type="button" dataOnly="0" labelOnly="1" outline="0" axis="axisRow" fieldPosition="6"/>
    </format>
    <format dxfId="65">
      <pivotArea dataOnly="0" labelOnly="1" fieldPosition="0">
        <references count="1">
          <reference field="10" count="0"/>
        </references>
      </pivotArea>
    </format>
    <format dxfId="64">
      <pivotArea dataOnly="0" labelOnly="1" outline="0" fieldPosition="0">
        <references count="2">
          <reference field="2" count="2">
            <x v="2"/>
            <x v="3"/>
          </reference>
          <reference field="10" count="1" selected="0">
            <x v="0"/>
          </reference>
        </references>
      </pivotArea>
    </format>
    <format dxfId="63">
      <pivotArea dataOnly="0" labelOnly="1" outline="0" fieldPosition="0">
        <references count="2">
          <reference field="2" count="2">
            <x v="1"/>
            <x v="2"/>
          </reference>
          <reference field="10" count="1" selected="0">
            <x v="1"/>
          </reference>
        </references>
      </pivotArea>
    </format>
    <format dxfId="62">
      <pivotArea dataOnly="0" labelOnly="1" outline="0" fieldPosition="0">
        <references count="3">
          <reference field="2" count="1" selected="0">
            <x v="2"/>
          </reference>
          <reference field="4" count="1">
            <x v="0"/>
          </reference>
          <reference field="10" count="1" selected="0">
            <x v="0"/>
          </reference>
        </references>
      </pivotArea>
    </format>
    <format dxfId="61">
      <pivotArea dataOnly="0" labelOnly="1" outline="0" fieldPosition="0">
        <references count="3">
          <reference field="2" count="1" selected="0">
            <x v="3"/>
          </reference>
          <reference field="4" count="2">
            <x v="1"/>
            <x v="2"/>
          </reference>
          <reference field="10" count="1" selected="0">
            <x v="0"/>
          </reference>
        </references>
      </pivotArea>
    </format>
    <format dxfId="60">
      <pivotArea dataOnly="0" labelOnly="1" outline="0" fieldPosition="0">
        <references count="3">
          <reference field="2" count="1" selected="0">
            <x v="1"/>
          </reference>
          <reference field="4" count="1">
            <x v="0"/>
          </reference>
          <reference field="10" count="1" selected="0">
            <x v="1"/>
          </reference>
        </references>
      </pivotArea>
    </format>
    <format dxfId="59">
      <pivotArea dataOnly="0" labelOnly="1" outline="0" fieldPosition="0">
        <references count="3">
          <reference field="2" count="1" selected="0">
            <x v="2"/>
          </reference>
          <reference field="4" count="1">
            <x v="1"/>
          </reference>
          <reference field="10" count="1" selected="0">
            <x v="1"/>
          </reference>
        </references>
      </pivotArea>
    </format>
    <format dxfId="58">
      <pivotArea dataOnly="0" labelOnly="1" outline="0" fieldPosition="0">
        <references count="4">
          <reference field="2" count="1" selected="0">
            <x v="2"/>
          </reference>
          <reference field="4" count="1" selected="0">
            <x v="0"/>
          </reference>
          <reference field="5" count="1">
            <x v="0"/>
          </reference>
          <reference field="10" count="1" selected="0">
            <x v="0"/>
          </reference>
        </references>
      </pivotArea>
    </format>
    <format dxfId="57">
      <pivotArea dataOnly="0" labelOnly="1" outline="0" fieldPosition="0">
        <references count="4">
          <reference field="2" count="1" selected="0">
            <x v="3"/>
          </reference>
          <reference field="4" count="1" selected="0">
            <x v="1"/>
          </reference>
          <reference field="5" count="1">
            <x v="3"/>
          </reference>
          <reference field="10" count="1" selected="0">
            <x v="0"/>
          </reference>
        </references>
      </pivotArea>
    </format>
    <format dxfId="56">
      <pivotArea dataOnly="0" labelOnly="1" outline="0" fieldPosition="0">
        <references count="4">
          <reference field="2" count="1" selected="0">
            <x v="3"/>
          </reference>
          <reference field="4" count="1" selected="0">
            <x v="2"/>
          </reference>
          <reference field="5" count="1">
            <x v="4"/>
          </reference>
          <reference field="10" count="1" selected="0">
            <x v="0"/>
          </reference>
        </references>
      </pivotArea>
    </format>
    <format dxfId="55">
      <pivotArea dataOnly="0" labelOnly="1" outline="0" fieldPosition="0">
        <references count="4">
          <reference field="2" count="1" selected="0">
            <x v="1"/>
          </reference>
          <reference field="4" count="1" selected="0">
            <x v="0"/>
          </reference>
          <reference field="5" count="1">
            <x v="0"/>
          </reference>
          <reference field="10" count="1" selected="0">
            <x v="1"/>
          </reference>
        </references>
      </pivotArea>
    </format>
    <format dxfId="54">
      <pivotArea dataOnly="0" labelOnly="1" outline="0" fieldPosition="0">
        <references count="4">
          <reference field="2" count="1" selected="0">
            <x v="2"/>
          </reference>
          <reference field="4" count="1" selected="0">
            <x v="1"/>
          </reference>
          <reference field="5" count="1">
            <x v="3"/>
          </reference>
          <reference field="10" count="1" selected="0">
            <x v="1"/>
          </reference>
        </references>
      </pivotArea>
    </format>
    <format dxfId="53">
      <pivotArea dataOnly="0" labelOnly="1" outline="0" fieldPosition="0">
        <references count="5">
          <reference field="2" count="1" selected="0">
            <x v="2"/>
          </reference>
          <reference field="4" count="1" selected="0">
            <x v="0"/>
          </reference>
          <reference field="5" count="1" selected="0">
            <x v="0"/>
          </reference>
          <reference field="6" count="1">
            <x v="1"/>
          </reference>
          <reference field="10" count="1" selected="0">
            <x v="0"/>
          </reference>
        </references>
      </pivotArea>
    </format>
    <format dxfId="52">
      <pivotArea dataOnly="0" labelOnly="1" outline="0" fieldPosition="0">
        <references count="5">
          <reference field="2" count="1" selected="0">
            <x v="3"/>
          </reference>
          <reference field="4" count="1" selected="0">
            <x v="1"/>
          </reference>
          <reference field="5" count="1" selected="0">
            <x v="3"/>
          </reference>
          <reference field="6" count="1">
            <x v="5"/>
          </reference>
          <reference field="10" count="1" selected="0">
            <x v="0"/>
          </reference>
        </references>
      </pivotArea>
    </format>
    <format dxfId="51">
      <pivotArea dataOnly="0" labelOnly="1" outline="0" fieldPosition="0">
        <references count="5">
          <reference field="2" count="1" selected="0">
            <x v="3"/>
          </reference>
          <reference field="4" count="1" selected="0">
            <x v="2"/>
          </reference>
          <reference field="5" count="1" selected="0">
            <x v="4"/>
          </reference>
          <reference field="6" count="1">
            <x v="3"/>
          </reference>
          <reference field="10" count="1" selected="0">
            <x v="0"/>
          </reference>
        </references>
      </pivotArea>
    </format>
    <format dxfId="50">
      <pivotArea dataOnly="0" labelOnly="1" outline="0" fieldPosition="0">
        <references count="5">
          <reference field="2" count="1" selected="0">
            <x v="1"/>
          </reference>
          <reference field="4" count="1" selected="0">
            <x v="0"/>
          </reference>
          <reference field="5" count="1" selected="0">
            <x v="0"/>
          </reference>
          <reference field="6" count="1">
            <x v="4"/>
          </reference>
          <reference field="10" count="1" selected="0">
            <x v="1"/>
          </reference>
        </references>
      </pivotArea>
    </format>
    <format dxfId="49">
      <pivotArea dataOnly="0" labelOnly="1" outline="0" fieldPosition="0">
        <references count="5">
          <reference field="2" count="1" selected="0">
            <x v="2"/>
          </reference>
          <reference field="4" count="1" selected="0">
            <x v="1"/>
          </reference>
          <reference field="5" count="1" selected="0">
            <x v="3"/>
          </reference>
          <reference field="6" count="1">
            <x v="6"/>
          </reference>
          <reference field="10" count="1" selected="0">
            <x v="1"/>
          </reference>
        </references>
      </pivotArea>
    </format>
    <format dxfId="48">
      <pivotArea dataOnly="0" labelOnly="1" outline="0" fieldPosition="0">
        <references count="6">
          <reference field="2" count="1" selected="0">
            <x v="2"/>
          </reference>
          <reference field="4" count="1" selected="0">
            <x v="0"/>
          </reference>
          <reference field="5" count="1" selected="0">
            <x v="0"/>
          </reference>
          <reference field="6" count="1" selected="0">
            <x v="1"/>
          </reference>
          <reference field="7" count="1">
            <x v="13"/>
          </reference>
          <reference field="10" count="1" selected="0">
            <x v="0"/>
          </reference>
        </references>
      </pivotArea>
    </format>
    <format dxfId="47">
      <pivotArea dataOnly="0" labelOnly="1" outline="0" fieldPosition="0">
        <references count="6">
          <reference field="2" count="1" selected="0">
            <x v="3"/>
          </reference>
          <reference field="4" count="1" selected="0">
            <x v="1"/>
          </reference>
          <reference field="5" count="1" selected="0">
            <x v="3"/>
          </reference>
          <reference field="6" count="1" selected="0">
            <x v="5"/>
          </reference>
          <reference field="7" count="1">
            <x v="18"/>
          </reference>
          <reference field="10" count="1" selected="0">
            <x v="0"/>
          </reference>
        </references>
      </pivotArea>
    </format>
    <format dxfId="46">
      <pivotArea dataOnly="0" labelOnly="1" outline="0" fieldPosition="0">
        <references count="6">
          <reference field="2" count="1" selected="0">
            <x v="3"/>
          </reference>
          <reference field="4" count="1" selected="0">
            <x v="2"/>
          </reference>
          <reference field="5" count="1" selected="0">
            <x v="4"/>
          </reference>
          <reference field="6" count="1" selected="0">
            <x v="3"/>
          </reference>
          <reference field="7" count="1">
            <x v="33"/>
          </reference>
          <reference field="10" count="1" selected="0">
            <x v="0"/>
          </reference>
        </references>
      </pivotArea>
    </format>
    <format dxfId="45">
      <pivotArea dataOnly="0" labelOnly="1" outline="0" fieldPosition="0">
        <references count="6">
          <reference field="2" count="1" selected="0">
            <x v="1"/>
          </reference>
          <reference field="4" count="1" selected="0">
            <x v="0"/>
          </reference>
          <reference field="5" count="1" selected="0">
            <x v="0"/>
          </reference>
          <reference field="6" count="1" selected="0">
            <x v="4"/>
          </reference>
          <reference field="7" count="1">
            <x v="13"/>
          </reference>
          <reference field="10" count="1" selected="0">
            <x v="1"/>
          </reference>
        </references>
      </pivotArea>
    </format>
    <format dxfId="44">
      <pivotArea dataOnly="0" labelOnly="1" outline="0" fieldPosition="0">
        <references count="6">
          <reference field="2" count="1" selected="0">
            <x v="2"/>
          </reference>
          <reference field="4" count="1" selected="0">
            <x v="1"/>
          </reference>
          <reference field="5" count="1" selected="0">
            <x v="3"/>
          </reference>
          <reference field="6" count="1" selected="0">
            <x v="6"/>
          </reference>
          <reference field="7" count="1">
            <x v="18"/>
          </reference>
          <reference field="10" count="1" selected="0">
            <x v="1"/>
          </reference>
        </references>
      </pivotArea>
    </format>
    <format dxfId="43">
      <pivotArea dataOnly="0" labelOnly="1" outline="0" fieldPosition="0">
        <references count="7">
          <reference field="2" count="1" selected="0">
            <x v="2"/>
          </reference>
          <reference field="4" count="1" selected="0">
            <x v="0"/>
          </reference>
          <reference field="5" count="1" selected="0">
            <x v="0"/>
          </reference>
          <reference field="6" count="1" selected="0">
            <x v="1"/>
          </reference>
          <reference field="7" count="1" selected="0">
            <x v="13"/>
          </reference>
          <reference field="8" count="1">
            <x v="5"/>
          </reference>
          <reference field="10" count="1" selected="0">
            <x v="0"/>
          </reference>
        </references>
      </pivotArea>
    </format>
    <format dxfId="42">
      <pivotArea dataOnly="0" labelOnly="1" outline="0" fieldPosition="0">
        <references count="7">
          <reference field="2" count="1" selected="0">
            <x v="3"/>
          </reference>
          <reference field="4" count="1" selected="0">
            <x v="1"/>
          </reference>
          <reference field="5" count="1" selected="0">
            <x v="3"/>
          </reference>
          <reference field="6" count="1" selected="0">
            <x v="5"/>
          </reference>
          <reference field="7" count="1" selected="0">
            <x v="18"/>
          </reference>
          <reference field="8" count="1">
            <x v="10"/>
          </reference>
          <reference field="10" count="1" selected="0">
            <x v="0"/>
          </reference>
        </references>
      </pivotArea>
    </format>
    <format dxfId="41">
      <pivotArea dataOnly="0" labelOnly="1" outline="0" fieldPosition="0">
        <references count="7">
          <reference field="2" count="1" selected="0">
            <x v="3"/>
          </reference>
          <reference field="4" count="1" selected="0">
            <x v="2"/>
          </reference>
          <reference field="5" count="1" selected="0">
            <x v="4"/>
          </reference>
          <reference field="6" count="1" selected="0">
            <x v="3"/>
          </reference>
          <reference field="7" count="1" selected="0">
            <x v="33"/>
          </reference>
          <reference field="8" count="1">
            <x v="9"/>
          </reference>
          <reference field="10" count="1" selected="0">
            <x v="0"/>
          </reference>
        </references>
      </pivotArea>
    </format>
    <format dxfId="40">
      <pivotArea dataOnly="0" labelOnly="1" outline="0" fieldPosition="0">
        <references count="7">
          <reference field="2" count="1" selected="0">
            <x v="1"/>
          </reference>
          <reference field="4" count="1" selected="0">
            <x v="0"/>
          </reference>
          <reference field="5" count="1" selected="0">
            <x v="0"/>
          </reference>
          <reference field="6" count="1" selected="0">
            <x v="4"/>
          </reference>
          <reference field="7" count="1" selected="0">
            <x v="13"/>
          </reference>
          <reference field="8" count="1">
            <x v="7"/>
          </reference>
          <reference field="10" count="1" selected="0">
            <x v="1"/>
          </reference>
        </references>
      </pivotArea>
    </format>
    <format dxfId="39">
      <pivotArea dataOnly="0" labelOnly="1" outline="0" fieldPosition="0">
        <references count="7">
          <reference field="2" count="1" selected="0">
            <x v="2"/>
          </reference>
          <reference field="4" count="1" selected="0">
            <x v="1"/>
          </reference>
          <reference field="5" count="1" selected="0">
            <x v="3"/>
          </reference>
          <reference field="6" count="1" selected="0">
            <x v="6"/>
          </reference>
          <reference field="7" count="1" selected="0">
            <x v="18"/>
          </reference>
          <reference field="8" count="1">
            <x v="11"/>
          </reference>
          <reference field="10" count="1" selected="0">
            <x v="1"/>
          </reference>
        </references>
      </pivotArea>
    </format>
    <format dxfId="38">
      <pivotArea dataOnly="0" labelOnly="1" fieldPosition="0">
        <references count="1">
          <reference field="10" count="0"/>
        </references>
      </pivotArea>
    </format>
    <format dxfId="37">
      <pivotArea dataOnly="0" fieldPosition="0">
        <references count="1">
          <reference field="10" count="1">
            <x v="8"/>
          </reference>
        </references>
      </pivotArea>
    </format>
    <format dxfId="36">
      <pivotArea dataOnly="0" fieldPosition="0">
        <references count="1">
          <reference field="10" count="1">
            <x v="8"/>
          </reference>
        </references>
      </pivotArea>
    </format>
    <format dxfId="35">
      <pivotArea dataOnly="0" labelOnly="1" fieldPosition="0">
        <references count="1">
          <reference field="10" count="0"/>
        </references>
      </pivotArea>
    </format>
    <format dxfId="34">
      <pivotArea dataOnly="0" labelOnly="1" fieldPosition="0">
        <references count="1">
          <reference field="10" count="0"/>
        </references>
      </pivotArea>
    </format>
    <format dxfId="33">
      <pivotArea dataOnly="0" labelOnly="1" fieldPosition="0">
        <references count="1">
          <reference field="10" count="0"/>
        </references>
      </pivotArea>
    </format>
    <format dxfId="32">
      <pivotArea dataOnly="0" labelOnly="1" fieldPosition="0">
        <references count="1">
          <reference field="10" count="0"/>
        </references>
      </pivotArea>
    </format>
    <format dxfId="31">
      <pivotArea dataOnly="0" labelOnly="1" fieldPosition="0">
        <references count="1">
          <reference field="6" count="0"/>
        </references>
      </pivotArea>
    </format>
    <format dxfId="30">
      <pivotArea field="10" type="button" dataOnly="0" labelOnly="1" outline="0" axis="axisRow" fieldPosition="0"/>
    </format>
    <format dxfId="29">
      <pivotArea field="4" type="button" dataOnly="0" labelOnly="1" outline="0" axis="axisRow" fieldPosition="2"/>
    </format>
    <format dxfId="28">
      <pivotArea field="5" type="button" dataOnly="0" labelOnly="1" outline="0" axis="axisRow" fieldPosition="3"/>
    </format>
    <format dxfId="27">
      <pivotArea field="6" type="button" dataOnly="0" labelOnly="1" outline="0" axis="axisRow" fieldPosition="4"/>
    </format>
    <format dxfId="26">
      <pivotArea field="7" type="button" dataOnly="0" labelOnly="1" outline="0" axis="axisRow" fieldPosition="5"/>
    </format>
    <format dxfId="25">
      <pivotArea field="8" type="button" dataOnly="0" labelOnly="1" outline="0" axis="axisRow" fieldPosition="6"/>
    </format>
    <format dxfId="24">
      <pivotArea dataOnly="0" labelOnly="1" fieldPosition="0">
        <references count="1">
          <reference field="10" count="0"/>
        </references>
      </pivotArea>
    </format>
    <format dxfId="23">
      <pivotArea dataOnly="0" labelOnly="1" fieldPosition="0">
        <references count="1">
          <reference field="5" count="0"/>
        </references>
      </pivotArea>
    </format>
    <format dxfId="22">
      <pivotArea dataOnly="0" labelOnly="1" fieldPosition="0">
        <references count="1">
          <reference field="8" count="0"/>
        </references>
      </pivotArea>
    </format>
    <format dxfId="21">
      <pivotArea field="0" type="button" dataOnly="0" labelOnly="1" outline="0" axis="axisPage" fieldPosition="0"/>
    </format>
  </formats>
  <pivotTableStyleInfo name="Workflow Tracker"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adjustColumnWidth="0" connectionId="3" xr16:uid="{BBEB2CE1-60A2-4049-9B09-A3BA45D8F50E}" autoFormatId="16" applyNumberFormats="0" applyBorderFormats="0" applyFontFormats="0" applyPatternFormats="0" applyAlignmentFormats="0" applyWidthHeightFormats="0">
  <queryTableRefresh nextId="15" unboundColumnsRight="1">
    <queryTableFields count="12">
      <queryTableField id="1" name="Document Number" tableColumnId="1"/>
      <queryTableField id="2" name="Title" tableColumnId="2"/>
      <queryTableField id="3" name="Revision" tableColumnId="3"/>
      <queryTableField id="4" name="Workflow Status" tableColumnId="4"/>
      <queryTableField id="5" name="Date In" tableColumnId="5"/>
      <queryTableField id="6" name="Step Name" tableColumnId="6"/>
      <queryTableField id="7" name="Step Outcome" tableColumnId="7"/>
      <queryTableField id="8" name="Date of Comments" tableColumnId="8"/>
      <queryTableField id="9" name="Comments" tableColumnId="9"/>
      <queryTableField id="10" name="Latest revision?" tableColumnId="10"/>
      <queryTableField id="13" name="(Helper) Num + Title" tableColumnId="13"/>
      <queryTableField id="14"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6445F9F-BC40-4F8A-AC71-B1571CEED0A6}" autoFormatId="16" applyNumberFormats="0" applyBorderFormats="0" applyFontFormats="0" applyPatternFormats="0" applyAlignmentFormats="0" applyWidthHeightFormats="0">
  <queryTableRefresh nextId="3">
    <queryTableFields count="2">
      <queryTableField id="1" name="Project Name" tableColumnId="1"/>
      <queryTableField id="2" name="Date Generated"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63047F-FF9B-4355-8BCA-9BE2E7C08B48}" name="RawData" displayName="RawData" ref="A4:L908" tableType="queryTable" totalsRowShown="0">
  <autoFilter ref="A4:L908" xr:uid="{0D63047F-FF9B-4355-8BCA-9BE2E7C08B48}"/>
  <tableColumns count="12">
    <tableColumn id="1" xr3:uid="{BADA64F2-BDBA-47E5-80FC-B4A56EA68A5F}" uniqueName="1" name="Document Number" queryTableFieldId="1" dataDxfId="20"/>
    <tableColumn id="2" xr3:uid="{73FEF870-06F8-454B-90A6-DA0601FC1805}" uniqueName="2" name="Title" queryTableFieldId="2" dataDxfId="19"/>
    <tableColumn id="3" xr3:uid="{A01D87D0-9C31-4CA9-B2AB-5A8C0409AE25}" uniqueName="3" name="Revision" queryTableFieldId="3" dataDxfId="18"/>
    <tableColumn id="4" xr3:uid="{F76830CB-5D60-41A6-B286-3CE06C759A09}" uniqueName="4" name="Workflow Status" queryTableFieldId="4" dataDxfId="17"/>
    <tableColumn id="5" xr3:uid="{0FC64E1E-692E-47DA-95E9-E8559E1E48F6}" uniqueName="5" name="Date In" queryTableFieldId="5" dataDxfId="4"/>
    <tableColumn id="6" xr3:uid="{F19580FF-4E30-4471-9A01-88C64B1824A4}" uniqueName="6" name="Step Name" queryTableFieldId="6" dataDxfId="3"/>
    <tableColumn id="7" xr3:uid="{6A0AFC7F-8606-4E09-B945-03FCA7C4127A}" uniqueName="7" name="Step Outcome" queryTableFieldId="7" dataDxfId="2"/>
    <tableColumn id="8" xr3:uid="{1970E651-0CCD-47BF-B184-D51FA8244748}" uniqueName="8" name="Date of Comments" queryTableFieldId="8" dataDxfId="1"/>
    <tableColumn id="9" xr3:uid="{F7535362-E459-4564-B1D9-01E373450E1A}" uniqueName="9" name="Comments" queryTableFieldId="9" dataDxfId="0"/>
    <tableColumn id="10" xr3:uid="{9D54319D-DE2C-42F5-8506-F60D2AE2133B}" uniqueName="10" name="Latest revision?" queryTableFieldId="10"/>
    <tableColumn id="13" xr3:uid="{9C3EA749-A32D-4994-B884-8E1E95A5DE1B}" uniqueName="13" name="(Helper) Num + Title" queryTableFieldId="13" dataDxfId="16"/>
    <tableColumn id="11" xr3:uid="{CF00106C-4E46-4FD6-B632-EECF1CD65CE9}" uniqueName="11" name="(Helper) Hyperlink" queryTableFieldId="14" dataDxfId="15" dataCellStyle="Hyperlink">
      <calculatedColumnFormula>HYPERLINK("https://uk1.aconex.co.uk/hub/index.html?mainTarget=%2FSearchControlledDoc%3FSEARCH_ACTION%3D15%26tab%3D0%26searchMode%3D1%26searchQuery%3Ddocno:%22"&amp;RawData[[#This Row],[Document Number]]&amp;"%22%20%2Bcversion%253A1",RawData[[#This Row],[Document Number]])</calculatedColumnFormula>
    </tableColumn>
  </tableColumns>
  <tableStyleInfo name="TableStyleLight15 2" showFirstColumn="0" showLastColumn="1"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8C0398-C974-42FB-942C-C16853FFB781}" name="ProjectInfo" displayName="ProjectInfo" ref="A1:B2" tableType="queryTable" totalsRowShown="0">
  <autoFilter ref="A1:B2" xr:uid="{668C0398-C974-42FB-942C-C16853FFB781}"/>
  <tableColumns count="2">
    <tableColumn id="1" xr3:uid="{4CB9339E-02E0-4155-AE93-4EC28802928D}" uniqueName="1" name="Project Name" queryTableFieldId="1" dataDxfId="14"/>
    <tableColumn id="2" xr3:uid="{96759155-4763-441B-BD5A-9E4AAFBE91AA}" uniqueName="2" name="Date Generated" queryTableFieldId="2" dataDxfId="13"/>
  </tableColumns>
  <tableStyleInfo name="TableStyleLight15 2" showFirstColumn="0" showLastColumn="0" showRowStripes="0"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5"/>
  <sheetViews>
    <sheetView zoomScale="130" zoomScaleNormal="130" workbookViewId="0">
      <selection activeCell="B3" sqref="B3"/>
    </sheetView>
  </sheetViews>
  <sheetFormatPr defaultRowHeight="14.4" x14ac:dyDescent="0.3"/>
  <cols>
    <col min="1" max="1" width="12.44140625" bestFit="1" customWidth="1"/>
    <col min="2" max="2" width="25" bestFit="1" customWidth="1"/>
    <col min="3" max="3" width="16.88671875" customWidth="1"/>
    <col min="4" max="4" width="27.6640625" customWidth="1"/>
    <col min="5" max="5" width="13.5546875" customWidth="1"/>
    <col min="6" max="6" width="11.33203125" bestFit="1" customWidth="1"/>
    <col min="7" max="7" width="10.6640625" customWidth="1"/>
  </cols>
  <sheetData>
    <row r="1" spans="1:9" ht="23.4" customHeight="1" x14ac:dyDescent="0.45">
      <c r="D1" s="6" t="s">
        <v>0</v>
      </c>
    </row>
    <row r="2" spans="1:9" ht="15.6" x14ac:dyDescent="0.3">
      <c r="A2" s="2" t="s">
        <v>27</v>
      </c>
      <c r="B2" t="s">
        <v>28</v>
      </c>
      <c r="D2" s="5" t="str">
        <f>"Project Name: " &amp; ProjectInfo[[#This Row],[Project Name]]</f>
        <v>Project Name: FS1018 DfE Wisbech Free School</v>
      </c>
      <c r="I2" t="str">
        <f>"Total number of documents: " &amp; GETPIVOTDATA("(Helper) Doc Status",$A$2)</f>
        <v>Total number of documents: 588</v>
      </c>
    </row>
    <row r="3" spans="1:9" ht="15.6" x14ac:dyDescent="0.3">
      <c r="A3" s="4" t="s">
        <v>24</v>
      </c>
      <c r="B3">
        <v>229</v>
      </c>
      <c r="D3" s="9" t="str" cm="1">
        <f t="array" ref="D3">"Date Generated: " &amp; TEXT(ProjectInfo[Date Generated],"dd/mm/yyyy")</f>
        <v>Date Generated: 24/04/2025</v>
      </c>
    </row>
    <row r="4" spans="1:9" ht="19.8" customHeight="1" x14ac:dyDescent="0.35">
      <c r="A4" s="4" t="s">
        <v>4</v>
      </c>
      <c r="B4">
        <v>359</v>
      </c>
      <c r="D4" s="16" t="s">
        <v>3</v>
      </c>
      <c r="E4" s="17"/>
      <c r="F4" s="17"/>
      <c r="G4" s="17"/>
    </row>
    <row r="5" spans="1:9" x14ac:dyDescent="0.3">
      <c r="A5" s="4" t="s">
        <v>5</v>
      </c>
      <c r="B5">
        <v>588</v>
      </c>
    </row>
  </sheetData>
  <mergeCells count="1">
    <mergeCell ref="D4:G4"/>
  </mergeCells>
  <pageMargins left="0.70866141732283472" right="0.70866141732283472" top="0.74803149606299213" bottom="0.74803149606299213" header="0.31496062992125984" footer="0.31496062992125984"/>
  <pageSetup paperSize="11" scale="88" fitToHeight="0" orientation="portrait" r:id="rId2"/>
  <headerFooter>
    <oddHeader>&amp;L&amp;G</oddHeader>
  </headerFooter>
  <drawing r:id="rId3"/>
  <legacyDrawingHF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774"/>
  <sheetViews>
    <sheetView tabSelected="1" zoomScale="85" zoomScaleNormal="85" workbookViewId="0">
      <selection activeCell="F22" sqref="F22"/>
    </sheetView>
  </sheetViews>
  <sheetFormatPr defaultRowHeight="14.4" x14ac:dyDescent="0.3"/>
  <cols>
    <col min="1" max="1" width="7.33203125" customWidth="1"/>
    <col min="2" max="2" width="12.77734375" customWidth="1"/>
    <col min="3" max="3" width="14.88671875" customWidth="1"/>
    <col min="4" max="4" width="22.6640625" customWidth="1"/>
    <col min="5" max="5" width="12.88671875" customWidth="1"/>
    <col min="6" max="6" width="149.33203125" customWidth="1"/>
    <col min="7" max="7" width="42.109375" style="1" bestFit="1" customWidth="1"/>
  </cols>
  <sheetData>
    <row r="1" spans="1:6" ht="23.4" x14ac:dyDescent="0.45">
      <c r="A1" s="6" t="s">
        <v>1778</v>
      </c>
      <c r="F1" s="7" t="str">
        <f>HYPERLINK("https://uk1.aconex.co.uk/hub/index.html?mainTarget=%2Ftasks%2Fview%3F_action%3DviewAllTasksOfType%26indexName%3Dawaitingreview%26projectid%3D268455658","Click here to go to your outstanding workflows")</f>
        <v>Click here to go to your outstanding workflows</v>
      </c>
    </row>
    <row r="2" spans="1:6" ht="15.6" x14ac:dyDescent="0.3">
      <c r="A2" s="5" t="str">
        <f>ProjectName</f>
        <v>Project Name: FS1018 DfE Wisbech Free School</v>
      </c>
    </row>
    <row r="3" spans="1:6" ht="15.6" x14ac:dyDescent="0.3">
      <c r="A3" s="5" t="str">
        <f>DateGenerated</f>
        <v>Date Generated: 24/04/2025</v>
      </c>
    </row>
    <row r="4" spans="1:6" x14ac:dyDescent="0.3">
      <c r="A4" s="14" t="s">
        <v>2046</v>
      </c>
      <c r="B4" t="s">
        <v>2045</v>
      </c>
    </row>
    <row r="6" spans="1:6" ht="28.8" x14ac:dyDescent="0.3">
      <c r="A6" s="20" t="s">
        <v>23</v>
      </c>
      <c r="B6" s="20" t="s">
        <v>6</v>
      </c>
      <c r="C6" s="20" t="s">
        <v>7</v>
      </c>
      <c r="D6" s="20" t="s">
        <v>2</v>
      </c>
      <c r="E6" s="20" t="s">
        <v>8</v>
      </c>
      <c r="F6" s="20" t="s">
        <v>9</v>
      </c>
    </row>
    <row r="7" spans="1:6" ht="15.6" x14ac:dyDescent="0.3">
      <c r="A7" s="18" t="s">
        <v>32</v>
      </c>
      <c r="B7" s="19"/>
      <c r="C7" s="19"/>
      <c r="D7" s="19"/>
      <c r="E7" s="19"/>
      <c r="F7" s="19"/>
    </row>
    <row r="8" spans="1:6" ht="43.2" x14ac:dyDescent="0.3">
      <c r="A8" s="10" t="s">
        <v>10</v>
      </c>
      <c r="B8" s="11">
        <v>45729</v>
      </c>
      <c r="C8" s="12" t="s">
        <v>12</v>
      </c>
      <c r="D8" s="12" t="s">
        <v>21</v>
      </c>
      <c r="E8" s="11">
        <v>45748</v>
      </c>
      <c r="F8" s="12" t="s">
        <v>1886</v>
      </c>
    </row>
    <row r="9" spans="1:6" ht="28.8" x14ac:dyDescent="0.3">
      <c r="B9" s="11">
        <v>45748</v>
      </c>
      <c r="C9" s="12" t="s">
        <v>22</v>
      </c>
      <c r="D9" s="12" t="s">
        <v>4</v>
      </c>
      <c r="E9" s="4" t="s">
        <v>1827</v>
      </c>
      <c r="F9" s="12" t="s">
        <v>1827</v>
      </c>
    </row>
    <row r="10" spans="1:6" x14ac:dyDescent="0.3">
      <c r="A10" s="4"/>
    </row>
    <row r="11" spans="1:6" ht="15.6" x14ac:dyDescent="0.3">
      <c r="A11" s="18" t="s">
        <v>35</v>
      </c>
      <c r="B11" s="19"/>
      <c r="C11" s="19"/>
      <c r="D11" s="19"/>
      <c r="E11" s="19"/>
      <c r="F11" s="19"/>
    </row>
    <row r="12" spans="1:6" x14ac:dyDescent="0.3">
      <c r="A12" s="10" t="s">
        <v>10</v>
      </c>
      <c r="B12" s="11">
        <v>45729</v>
      </c>
      <c r="C12" s="12" t="s">
        <v>12</v>
      </c>
      <c r="D12" s="12" t="s">
        <v>24</v>
      </c>
      <c r="E12" s="11">
        <v>45748</v>
      </c>
      <c r="F12" s="12" t="s">
        <v>1785</v>
      </c>
    </row>
    <row r="13" spans="1:6" x14ac:dyDescent="0.3">
      <c r="A13" s="4"/>
    </row>
    <row r="14" spans="1:6" ht="15.6" x14ac:dyDescent="0.3">
      <c r="A14" s="18" t="s">
        <v>38</v>
      </c>
      <c r="B14" s="19"/>
      <c r="C14" s="19"/>
      <c r="D14" s="19"/>
      <c r="E14" s="19"/>
      <c r="F14" s="19"/>
    </row>
    <row r="15" spans="1:6" x14ac:dyDescent="0.3">
      <c r="A15" s="10" t="s">
        <v>10</v>
      </c>
      <c r="B15" s="11">
        <v>45729</v>
      </c>
      <c r="C15" s="12" t="s">
        <v>12</v>
      </c>
      <c r="D15" s="12" t="s">
        <v>24</v>
      </c>
      <c r="E15" s="11">
        <v>45748</v>
      </c>
      <c r="F15" s="12" t="s">
        <v>1785</v>
      </c>
    </row>
    <row r="16" spans="1:6" x14ac:dyDescent="0.3">
      <c r="A16" s="4"/>
    </row>
    <row r="17" spans="1:6" ht="15.6" x14ac:dyDescent="0.3">
      <c r="A17" s="18" t="s">
        <v>41</v>
      </c>
      <c r="B17" s="19"/>
      <c r="C17" s="19"/>
      <c r="D17" s="19"/>
      <c r="E17" s="19"/>
      <c r="F17" s="19"/>
    </row>
    <row r="18" spans="1:6" x14ac:dyDescent="0.3">
      <c r="A18" s="10" t="s">
        <v>10</v>
      </c>
      <c r="B18" s="11">
        <v>45729</v>
      </c>
      <c r="C18" s="12" t="s">
        <v>12</v>
      </c>
      <c r="D18" s="12" t="s">
        <v>24</v>
      </c>
      <c r="E18" s="11">
        <v>45748</v>
      </c>
      <c r="F18" s="12" t="s">
        <v>1785</v>
      </c>
    </row>
    <row r="19" spans="1:6" x14ac:dyDescent="0.3">
      <c r="A19" s="4"/>
    </row>
    <row r="20" spans="1:6" ht="15.6" x14ac:dyDescent="0.3">
      <c r="A20" s="18" t="s">
        <v>44</v>
      </c>
      <c r="B20" s="19"/>
      <c r="C20" s="19"/>
      <c r="D20" s="19"/>
      <c r="E20" s="19"/>
      <c r="F20" s="19"/>
    </row>
    <row r="21" spans="1:6" x14ac:dyDescent="0.3">
      <c r="A21" s="10" t="s">
        <v>10</v>
      </c>
      <c r="B21" s="11">
        <v>45729</v>
      </c>
      <c r="C21" s="12" t="s">
        <v>12</v>
      </c>
      <c r="D21" s="12" t="s">
        <v>24</v>
      </c>
      <c r="E21" s="11">
        <v>45748</v>
      </c>
      <c r="F21" s="12" t="s">
        <v>1785</v>
      </c>
    </row>
    <row r="22" spans="1:6" x14ac:dyDescent="0.3">
      <c r="A22" s="4"/>
    </row>
    <row r="23" spans="1:6" ht="15.6" x14ac:dyDescent="0.3">
      <c r="A23" s="18" t="s">
        <v>47</v>
      </c>
      <c r="B23" s="19"/>
      <c r="C23" s="19"/>
      <c r="D23" s="19"/>
      <c r="E23" s="19"/>
      <c r="F23" s="19"/>
    </row>
    <row r="24" spans="1:6" x14ac:dyDescent="0.3">
      <c r="A24" s="10" t="s">
        <v>10</v>
      </c>
      <c r="B24" s="11">
        <v>45729</v>
      </c>
      <c r="C24" s="12" t="s">
        <v>12</v>
      </c>
      <c r="D24" s="12" t="s">
        <v>24</v>
      </c>
      <c r="E24" s="11">
        <v>45748</v>
      </c>
      <c r="F24" s="12" t="s">
        <v>1785</v>
      </c>
    </row>
    <row r="25" spans="1:6" x14ac:dyDescent="0.3">
      <c r="A25" s="4"/>
    </row>
    <row r="26" spans="1:6" ht="15.6" x14ac:dyDescent="0.3">
      <c r="A26" s="18" t="s">
        <v>50</v>
      </c>
      <c r="B26" s="19"/>
      <c r="C26" s="19"/>
      <c r="D26" s="19"/>
      <c r="E26" s="19"/>
      <c r="F26" s="19"/>
    </row>
    <row r="27" spans="1:6" ht="28.8" x14ac:dyDescent="0.3">
      <c r="A27" s="10" t="s">
        <v>10</v>
      </c>
      <c r="B27" s="11">
        <v>45729</v>
      </c>
      <c r="C27" s="12" t="s">
        <v>12</v>
      </c>
      <c r="D27" s="12" t="s">
        <v>21</v>
      </c>
      <c r="E27" s="11">
        <v>45748</v>
      </c>
      <c r="F27" s="12" t="s">
        <v>1887</v>
      </c>
    </row>
    <row r="28" spans="1:6" ht="28.8" x14ac:dyDescent="0.3">
      <c r="B28" s="11">
        <v>45748</v>
      </c>
      <c r="C28" s="12" t="s">
        <v>22</v>
      </c>
      <c r="D28" s="12" t="s">
        <v>4</v>
      </c>
      <c r="E28" s="4" t="s">
        <v>1827</v>
      </c>
      <c r="F28" s="12" t="s">
        <v>1827</v>
      </c>
    </row>
    <row r="29" spans="1:6" x14ac:dyDescent="0.3">
      <c r="A29" s="4"/>
    </row>
    <row r="30" spans="1:6" ht="15.6" x14ac:dyDescent="0.3">
      <c r="A30" s="18" t="s">
        <v>53</v>
      </c>
      <c r="B30" s="19"/>
      <c r="C30" s="19"/>
      <c r="D30" s="19"/>
      <c r="E30" s="19"/>
      <c r="F30" s="19"/>
    </row>
    <row r="31" spans="1:6" x14ac:dyDescent="0.3">
      <c r="A31" s="10" t="s">
        <v>10</v>
      </c>
      <c r="B31" s="11">
        <v>45729</v>
      </c>
      <c r="C31" s="12" t="s">
        <v>12</v>
      </c>
      <c r="D31" s="12" t="s">
        <v>24</v>
      </c>
      <c r="E31" s="11">
        <v>45748</v>
      </c>
      <c r="F31" s="12" t="s">
        <v>1828</v>
      </c>
    </row>
    <row r="32" spans="1:6" x14ac:dyDescent="0.3">
      <c r="A32" s="4"/>
    </row>
    <row r="33" spans="1:6" ht="15.6" x14ac:dyDescent="0.3">
      <c r="A33" s="18" t="s">
        <v>57</v>
      </c>
      <c r="B33" s="19"/>
      <c r="C33" s="19"/>
      <c r="D33" s="19"/>
      <c r="E33" s="19"/>
      <c r="F33" s="19"/>
    </row>
    <row r="34" spans="1:6" x14ac:dyDescent="0.3">
      <c r="A34" s="10" t="s">
        <v>13</v>
      </c>
      <c r="B34" s="11">
        <v>45730</v>
      </c>
      <c r="C34" s="12" t="s">
        <v>12</v>
      </c>
      <c r="D34" s="12" t="s">
        <v>24</v>
      </c>
      <c r="E34" s="11">
        <v>45749</v>
      </c>
      <c r="F34" s="12" t="s">
        <v>1785</v>
      </c>
    </row>
    <row r="35" spans="1:6" x14ac:dyDescent="0.3">
      <c r="A35" s="4"/>
    </row>
    <row r="36" spans="1:6" ht="15.6" x14ac:dyDescent="0.3">
      <c r="A36" s="18" t="s">
        <v>60</v>
      </c>
      <c r="B36" s="19"/>
      <c r="C36" s="19"/>
      <c r="D36" s="19"/>
      <c r="E36" s="19"/>
      <c r="F36" s="19"/>
    </row>
    <row r="37" spans="1:6" x14ac:dyDescent="0.3">
      <c r="A37" s="10" t="s">
        <v>13</v>
      </c>
      <c r="B37" s="11">
        <v>45730</v>
      </c>
      <c r="C37" s="12" t="s">
        <v>12</v>
      </c>
      <c r="D37" s="12" t="s">
        <v>24</v>
      </c>
      <c r="E37" s="11">
        <v>45749</v>
      </c>
      <c r="F37" s="12" t="s">
        <v>1785</v>
      </c>
    </row>
    <row r="38" spans="1:6" x14ac:dyDescent="0.3">
      <c r="A38" s="4"/>
    </row>
    <row r="39" spans="1:6" ht="15.6" x14ac:dyDescent="0.3">
      <c r="A39" s="18" t="s">
        <v>63</v>
      </c>
      <c r="B39" s="19"/>
      <c r="C39" s="19"/>
      <c r="D39" s="19"/>
      <c r="E39" s="19"/>
      <c r="F39" s="19"/>
    </row>
    <row r="40" spans="1:6" ht="28.8" x14ac:dyDescent="0.3">
      <c r="A40" s="10" t="s">
        <v>13</v>
      </c>
      <c r="B40" s="11">
        <v>45730</v>
      </c>
      <c r="C40" s="12" t="s">
        <v>12</v>
      </c>
      <c r="D40" s="12" t="s">
        <v>21</v>
      </c>
      <c r="E40" s="11">
        <v>45749</v>
      </c>
      <c r="F40" s="12" t="s">
        <v>1888</v>
      </c>
    </row>
    <row r="41" spans="1:6" ht="28.8" x14ac:dyDescent="0.3">
      <c r="B41" s="11">
        <v>45749</v>
      </c>
      <c r="C41" s="12" t="s">
        <v>22</v>
      </c>
      <c r="D41" s="12" t="s">
        <v>4</v>
      </c>
      <c r="E41" s="4" t="s">
        <v>1827</v>
      </c>
      <c r="F41" s="12" t="s">
        <v>1827</v>
      </c>
    </row>
    <row r="42" spans="1:6" x14ac:dyDescent="0.3">
      <c r="A42" s="4"/>
    </row>
    <row r="43" spans="1:6" ht="15.6" x14ac:dyDescent="0.3">
      <c r="A43" s="18" t="s">
        <v>66</v>
      </c>
      <c r="B43" s="19"/>
      <c r="C43" s="19"/>
      <c r="D43" s="19"/>
      <c r="E43" s="19"/>
      <c r="F43" s="19"/>
    </row>
    <row r="44" spans="1:6" x14ac:dyDescent="0.3">
      <c r="A44" s="10" t="s">
        <v>13</v>
      </c>
      <c r="B44" s="11">
        <v>45730</v>
      </c>
      <c r="C44" s="12" t="s">
        <v>12</v>
      </c>
      <c r="D44" s="12" t="s">
        <v>24</v>
      </c>
      <c r="E44" s="11">
        <v>45749</v>
      </c>
      <c r="F44" s="12" t="s">
        <v>1785</v>
      </c>
    </row>
    <row r="45" spans="1:6" x14ac:dyDescent="0.3">
      <c r="A45" s="4"/>
    </row>
    <row r="46" spans="1:6" ht="15.6" x14ac:dyDescent="0.3">
      <c r="A46" s="18" t="s">
        <v>69</v>
      </c>
      <c r="B46" s="19"/>
      <c r="C46" s="19"/>
      <c r="D46" s="19"/>
      <c r="E46" s="19"/>
      <c r="F46" s="19"/>
    </row>
    <row r="47" spans="1:6" x14ac:dyDescent="0.3">
      <c r="A47" s="10" t="s">
        <v>13</v>
      </c>
      <c r="B47" s="11">
        <v>45730</v>
      </c>
      <c r="C47" s="12" t="s">
        <v>12</v>
      </c>
      <c r="D47" s="12" t="s">
        <v>24</v>
      </c>
      <c r="E47" s="11">
        <v>45749</v>
      </c>
      <c r="F47" s="12" t="s">
        <v>1785</v>
      </c>
    </row>
    <row r="48" spans="1:6" x14ac:dyDescent="0.3">
      <c r="A48" s="4"/>
    </row>
    <row r="49" spans="1:6" ht="15.6" x14ac:dyDescent="0.3">
      <c r="A49" s="18" t="s">
        <v>72</v>
      </c>
      <c r="B49" s="19"/>
      <c r="C49" s="19"/>
      <c r="D49" s="19"/>
      <c r="E49" s="19"/>
      <c r="F49" s="19"/>
    </row>
    <row r="50" spans="1:6" x14ac:dyDescent="0.3">
      <c r="A50" s="10" t="s">
        <v>13</v>
      </c>
      <c r="B50" s="11">
        <v>45730</v>
      </c>
      <c r="C50" s="12" t="s">
        <v>12</v>
      </c>
      <c r="D50" s="12" t="s">
        <v>24</v>
      </c>
      <c r="E50" s="11">
        <v>45749</v>
      </c>
      <c r="F50" s="12" t="s">
        <v>1785</v>
      </c>
    </row>
    <row r="51" spans="1:6" x14ac:dyDescent="0.3">
      <c r="A51" s="4"/>
    </row>
    <row r="52" spans="1:6" ht="15.6" x14ac:dyDescent="0.3">
      <c r="A52" s="18" t="s">
        <v>75</v>
      </c>
      <c r="B52" s="19"/>
      <c r="C52" s="19"/>
      <c r="D52" s="19"/>
      <c r="E52" s="19"/>
      <c r="F52" s="19"/>
    </row>
    <row r="53" spans="1:6" ht="28.8" x14ac:dyDescent="0.3">
      <c r="A53" s="10" t="s">
        <v>13</v>
      </c>
      <c r="B53" s="11">
        <v>45730</v>
      </c>
      <c r="C53" s="12" t="s">
        <v>12</v>
      </c>
      <c r="D53" s="12" t="s">
        <v>1027</v>
      </c>
      <c r="E53" s="11">
        <v>45749</v>
      </c>
      <c r="F53" s="12" t="s">
        <v>1889</v>
      </c>
    </row>
    <row r="54" spans="1:6" ht="28.8" x14ac:dyDescent="0.3">
      <c r="B54" s="11">
        <v>45749</v>
      </c>
      <c r="C54" s="12" t="s">
        <v>22</v>
      </c>
      <c r="D54" s="12" t="s">
        <v>4</v>
      </c>
      <c r="E54" s="4" t="s">
        <v>1827</v>
      </c>
      <c r="F54" s="12" t="s">
        <v>1827</v>
      </c>
    </row>
    <row r="55" spans="1:6" x14ac:dyDescent="0.3">
      <c r="A55" s="4"/>
    </row>
    <row r="56" spans="1:6" ht="15.6" x14ac:dyDescent="0.3">
      <c r="A56" s="18" t="s">
        <v>78</v>
      </c>
      <c r="B56" s="19"/>
      <c r="C56" s="19"/>
      <c r="D56" s="19"/>
      <c r="E56" s="19"/>
      <c r="F56" s="19"/>
    </row>
    <row r="57" spans="1:6" x14ac:dyDescent="0.3">
      <c r="A57" s="10" t="s">
        <v>13</v>
      </c>
      <c r="B57" s="11">
        <v>45730</v>
      </c>
      <c r="C57" s="12" t="s">
        <v>12</v>
      </c>
      <c r="D57" s="12" t="s">
        <v>24</v>
      </c>
      <c r="E57" s="11">
        <v>45749</v>
      </c>
      <c r="F57" s="12" t="s">
        <v>1785</v>
      </c>
    </row>
    <row r="58" spans="1:6" x14ac:dyDescent="0.3">
      <c r="A58" s="4"/>
    </row>
    <row r="59" spans="1:6" ht="15.6" x14ac:dyDescent="0.3">
      <c r="A59" s="18" t="s">
        <v>81</v>
      </c>
      <c r="B59" s="19"/>
      <c r="C59" s="19"/>
      <c r="D59" s="19"/>
      <c r="E59" s="19"/>
      <c r="F59" s="19"/>
    </row>
    <row r="60" spans="1:6" x14ac:dyDescent="0.3">
      <c r="A60" s="10" t="s">
        <v>13</v>
      </c>
      <c r="B60" s="11">
        <v>45730</v>
      </c>
      <c r="C60" s="12" t="s">
        <v>12</v>
      </c>
      <c r="D60" s="12" t="s">
        <v>24</v>
      </c>
      <c r="E60" s="11">
        <v>45749</v>
      </c>
      <c r="F60" s="12" t="s">
        <v>1785</v>
      </c>
    </row>
    <row r="61" spans="1:6" x14ac:dyDescent="0.3">
      <c r="A61" s="4"/>
    </row>
    <row r="62" spans="1:6" ht="15.6" x14ac:dyDescent="0.3">
      <c r="A62" s="18" t="s">
        <v>84</v>
      </c>
      <c r="B62" s="19"/>
      <c r="C62" s="19"/>
      <c r="D62" s="19"/>
      <c r="E62" s="19"/>
      <c r="F62" s="19"/>
    </row>
    <row r="63" spans="1:6" x14ac:dyDescent="0.3">
      <c r="A63" s="10" t="s">
        <v>13</v>
      </c>
      <c r="B63" s="11">
        <v>45730</v>
      </c>
      <c r="C63" s="12" t="s">
        <v>12</v>
      </c>
      <c r="D63" s="12" t="s">
        <v>24</v>
      </c>
      <c r="E63" s="11">
        <v>45749</v>
      </c>
      <c r="F63" s="12" t="s">
        <v>1785</v>
      </c>
    </row>
    <row r="64" spans="1:6" x14ac:dyDescent="0.3">
      <c r="A64" s="4"/>
    </row>
    <row r="65" spans="1:6" ht="15.6" x14ac:dyDescent="0.3">
      <c r="A65" s="18" t="s">
        <v>87</v>
      </c>
      <c r="B65" s="19"/>
      <c r="C65" s="19"/>
      <c r="D65" s="19"/>
      <c r="E65" s="19"/>
      <c r="F65" s="19"/>
    </row>
    <row r="66" spans="1:6" ht="43.2" x14ac:dyDescent="0.3">
      <c r="A66" s="10" t="s">
        <v>13</v>
      </c>
      <c r="B66" s="11">
        <v>45730</v>
      </c>
      <c r="C66" s="12" t="s">
        <v>12</v>
      </c>
      <c r="D66" s="12" t="s">
        <v>21</v>
      </c>
      <c r="E66" s="11">
        <v>45749</v>
      </c>
      <c r="F66" s="12" t="s">
        <v>1890</v>
      </c>
    </row>
    <row r="67" spans="1:6" ht="28.8" x14ac:dyDescent="0.3">
      <c r="B67" s="11">
        <v>45749</v>
      </c>
      <c r="C67" s="12" t="s">
        <v>22</v>
      </c>
      <c r="D67" s="12" t="s">
        <v>4</v>
      </c>
      <c r="E67" s="4" t="s">
        <v>1827</v>
      </c>
      <c r="F67" s="12" t="s">
        <v>1827</v>
      </c>
    </row>
    <row r="68" spans="1:6" x14ac:dyDescent="0.3">
      <c r="A68" s="4"/>
    </row>
    <row r="69" spans="1:6" ht="15.6" x14ac:dyDescent="0.3">
      <c r="A69" s="18" t="s">
        <v>90</v>
      </c>
      <c r="B69" s="19"/>
      <c r="C69" s="19"/>
      <c r="D69" s="19"/>
      <c r="E69" s="19"/>
      <c r="F69" s="19"/>
    </row>
    <row r="70" spans="1:6" ht="57.6" x14ac:dyDescent="0.3">
      <c r="A70" s="10" t="s">
        <v>13</v>
      </c>
      <c r="B70" s="11">
        <v>45730</v>
      </c>
      <c r="C70" s="12" t="s">
        <v>12</v>
      </c>
      <c r="D70" s="12" t="s">
        <v>21</v>
      </c>
      <c r="E70" s="11">
        <v>45749</v>
      </c>
      <c r="F70" s="12" t="s">
        <v>1891</v>
      </c>
    </row>
    <row r="71" spans="1:6" ht="28.8" x14ac:dyDescent="0.3">
      <c r="B71" s="11">
        <v>45749</v>
      </c>
      <c r="C71" s="12" t="s">
        <v>22</v>
      </c>
      <c r="D71" s="12" t="s">
        <v>4</v>
      </c>
      <c r="E71" s="4" t="s">
        <v>1827</v>
      </c>
      <c r="F71" s="12" t="s">
        <v>1827</v>
      </c>
    </row>
    <row r="72" spans="1:6" x14ac:dyDescent="0.3">
      <c r="A72" s="4"/>
    </row>
    <row r="73" spans="1:6" ht="15.6" x14ac:dyDescent="0.3">
      <c r="A73" s="18" t="s">
        <v>93</v>
      </c>
      <c r="B73" s="19"/>
      <c r="C73" s="19"/>
      <c r="D73" s="19"/>
      <c r="E73" s="19"/>
      <c r="F73" s="19"/>
    </row>
    <row r="74" spans="1:6" ht="28.8" x14ac:dyDescent="0.3">
      <c r="A74" s="10" t="s">
        <v>13</v>
      </c>
      <c r="B74" s="11">
        <v>45730</v>
      </c>
      <c r="C74" s="12" t="s">
        <v>12</v>
      </c>
      <c r="D74" s="12" t="s">
        <v>21</v>
      </c>
      <c r="E74" s="11">
        <v>45749</v>
      </c>
      <c r="F74" s="12" t="s">
        <v>1892</v>
      </c>
    </row>
    <row r="75" spans="1:6" ht="28.8" x14ac:dyDescent="0.3">
      <c r="B75" s="11">
        <v>45749</v>
      </c>
      <c r="C75" s="12" t="s">
        <v>22</v>
      </c>
      <c r="D75" s="12" t="s">
        <v>4</v>
      </c>
      <c r="E75" s="4" t="s">
        <v>1827</v>
      </c>
      <c r="F75" s="12" t="s">
        <v>1827</v>
      </c>
    </row>
    <row r="76" spans="1:6" x14ac:dyDescent="0.3">
      <c r="A76" s="4"/>
    </row>
    <row r="77" spans="1:6" ht="15.6" x14ac:dyDescent="0.3">
      <c r="A77" s="18" t="s">
        <v>96</v>
      </c>
      <c r="B77" s="19"/>
      <c r="C77" s="19"/>
      <c r="D77" s="19"/>
      <c r="E77" s="19"/>
      <c r="F77" s="19"/>
    </row>
    <row r="78" spans="1:6" x14ac:dyDescent="0.3">
      <c r="A78" s="10" t="s">
        <v>13</v>
      </c>
      <c r="B78" s="11">
        <v>45730</v>
      </c>
      <c r="C78" s="12" t="s">
        <v>12</v>
      </c>
      <c r="D78" s="12" t="s">
        <v>24</v>
      </c>
      <c r="E78" s="11">
        <v>45749</v>
      </c>
      <c r="F78" s="12" t="s">
        <v>1785</v>
      </c>
    </row>
    <row r="79" spans="1:6" x14ac:dyDescent="0.3">
      <c r="A79" s="4"/>
    </row>
    <row r="80" spans="1:6" ht="15.6" x14ac:dyDescent="0.3">
      <c r="A80" s="18" t="s">
        <v>99</v>
      </c>
      <c r="B80" s="19"/>
      <c r="C80" s="19"/>
      <c r="D80" s="19"/>
      <c r="E80" s="19"/>
      <c r="F80" s="19"/>
    </row>
    <row r="81" spans="1:6" x14ac:dyDescent="0.3">
      <c r="A81" s="10" t="s">
        <v>13</v>
      </c>
      <c r="B81" s="11">
        <v>45730</v>
      </c>
      <c r="C81" s="12" t="s">
        <v>12</v>
      </c>
      <c r="D81" s="12" t="s">
        <v>24</v>
      </c>
      <c r="E81" s="11">
        <v>45749</v>
      </c>
      <c r="F81" s="12" t="s">
        <v>1785</v>
      </c>
    </row>
    <row r="82" spans="1:6" x14ac:dyDescent="0.3">
      <c r="A82" s="4"/>
    </row>
    <row r="83" spans="1:6" ht="15.6" x14ac:dyDescent="0.3">
      <c r="A83" s="18" t="s">
        <v>102</v>
      </c>
      <c r="B83" s="19"/>
      <c r="C83" s="19"/>
      <c r="D83" s="19"/>
      <c r="E83" s="19"/>
      <c r="F83" s="19"/>
    </row>
    <row r="84" spans="1:6" ht="57.6" x14ac:dyDescent="0.3">
      <c r="A84" s="10" t="s">
        <v>13</v>
      </c>
      <c r="B84" s="11">
        <v>45730</v>
      </c>
      <c r="C84" s="12" t="s">
        <v>12</v>
      </c>
      <c r="D84" s="12" t="s">
        <v>1027</v>
      </c>
      <c r="E84" s="11">
        <v>45749</v>
      </c>
      <c r="F84" s="12" t="s">
        <v>1893</v>
      </c>
    </row>
    <row r="85" spans="1:6" ht="28.8" x14ac:dyDescent="0.3">
      <c r="B85" s="11">
        <v>45749</v>
      </c>
      <c r="C85" s="12" t="s">
        <v>22</v>
      </c>
      <c r="D85" s="12" t="s">
        <v>4</v>
      </c>
      <c r="E85" s="4" t="s">
        <v>1827</v>
      </c>
      <c r="F85" s="12" t="s">
        <v>1827</v>
      </c>
    </row>
    <row r="86" spans="1:6" x14ac:dyDescent="0.3">
      <c r="A86" s="4"/>
    </row>
    <row r="87" spans="1:6" ht="15.6" x14ac:dyDescent="0.3">
      <c r="A87" s="18" t="s">
        <v>105</v>
      </c>
      <c r="B87" s="19"/>
      <c r="C87" s="19"/>
      <c r="D87" s="19"/>
      <c r="E87" s="19"/>
      <c r="F87" s="19"/>
    </row>
    <row r="88" spans="1:6" x14ac:dyDescent="0.3">
      <c r="A88" s="10" t="s">
        <v>13</v>
      </c>
      <c r="B88" s="11">
        <v>45730</v>
      </c>
      <c r="C88" s="12" t="s">
        <v>12</v>
      </c>
      <c r="D88" s="12" t="s">
        <v>24</v>
      </c>
      <c r="E88" s="11">
        <v>45749</v>
      </c>
      <c r="F88" s="12" t="s">
        <v>1785</v>
      </c>
    </row>
    <row r="89" spans="1:6" x14ac:dyDescent="0.3">
      <c r="A89" s="4"/>
    </row>
    <row r="90" spans="1:6" ht="15.6" x14ac:dyDescent="0.3">
      <c r="A90" s="18" t="s">
        <v>108</v>
      </c>
      <c r="B90" s="19"/>
      <c r="C90" s="19"/>
      <c r="D90" s="19"/>
      <c r="E90" s="19"/>
      <c r="F90" s="19"/>
    </row>
    <row r="91" spans="1:6" x14ac:dyDescent="0.3">
      <c r="A91" s="10" t="s">
        <v>13</v>
      </c>
      <c r="B91" s="11">
        <v>45730</v>
      </c>
      <c r="C91" s="12" t="s">
        <v>12</v>
      </c>
      <c r="D91" s="12" t="s">
        <v>24</v>
      </c>
      <c r="E91" s="11">
        <v>45749</v>
      </c>
      <c r="F91" s="12" t="s">
        <v>1785</v>
      </c>
    </row>
    <row r="92" spans="1:6" x14ac:dyDescent="0.3">
      <c r="A92" s="4"/>
    </row>
    <row r="93" spans="1:6" ht="15.6" x14ac:dyDescent="0.3">
      <c r="A93" s="18" t="s">
        <v>111</v>
      </c>
      <c r="B93" s="19"/>
      <c r="C93" s="19"/>
      <c r="D93" s="19"/>
      <c r="E93" s="19"/>
      <c r="F93" s="19"/>
    </row>
    <row r="94" spans="1:6" x14ac:dyDescent="0.3">
      <c r="A94" s="10" t="s">
        <v>13</v>
      </c>
      <c r="B94" s="11">
        <v>45730</v>
      </c>
      <c r="C94" s="12" t="s">
        <v>12</v>
      </c>
      <c r="D94" s="12" t="s">
        <v>24</v>
      </c>
      <c r="E94" s="11">
        <v>45749</v>
      </c>
      <c r="F94" s="12" t="s">
        <v>1785</v>
      </c>
    </row>
    <row r="95" spans="1:6" x14ac:dyDescent="0.3">
      <c r="A95" s="4"/>
    </row>
    <row r="96" spans="1:6" ht="15.6" x14ac:dyDescent="0.3">
      <c r="A96" s="18" t="s">
        <v>114</v>
      </c>
      <c r="B96" s="19"/>
      <c r="C96" s="19"/>
      <c r="D96" s="19"/>
      <c r="E96" s="19"/>
      <c r="F96" s="19"/>
    </row>
    <row r="97" spans="1:6" ht="43.2" x14ac:dyDescent="0.3">
      <c r="A97" s="10" t="s">
        <v>13</v>
      </c>
      <c r="B97" s="11">
        <v>45730</v>
      </c>
      <c r="C97" s="12" t="s">
        <v>12</v>
      </c>
      <c r="D97" s="12" t="s">
        <v>1027</v>
      </c>
      <c r="E97" s="11">
        <v>45749</v>
      </c>
      <c r="F97" s="12" t="s">
        <v>1894</v>
      </c>
    </row>
    <row r="98" spans="1:6" ht="28.8" x14ac:dyDescent="0.3">
      <c r="B98" s="11">
        <v>45749</v>
      </c>
      <c r="C98" s="12" t="s">
        <v>22</v>
      </c>
      <c r="D98" s="12" t="s">
        <v>4</v>
      </c>
      <c r="E98" s="4" t="s">
        <v>1827</v>
      </c>
      <c r="F98" s="12" t="s">
        <v>1827</v>
      </c>
    </row>
    <row r="99" spans="1:6" x14ac:dyDescent="0.3">
      <c r="A99" s="4"/>
    </row>
    <row r="100" spans="1:6" ht="15.6" x14ac:dyDescent="0.3">
      <c r="A100" s="18" t="s">
        <v>117</v>
      </c>
      <c r="B100" s="19"/>
      <c r="C100" s="19"/>
      <c r="D100" s="19"/>
      <c r="E100" s="19"/>
      <c r="F100" s="19"/>
    </row>
    <row r="101" spans="1:6" x14ac:dyDescent="0.3">
      <c r="A101" s="10" t="s">
        <v>13</v>
      </c>
      <c r="B101" s="11">
        <v>45730</v>
      </c>
      <c r="C101" s="12" t="s">
        <v>12</v>
      </c>
      <c r="D101" s="12" t="s">
        <v>24</v>
      </c>
      <c r="E101" s="11">
        <v>45749</v>
      </c>
      <c r="F101" s="12" t="s">
        <v>1785</v>
      </c>
    </row>
    <row r="102" spans="1:6" x14ac:dyDescent="0.3">
      <c r="A102" s="4"/>
    </row>
    <row r="103" spans="1:6" ht="15.6" x14ac:dyDescent="0.3">
      <c r="A103" s="18" t="s">
        <v>120</v>
      </c>
      <c r="B103" s="19"/>
      <c r="C103" s="19"/>
      <c r="D103" s="19"/>
      <c r="E103" s="19"/>
      <c r="F103" s="19"/>
    </row>
    <row r="104" spans="1:6" x14ac:dyDescent="0.3">
      <c r="A104" s="10" t="s">
        <v>13</v>
      </c>
      <c r="B104" s="11">
        <v>45730</v>
      </c>
      <c r="C104" s="12" t="s">
        <v>12</v>
      </c>
      <c r="D104" s="12" t="s">
        <v>24</v>
      </c>
      <c r="E104" s="11">
        <v>45749</v>
      </c>
      <c r="F104" s="12" t="s">
        <v>1785</v>
      </c>
    </row>
    <row r="105" spans="1:6" x14ac:dyDescent="0.3">
      <c r="A105" s="4"/>
    </row>
    <row r="106" spans="1:6" ht="15.6" x14ac:dyDescent="0.3">
      <c r="A106" s="18" t="s">
        <v>123</v>
      </c>
      <c r="B106" s="19"/>
      <c r="C106" s="19"/>
      <c r="D106" s="19"/>
      <c r="E106" s="19"/>
      <c r="F106" s="19"/>
    </row>
    <row r="107" spans="1:6" x14ac:dyDescent="0.3">
      <c r="A107" s="10" t="s">
        <v>13</v>
      </c>
      <c r="B107" s="11">
        <v>45730</v>
      </c>
      <c r="C107" s="12" t="s">
        <v>12</v>
      </c>
      <c r="D107" s="12" t="s">
        <v>21</v>
      </c>
      <c r="E107" s="11">
        <v>45748</v>
      </c>
      <c r="F107" s="12" t="s">
        <v>1829</v>
      </c>
    </row>
    <row r="108" spans="1:6" ht="28.8" x14ac:dyDescent="0.3">
      <c r="B108" s="11">
        <v>45748</v>
      </c>
      <c r="C108" s="12" t="s">
        <v>22</v>
      </c>
      <c r="D108" s="12" t="s">
        <v>4</v>
      </c>
      <c r="E108" s="4" t="s">
        <v>1827</v>
      </c>
      <c r="F108" s="12" t="s">
        <v>1827</v>
      </c>
    </row>
    <row r="109" spans="1:6" x14ac:dyDescent="0.3">
      <c r="A109" s="4"/>
    </row>
    <row r="110" spans="1:6" ht="15.6" x14ac:dyDescent="0.3">
      <c r="A110" s="18" t="s">
        <v>126</v>
      </c>
      <c r="B110" s="19"/>
      <c r="C110" s="19"/>
      <c r="D110" s="19"/>
      <c r="E110" s="19"/>
      <c r="F110" s="19"/>
    </row>
    <row r="111" spans="1:6" ht="57.6" x14ac:dyDescent="0.3">
      <c r="A111" s="10" t="s">
        <v>10</v>
      </c>
      <c r="B111" s="11">
        <v>45730</v>
      </c>
      <c r="C111" s="12" t="s">
        <v>12</v>
      </c>
      <c r="D111" s="12" t="s">
        <v>1027</v>
      </c>
      <c r="E111" s="11">
        <v>45754</v>
      </c>
      <c r="F111" s="12" t="s">
        <v>1937</v>
      </c>
    </row>
    <row r="112" spans="1:6" ht="28.8" x14ac:dyDescent="0.3">
      <c r="B112" s="11">
        <v>45754</v>
      </c>
      <c r="C112" s="12" t="s">
        <v>22</v>
      </c>
      <c r="D112" s="12" t="s">
        <v>4</v>
      </c>
      <c r="E112" s="4" t="s">
        <v>1827</v>
      </c>
      <c r="F112" s="12" t="s">
        <v>1827</v>
      </c>
    </row>
    <row r="113" spans="1:6" x14ac:dyDescent="0.3">
      <c r="A113" s="4"/>
    </row>
    <row r="114" spans="1:6" ht="15.6" x14ac:dyDescent="0.3">
      <c r="A114" s="18" t="s">
        <v>129</v>
      </c>
      <c r="B114" s="19"/>
      <c r="C114" s="19"/>
      <c r="D114" s="19"/>
      <c r="E114" s="19"/>
      <c r="F114" s="19"/>
    </row>
    <row r="115" spans="1:6" ht="57.6" x14ac:dyDescent="0.3">
      <c r="A115" s="10" t="s">
        <v>10</v>
      </c>
      <c r="B115" s="11">
        <v>45730</v>
      </c>
      <c r="C115" s="12" t="s">
        <v>12</v>
      </c>
      <c r="D115" s="12" t="s">
        <v>1027</v>
      </c>
      <c r="E115" s="11">
        <v>45754</v>
      </c>
      <c r="F115" s="12" t="s">
        <v>1938</v>
      </c>
    </row>
    <row r="116" spans="1:6" ht="28.8" x14ac:dyDescent="0.3">
      <c r="B116" s="11">
        <v>45754</v>
      </c>
      <c r="C116" s="12" t="s">
        <v>22</v>
      </c>
      <c r="D116" s="12" t="s">
        <v>4</v>
      </c>
      <c r="E116" s="4" t="s">
        <v>1827</v>
      </c>
      <c r="F116" s="12" t="s">
        <v>1827</v>
      </c>
    </row>
    <row r="117" spans="1:6" x14ac:dyDescent="0.3">
      <c r="A117" s="4"/>
    </row>
    <row r="118" spans="1:6" ht="15.6" x14ac:dyDescent="0.3">
      <c r="A118" s="18" t="s">
        <v>132</v>
      </c>
      <c r="B118" s="19"/>
      <c r="C118" s="19"/>
      <c r="D118" s="19"/>
      <c r="E118" s="19"/>
      <c r="F118" s="19"/>
    </row>
    <row r="119" spans="1:6" ht="28.8" x14ac:dyDescent="0.3">
      <c r="A119" s="10" t="s">
        <v>10</v>
      </c>
      <c r="B119" s="11">
        <v>45730</v>
      </c>
      <c r="C119" s="12" t="s">
        <v>12</v>
      </c>
      <c r="D119" s="12" t="s">
        <v>1027</v>
      </c>
      <c r="E119" s="11">
        <v>45754</v>
      </c>
      <c r="F119" s="12" t="s">
        <v>1939</v>
      </c>
    </row>
    <row r="120" spans="1:6" ht="28.8" x14ac:dyDescent="0.3">
      <c r="B120" s="11">
        <v>45754</v>
      </c>
      <c r="C120" s="12" t="s">
        <v>22</v>
      </c>
      <c r="D120" s="12" t="s">
        <v>4</v>
      </c>
      <c r="E120" s="4" t="s">
        <v>1827</v>
      </c>
      <c r="F120" s="12" t="s">
        <v>1827</v>
      </c>
    </row>
    <row r="121" spans="1:6" x14ac:dyDescent="0.3">
      <c r="A121" s="4"/>
    </row>
    <row r="122" spans="1:6" ht="15.6" x14ac:dyDescent="0.3">
      <c r="A122" s="18" t="s">
        <v>135</v>
      </c>
      <c r="B122" s="19"/>
      <c r="C122" s="19"/>
      <c r="D122" s="19"/>
      <c r="E122" s="19"/>
      <c r="F122" s="19"/>
    </row>
    <row r="123" spans="1:6" ht="28.8" x14ac:dyDescent="0.3">
      <c r="A123" s="10" t="s">
        <v>10</v>
      </c>
      <c r="B123" s="11">
        <v>45730</v>
      </c>
      <c r="C123" s="12" t="s">
        <v>12</v>
      </c>
      <c r="D123" s="12" t="s">
        <v>1027</v>
      </c>
      <c r="E123" s="11">
        <v>45754</v>
      </c>
      <c r="F123" s="12" t="s">
        <v>1940</v>
      </c>
    </row>
    <row r="124" spans="1:6" ht="28.8" x14ac:dyDescent="0.3">
      <c r="B124" s="11">
        <v>45754</v>
      </c>
      <c r="C124" s="12" t="s">
        <v>22</v>
      </c>
      <c r="D124" s="12" t="s">
        <v>4</v>
      </c>
      <c r="E124" s="4" t="s">
        <v>1827</v>
      </c>
      <c r="F124" s="12" t="s">
        <v>1827</v>
      </c>
    </row>
    <row r="125" spans="1:6" x14ac:dyDescent="0.3">
      <c r="A125" s="4"/>
    </row>
    <row r="126" spans="1:6" ht="15.6" x14ac:dyDescent="0.3">
      <c r="A126" s="18" t="s">
        <v>138</v>
      </c>
      <c r="B126" s="19"/>
      <c r="C126" s="19"/>
      <c r="D126" s="19"/>
      <c r="E126" s="19"/>
      <c r="F126" s="19"/>
    </row>
    <row r="127" spans="1:6" x14ac:dyDescent="0.3">
      <c r="A127" s="10" t="s">
        <v>10</v>
      </c>
      <c r="B127" s="11">
        <v>45730</v>
      </c>
      <c r="C127" s="12" t="s">
        <v>12</v>
      </c>
      <c r="D127" s="12" t="s">
        <v>24</v>
      </c>
      <c r="E127" s="11">
        <v>45754</v>
      </c>
      <c r="F127" s="12" t="s">
        <v>1827</v>
      </c>
    </row>
    <row r="128" spans="1:6" x14ac:dyDescent="0.3">
      <c r="A128" s="4"/>
    </row>
    <row r="129" spans="1:6" ht="15.6" x14ac:dyDescent="0.3">
      <c r="A129" s="18" t="s">
        <v>141</v>
      </c>
      <c r="B129" s="19"/>
      <c r="C129" s="19"/>
      <c r="D129" s="19"/>
      <c r="E129" s="19"/>
      <c r="F129" s="19"/>
    </row>
    <row r="130" spans="1:6" x14ac:dyDescent="0.3">
      <c r="A130" s="10" t="s">
        <v>10</v>
      </c>
      <c r="B130" s="11">
        <v>45730</v>
      </c>
      <c r="C130" s="12" t="s">
        <v>12</v>
      </c>
      <c r="D130" s="12" t="s">
        <v>24</v>
      </c>
      <c r="E130" s="11">
        <v>45754</v>
      </c>
      <c r="F130" s="12" t="s">
        <v>1827</v>
      </c>
    </row>
    <row r="131" spans="1:6" x14ac:dyDescent="0.3">
      <c r="A131" s="4"/>
    </row>
    <row r="132" spans="1:6" ht="15.6" x14ac:dyDescent="0.3">
      <c r="A132" s="18" t="s">
        <v>144</v>
      </c>
      <c r="B132" s="19"/>
      <c r="C132" s="19"/>
      <c r="D132" s="19"/>
      <c r="E132" s="19"/>
      <c r="F132" s="19"/>
    </row>
    <row r="133" spans="1:6" x14ac:dyDescent="0.3">
      <c r="A133" s="10" t="s">
        <v>10</v>
      </c>
      <c r="B133" s="11">
        <v>45730</v>
      </c>
      <c r="C133" s="12" t="s">
        <v>12</v>
      </c>
      <c r="D133" s="12" t="s">
        <v>24</v>
      </c>
      <c r="E133" s="11">
        <v>45754</v>
      </c>
      <c r="F133" s="12" t="s">
        <v>1827</v>
      </c>
    </row>
    <row r="134" spans="1:6" x14ac:dyDescent="0.3">
      <c r="A134" s="4"/>
    </row>
    <row r="135" spans="1:6" ht="15.6" x14ac:dyDescent="0.3">
      <c r="A135" s="18" t="s">
        <v>147</v>
      </c>
      <c r="B135" s="19"/>
      <c r="C135" s="19"/>
      <c r="D135" s="19"/>
      <c r="E135" s="19"/>
      <c r="F135" s="19"/>
    </row>
    <row r="136" spans="1:6" ht="28.8" x14ac:dyDescent="0.3">
      <c r="A136" s="10" t="s">
        <v>13</v>
      </c>
      <c r="B136" s="11">
        <v>45730</v>
      </c>
      <c r="C136" s="12" t="s">
        <v>12</v>
      </c>
      <c r="D136" s="12" t="s">
        <v>21</v>
      </c>
      <c r="E136" s="11">
        <v>45743</v>
      </c>
      <c r="F136" s="12" t="s">
        <v>1779</v>
      </c>
    </row>
    <row r="137" spans="1:6" ht="28.8" x14ac:dyDescent="0.3">
      <c r="B137" s="11">
        <v>45743</v>
      </c>
      <c r="C137" s="12" t="s">
        <v>22</v>
      </c>
      <c r="D137" s="12" t="s">
        <v>4</v>
      </c>
      <c r="E137" s="4" t="s">
        <v>1827</v>
      </c>
      <c r="F137" s="12" t="s">
        <v>1827</v>
      </c>
    </row>
    <row r="138" spans="1:6" x14ac:dyDescent="0.3">
      <c r="A138" s="4"/>
    </row>
    <row r="139" spans="1:6" ht="15.6" x14ac:dyDescent="0.3">
      <c r="A139" s="18" t="s">
        <v>150</v>
      </c>
      <c r="B139" s="19"/>
      <c r="C139" s="19"/>
      <c r="D139" s="19"/>
      <c r="E139" s="19"/>
      <c r="F139" s="19"/>
    </row>
    <row r="140" spans="1:6" x14ac:dyDescent="0.3">
      <c r="A140" s="10" t="s">
        <v>13</v>
      </c>
      <c r="B140" s="11">
        <v>45730</v>
      </c>
      <c r="C140" s="12" t="s">
        <v>12</v>
      </c>
      <c r="D140" s="12" t="s">
        <v>21</v>
      </c>
      <c r="E140" s="11">
        <v>45743</v>
      </c>
      <c r="F140" s="12" t="s">
        <v>1780</v>
      </c>
    </row>
    <row r="141" spans="1:6" ht="28.8" x14ac:dyDescent="0.3">
      <c r="B141" s="11">
        <v>45743</v>
      </c>
      <c r="C141" s="12" t="s">
        <v>22</v>
      </c>
      <c r="D141" s="12" t="s">
        <v>4</v>
      </c>
      <c r="E141" s="4" t="s">
        <v>1827</v>
      </c>
      <c r="F141" s="12" t="s">
        <v>1827</v>
      </c>
    </row>
    <row r="142" spans="1:6" x14ac:dyDescent="0.3">
      <c r="A142" s="4"/>
    </row>
    <row r="143" spans="1:6" ht="15.6" x14ac:dyDescent="0.3">
      <c r="A143" s="18" t="s">
        <v>153</v>
      </c>
      <c r="B143" s="19"/>
      <c r="C143" s="19"/>
      <c r="D143" s="19"/>
      <c r="E143" s="19"/>
      <c r="F143" s="19"/>
    </row>
    <row r="144" spans="1:6" x14ac:dyDescent="0.3">
      <c r="A144" s="10" t="s">
        <v>13</v>
      </c>
      <c r="B144" s="11">
        <v>45730</v>
      </c>
      <c r="C144" s="12" t="s">
        <v>12</v>
      </c>
      <c r="D144" s="12" t="s">
        <v>21</v>
      </c>
      <c r="E144" s="11">
        <v>45743</v>
      </c>
      <c r="F144" s="12" t="s">
        <v>1780</v>
      </c>
    </row>
    <row r="145" spans="1:6" ht="28.8" x14ac:dyDescent="0.3">
      <c r="B145" s="11">
        <v>45743</v>
      </c>
      <c r="C145" s="12" t="s">
        <v>22</v>
      </c>
      <c r="D145" s="12" t="s">
        <v>4</v>
      </c>
      <c r="E145" s="4" t="s">
        <v>1827</v>
      </c>
      <c r="F145" s="12" t="s">
        <v>1827</v>
      </c>
    </row>
    <row r="146" spans="1:6" x14ac:dyDescent="0.3">
      <c r="A146" s="4"/>
    </row>
    <row r="147" spans="1:6" ht="15.6" x14ac:dyDescent="0.3">
      <c r="A147" s="18" t="s">
        <v>156</v>
      </c>
      <c r="B147" s="19"/>
      <c r="C147" s="19"/>
      <c r="D147" s="19"/>
      <c r="E147" s="19"/>
      <c r="F147" s="19"/>
    </row>
    <row r="148" spans="1:6" ht="43.2" x14ac:dyDescent="0.3">
      <c r="A148" s="10" t="s">
        <v>10</v>
      </c>
      <c r="B148" s="11">
        <v>45730</v>
      </c>
      <c r="C148" s="12" t="s">
        <v>12</v>
      </c>
      <c r="D148" s="12" t="s">
        <v>21</v>
      </c>
      <c r="E148" s="11">
        <v>45743</v>
      </c>
      <c r="F148" s="12" t="s">
        <v>1781</v>
      </c>
    </row>
    <row r="149" spans="1:6" ht="28.8" x14ac:dyDescent="0.3">
      <c r="B149" s="11">
        <v>45743</v>
      </c>
      <c r="C149" s="12" t="s">
        <v>22</v>
      </c>
      <c r="D149" s="12" t="s">
        <v>4</v>
      </c>
      <c r="E149" s="4" t="s">
        <v>1827</v>
      </c>
      <c r="F149" s="12" t="s">
        <v>1827</v>
      </c>
    </row>
    <row r="150" spans="1:6" x14ac:dyDescent="0.3">
      <c r="A150" s="4"/>
    </row>
    <row r="151" spans="1:6" ht="15.6" x14ac:dyDescent="0.3">
      <c r="A151" s="18" t="s">
        <v>159</v>
      </c>
      <c r="B151" s="19"/>
      <c r="C151" s="19"/>
      <c r="D151" s="19"/>
      <c r="E151" s="19"/>
      <c r="F151" s="19"/>
    </row>
    <row r="152" spans="1:6" ht="43.2" x14ac:dyDescent="0.3">
      <c r="A152" s="10" t="s">
        <v>10</v>
      </c>
      <c r="B152" s="11">
        <v>45730</v>
      </c>
      <c r="C152" s="12" t="s">
        <v>12</v>
      </c>
      <c r="D152" s="12" t="s">
        <v>21</v>
      </c>
      <c r="E152" s="11">
        <v>45743</v>
      </c>
      <c r="F152" s="12" t="s">
        <v>1782</v>
      </c>
    </row>
    <row r="153" spans="1:6" ht="28.8" x14ac:dyDescent="0.3">
      <c r="B153" s="11">
        <v>45743</v>
      </c>
      <c r="C153" s="12" t="s">
        <v>22</v>
      </c>
      <c r="D153" s="12" t="s">
        <v>4</v>
      </c>
      <c r="E153" s="4" t="s">
        <v>1827</v>
      </c>
      <c r="F153" s="12" t="s">
        <v>1827</v>
      </c>
    </row>
    <row r="154" spans="1:6" x14ac:dyDescent="0.3">
      <c r="A154" s="4"/>
    </row>
    <row r="155" spans="1:6" ht="15.6" x14ac:dyDescent="0.3">
      <c r="A155" s="18" t="s">
        <v>162</v>
      </c>
      <c r="B155" s="19"/>
      <c r="C155" s="19"/>
      <c r="D155" s="19"/>
      <c r="E155" s="19"/>
      <c r="F155" s="19"/>
    </row>
    <row r="156" spans="1:6" ht="28.8" x14ac:dyDescent="0.3">
      <c r="A156" s="10" t="s">
        <v>10</v>
      </c>
      <c r="B156" s="11">
        <v>45730</v>
      </c>
      <c r="C156" s="12" t="s">
        <v>12</v>
      </c>
      <c r="D156" s="12" t="s">
        <v>21</v>
      </c>
      <c r="E156" s="11">
        <v>45743</v>
      </c>
      <c r="F156" s="12" t="s">
        <v>1783</v>
      </c>
    </row>
    <row r="157" spans="1:6" ht="28.8" x14ac:dyDescent="0.3">
      <c r="B157" s="11">
        <v>45743</v>
      </c>
      <c r="C157" s="12" t="s">
        <v>22</v>
      </c>
      <c r="D157" s="12" t="s">
        <v>4</v>
      </c>
      <c r="E157" s="4" t="s">
        <v>1827</v>
      </c>
      <c r="F157" s="12" t="s">
        <v>1827</v>
      </c>
    </row>
    <row r="158" spans="1:6" x14ac:dyDescent="0.3">
      <c r="A158" s="4"/>
    </row>
    <row r="159" spans="1:6" ht="15.6" x14ac:dyDescent="0.3">
      <c r="A159" s="18" t="s">
        <v>165</v>
      </c>
      <c r="B159" s="19"/>
      <c r="C159" s="19"/>
      <c r="D159" s="19"/>
      <c r="E159" s="19"/>
      <c r="F159" s="19"/>
    </row>
    <row r="160" spans="1:6" ht="28.8" x14ac:dyDescent="0.3">
      <c r="A160" s="10" t="s">
        <v>13</v>
      </c>
      <c r="B160" s="11">
        <v>45730</v>
      </c>
      <c r="C160" s="12" t="s">
        <v>12</v>
      </c>
      <c r="D160" s="12" t="s">
        <v>1027</v>
      </c>
      <c r="E160" s="11">
        <v>45743</v>
      </c>
      <c r="F160" s="12" t="s">
        <v>1784</v>
      </c>
    </row>
    <row r="161" spans="1:6" ht="28.8" x14ac:dyDescent="0.3">
      <c r="B161" s="11">
        <v>45743</v>
      </c>
      <c r="C161" s="12" t="s">
        <v>22</v>
      </c>
      <c r="D161" s="12" t="s">
        <v>4</v>
      </c>
      <c r="E161" s="4" t="s">
        <v>1827</v>
      </c>
      <c r="F161" s="12" t="s">
        <v>1827</v>
      </c>
    </row>
    <row r="162" spans="1:6" x14ac:dyDescent="0.3">
      <c r="A162" s="4"/>
    </row>
    <row r="163" spans="1:6" ht="15.6" x14ac:dyDescent="0.3">
      <c r="A163" s="18" t="s">
        <v>168</v>
      </c>
      <c r="B163" s="19"/>
      <c r="C163" s="19"/>
      <c r="D163" s="19"/>
      <c r="E163" s="19"/>
      <c r="F163" s="19"/>
    </row>
    <row r="164" spans="1:6" x14ac:dyDescent="0.3">
      <c r="A164" s="10" t="s">
        <v>13</v>
      </c>
      <c r="B164" s="11">
        <v>45730</v>
      </c>
      <c r="C164" s="12" t="s">
        <v>12</v>
      </c>
      <c r="D164" s="12" t="s">
        <v>24</v>
      </c>
      <c r="E164" s="11">
        <v>45743</v>
      </c>
      <c r="F164" s="12" t="s">
        <v>1785</v>
      </c>
    </row>
    <row r="165" spans="1:6" x14ac:dyDescent="0.3">
      <c r="A165" s="4"/>
    </row>
    <row r="166" spans="1:6" ht="15.6" x14ac:dyDescent="0.3">
      <c r="A166" s="18" t="s">
        <v>171</v>
      </c>
      <c r="B166" s="19"/>
      <c r="C166" s="19"/>
      <c r="D166" s="19"/>
      <c r="E166" s="19"/>
      <c r="F166" s="19"/>
    </row>
    <row r="167" spans="1:6" x14ac:dyDescent="0.3">
      <c r="A167" s="10" t="s">
        <v>13</v>
      </c>
      <c r="B167" s="11">
        <v>45730</v>
      </c>
      <c r="C167" s="12" t="s">
        <v>12</v>
      </c>
      <c r="D167" s="12" t="s">
        <v>24</v>
      </c>
      <c r="E167" s="11">
        <v>45743</v>
      </c>
      <c r="F167" s="12" t="s">
        <v>1785</v>
      </c>
    </row>
    <row r="168" spans="1:6" x14ac:dyDescent="0.3">
      <c r="A168" s="4"/>
    </row>
    <row r="169" spans="1:6" ht="15.6" x14ac:dyDescent="0.3">
      <c r="A169" s="18" t="s">
        <v>174</v>
      </c>
      <c r="B169" s="19"/>
      <c r="C169" s="19"/>
      <c r="D169" s="19"/>
      <c r="E169" s="19"/>
      <c r="F169" s="19"/>
    </row>
    <row r="170" spans="1:6" x14ac:dyDescent="0.3">
      <c r="A170" s="10" t="s">
        <v>13</v>
      </c>
      <c r="B170" s="11">
        <v>45730</v>
      </c>
      <c r="C170" s="12" t="s">
        <v>12</v>
      </c>
      <c r="D170" s="12" t="s">
        <v>24</v>
      </c>
      <c r="E170" s="11">
        <v>45743</v>
      </c>
      <c r="F170" s="12" t="s">
        <v>1785</v>
      </c>
    </row>
    <row r="171" spans="1:6" x14ac:dyDescent="0.3">
      <c r="A171" s="4"/>
    </row>
    <row r="172" spans="1:6" ht="15.6" x14ac:dyDescent="0.3">
      <c r="A172" s="18" t="s">
        <v>177</v>
      </c>
      <c r="B172" s="19"/>
      <c r="C172" s="19"/>
      <c r="D172" s="19"/>
      <c r="E172" s="19"/>
      <c r="F172" s="19"/>
    </row>
    <row r="173" spans="1:6" x14ac:dyDescent="0.3">
      <c r="A173" s="10" t="s">
        <v>13</v>
      </c>
      <c r="B173" s="11">
        <v>45730</v>
      </c>
      <c r="C173" s="12" t="s">
        <v>12</v>
      </c>
      <c r="D173" s="12" t="s">
        <v>24</v>
      </c>
      <c r="E173" s="11">
        <v>45743</v>
      </c>
      <c r="F173" s="12" t="s">
        <v>1785</v>
      </c>
    </row>
    <row r="174" spans="1:6" x14ac:dyDescent="0.3">
      <c r="A174" s="4"/>
    </row>
    <row r="175" spans="1:6" ht="15.6" x14ac:dyDescent="0.3">
      <c r="A175" s="18" t="s">
        <v>180</v>
      </c>
      <c r="B175" s="19"/>
      <c r="C175" s="19"/>
      <c r="D175" s="19"/>
      <c r="E175" s="19"/>
      <c r="F175" s="19"/>
    </row>
    <row r="176" spans="1:6" x14ac:dyDescent="0.3">
      <c r="A176" s="10" t="s">
        <v>13</v>
      </c>
      <c r="B176" s="11">
        <v>45730</v>
      </c>
      <c r="C176" s="12" t="s">
        <v>12</v>
      </c>
      <c r="D176" s="12" t="s">
        <v>24</v>
      </c>
      <c r="E176" s="11">
        <v>45743</v>
      </c>
      <c r="F176" s="12" t="s">
        <v>1785</v>
      </c>
    </row>
    <row r="177" spans="1:6" x14ac:dyDescent="0.3">
      <c r="A177" s="4"/>
    </row>
    <row r="178" spans="1:6" ht="15.6" x14ac:dyDescent="0.3">
      <c r="A178" s="18" t="s">
        <v>183</v>
      </c>
      <c r="B178" s="19"/>
      <c r="C178" s="19"/>
      <c r="D178" s="19"/>
      <c r="E178" s="19"/>
      <c r="F178" s="19"/>
    </row>
    <row r="179" spans="1:6" x14ac:dyDescent="0.3">
      <c r="A179" s="10" t="s">
        <v>13</v>
      </c>
      <c r="B179" s="11">
        <v>45730</v>
      </c>
      <c r="C179" s="12" t="s">
        <v>12</v>
      </c>
      <c r="D179" s="12" t="s">
        <v>24</v>
      </c>
      <c r="E179" s="11">
        <v>45743</v>
      </c>
      <c r="F179" s="12" t="s">
        <v>1785</v>
      </c>
    </row>
    <row r="180" spans="1:6" x14ac:dyDescent="0.3">
      <c r="A180" s="4"/>
    </row>
    <row r="181" spans="1:6" ht="15.6" x14ac:dyDescent="0.3">
      <c r="A181" s="18" t="s">
        <v>186</v>
      </c>
      <c r="B181" s="19"/>
      <c r="C181" s="19"/>
      <c r="D181" s="19"/>
      <c r="E181" s="19"/>
      <c r="F181" s="19"/>
    </row>
    <row r="182" spans="1:6" x14ac:dyDescent="0.3">
      <c r="A182" s="10" t="s">
        <v>13</v>
      </c>
      <c r="B182" s="11">
        <v>45730</v>
      </c>
      <c r="C182" s="12" t="s">
        <v>12</v>
      </c>
      <c r="D182" s="12" t="s">
        <v>24</v>
      </c>
      <c r="E182" s="11">
        <v>45743</v>
      </c>
      <c r="F182" s="12" t="s">
        <v>1785</v>
      </c>
    </row>
    <row r="183" spans="1:6" x14ac:dyDescent="0.3">
      <c r="A183" s="4"/>
    </row>
    <row r="184" spans="1:6" ht="15.6" x14ac:dyDescent="0.3">
      <c r="A184" s="18" t="s">
        <v>189</v>
      </c>
      <c r="B184" s="19"/>
      <c r="C184" s="19"/>
      <c r="D184" s="19"/>
      <c r="E184" s="19"/>
      <c r="F184" s="19"/>
    </row>
    <row r="185" spans="1:6" ht="28.8" x14ac:dyDescent="0.3">
      <c r="A185" s="10" t="s">
        <v>13</v>
      </c>
      <c r="B185" s="11">
        <v>45730</v>
      </c>
      <c r="C185" s="12" t="s">
        <v>12</v>
      </c>
      <c r="D185" s="12" t="s">
        <v>1027</v>
      </c>
      <c r="E185" s="11">
        <v>45749</v>
      </c>
      <c r="F185" s="12" t="s">
        <v>1895</v>
      </c>
    </row>
    <row r="186" spans="1:6" ht="28.8" x14ac:dyDescent="0.3">
      <c r="B186" s="11">
        <v>45749</v>
      </c>
      <c r="C186" s="12" t="s">
        <v>22</v>
      </c>
      <c r="D186" s="12" t="s">
        <v>4</v>
      </c>
      <c r="E186" s="4" t="s">
        <v>1827</v>
      </c>
      <c r="F186" s="12" t="s">
        <v>1827</v>
      </c>
    </row>
    <row r="187" spans="1:6" x14ac:dyDescent="0.3">
      <c r="A187" s="4"/>
    </row>
    <row r="188" spans="1:6" ht="15.6" x14ac:dyDescent="0.3">
      <c r="A188" s="18" t="s">
        <v>192</v>
      </c>
      <c r="B188" s="19"/>
      <c r="C188" s="19"/>
      <c r="D188" s="19"/>
      <c r="E188" s="19"/>
      <c r="F188" s="19"/>
    </row>
    <row r="189" spans="1:6" x14ac:dyDescent="0.3">
      <c r="A189" s="10" t="s">
        <v>13</v>
      </c>
      <c r="B189" s="11">
        <v>45730</v>
      </c>
      <c r="C189" s="12" t="s">
        <v>12</v>
      </c>
      <c r="D189" s="12" t="s">
        <v>24</v>
      </c>
      <c r="E189" s="11">
        <v>45749</v>
      </c>
      <c r="F189" s="12" t="s">
        <v>1785</v>
      </c>
    </row>
    <row r="190" spans="1:6" x14ac:dyDescent="0.3">
      <c r="A190" s="4"/>
    </row>
    <row r="191" spans="1:6" ht="15.6" x14ac:dyDescent="0.3">
      <c r="A191" s="18" t="s">
        <v>195</v>
      </c>
      <c r="B191" s="19"/>
      <c r="C191" s="19"/>
      <c r="D191" s="19"/>
      <c r="E191" s="19"/>
      <c r="F191" s="19"/>
    </row>
    <row r="192" spans="1:6" ht="28.8" x14ac:dyDescent="0.3">
      <c r="A192" s="10" t="s">
        <v>13</v>
      </c>
      <c r="B192" s="11">
        <v>45730</v>
      </c>
      <c r="C192" s="12" t="s">
        <v>12</v>
      </c>
      <c r="D192" s="12" t="s">
        <v>1027</v>
      </c>
      <c r="E192" s="11">
        <v>45749</v>
      </c>
      <c r="F192" s="12" t="s">
        <v>1896</v>
      </c>
    </row>
    <row r="193" spans="1:6" ht="28.8" x14ac:dyDescent="0.3">
      <c r="B193" s="11">
        <v>45749</v>
      </c>
      <c r="C193" s="12" t="s">
        <v>22</v>
      </c>
      <c r="D193" s="12" t="s">
        <v>4</v>
      </c>
      <c r="E193" s="4" t="s">
        <v>1827</v>
      </c>
      <c r="F193" s="12" t="s">
        <v>1827</v>
      </c>
    </row>
    <row r="194" spans="1:6" x14ac:dyDescent="0.3">
      <c r="A194" s="4"/>
    </row>
    <row r="195" spans="1:6" ht="15.6" x14ac:dyDescent="0.3">
      <c r="A195" s="18" t="s">
        <v>198</v>
      </c>
      <c r="B195" s="19"/>
      <c r="C195" s="19"/>
      <c r="D195" s="19"/>
      <c r="E195" s="19"/>
      <c r="F195" s="19"/>
    </row>
    <row r="196" spans="1:6" ht="43.2" x14ac:dyDescent="0.3">
      <c r="A196" s="10" t="s">
        <v>13</v>
      </c>
      <c r="B196" s="11">
        <v>45730</v>
      </c>
      <c r="C196" s="12" t="s">
        <v>12</v>
      </c>
      <c r="D196" s="12" t="s">
        <v>1027</v>
      </c>
      <c r="E196" s="11">
        <v>45749</v>
      </c>
      <c r="F196" s="12" t="s">
        <v>1897</v>
      </c>
    </row>
    <row r="197" spans="1:6" ht="28.8" x14ac:dyDescent="0.3">
      <c r="B197" s="11">
        <v>45749</v>
      </c>
      <c r="C197" s="12" t="s">
        <v>22</v>
      </c>
      <c r="D197" s="12" t="s">
        <v>4</v>
      </c>
      <c r="E197" s="4" t="s">
        <v>1827</v>
      </c>
      <c r="F197" s="12" t="s">
        <v>1827</v>
      </c>
    </row>
    <row r="198" spans="1:6" x14ac:dyDescent="0.3">
      <c r="A198" s="4"/>
    </row>
    <row r="199" spans="1:6" ht="15.6" x14ac:dyDescent="0.3">
      <c r="A199" s="18" t="s">
        <v>201</v>
      </c>
      <c r="B199" s="19"/>
      <c r="C199" s="19"/>
      <c r="D199" s="19"/>
      <c r="E199" s="19"/>
      <c r="F199" s="19"/>
    </row>
    <row r="200" spans="1:6" x14ac:dyDescent="0.3">
      <c r="A200" s="10" t="s">
        <v>13</v>
      </c>
      <c r="B200" s="11">
        <v>45730</v>
      </c>
      <c r="C200" s="12" t="s">
        <v>12</v>
      </c>
      <c r="D200" s="12" t="s">
        <v>24</v>
      </c>
      <c r="E200" s="11">
        <v>45749</v>
      </c>
      <c r="F200" s="12" t="s">
        <v>1785</v>
      </c>
    </row>
    <row r="201" spans="1:6" x14ac:dyDescent="0.3">
      <c r="A201" s="4"/>
    </row>
    <row r="202" spans="1:6" ht="15.6" x14ac:dyDescent="0.3">
      <c r="A202" s="18" t="s">
        <v>204</v>
      </c>
      <c r="B202" s="19"/>
      <c r="C202" s="19"/>
      <c r="D202" s="19"/>
      <c r="E202" s="19"/>
      <c r="F202" s="19"/>
    </row>
    <row r="203" spans="1:6" x14ac:dyDescent="0.3">
      <c r="A203" s="10" t="s">
        <v>13</v>
      </c>
      <c r="B203" s="11">
        <v>45730</v>
      </c>
      <c r="C203" s="12" t="s">
        <v>12</v>
      </c>
      <c r="D203" s="12" t="s">
        <v>24</v>
      </c>
      <c r="E203" s="11">
        <v>45749</v>
      </c>
      <c r="F203" s="12" t="s">
        <v>1785</v>
      </c>
    </row>
    <row r="204" spans="1:6" x14ac:dyDescent="0.3">
      <c r="A204" s="4"/>
    </row>
    <row r="205" spans="1:6" ht="15.6" x14ac:dyDescent="0.3">
      <c r="A205" s="18" t="s">
        <v>207</v>
      </c>
      <c r="B205" s="19"/>
      <c r="C205" s="19"/>
      <c r="D205" s="19"/>
      <c r="E205" s="19"/>
      <c r="F205" s="19"/>
    </row>
    <row r="206" spans="1:6" x14ac:dyDescent="0.3">
      <c r="A206" s="10" t="s">
        <v>13</v>
      </c>
      <c r="B206" s="11">
        <v>45730</v>
      </c>
      <c r="C206" s="12" t="s">
        <v>12</v>
      </c>
      <c r="D206" s="12" t="s">
        <v>24</v>
      </c>
      <c r="E206" s="11">
        <v>45749</v>
      </c>
      <c r="F206" s="12" t="s">
        <v>1785</v>
      </c>
    </row>
    <row r="207" spans="1:6" x14ac:dyDescent="0.3">
      <c r="A207" s="4"/>
    </row>
    <row r="208" spans="1:6" ht="15.6" x14ac:dyDescent="0.3">
      <c r="A208" s="18" t="s">
        <v>210</v>
      </c>
      <c r="B208" s="19"/>
      <c r="C208" s="19"/>
      <c r="D208" s="19"/>
      <c r="E208" s="19"/>
      <c r="F208" s="19"/>
    </row>
    <row r="209" spans="1:6" x14ac:dyDescent="0.3">
      <c r="A209" s="10" t="s">
        <v>13</v>
      </c>
      <c r="B209" s="11">
        <v>45730</v>
      </c>
      <c r="C209" s="12" t="s">
        <v>12</v>
      </c>
      <c r="D209" s="12" t="s">
        <v>24</v>
      </c>
      <c r="E209" s="11">
        <v>45749</v>
      </c>
      <c r="F209" s="12" t="s">
        <v>1785</v>
      </c>
    </row>
    <row r="210" spans="1:6" x14ac:dyDescent="0.3">
      <c r="A210" s="4"/>
    </row>
    <row r="211" spans="1:6" ht="15.6" x14ac:dyDescent="0.3">
      <c r="A211" s="18" t="s">
        <v>213</v>
      </c>
      <c r="B211" s="19"/>
      <c r="C211" s="19"/>
      <c r="D211" s="19"/>
      <c r="E211" s="19"/>
      <c r="F211" s="19"/>
    </row>
    <row r="212" spans="1:6" x14ac:dyDescent="0.3">
      <c r="A212" s="10" t="s">
        <v>13</v>
      </c>
      <c r="B212" s="11">
        <v>45730</v>
      </c>
      <c r="C212" s="12" t="s">
        <v>12</v>
      </c>
      <c r="D212" s="12" t="s">
        <v>24</v>
      </c>
      <c r="E212" s="11">
        <v>45749</v>
      </c>
      <c r="F212" s="12" t="s">
        <v>1785</v>
      </c>
    </row>
    <row r="213" spans="1:6" x14ac:dyDescent="0.3">
      <c r="A213" s="4"/>
    </row>
    <row r="214" spans="1:6" ht="15.6" x14ac:dyDescent="0.3">
      <c r="A214" s="18" t="s">
        <v>216</v>
      </c>
      <c r="B214" s="19"/>
      <c r="C214" s="19"/>
      <c r="D214" s="19"/>
      <c r="E214" s="19"/>
      <c r="F214" s="19"/>
    </row>
    <row r="215" spans="1:6" x14ac:dyDescent="0.3">
      <c r="A215" s="10" t="s">
        <v>13</v>
      </c>
      <c r="B215" s="11">
        <v>45730</v>
      </c>
      <c r="C215" s="12" t="s">
        <v>12</v>
      </c>
      <c r="D215" s="12" t="s">
        <v>24</v>
      </c>
      <c r="E215" s="11">
        <v>45749</v>
      </c>
      <c r="F215" s="12" t="s">
        <v>1785</v>
      </c>
    </row>
    <row r="216" spans="1:6" x14ac:dyDescent="0.3">
      <c r="A216" s="4"/>
    </row>
    <row r="217" spans="1:6" ht="15.6" x14ac:dyDescent="0.3">
      <c r="A217" s="18" t="s">
        <v>219</v>
      </c>
      <c r="B217" s="19"/>
      <c r="C217" s="19"/>
      <c r="D217" s="19"/>
      <c r="E217" s="19"/>
      <c r="F217" s="19"/>
    </row>
    <row r="218" spans="1:6" x14ac:dyDescent="0.3">
      <c r="A218" s="10" t="s">
        <v>13</v>
      </c>
      <c r="B218" s="11">
        <v>45730</v>
      </c>
      <c r="C218" s="12" t="s">
        <v>12</v>
      </c>
      <c r="D218" s="12" t="s">
        <v>21</v>
      </c>
      <c r="E218" s="11">
        <v>45749</v>
      </c>
      <c r="F218" s="12" t="s">
        <v>1898</v>
      </c>
    </row>
    <row r="219" spans="1:6" ht="28.8" x14ac:dyDescent="0.3">
      <c r="B219" s="11">
        <v>45749</v>
      </c>
      <c r="C219" s="12" t="s">
        <v>22</v>
      </c>
      <c r="D219" s="12" t="s">
        <v>4</v>
      </c>
      <c r="E219" s="4" t="s">
        <v>1827</v>
      </c>
      <c r="F219" s="12" t="s">
        <v>1827</v>
      </c>
    </row>
    <row r="220" spans="1:6" x14ac:dyDescent="0.3">
      <c r="A220" s="4"/>
    </row>
    <row r="221" spans="1:6" ht="15.6" x14ac:dyDescent="0.3">
      <c r="A221" s="18" t="s">
        <v>222</v>
      </c>
      <c r="B221" s="19"/>
      <c r="C221" s="19"/>
      <c r="D221" s="19"/>
      <c r="E221" s="19"/>
      <c r="F221" s="19"/>
    </row>
    <row r="222" spans="1:6" x14ac:dyDescent="0.3">
      <c r="A222" s="10" t="s">
        <v>13</v>
      </c>
      <c r="B222" s="11">
        <v>45730</v>
      </c>
      <c r="C222" s="12" t="s">
        <v>12</v>
      </c>
      <c r="D222" s="12" t="s">
        <v>21</v>
      </c>
      <c r="E222" s="11">
        <v>45749</v>
      </c>
      <c r="F222" s="12" t="s">
        <v>1898</v>
      </c>
    </row>
    <row r="223" spans="1:6" ht="28.8" x14ac:dyDescent="0.3">
      <c r="B223" s="11">
        <v>45749</v>
      </c>
      <c r="C223" s="12" t="s">
        <v>22</v>
      </c>
      <c r="D223" s="12" t="s">
        <v>4</v>
      </c>
      <c r="E223" s="4" t="s">
        <v>1827</v>
      </c>
      <c r="F223" s="12" t="s">
        <v>1827</v>
      </c>
    </row>
    <row r="224" spans="1:6" x14ac:dyDescent="0.3">
      <c r="A224" s="4"/>
    </row>
    <row r="225" spans="1:6" ht="15.6" x14ac:dyDescent="0.3">
      <c r="A225" s="18" t="s">
        <v>225</v>
      </c>
      <c r="B225" s="19"/>
      <c r="C225" s="19"/>
      <c r="D225" s="19"/>
      <c r="E225" s="19"/>
      <c r="F225" s="19"/>
    </row>
    <row r="226" spans="1:6" x14ac:dyDescent="0.3">
      <c r="A226" s="10" t="s">
        <v>13</v>
      </c>
      <c r="B226" s="11">
        <v>45730</v>
      </c>
      <c r="C226" s="12" t="s">
        <v>12</v>
      </c>
      <c r="D226" s="12" t="s">
        <v>24</v>
      </c>
      <c r="E226" s="11">
        <v>45749</v>
      </c>
      <c r="F226" s="12" t="s">
        <v>1785</v>
      </c>
    </row>
    <row r="227" spans="1:6" x14ac:dyDescent="0.3">
      <c r="A227" s="4"/>
    </row>
    <row r="228" spans="1:6" ht="15.6" x14ac:dyDescent="0.3">
      <c r="A228" s="18" t="s">
        <v>228</v>
      </c>
      <c r="B228" s="19"/>
      <c r="C228" s="19"/>
      <c r="D228" s="19"/>
      <c r="E228" s="19"/>
      <c r="F228" s="19"/>
    </row>
    <row r="229" spans="1:6" x14ac:dyDescent="0.3">
      <c r="A229" s="10" t="s">
        <v>13</v>
      </c>
      <c r="B229" s="11">
        <v>45730</v>
      </c>
      <c r="C229" s="12" t="s">
        <v>12</v>
      </c>
      <c r="D229" s="12" t="s">
        <v>24</v>
      </c>
      <c r="E229" s="11">
        <v>45749</v>
      </c>
      <c r="F229" s="12" t="s">
        <v>1785</v>
      </c>
    </row>
    <row r="230" spans="1:6" x14ac:dyDescent="0.3">
      <c r="A230" s="4"/>
    </row>
    <row r="231" spans="1:6" ht="15.6" x14ac:dyDescent="0.3">
      <c r="A231" s="18" t="s">
        <v>231</v>
      </c>
      <c r="B231" s="19"/>
      <c r="C231" s="19"/>
      <c r="D231" s="19"/>
      <c r="E231" s="19"/>
      <c r="F231" s="19"/>
    </row>
    <row r="232" spans="1:6" ht="43.2" x14ac:dyDescent="0.3">
      <c r="A232" s="10" t="s">
        <v>10</v>
      </c>
      <c r="B232" s="11">
        <v>45730</v>
      </c>
      <c r="C232" s="12" t="s">
        <v>12</v>
      </c>
      <c r="D232" s="12" t="s">
        <v>1027</v>
      </c>
      <c r="E232" s="11">
        <v>45754</v>
      </c>
      <c r="F232" s="12" t="s">
        <v>1941</v>
      </c>
    </row>
    <row r="233" spans="1:6" ht="28.8" x14ac:dyDescent="0.3">
      <c r="B233" s="11">
        <v>45754</v>
      </c>
      <c r="C233" s="12" t="s">
        <v>22</v>
      </c>
      <c r="D233" s="12" t="s">
        <v>4</v>
      </c>
      <c r="E233" s="4" t="s">
        <v>1827</v>
      </c>
      <c r="F233" s="12" t="s">
        <v>1827</v>
      </c>
    </row>
    <row r="234" spans="1:6" x14ac:dyDescent="0.3">
      <c r="A234" s="4"/>
    </row>
    <row r="235" spans="1:6" ht="15.6" x14ac:dyDescent="0.3">
      <c r="A235" s="18" t="s">
        <v>234</v>
      </c>
      <c r="B235" s="19"/>
      <c r="C235" s="19"/>
      <c r="D235" s="19"/>
      <c r="E235" s="19"/>
      <c r="F235" s="19"/>
    </row>
    <row r="236" spans="1:6" ht="28.8" x14ac:dyDescent="0.3">
      <c r="A236" s="10" t="s">
        <v>10</v>
      </c>
      <c r="B236" s="11">
        <v>45730</v>
      </c>
      <c r="C236" s="12" t="s">
        <v>12</v>
      </c>
      <c r="D236" s="12" t="s">
        <v>1027</v>
      </c>
      <c r="E236" s="11">
        <v>45754</v>
      </c>
      <c r="F236" s="12" t="s">
        <v>1942</v>
      </c>
    </row>
    <row r="237" spans="1:6" ht="28.8" x14ac:dyDescent="0.3">
      <c r="B237" s="11">
        <v>45754</v>
      </c>
      <c r="C237" s="12" t="s">
        <v>22</v>
      </c>
      <c r="D237" s="12" t="s">
        <v>4</v>
      </c>
      <c r="E237" s="4" t="s">
        <v>1827</v>
      </c>
      <c r="F237" s="12" t="s">
        <v>1827</v>
      </c>
    </row>
    <row r="238" spans="1:6" x14ac:dyDescent="0.3">
      <c r="A238" s="4"/>
    </row>
    <row r="239" spans="1:6" ht="15.6" x14ac:dyDescent="0.3">
      <c r="A239" s="18" t="s">
        <v>237</v>
      </c>
      <c r="B239" s="19"/>
      <c r="C239" s="19"/>
      <c r="D239" s="19"/>
      <c r="E239" s="19"/>
      <c r="F239" s="19"/>
    </row>
    <row r="240" spans="1:6" x14ac:dyDescent="0.3">
      <c r="A240" s="10" t="s">
        <v>10</v>
      </c>
      <c r="B240" s="11">
        <v>45730</v>
      </c>
      <c r="C240" s="12" t="s">
        <v>12</v>
      </c>
      <c r="D240" s="12" t="s">
        <v>24</v>
      </c>
      <c r="E240" s="11">
        <v>45754</v>
      </c>
      <c r="F240" s="12" t="s">
        <v>1827</v>
      </c>
    </row>
    <row r="241" spans="1:6" x14ac:dyDescent="0.3">
      <c r="A241" s="4"/>
    </row>
    <row r="242" spans="1:6" ht="15.6" x14ac:dyDescent="0.3">
      <c r="A242" s="18" t="s">
        <v>240</v>
      </c>
      <c r="B242" s="19"/>
      <c r="C242" s="19"/>
      <c r="D242" s="19"/>
      <c r="E242" s="19"/>
      <c r="F242" s="19"/>
    </row>
    <row r="243" spans="1:6" x14ac:dyDescent="0.3">
      <c r="A243" s="10" t="s">
        <v>10</v>
      </c>
      <c r="B243" s="11">
        <v>45730</v>
      </c>
      <c r="C243" s="12" t="s">
        <v>12</v>
      </c>
      <c r="D243" s="12" t="s">
        <v>24</v>
      </c>
      <c r="E243" s="11">
        <v>45754</v>
      </c>
      <c r="F243" s="12" t="s">
        <v>1827</v>
      </c>
    </row>
    <row r="244" spans="1:6" x14ac:dyDescent="0.3">
      <c r="A244" s="4"/>
    </row>
    <row r="245" spans="1:6" ht="15.6" x14ac:dyDescent="0.3">
      <c r="A245" s="18" t="s">
        <v>243</v>
      </c>
      <c r="B245" s="19"/>
      <c r="C245" s="19"/>
      <c r="D245" s="19"/>
      <c r="E245" s="19"/>
      <c r="F245" s="19"/>
    </row>
    <row r="246" spans="1:6" ht="28.8" x14ac:dyDescent="0.3">
      <c r="A246" s="10" t="s">
        <v>10</v>
      </c>
      <c r="B246" s="11">
        <v>45730</v>
      </c>
      <c r="C246" s="12" t="s">
        <v>12</v>
      </c>
      <c r="D246" s="12" t="s">
        <v>1027</v>
      </c>
      <c r="E246" s="11">
        <v>45754</v>
      </c>
      <c r="F246" s="12" t="s">
        <v>1943</v>
      </c>
    </row>
    <row r="247" spans="1:6" ht="28.8" x14ac:dyDescent="0.3">
      <c r="B247" s="11">
        <v>45754</v>
      </c>
      <c r="C247" s="12" t="s">
        <v>22</v>
      </c>
      <c r="D247" s="12" t="s">
        <v>4</v>
      </c>
      <c r="E247" s="4" t="s">
        <v>1827</v>
      </c>
      <c r="F247" s="12" t="s">
        <v>1827</v>
      </c>
    </row>
    <row r="248" spans="1:6" x14ac:dyDescent="0.3">
      <c r="A248" s="4"/>
    </row>
    <row r="249" spans="1:6" ht="15.6" x14ac:dyDescent="0.3">
      <c r="A249" s="18" t="s">
        <v>246</v>
      </c>
      <c r="B249" s="19"/>
      <c r="C249" s="19"/>
      <c r="D249" s="19"/>
      <c r="E249" s="19"/>
      <c r="F249" s="19"/>
    </row>
    <row r="250" spans="1:6" x14ac:dyDescent="0.3">
      <c r="A250" s="10" t="s">
        <v>13</v>
      </c>
      <c r="B250" s="11">
        <v>45730</v>
      </c>
      <c r="C250" s="12" t="s">
        <v>12</v>
      </c>
      <c r="D250" s="12" t="s">
        <v>21</v>
      </c>
      <c r="E250" s="11">
        <v>45743</v>
      </c>
      <c r="F250" s="12" t="s">
        <v>1786</v>
      </c>
    </row>
    <row r="251" spans="1:6" ht="28.8" x14ac:dyDescent="0.3">
      <c r="B251" s="11">
        <v>45743</v>
      </c>
      <c r="C251" s="12" t="s">
        <v>22</v>
      </c>
      <c r="D251" s="12" t="s">
        <v>4</v>
      </c>
      <c r="E251" s="4" t="s">
        <v>1827</v>
      </c>
      <c r="F251" s="12" t="s">
        <v>1827</v>
      </c>
    </row>
    <row r="252" spans="1:6" x14ac:dyDescent="0.3">
      <c r="A252" s="4"/>
    </row>
    <row r="253" spans="1:6" ht="15.6" x14ac:dyDescent="0.3">
      <c r="A253" s="18" t="s">
        <v>249</v>
      </c>
      <c r="B253" s="19"/>
      <c r="C253" s="19"/>
      <c r="D253" s="19"/>
      <c r="E253" s="19"/>
      <c r="F253" s="19"/>
    </row>
    <row r="254" spans="1:6" x14ac:dyDescent="0.3">
      <c r="A254" s="10" t="s">
        <v>13</v>
      </c>
      <c r="B254" s="11">
        <v>45730</v>
      </c>
      <c r="C254" s="12" t="s">
        <v>12</v>
      </c>
      <c r="D254" s="12" t="s">
        <v>21</v>
      </c>
      <c r="E254" s="11">
        <v>45743</v>
      </c>
      <c r="F254" s="12" t="s">
        <v>1786</v>
      </c>
    </row>
    <row r="255" spans="1:6" ht="28.8" x14ac:dyDescent="0.3">
      <c r="B255" s="11">
        <v>45743</v>
      </c>
      <c r="C255" s="12" t="s">
        <v>22</v>
      </c>
      <c r="D255" s="12" t="s">
        <v>4</v>
      </c>
      <c r="E255" s="4" t="s">
        <v>1827</v>
      </c>
      <c r="F255" s="12" t="s">
        <v>1827</v>
      </c>
    </row>
    <row r="256" spans="1:6" x14ac:dyDescent="0.3">
      <c r="A256" s="4"/>
    </row>
    <row r="257" spans="1:6" ht="15.6" x14ac:dyDescent="0.3">
      <c r="A257" s="18" t="s">
        <v>252</v>
      </c>
      <c r="B257" s="19"/>
      <c r="C257" s="19"/>
      <c r="D257" s="19"/>
      <c r="E257" s="19"/>
      <c r="F257" s="19"/>
    </row>
    <row r="258" spans="1:6" ht="28.8" x14ac:dyDescent="0.3">
      <c r="A258" s="10" t="s">
        <v>10</v>
      </c>
      <c r="B258" s="11">
        <v>45730</v>
      </c>
      <c r="C258" s="12" t="s">
        <v>12</v>
      </c>
      <c r="D258" s="12" t="s">
        <v>21</v>
      </c>
      <c r="E258" s="11">
        <v>45743</v>
      </c>
      <c r="F258" s="12" t="s">
        <v>1787</v>
      </c>
    </row>
    <row r="259" spans="1:6" ht="28.8" x14ac:dyDescent="0.3">
      <c r="B259" s="11">
        <v>45743</v>
      </c>
      <c r="C259" s="12" t="s">
        <v>22</v>
      </c>
      <c r="D259" s="12" t="s">
        <v>4</v>
      </c>
      <c r="E259" s="4" t="s">
        <v>1827</v>
      </c>
      <c r="F259" s="12" t="s">
        <v>1827</v>
      </c>
    </row>
    <row r="260" spans="1:6" x14ac:dyDescent="0.3">
      <c r="A260" s="4"/>
    </row>
    <row r="261" spans="1:6" ht="15.6" x14ac:dyDescent="0.3">
      <c r="A261" s="18" t="s">
        <v>255</v>
      </c>
      <c r="B261" s="19"/>
      <c r="C261" s="19"/>
      <c r="D261" s="19"/>
      <c r="E261" s="19"/>
      <c r="F261" s="19"/>
    </row>
    <row r="262" spans="1:6" ht="28.8" x14ac:dyDescent="0.3">
      <c r="A262" s="10" t="s">
        <v>10</v>
      </c>
      <c r="B262" s="11">
        <v>45730</v>
      </c>
      <c r="C262" s="12" t="s">
        <v>12</v>
      </c>
      <c r="D262" s="12" t="s">
        <v>21</v>
      </c>
      <c r="E262" s="11">
        <v>45743</v>
      </c>
      <c r="F262" s="12" t="s">
        <v>1788</v>
      </c>
    </row>
    <row r="263" spans="1:6" ht="28.8" x14ac:dyDescent="0.3">
      <c r="B263" s="11">
        <v>45743</v>
      </c>
      <c r="C263" s="12" t="s">
        <v>22</v>
      </c>
      <c r="D263" s="12" t="s">
        <v>4</v>
      </c>
      <c r="E263" s="4" t="s">
        <v>1827</v>
      </c>
      <c r="F263" s="12" t="s">
        <v>1827</v>
      </c>
    </row>
    <row r="264" spans="1:6" x14ac:dyDescent="0.3">
      <c r="A264" s="4"/>
    </row>
    <row r="265" spans="1:6" ht="15.6" x14ac:dyDescent="0.3">
      <c r="A265" s="18" t="s">
        <v>258</v>
      </c>
      <c r="B265" s="19"/>
      <c r="C265" s="19"/>
      <c r="D265" s="19"/>
      <c r="E265" s="19"/>
      <c r="F265" s="19"/>
    </row>
    <row r="266" spans="1:6" x14ac:dyDescent="0.3">
      <c r="A266" s="10" t="s">
        <v>13</v>
      </c>
      <c r="B266" s="11">
        <v>45730</v>
      </c>
      <c r="C266" s="12" t="s">
        <v>12</v>
      </c>
      <c r="D266" s="12" t="s">
        <v>24</v>
      </c>
      <c r="E266" s="11">
        <v>45743</v>
      </c>
      <c r="F266" s="12" t="s">
        <v>1785</v>
      </c>
    </row>
    <row r="267" spans="1:6" x14ac:dyDescent="0.3">
      <c r="A267" s="4"/>
    </row>
    <row r="268" spans="1:6" ht="15.6" x14ac:dyDescent="0.3">
      <c r="A268" s="18" t="s">
        <v>261</v>
      </c>
      <c r="B268" s="19"/>
      <c r="C268" s="19"/>
      <c r="D268" s="19"/>
      <c r="E268" s="19"/>
      <c r="F268" s="19"/>
    </row>
    <row r="269" spans="1:6" x14ac:dyDescent="0.3">
      <c r="A269" s="10" t="s">
        <v>13</v>
      </c>
      <c r="B269" s="11">
        <v>45730</v>
      </c>
      <c r="C269" s="12" t="s">
        <v>12</v>
      </c>
      <c r="D269" s="12" t="s">
        <v>24</v>
      </c>
      <c r="E269" s="11">
        <v>45743</v>
      </c>
      <c r="F269" s="12" t="s">
        <v>1785</v>
      </c>
    </row>
    <row r="270" spans="1:6" x14ac:dyDescent="0.3">
      <c r="A270" s="4"/>
    </row>
    <row r="271" spans="1:6" ht="15.6" x14ac:dyDescent="0.3">
      <c r="A271" s="18" t="s">
        <v>264</v>
      </c>
      <c r="B271" s="19"/>
      <c r="C271" s="19"/>
      <c r="D271" s="19"/>
      <c r="E271" s="19"/>
      <c r="F271" s="19"/>
    </row>
    <row r="272" spans="1:6" x14ac:dyDescent="0.3">
      <c r="A272" s="10" t="s">
        <v>13</v>
      </c>
      <c r="B272" s="11">
        <v>45730</v>
      </c>
      <c r="C272" s="12" t="s">
        <v>12</v>
      </c>
      <c r="D272" s="12" t="s">
        <v>24</v>
      </c>
      <c r="E272" s="11">
        <v>45743</v>
      </c>
      <c r="F272" s="12" t="s">
        <v>1785</v>
      </c>
    </row>
    <row r="273" spans="1:6" x14ac:dyDescent="0.3">
      <c r="A273" s="4"/>
    </row>
    <row r="274" spans="1:6" ht="15.6" x14ac:dyDescent="0.3">
      <c r="A274" s="18" t="s">
        <v>267</v>
      </c>
      <c r="B274" s="19"/>
      <c r="C274" s="19"/>
      <c r="D274" s="19"/>
      <c r="E274" s="19"/>
      <c r="F274" s="19"/>
    </row>
    <row r="275" spans="1:6" x14ac:dyDescent="0.3">
      <c r="A275" s="10" t="s">
        <v>13</v>
      </c>
      <c r="B275" s="11">
        <v>45730</v>
      </c>
      <c r="C275" s="12" t="s">
        <v>12</v>
      </c>
      <c r="D275" s="12" t="s">
        <v>24</v>
      </c>
      <c r="E275" s="11">
        <v>45743</v>
      </c>
      <c r="F275" s="12" t="s">
        <v>1785</v>
      </c>
    </row>
    <row r="276" spans="1:6" x14ac:dyDescent="0.3">
      <c r="A276" s="4"/>
    </row>
    <row r="277" spans="1:6" ht="15.6" x14ac:dyDescent="0.3">
      <c r="A277" s="18" t="s">
        <v>270</v>
      </c>
      <c r="B277" s="19"/>
      <c r="C277" s="19"/>
      <c r="D277" s="19"/>
      <c r="E277" s="19"/>
      <c r="F277" s="19"/>
    </row>
    <row r="278" spans="1:6" ht="28.8" x14ac:dyDescent="0.3">
      <c r="A278" s="10" t="s">
        <v>13</v>
      </c>
      <c r="B278" s="11">
        <v>45730</v>
      </c>
      <c r="C278" s="12" t="s">
        <v>12</v>
      </c>
      <c r="D278" s="12" t="s">
        <v>21</v>
      </c>
      <c r="E278" s="11">
        <v>45749</v>
      </c>
      <c r="F278" s="12" t="s">
        <v>1899</v>
      </c>
    </row>
    <row r="279" spans="1:6" ht="28.8" x14ac:dyDescent="0.3">
      <c r="B279" s="11">
        <v>45749</v>
      </c>
      <c r="C279" s="12" t="s">
        <v>22</v>
      </c>
      <c r="D279" s="12" t="s">
        <v>4</v>
      </c>
      <c r="E279" s="4" t="s">
        <v>1827</v>
      </c>
      <c r="F279" s="12" t="s">
        <v>1827</v>
      </c>
    </row>
    <row r="280" spans="1:6" x14ac:dyDescent="0.3">
      <c r="A280" s="4"/>
    </row>
    <row r="281" spans="1:6" ht="15.6" x14ac:dyDescent="0.3">
      <c r="A281" s="18" t="s">
        <v>273</v>
      </c>
      <c r="B281" s="19"/>
      <c r="C281" s="19"/>
      <c r="D281" s="19"/>
      <c r="E281" s="19"/>
      <c r="F281" s="19"/>
    </row>
    <row r="282" spans="1:6" x14ac:dyDescent="0.3">
      <c r="A282" s="10" t="s">
        <v>13</v>
      </c>
      <c r="B282" s="11">
        <v>45730</v>
      </c>
      <c r="C282" s="12" t="s">
        <v>12</v>
      </c>
      <c r="D282" s="12" t="s">
        <v>24</v>
      </c>
      <c r="E282" s="11">
        <v>45749</v>
      </c>
      <c r="F282" s="12" t="s">
        <v>1785</v>
      </c>
    </row>
    <row r="283" spans="1:6" x14ac:dyDescent="0.3">
      <c r="A283" s="4"/>
    </row>
    <row r="284" spans="1:6" ht="15.6" x14ac:dyDescent="0.3">
      <c r="A284" s="18" t="s">
        <v>276</v>
      </c>
      <c r="B284" s="19"/>
      <c r="C284" s="19"/>
      <c r="D284" s="19"/>
      <c r="E284" s="19"/>
      <c r="F284" s="19"/>
    </row>
    <row r="285" spans="1:6" x14ac:dyDescent="0.3">
      <c r="A285" s="10" t="s">
        <v>13</v>
      </c>
      <c r="B285" s="11">
        <v>45730</v>
      </c>
      <c r="C285" s="12" t="s">
        <v>12</v>
      </c>
      <c r="D285" s="12" t="s">
        <v>24</v>
      </c>
      <c r="E285" s="11">
        <v>45749</v>
      </c>
      <c r="F285" s="12" t="s">
        <v>1785</v>
      </c>
    </row>
    <row r="286" spans="1:6" x14ac:dyDescent="0.3">
      <c r="A286" s="4"/>
    </row>
    <row r="287" spans="1:6" ht="15.6" x14ac:dyDescent="0.3">
      <c r="A287" s="18" t="s">
        <v>279</v>
      </c>
      <c r="B287" s="19"/>
      <c r="C287" s="19"/>
      <c r="D287" s="19"/>
      <c r="E287" s="19"/>
      <c r="F287" s="19"/>
    </row>
    <row r="288" spans="1:6" x14ac:dyDescent="0.3">
      <c r="A288" s="10" t="s">
        <v>13</v>
      </c>
      <c r="B288" s="11">
        <v>45730</v>
      </c>
      <c r="C288" s="12" t="s">
        <v>12</v>
      </c>
      <c r="D288" s="12" t="s">
        <v>24</v>
      </c>
      <c r="E288" s="11">
        <v>45749</v>
      </c>
      <c r="F288" s="12" t="s">
        <v>1785</v>
      </c>
    </row>
    <row r="289" spans="1:6" x14ac:dyDescent="0.3">
      <c r="A289" s="4"/>
    </row>
    <row r="290" spans="1:6" ht="15.6" x14ac:dyDescent="0.3">
      <c r="A290" s="18" t="s">
        <v>282</v>
      </c>
      <c r="B290" s="19"/>
      <c r="C290" s="19"/>
      <c r="D290" s="19"/>
      <c r="E290" s="19"/>
      <c r="F290" s="19"/>
    </row>
    <row r="291" spans="1:6" x14ac:dyDescent="0.3">
      <c r="A291" s="10" t="s">
        <v>13</v>
      </c>
      <c r="B291" s="11">
        <v>45730</v>
      </c>
      <c r="C291" s="12" t="s">
        <v>12</v>
      </c>
      <c r="D291" s="12" t="s">
        <v>24</v>
      </c>
      <c r="E291" s="11">
        <v>45749</v>
      </c>
      <c r="F291" s="12" t="s">
        <v>1785</v>
      </c>
    </row>
    <row r="292" spans="1:6" x14ac:dyDescent="0.3">
      <c r="A292" s="4"/>
    </row>
    <row r="293" spans="1:6" ht="15.6" x14ac:dyDescent="0.3">
      <c r="A293" s="18" t="s">
        <v>285</v>
      </c>
      <c r="B293" s="19"/>
      <c r="C293" s="19"/>
      <c r="D293" s="19"/>
      <c r="E293" s="19"/>
      <c r="F293" s="19"/>
    </row>
    <row r="294" spans="1:6" x14ac:dyDescent="0.3">
      <c r="A294" s="10" t="s">
        <v>13</v>
      </c>
      <c r="B294" s="11">
        <v>45730</v>
      </c>
      <c r="C294" s="12" t="s">
        <v>12</v>
      </c>
      <c r="D294" s="12" t="s">
        <v>24</v>
      </c>
      <c r="E294" s="11">
        <v>45749</v>
      </c>
      <c r="F294" s="12" t="s">
        <v>1785</v>
      </c>
    </row>
    <row r="295" spans="1:6" x14ac:dyDescent="0.3">
      <c r="A295" s="4"/>
    </row>
    <row r="296" spans="1:6" ht="15.6" x14ac:dyDescent="0.3">
      <c r="A296" s="18" t="s">
        <v>288</v>
      </c>
      <c r="B296" s="19"/>
      <c r="C296" s="19"/>
      <c r="D296" s="19"/>
      <c r="E296" s="19"/>
      <c r="F296" s="19"/>
    </row>
    <row r="297" spans="1:6" x14ac:dyDescent="0.3">
      <c r="A297" s="10" t="s">
        <v>13</v>
      </c>
      <c r="B297" s="11">
        <v>45730</v>
      </c>
      <c r="C297" s="12" t="s">
        <v>12</v>
      </c>
      <c r="D297" s="12" t="s">
        <v>24</v>
      </c>
      <c r="E297" s="11">
        <v>45749</v>
      </c>
      <c r="F297" s="12" t="s">
        <v>1785</v>
      </c>
    </row>
    <row r="298" spans="1:6" x14ac:dyDescent="0.3">
      <c r="A298" s="4"/>
    </row>
    <row r="299" spans="1:6" ht="15.6" x14ac:dyDescent="0.3">
      <c r="A299" s="18" t="s">
        <v>291</v>
      </c>
      <c r="B299" s="19"/>
      <c r="C299" s="19"/>
      <c r="D299" s="19"/>
      <c r="E299" s="19"/>
      <c r="F299" s="19"/>
    </row>
    <row r="300" spans="1:6" x14ac:dyDescent="0.3">
      <c r="A300" s="10" t="s">
        <v>13</v>
      </c>
      <c r="B300" s="11">
        <v>45730</v>
      </c>
      <c r="C300" s="12" t="s">
        <v>12</v>
      </c>
      <c r="D300" s="12" t="s">
        <v>24</v>
      </c>
      <c r="E300" s="11">
        <v>45749</v>
      </c>
      <c r="F300" s="12" t="s">
        <v>1785</v>
      </c>
    </row>
    <row r="301" spans="1:6" x14ac:dyDescent="0.3">
      <c r="A301" s="4"/>
    </row>
    <row r="302" spans="1:6" ht="15.6" x14ac:dyDescent="0.3">
      <c r="A302" s="18" t="s">
        <v>294</v>
      </c>
      <c r="B302" s="19"/>
      <c r="C302" s="19"/>
      <c r="D302" s="19"/>
      <c r="E302" s="19"/>
      <c r="F302" s="19"/>
    </row>
    <row r="303" spans="1:6" x14ac:dyDescent="0.3">
      <c r="A303" s="10" t="s">
        <v>13</v>
      </c>
      <c r="B303" s="11">
        <v>45730</v>
      </c>
      <c r="C303" s="12" t="s">
        <v>12</v>
      </c>
      <c r="D303" s="12" t="s">
        <v>24</v>
      </c>
      <c r="E303" s="11">
        <v>45749</v>
      </c>
      <c r="F303" s="12" t="s">
        <v>1785</v>
      </c>
    </row>
    <row r="304" spans="1:6" x14ac:dyDescent="0.3">
      <c r="A304" s="4"/>
    </row>
    <row r="305" spans="1:6" ht="15.6" x14ac:dyDescent="0.3">
      <c r="A305" s="18" t="s">
        <v>297</v>
      </c>
      <c r="B305" s="19"/>
      <c r="C305" s="19"/>
      <c r="D305" s="19"/>
      <c r="E305" s="19"/>
      <c r="F305" s="19"/>
    </row>
    <row r="306" spans="1:6" x14ac:dyDescent="0.3">
      <c r="A306" s="10" t="s">
        <v>13</v>
      </c>
      <c r="B306" s="11">
        <v>45730</v>
      </c>
      <c r="C306" s="12" t="s">
        <v>12</v>
      </c>
      <c r="D306" s="12" t="s">
        <v>24</v>
      </c>
      <c r="E306" s="11">
        <v>45749</v>
      </c>
      <c r="F306" s="12" t="s">
        <v>1785</v>
      </c>
    </row>
    <row r="307" spans="1:6" x14ac:dyDescent="0.3">
      <c r="A307" s="4"/>
    </row>
    <row r="308" spans="1:6" ht="15.6" x14ac:dyDescent="0.3">
      <c r="A308" s="18" t="s">
        <v>300</v>
      </c>
      <c r="B308" s="19"/>
      <c r="C308" s="19"/>
      <c r="D308" s="19"/>
      <c r="E308" s="19"/>
      <c r="F308" s="19"/>
    </row>
    <row r="309" spans="1:6" x14ac:dyDescent="0.3">
      <c r="A309" s="10" t="s">
        <v>13</v>
      </c>
      <c r="B309" s="11">
        <v>45730</v>
      </c>
      <c r="C309" s="12" t="s">
        <v>12</v>
      </c>
      <c r="D309" s="12" t="s">
        <v>21</v>
      </c>
      <c r="E309" s="11">
        <v>45749</v>
      </c>
      <c r="F309" s="12" t="s">
        <v>1898</v>
      </c>
    </row>
    <row r="310" spans="1:6" ht="28.8" x14ac:dyDescent="0.3">
      <c r="B310" s="11">
        <v>45749</v>
      </c>
      <c r="C310" s="12" t="s">
        <v>22</v>
      </c>
      <c r="D310" s="12" t="s">
        <v>4</v>
      </c>
      <c r="E310" s="4" t="s">
        <v>1827</v>
      </c>
      <c r="F310" s="12" t="s">
        <v>1827</v>
      </c>
    </row>
    <row r="311" spans="1:6" x14ac:dyDescent="0.3">
      <c r="A311" s="4"/>
    </row>
    <row r="312" spans="1:6" ht="15.6" x14ac:dyDescent="0.3">
      <c r="A312" s="18" t="s">
        <v>303</v>
      </c>
      <c r="B312" s="19"/>
      <c r="C312" s="19"/>
      <c r="D312" s="19"/>
      <c r="E312" s="19"/>
      <c r="F312" s="19"/>
    </row>
    <row r="313" spans="1:6" x14ac:dyDescent="0.3">
      <c r="A313" s="10" t="s">
        <v>13</v>
      </c>
      <c r="B313" s="11">
        <v>45730</v>
      </c>
      <c r="C313" s="12" t="s">
        <v>12</v>
      </c>
      <c r="D313" s="12" t="s">
        <v>21</v>
      </c>
      <c r="E313" s="11">
        <v>45749</v>
      </c>
      <c r="F313" s="12" t="s">
        <v>1898</v>
      </c>
    </row>
    <row r="314" spans="1:6" ht="28.8" x14ac:dyDescent="0.3">
      <c r="B314" s="11">
        <v>45749</v>
      </c>
      <c r="C314" s="12" t="s">
        <v>22</v>
      </c>
      <c r="D314" s="12" t="s">
        <v>4</v>
      </c>
      <c r="E314" s="4" t="s">
        <v>1827</v>
      </c>
      <c r="F314" s="12" t="s">
        <v>1827</v>
      </c>
    </row>
    <row r="315" spans="1:6" x14ac:dyDescent="0.3">
      <c r="A315" s="4"/>
    </row>
    <row r="316" spans="1:6" ht="15.6" x14ac:dyDescent="0.3">
      <c r="A316" s="18" t="s">
        <v>306</v>
      </c>
      <c r="B316" s="19"/>
      <c r="C316" s="19"/>
      <c r="D316" s="19"/>
      <c r="E316" s="19"/>
      <c r="F316" s="19"/>
    </row>
    <row r="317" spans="1:6" x14ac:dyDescent="0.3">
      <c r="A317" s="10" t="s">
        <v>13</v>
      </c>
      <c r="B317" s="11">
        <v>45730</v>
      </c>
      <c r="C317" s="12" t="s">
        <v>12</v>
      </c>
      <c r="D317" s="12" t="s">
        <v>24</v>
      </c>
      <c r="E317" s="11">
        <v>45749</v>
      </c>
      <c r="F317" s="12" t="s">
        <v>1785</v>
      </c>
    </row>
    <row r="318" spans="1:6" x14ac:dyDescent="0.3">
      <c r="A318" s="4"/>
    </row>
    <row r="319" spans="1:6" ht="15.6" x14ac:dyDescent="0.3">
      <c r="A319" s="18" t="s">
        <v>309</v>
      </c>
      <c r="B319" s="19"/>
      <c r="C319" s="19"/>
      <c r="D319" s="19"/>
      <c r="E319" s="19"/>
      <c r="F319" s="19"/>
    </row>
    <row r="320" spans="1:6" x14ac:dyDescent="0.3">
      <c r="A320" s="10" t="s">
        <v>13</v>
      </c>
      <c r="B320" s="11">
        <v>45730</v>
      </c>
      <c r="C320" s="12" t="s">
        <v>12</v>
      </c>
      <c r="D320" s="12" t="s">
        <v>24</v>
      </c>
      <c r="E320" s="11">
        <v>45749</v>
      </c>
      <c r="F320" s="12" t="s">
        <v>1785</v>
      </c>
    </row>
    <row r="321" spans="1:6" x14ac:dyDescent="0.3">
      <c r="A321" s="4"/>
    </row>
    <row r="322" spans="1:6" ht="15.6" x14ac:dyDescent="0.3">
      <c r="A322" s="18" t="s">
        <v>312</v>
      </c>
      <c r="B322" s="19"/>
      <c r="C322" s="19"/>
      <c r="D322" s="19"/>
      <c r="E322" s="19"/>
      <c r="F322" s="19"/>
    </row>
    <row r="323" spans="1:6" ht="28.8" x14ac:dyDescent="0.3">
      <c r="A323" s="10" t="s">
        <v>10</v>
      </c>
      <c r="B323" s="11">
        <v>45730</v>
      </c>
      <c r="C323" s="12" t="s">
        <v>12</v>
      </c>
      <c r="D323" s="12" t="s">
        <v>1027</v>
      </c>
      <c r="E323" s="11">
        <v>45754</v>
      </c>
      <c r="F323" s="12" t="s">
        <v>1944</v>
      </c>
    </row>
    <row r="324" spans="1:6" ht="28.8" x14ac:dyDescent="0.3">
      <c r="B324" s="11">
        <v>45754</v>
      </c>
      <c r="C324" s="12" t="s">
        <v>22</v>
      </c>
      <c r="D324" s="12" t="s">
        <v>4</v>
      </c>
      <c r="E324" s="4" t="s">
        <v>1827</v>
      </c>
      <c r="F324" s="12" t="s">
        <v>1827</v>
      </c>
    </row>
    <row r="325" spans="1:6" x14ac:dyDescent="0.3">
      <c r="A325" s="4"/>
    </row>
    <row r="326" spans="1:6" ht="15.6" x14ac:dyDescent="0.3">
      <c r="A326" s="18" t="s">
        <v>315</v>
      </c>
      <c r="B326" s="19"/>
      <c r="C326" s="19"/>
      <c r="D326" s="19"/>
      <c r="E326" s="19"/>
      <c r="F326" s="19"/>
    </row>
    <row r="327" spans="1:6" ht="28.8" x14ac:dyDescent="0.3">
      <c r="A327" s="10" t="s">
        <v>10</v>
      </c>
      <c r="B327" s="11">
        <v>45730</v>
      </c>
      <c r="C327" s="12" t="s">
        <v>12</v>
      </c>
      <c r="D327" s="12" t="s">
        <v>1027</v>
      </c>
      <c r="E327" s="11">
        <v>45754</v>
      </c>
      <c r="F327" s="12" t="s">
        <v>1945</v>
      </c>
    </row>
    <row r="328" spans="1:6" ht="28.8" x14ac:dyDescent="0.3">
      <c r="B328" s="11">
        <v>45754</v>
      </c>
      <c r="C328" s="12" t="s">
        <v>22</v>
      </c>
      <c r="D328" s="12" t="s">
        <v>4</v>
      </c>
      <c r="E328" s="4" t="s">
        <v>1827</v>
      </c>
      <c r="F328" s="12" t="s">
        <v>1827</v>
      </c>
    </row>
    <row r="329" spans="1:6" x14ac:dyDescent="0.3">
      <c r="A329" s="4"/>
    </row>
    <row r="330" spans="1:6" ht="15.6" x14ac:dyDescent="0.3">
      <c r="A330" s="18" t="s">
        <v>318</v>
      </c>
      <c r="B330" s="19"/>
      <c r="C330" s="19"/>
      <c r="D330" s="19"/>
      <c r="E330" s="19"/>
      <c r="F330" s="19"/>
    </row>
    <row r="331" spans="1:6" x14ac:dyDescent="0.3">
      <c r="A331" s="10" t="s">
        <v>10</v>
      </c>
      <c r="B331" s="11">
        <v>45730</v>
      </c>
      <c r="C331" s="12" t="s">
        <v>12</v>
      </c>
      <c r="D331" s="12" t="s">
        <v>24</v>
      </c>
      <c r="E331" s="11">
        <v>45754</v>
      </c>
      <c r="F331" s="12" t="s">
        <v>1827</v>
      </c>
    </row>
    <row r="332" spans="1:6" x14ac:dyDescent="0.3">
      <c r="A332" s="4"/>
    </row>
    <row r="333" spans="1:6" ht="15.6" x14ac:dyDescent="0.3">
      <c r="A333" s="18" t="s">
        <v>321</v>
      </c>
      <c r="B333" s="19"/>
      <c r="C333" s="19"/>
      <c r="D333" s="19"/>
      <c r="E333" s="19"/>
      <c r="F333" s="19"/>
    </row>
    <row r="334" spans="1:6" x14ac:dyDescent="0.3">
      <c r="A334" s="10" t="s">
        <v>10</v>
      </c>
      <c r="B334" s="11">
        <v>45730</v>
      </c>
      <c r="C334" s="12" t="s">
        <v>12</v>
      </c>
      <c r="D334" s="12" t="s">
        <v>24</v>
      </c>
      <c r="E334" s="11">
        <v>45754</v>
      </c>
      <c r="F334" s="12" t="s">
        <v>1827</v>
      </c>
    </row>
    <row r="335" spans="1:6" x14ac:dyDescent="0.3">
      <c r="A335" s="4"/>
    </row>
    <row r="336" spans="1:6" ht="15.6" x14ac:dyDescent="0.3">
      <c r="A336" s="18" t="s">
        <v>324</v>
      </c>
      <c r="B336" s="19"/>
      <c r="C336" s="19"/>
      <c r="D336" s="19"/>
      <c r="E336" s="19"/>
      <c r="F336" s="19"/>
    </row>
    <row r="337" spans="1:6" ht="28.8" x14ac:dyDescent="0.3">
      <c r="A337" s="10" t="s">
        <v>10</v>
      </c>
      <c r="B337" s="11">
        <v>45730</v>
      </c>
      <c r="C337" s="12" t="s">
        <v>12</v>
      </c>
      <c r="D337" s="12" t="s">
        <v>1027</v>
      </c>
      <c r="E337" s="11">
        <v>45754</v>
      </c>
      <c r="F337" s="12" t="s">
        <v>1946</v>
      </c>
    </row>
    <row r="338" spans="1:6" ht="28.8" x14ac:dyDescent="0.3">
      <c r="B338" s="11">
        <v>45754</v>
      </c>
      <c r="C338" s="12" t="s">
        <v>22</v>
      </c>
      <c r="D338" s="12" t="s">
        <v>4</v>
      </c>
      <c r="E338" s="4" t="s">
        <v>1827</v>
      </c>
      <c r="F338" s="12" t="s">
        <v>1827</v>
      </c>
    </row>
    <row r="339" spans="1:6" x14ac:dyDescent="0.3">
      <c r="A339" s="4"/>
    </row>
    <row r="340" spans="1:6" ht="15.6" x14ac:dyDescent="0.3">
      <c r="A340" s="18" t="s">
        <v>327</v>
      </c>
      <c r="B340" s="19"/>
      <c r="C340" s="19"/>
      <c r="D340" s="19"/>
      <c r="E340" s="19"/>
      <c r="F340" s="19"/>
    </row>
    <row r="341" spans="1:6" x14ac:dyDescent="0.3">
      <c r="A341" s="10" t="s">
        <v>13</v>
      </c>
      <c r="B341" s="11">
        <v>45730</v>
      </c>
      <c r="C341" s="12" t="s">
        <v>12</v>
      </c>
      <c r="D341" s="12" t="s">
        <v>21</v>
      </c>
      <c r="E341" s="11">
        <v>45743</v>
      </c>
      <c r="F341" s="12" t="s">
        <v>1786</v>
      </c>
    </row>
    <row r="342" spans="1:6" ht="28.8" x14ac:dyDescent="0.3">
      <c r="B342" s="11">
        <v>45743</v>
      </c>
      <c r="C342" s="12" t="s">
        <v>22</v>
      </c>
      <c r="D342" s="12" t="s">
        <v>4</v>
      </c>
      <c r="E342" s="4" t="s">
        <v>1827</v>
      </c>
      <c r="F342" s="12" t="s">
        <v>1827</v>
      </c>
    </row>
    <row r="343" spans="1:6" x14ac:dyDescent="0.3">
      <c r="A343" s="4"/>
    </row>
    <row r="344" spans="1:6" ht="15.6" x14ac:dyDescent="0.3">
      <c r="A344" s="18" t="s">
        <v>330</v>
      </c>
      <c r="B344" s="19"/>
      <c r="C344" s="19"/>
      <c r="D344" s="19"/>
      <c r="E344" s="19"/>
      <c r="F344" s="19"/>
    </row>
    <row r="345" spans="1:6" x14ac:dyDescent="0.3">
      <c r="A345" s="10" t="s">
        <v>13</v>
      </c>
      <c r="B345" s="11">
        <v>45730</v>
      </c>
      <c r="C345" s="12" t="s">
        <v>12</v>
      </c>
      <c r="D345" s="12" t="s">
        <v>21</v>
      </c>
      <c r="E345" s="11">
        <v>45743</v>
      </c>
      <c r="F345" s="12" t="s">
        <v>1786</v>
      </c>
    </row>
    <row r="346" spans="1:6" ht="28.8" x14ac:dyDescent="0.3">
      <c r="B346" s="11">
        <v>45743</v>
      </c>
      <c r="C346" s="12" t="s">
        <v>22</v>
      </c>
      <c r="D346" s="12" t="s">
        <v>4</v>
      </c>
      <c r="E346" s="4" t="s">
        <v>1827</v>
      </c>
      <c r="F346" s="12" t="s">
        <v>1827</v>
      </c>
    </row>
    <row r="347" spans="1:6" x14ac:dyDescent="0.3">
      <c r="A347" s="4"/>
    </row>
    <row r="348" spans="1:6" ht="15.6" x14ac:dyDescent="0.3">
      <c r="A348" s="18" t="s">
        <v>333</v>
      </c>
      <c r="B348" s="19"/>
      <c r="C348" s="19"/>
      <c r="D348" s="19"/>
      <c r="E348" s="19"/>
      <c r="F348" s="19"/>
    </row>
    <row r="349" spans="1:6" x14ac:dyDescent="0.3">
      <c r="A349" s="10" t="s">
        <v>10</v>
      </c>
      <c r="B349" s="11">
        <v>45730</v>
      </c>
      <c r="C349" s="12" t="s">
        <v>12</v>
      </c>
      <c r="D349" s="12" t="s">
        <v>24</v>
      </c>
      <c r="E349" s="11">
        <v>45743</v>
      </c>
      <c r="F349" s="12" t="s">
        <v>1785</v>
      </c>
    </row>
    <row r="350" spans="1:6" x14ac:dyDescent="0.3">
      <c r="A350" s="4"/>
    </row>
    <row r="351" spans="1:6" ht="15.6" x14ac:dyDescent="0.3">
      <c r="A351" s="18" t="s">
        <v>336</v>
      </c>
      <c r="B351" s="19"/>
      <c r="C351" s="19"/>
      <c r="D351" s="19"/>
      <c r="E351" s="19"/>
      <c r="F351" s="19"/>
    </row>
    <row r="352" spans="1:6" ht="28.8" x14ac:dyDescent="0.3">
      <c r="A352" s="10" t="s">
        <v>10</v>
      </c>
      <c r="B352" s="11">
        <v>45730</v>
      </c>
      <c r="C352" s="12" t="s">
        <v>12</v>
      </c>
      <c r="D352" s="12" t="s">
        <v>21</v>
      </c>
      <c r="E352" s="11">
        <v>45743</v>
      </c>
      <c r="F352" s="12" t="s">
        <v>1789</v>
      </c>
    </row>
    <row r="353" spans="1:6" ht="28.8" x14ac:dyDescent="0.3">
      <c r="B353" s="11">
        <v>45743</v>
      </c>
      <c r="C353" s="12" t="s">
        <v>22</v>
      </c>
      <c r="D353" s="12" t="s">
        <v>4</v>
      </c>
      <c r="E353" s="4" t="s">
        <v>1827</v>
      </c>
      <c r="F353" s="12" t="s">
        <v>1827</v>
      </c>
    </row>
    <row r="354" spans="1:6" x14ac:dyDescent="0.3">
      <c r="A354" s="4"/>
    </row>
    <row r="355" spans="1:6" ht="15.6" x14ac:dyDescent="0.3">
      <c r="A355" s="18" t="s">
        <v>339</v>
      </c>
      <c r="B355" s="19"/>
      <c r="C355" s="19"/>
      <c r="D355" s="19"/>
      <c r="E355" s="19"/>
      <c r="F355" s="19"/>
    </row>
    <row r="356" spans="1:6" x14ac:dyDescent="0.3">
      <c r="A356" s="10" t="s">
        <v>13</v>
      </c>
      <c r="B356" s="11">
        <v>45730</v>
      </c>
      <c r="C356" s="12" t="s">
        <v>12</v>
      </c>
      <c r="D356" s="12" t="s">
        <v>24</v>
      </c>
      <c r="E356" s="11">
        <v>45743</v>
      </c>
      <c r="F356" s="12" t="s">
        <v>1785</v>
      </c>
    </row>
    <row r="357" spans="1:6" x14ac:dyDescent="0.3">
      <c r="A357" s="4"/>
    </row>
    <row r="358" spans="1:6" ht="15.6" x14ac:dyDescent="0.3">
      <c r="A358" s="18" t="s">
        <v>342</v>
      </c>
      <c r="B358" s="19"/>
      <c r="C358" s="19"/>
      <c r="D358" s="19"/>
      <c r="E358" s="19"/>
      <c r="F358" s="19"/>
    </row>
    <row r="359" spans="1:6" x14ac:dyDescent="0.3">
      <c r="A359" s="10" t="s">
        <v>13</v>
      </c>
      <c r="B359" s="11">
        <v>45730</v>
      </c>
      <c r="C359" s="12" t="s">
        <v>12</v>
      </c>
      <c r="D359" s="12" t="s">
        <v>24</v>
      </c>
      <c r="E359" s="11">
        <v>45743</v>
      </c>
      <c r="F359" s="12" t="s">
        <v>1785</v>
      </c>
    </row>
    <row r="360" spans="1:6" x14ac:dyDescent="0.3">
      <c r="A360" s="4"/>
    </row>
    <row r="361" spans="1:6" ht="15.6" x14ac:dyDescent="0.3">
      <c r="A361" s="18" t="s">
        <v>345</v>
      </c>
      <c r="B361" s="19"/>
      <c r="C361" s="19"/>
      <c r="D361" s="19"/>
      <c r="E361" s="19"/>
      <c r="F361" s="19"/>
    </row>
    <row r="362" spans="1:6" x14ac:dyDescent="0.3">
      <c r="A362" s="10" t="s">
        <v>13</v>
      </c>
      <c r="B362" s="11">
        <v>45730</v>
      </c>
      <c r="C362" s="12" t="s">
        <v>12</v>
      </c>
      <c r="D362" s="12" t="s">
        <v>24</v>
      </c>
      <c r="E362" s="11">
        <v>45743</v>
      </c>
      <c r="F362" s="12" t="s">
        <v>1785</v>
      </c>
    </row>
    <row r="363" spans="1:6" x14ac:dyDescent="0.3">
      <c r="A363" s="4"/>
    </row>
    <row r="364" spans="1:6" ht="15.6" x14ac:dyDescent="0.3">
      <c r="A364" s="18" t="s">
        <v>348</v>
      </c>
      <c r="B364" s="19"/>
      <c r="C364" s="19"/>
      <c r="D364" s="19"/>
      <c r="E364" s="19"/>
      <c r="F364" s="19"/>
    </row>
    <row r="365" spans="1:6" x14ac:dyDescent="0.3">
      <c r="A365" s="10" t="s">
        <v>13</v>
      </c>
      <c r="B365" s="11">
        <v>45730</v>
      </c>
      <c r="C365" s="12" t="s">
        <v>12</v>
      </c>
      <c r="D365" s="12" t="s">
        <v>24</v>
      </c>
      <c r="E365" s="11">
        <v>45743</v>
      </c>
      <c r="F365" s="12" t="s">
        <v>1785</v>
      </c>
    </row>
    <row r="366" spans="1:6" x14ac:dyDescent="0.3">
      <c r="A366" s="4"/>
    </row>
    <row r="367" spans="1:6" ht="15.6" x14ac:dyDescent="0.3">
      <c r="A367" s="18" t="s">
        <v>351</v>
      </c>
      <c r="B367" s="19"/>
      <c r="C367" s="19"/>
      <c r="D367" s="19"/>
      <c r="E367" s="19"/>
      <c r="F367" s="19"/>
    </row>
    <row r="368" spans="1:6" ht="43.2" x14ac:dyDescent="0.3">
      <c r="A368" s="10" t="s">
        <v>13</v>
      </c>
      <c r="B368" s="11">
        <v>45730</v>
      </c>
      <c r="C368" s="12" t="s">
        <v>12</v>
      </c>
      <c r="D368" s="12" t="s">
        <v>21</v>
      </c>
      <c r="E368" s="11">
        <v>45749</v>
      </c>
      <c r="F368" s="12" t="s">
        <v>1900</v>
      </c>
    </row>
    <row r="369" spans="1:6" ht="28.8" x14ac:dyDescent="0.3">
      <c r="B369" s="11">
        <v>45749</v>
      </c>
      <c r="C369" s="12" t="s">
        <v>22</v>
      </c>
      <c r="D369" s="12" t="s">
        <v>4</v>
      </c>
      <c r="E369" s="4" t="s">
        <v>1827</v>
      </c>
      <c r="F369" s="12" t="s">
        <v>1827</v>
      </c>
    </row>
    <row r="370" spans="1:6" x14ac:dyDescent="0.3">
      <c r="A370" s="4"/>
    </row>
    <row r="371" spans="1:6" ht="15.6" x14ac:dyDescent="0.3">
      <c r="A371" s="18" t="s">
        <v>354</v>
      </c>
      <c r="B371" s="19"/>
      <c r="C371" s="19"/>
      <c r="D371" s="19"/>
      <c r="E371" s="19"/>
      <c r="F371" s="19"/>
    </row>
    <row r="372" spans="1:6" x14ac:dyDescent="0.3">
      <c r="A372" s="10" t="s">
        <v>13</v>
      </c>
      <c r="B372" s="11">
        <v>45730</v>
      </c>
      <c r="C372" s="12" t="s">
        <v>12</v>
      </c>
      <c r="D372" s="12" t="s">
        <v>24</v>
      </c>
      <c r="E372" s="11">
        <v>45749</v>
      </c>
      <c r="F372" s="12" t="s">
        <v>1785</v>
      </c>
    </row>
    <row r="373" spans="1:6" x14ac:dyDescent="0.3">
      <c r="A373" s="4"/>
    </row>
    <row r="374" spans="1:6" ht="15.6" x14ac:dyDescent="0.3">
      <c r="A374" s="18" t="s">
        <v>357</v>
      </c>
      <c r="B374" s="19"/>
      <c r="C374" s="19"/>
      <c r="D374" s="19"/>
      <c r="E374" s="19"/>
      <c r="F374" s="19"/>
    </row>
    <row r="375" spans="1:6" x14ac:dyDescent="0.3">
      <c r="A375" s="10" t="s">
        <v>13</v>
      </c>
      <c r="B375" s="11">
        <v>45730</v>
      </c>
      <c r="C375" s="12" t="s">
        <v>12</v>
      </c>
      <c r="D375" s="12" t="s">
        <v>24</v>
      </c>
      <c r="E375" s="11">
        <v>45749</v>
      </c>
      <c r="F375" s="12" t="s">
        <v>1785</v>
      </c>
    </row>
    <row r="376" spans="1:6" x14ac:dyDescent="0.3">
      <c r="A376" s="4"/>
    </row>
    <row r="377" spans="1:6" ht="15.6" x14ac:dyDescent="0.3">
      <c r="A377" s="18" t="s">
        <v>360</v>
      </c>
      <c r="B377" s="19"/>
      <c r="C377" s="19"/>
      <c r="D377" s="19"/>
      <c r="E377" s="19"/>
      <c r="F377" s="19"/>
    </row>
    <row r="378" spans="1:6" x14ac:dyDescent="0.3">
      <c r="A378" s="10" t="s">
        <v>13</v>
      </c>
      <c r="B378" s="11">
        <v>45730</v>
      </c>
      <c r="C378" s="12" t="s">
        <v>12</v>
      </c>
      <c r="D378" s="12" t="s">
        <v>24</v>
      </c>
      <c r="E378" s="11">
        <v>45749</v>
      </c>
      <c r="F378" s="12" t="s">
        <v>1785</v>
      </c>
    </row>
    <row r="379" spans="1:6" x14ac:dyDescent="0.3">
      <c r="A379" s="4"/>
    </row>
    <row r="380" spans="1:6" ht="15.6" x14ac:dyDescent="0.3">
      <c r="A380" s="18" t="s">
        <v>363</v>
      </c>
      <c r="B380" s="19"/>
      <c r="C380" s="19"/>
      <c r="D380" s="19"/>
      <c r="E380" s="19"/>
      <c r="F380" s="19"/>
    </row>
    <row r="381" spans="1:6" x14ac:dyDescent="0.3">
      <c r="A381" s="10" t="s">
        <v>13</v>
      </c>
      <c r="B381" s="11">
        <v>45730</v>
      </c>
      <c r="C381" s="12" t="s">
        <v>12</v>
      </c>
      <c r="D381" s="12" t="s">
        <v>24</v>
      </c>
      <c r="E381" s="11">
        <v>45749</v>
      </c>
      <c r="F381" s="12" t="s">
        <v>1785</v>
      </c>
    </row>
    <row r="382" spans="1:6" x14ac:dyDescent="0.3">
      <c r="A382" s="4"/>
    </row>
    <row r="383" spans="1:6" ht="15.6" x14ac:dyDescent="0.3">
      <c r="A383" s="18" t="s">
        <v>366</v>
      </c>
      <c r="B383" s="19"/>
      <c r="C383" s="19"/>
      <c r="D383" s="19"/>
      <c r="E383" s="19"/>
      <c r="F383" s="19"/>
    </row>
    <row r="384" spans="1:6" x14ac:dyDescent="0.3">
      <c r="A384" s="10" t="s">
        <v>13</v>
      </c>
      <c r="B384" s="11">
        <v>45730</v>
      </c>
      <c r="C384" s="12" t="s">
        <v>12</v>
      </c>
      <c r="D384" s="12" t="s">
        <v>24</v>
      </c>
      <c r="E384" s="11">
        <v>45749</v>
      </c>
      <c r="F384" s="12" t="s">
        <v>1785</v>
      </c>
    </row>
    <row r="385" spans="1:6" x14ac:dyDescent="0.3">
      <c r="A385" s="4"/>
    </row>
    <row r="386" spans="1:6" ht="15.6" x14ac:dyDescent="0.3">
      <c r="A386" s="18" t="s">
        <v>369</v>
      </c>
      <c r="B386" s="19"/>
      <c r="C386" s="19"/>
      <c r="D386" s="19"/>
      <c r="E386" s="19"/>
      <c r="F386" s="19"/>
    </row>
    <row r="387" spans="1:6" x14ac:dyDescent="0.3">
      <c r="A387" s="10" t="s">
        <v>10</v>
      </c>
      <c r="B387" s="11">
        <v>45730</v>
      </c>
      <c r="C387" s="12" t="s">
        <v>12</v>
      </c>
      <c r="D387" s="12" t="s">
        <v>21</v>
      </c>
      <c r="E387" s="11">
        <v>45748</v>
      </c>
      <c r="F387" s="12" t="s">
        <v>1830</v>
      </c>
    </row>
    <row r="388" spans="1:6" ht="28.8" x14ac:dyDescent="0.3">
      <c r="B388" s="11">
        <v>45748</v>
      </c>
      <c r="C388" s="12" t="s">
        <v>22</v>
      </c>
      <c r="D388" s="12" t="s">
        <v>4</v>
      </c>
      <c r="E388" s="4" t="s">
        <v>1827</v>
      </c>
      <c r="F388" s="12" t="s">
        <v>1827</v>
      </c>
    </row>
    <row r="389" spans="1:6" x14ac:dyDescent="0.3">
      <c r="A389" s="4"/>
    </row>
    <row r="390" spans="1:6" ht="15.6" x14ac:dyDescent="0.3">
      <c r="A390" s="18" t="s">
        <v>372</v>
      </c>
      <c r="B390" s="19"/>
      <c r="C390" s="19"/>
      <c r="D390" s="19"/>
      <c r="E390" s="19"/>
      <c r="F390" s="19"/>
    </row>
    <row r="391" spans="1:6" x14ac:dyDescent="0.3">
      <c r="A391" s="10" t="s">
        <v>10</v>
      </c>
      <c r="B391" s="11">
        <v>45730</v>
      </c>
      <c r="C391" s="12" t="s">
        <v>12</v>
      </c>
      <c r="D391" s="12" t="s">
        <v>24</v>
      </c>
      <c r="E391" s="11">
        <v>45754</v>
      </c>
      <c r="F391" s="12" t="s">
        <v>1827</v>
      </c>
    </row>
    <row r="392" spans="1:6" x14ac:dyDescent="0.3">
      <c r="A392" s="4"/>
    </row>
    <row r="393" spans="1:6" ht="15.6" x14ac:dyDescent="0.3">
      <c r="A393" s="18" t="s">
        <v>375</v>
      </c>
      <c r="B393" s="19"/>
      <c r="C393" s="19"/>
      <c r="D393" s="19"/>
      <c r="E393" s="19"/>
      <c r="F393" s="19"/>
    </row>
    <row r="394" spans="1:6" x14ac:dyDescent="0.3">
      <c r="A394" s="10" t="s">
        <v>10</v>
      </c>
      <c r="B394" s="11">
        <v>45730</v>
      </c>
      <c r="C394" s="12" t="s">
        <v>12</v>
      </c>
      <c r="D394" s="12" t="s">
        <v>24</v>
      </c>
      <c r="E394" s="11">
        <v>45754</v>
      </c>
      <c r="F394" s="12" t="s">
        <v>1827</v>
      </c>
    </row>
    <row r="395" spans="1:6" x14ac:dyDescent="0.3">
      <c r="A395" s="4"/>
    </row>
    <row r="396" spans="1:6" ht="15.6" x14ac:dyDescent="0.3">
      <c r="A396" s="18" t="s">
        <v>378</v>
      </c>
      <c r="B396" s="19"/>
      <c r="C396" s="19"/>
      <c r="D396" s="19"/>
      <c r="E396" s="19"/>
      <c r="F396" s="19"/>
    </row>
    <row r="397" spans="1:6" x14ac:dyDescent="0.3">
      <c r="A397" s="10" t="s">
        <v>10</v>
      </c>
      <c r="B397" s="11">
        <v>45730</v>
      </c>
      <c r="C397" s="12" t="s">
        <v>12</v>
      </c>
      <c r="D397" s="12" t="s">
        <v>24</v>
      </c>
      <c r="E397" s="11">
        <v>45754</v>
      </c>
      <c r="F397" s="12" t="s">
        <v>1827</v>
      </c>
    </row>
    <row r="398" spans="1:6" x14ac:dyDescent="0.3">
      <c r="A398" s="4"/>
    </row>
    <row r="399" spans="1:6" ht="15.6" x14ac:dyDescent="0.3">
      <c r="A399" s="18" t="s">
        <v>381</v>
      </c>
      <c r="B399" s="19"/>
      <c r="C399" s="19"/>
      <c r="D399" s="19"/>
      <c r="E399" s="19"/>
      <c r="F399" s="19"/>
    </row>
    <row r="400" spans="1:6" x14ac:dyDescent="0.3">
      <c r="A400" s="10" t="s">
        <v>10</v>
      </c>
      <c r="B400" s="11">
        <v>45730</v>
      </c>
      <c r="C400" s="12" t="s">
        <v>12</v>
      </c>
      <c r="D400" s="12" t="s">
        <v>24</v>
      </c>
      <c r="E400" s="11">
        <v>45754</v>
      </c>
      <c r="F400" s="12" t="s">
        <v>1827</v>
      </c>
    </row>
    <row r="401" spans="1:6" x14ac:dyDescent="0.3">
      <c r="A401" s="4"/>
    </row>
    <row r="402" spans="1:6" ht="15.6" x14ac:dyDescent="0.3">
      <c r="A402" s="18" t="s">
        <v>384</v>
      </c>
      <c r="B402" s="19"/>
      <c r="C402" s="19"/>
      <c r="D402" s="19"/>
      <c r="E402" s="19"/>
      <c r="F402" s="19"/>
    </row>
    <row r="403" spans="1:6" x14ac:dyDescent="0.3">
      <c r="A403" s="10" t="s">
        <v>10</v>
      </c>
      <c r="B403" s="11">
        <v>45730</v>
      </c>
      <c r="C403" s="12" t="s">
        <v>12</v>
      </c>
      <c r="D403" s="12" t="s">
        <v>24</v>
      </c>
      <c r="E403" s="11">
        <v>45754</v>
      </c>
      <c r="F403" s="12" t="s">
        <v>1827</v>
      </c>
    </row>
    <row r="404" spans="1:6" x14ac:dyDescent="0.3">
      <c r="A404" s="4"/>
    </row>
    <row r="405" spans="1:6" ht="15.6" x14ac:dyDescent="0.3">
      <c r="A405" s="18" t="s">
        <v>387</v>
      </c>
      <c r="B405" s="19"/>
      <c r="C405" s="19"/>
      <c r="D405" s="19"/>
      <c r="E405" s="19"/>
      <c r="F405" s="19"/>
    </row>
    <row r="406" spans="1:6" x14ac:dyDescent="0.3">
      <c r="A406" s="10" t="s">
        <v>10</v>
      </c>
      <c r="B406" s="11">
        <v>45730</v>
      </c>
      <c r="C406" s="12" t="s">
        <v>12</v>
      </c>
      <c r="D406" s="12" t="s">
        <v>24</v>
      </c>
      <c r="E406" s="11">
        <v>45754</v>
      </c>
      <c r="F406" s="12" t="s">
        <v>1827</v>
      </c>
    </row>
    <row r="407" spans="1:6" x14ac:dyDescent="0.3">
      <c r="A407" s="4"/>
    </row>
    <row r="408" spans="1:6" ht="15.6" x14ac:dyDescent="0.3">
      <c r="A408" s="18" t="s">
        <v>390</v>
      </c>
      <c r="B408" s="19"/>
      <c r="C408" s="19"/>
      <c r="D408" s="19"/>
      <c r="E408" s="19"/>
      <c r="F408" s="19"/>
    </row>
    <row r="409" spans="1:6" x14ac:dyDescent="0.3">
      <c r="A409" s="10" t="s">
        <v>13</v>
      </c>
      <c r="B409" s="11">
        <v>45730</v>
      </c>
      <c r="C409" s="12" t="s">
        <v>12</v>
      </c>
      <c r="D409" s="12" t="s">
        <v>24</v>
      </c>
      <c r="E409" s="11">
        <v>45743</v>
      </c>
      <c r="F409" s="12" t="s">
        <v>1785</v>
      </c>
    </row>
    <row r="410" spans="1:6" x14ac:dyDescent="0.3">
      <c r="A410" s="4"/>
    </row>
    <row r="411" spans="1:6" ht="15.6" x14ac:dyDescent="0.3">
      <c r="A411" s="18" t="s">
        <v>393</v>
      </c>
      <c r="B411" s="19"/>
      <c r="C411" s="19"/>
      <c r="D411" s="19"/>
      <c r="E411" s="19"/>
      <c r="F411" s="19"/>
    </row>
    <row r="412" spans="1:6" x14ac:dyDescent="0.3">
      <c r="A412" s="10" t="s">
        <v>13</v>
      </c>
      <c r="B412" s="11">
        <v>45730</v>
      </c>
      <c r="C412" s="12" t="s">
        <v>12</v>
      </c>
      <c r="D412" s="12" t="s">
        <v>24</v>
      </c>
      <c r="E412" s="11">
        <v>45743</v>
      </c>
      <c r="F412" s="12" t="s">
        <v>1785</v>
      </c>
    </row>
    <row r="413" spans="1:6" x14ac:dyDescent="0.3">
      <c r="A413" s="4"/>
    </row>
    <row r="414" spans="1:6" ht="15.6" x14ac:dyDescent="0.3">
      <c r="A414" s="18" t="s">
        <v>396</v>
      </c>
      <c r="B414" s="19"/>
      <c r="C414" s="19"/>
      <c r="D414" s="19"/>
      <c r="E414" s="19"/>
      <c r="F414" s="19"/>
    </row>
    <row r="415" spans="1:6" x14ac:dyDescent="0.3">
      <c r="A415" s="10" t="s">
        <v>13</v>
      </c>
      <c r="B415" s="11">
        <v>45730</v>
      </c>
      <c r="C415" s="12" t="s">
        <v>12</v>
      </c>
      <c r="D415" s="12" t="s">
        <v>24</v>
      </c>
      <c r="E415" s="11">
        <v>45743</v>
      </c>
      <c r="F415" s="12" t="s">
        <v>1785</v>
      </c>
    </row>
    <row r="416" spans="1:6" x14ac:dyDescent="0.3">
      <c r="A416" s="4"/>
    </row>
    <row r="417" spans="1:6" ht="15.6" x14ac:dyDescent="0.3">
      <c r="A417" s="18" t="s">
        <v>399</v>
      </c>
      <c r="B417" s="19"/>
      <c r="C417" s="19"/>
      <c r="D417" s="19"/>
      <c r="E417" s="19"/>
      <c r="F417" s="19"/>
    </row>
    <row r="418" spans="1:6" x14ac:dyDescent="0.3">
      <c r="A418" s="10" t="s">
        <v>10</v>
      </c>
      <c r="B418" s="11">
        <v>45730</v>
      </c>
      <c r="C418" s="12" t="s">
        <v>12</v>
      </c>
      <c r="D418" s="12" t="s">
        <v>24</v>
      </c>
      <c r="E418" s="11">
        <v>45743</v>
      </c>
      <c r="F418" s="12" t="s">
        <v>1785</v>
      </c>
    </row>
    <row r="419" spans="1:6" x14ac:dyDescent="0.3">
      <c r="A419" s="4"/>
    </row>
    <row r="420" spans="1:6" ht="15.6" x14ac:dyDescent="0.3">
      <c r="A420" s="18" t="s">
        <v>402</v>
      </c>
      <c r="B420" s="19"/>
      <c r="C420" s="19"/>
      <c r="D420" s="19"/>
      <c r="E420" s="19"/>
      <c r="F420" s="19"/>
    </row>
    <row r="421" spans="1:6" x14ac:dyDescent="0.3">
      <c r="A421" s="10" t="s">
        <v>10</v>
      </c>
      <c r="B421" s="11">
        <v>45730</v>
      </c>
      <c r="C421" s="12" t="s">
        <v>12</v>
      </c>
      <c r="D421" s="12" t="s">
        <v>24</v>
      </c>
      <c r="E421" s="11">
        <v>45743</v>
      </c>
      <c r="F421" s="12" t="s">
        <v>1785</v>
      </c>
    </row>
    <row r="422" spans="1:6" x14ac:dyDescent="0.3">
      <c r="A422" s="4"/>
    </row>
    <row r="423" spans="1:6" ht="15.6" x14ac:dyDescent="0.3">
      <c r="A423" s="18" t="s">
        <v>405</v>
      </c>
      <c r="B423" s="19"/>
      <c r="C423" s="19"/>
      <c r="D423" s="19"/>
      <c r="E423" s="19"/>
      <c r="F423" s="19"/>
    </row>
    <row r="424" spans="1:6" x14ac:dyDescent="0.3">
      <c r="A424" s="10" t="s">
        <v>10</v>
      </c>
      <c r="B424" s="11">
        <v>45730</v>
      </c>
      <c r="C424" s="12" t="s">
        <v>12</v>
      </c>
      <c r="D424" s="12" t="s">
        <v>24</v>
      </c>
      <c r="E424" s="11">
        <v>45743</v>
      </c>
      <c r="F424" s="12" t="s">
        <v>1785</v>
      </c>
    </row>
    <row r="425" spans="1:6" x14ac:dyDescent="0.3">
      <c r="A425" s="4"/>
    </row>
    <row r="426" spans="1:6" ht="15.6" x14ac:dyDescent="0.3">
      <c r="A426" s="18" t="s">
        <v>408</v>
      </c>
      <c r="B426" s="19"/>
      <c r="C426" s="19"/>
      <c r="D426" s="19"/>
      <c r="E426" s="19"/>
      <c r="F426" s="19"/>
    </row>
    <row r="427" spans="1:6" x14ac:dyDescent="0.3">
      <c r="A427" s="10" t="s">
        <v>13</v>
      </c>
      <c r="B427" s="11">
        <v>45730</v>
      </c>
      <c r="C427" s="12" t="s">
        <v>12</v>
      </c>
      <c r="D427" s="12" t="s">
        <v>24</v>
      </c>
      <c r="E427" s="11">
        <v>45743</v>
      </c>
      <c r="F427" s="12" t="s">
        <v>1785</v>
      </c>
    </row>
    <row r="428" spans="1:6" x14ac:dyDescent="0.3">
      <c r="A428" s="4"/>
    </row>
    <row r="429" spans="1:6" ht="15.6" x14ac:dyDescent="0.3">
      <c r="A429" s="18" t="s">
        <v>411</v>
      </c>
      <c r="B429" s="19"/>
      <c r="C429" s="19"/>
      <c r="D429" s="19"/>
      <c r="E429" s="19"/>
      <c r="F429" s="19"/>
    </row>
    <row r="430" spans="1:6" x14ac:dyDescent="0.3">
      <c r="A430" s="10" t="s">
        <v>13</v>
      </c>
      <c r="B430" s="11">
        <v>45730</v>
      </c>
      <c r="C430" s="12" t="s">
        <v>12</v>
      </c>
      <c r="D430" s="12" t="s">
        <v>24</v>
      </c>
      <c r="E430" s="11">
        <v>45743</v>
      </c>
      <c r="F430" s="12" t="s">
        <v>1785</v>
      </c>
    </row>
    <row r="431" spans="1:6" x14ac:dyDescent="0.3">
      <c r="A431" s="4"/>
    </row>
    <row r="432" spans="1:6" ht="15.6" x14ac:dyDescent="0.3">
      <c r="A432" s="18" t="s">
        <v>414</v>
      </c>
      <c r="B432" s="19"/>
      <c r="C432" s="19"/>
      <c r="D432" s="19"/>
      <c r="E432" s="19"/>
      <c r="F432" s="19"/>
    </row>
    <row r="433" spans="1:6" x14ac:dyDescent="0.3">
      <c r="A433" s="10" t="s">
        <v>13</v>
      </c>
      <c r="B433" s="11">
        <v>45730</v>
      </c>
      <c r="C433" s="12" t="s">
        <v>12</v>
      </c>
      <c r="D433" s="12" t="s">
        <v>24</v>
      </c>
      <c r="E433" s="11">
        <v>45743</v>
      </c>
      <c r="F433" s="12" t="s">
        <v>1785</v>
      </c>
    </row>
    <row r="434" spans="1:6" x14ac:dyDescent="0.3">
      <c r="A434" s="4"/>
    </row>
    <row r="435" spans="1:6" ht="15.6" x14ac:dyDescent="0.3">
      <c r="A435" s="18" t="s">
        <v>417</v>
      </c>
      <c r="B435" s="19"/>
      <c r="C435" s="19"/>
      <c r="D435" s="19"/>
      <c r="E435" s="19"/>
      <c r="F435" s="19"/>
    </row>
    <row r="436" spans="1:6" ht="57.6" x14ac:dyDescent="0.3">
      <c r="A436" s="10" t="s">
        <v>418</v>
      </c>
      <c r="B436" s="11">
        <v>45730</v>
      </c>
      <c r="C436" s="12" t="s">
        <v>12</v>
      </c>
      <c r="D436" s="12" t="s">
        <v>1027</v>
      </c>
      <c r="E436" s="11">
        <v>45749</v>
      </c>
      <c r="F436" s="12" t="s">
        <v>1901</v>
      </c>
    </row>
    <row r="437" spans="1:6" ht="28.8" x14ac:dyDescent="0.3">
      <c r="B437" s="11">
        <v>45749</v>
      </c>
      <c r="C437" s="12" t="s">
        <v>22</v>
      </c>
      <c r="D437" s="12" t="s">
        <v>4</v>
      </c>
      <c r="E437" s="4" t="s">
        <v>1827</v>
      </c>
      <c r="F437" s="12" t="s">
        <v>1827</v>
      </c>
    </row>
    <row r="438" spans="1:6" x14ac:dyDescent="0.3">
      <c r="A438" s="4"/>
    </row>
    <row r="439" spans="1:6" ht="15.6" x14ac:dyDescent="0.3">
      <c r="A439" s="18" t="s">
        <v>421</v>
      </c>
      <c r="B439" s="19"/>
      <c r="C439" s="19"/>
      <c r="D439" s="19"/>
      <c r="E439" s="19"/>
      <c r="F439" s="19"/>
    </row>
    <row r="440" spans="1:6" x14ac:dyDescent="0.3">
      <c r="A440" s="10" t="s">
        <v>10</v>
      </c>
      <c r="B440" s="11">
        <v>45730</v>
      </c>
      <c r="C440" s="12" t="s">
        <v>12</v>
      </c>
      <c r="D440" s="12" t="s">
        <v>24</v>
      </c>
      <c r="E440" s="11">
        <v>45749</v>
      </c>
      <c r="F440" s="12" t="s">
        <v>1785</v>
      </c>
    </row>
    <row r="441" spans="1:6" x14ac:dyDescent="0.3">
      <c r="A441" s="4"/>
    </row>
    <row r="442" spans="1:6" ht="15.6" x14ac:dyDescent="0.3">
      <c r="A442" s="18" t="s">
        <v>424</v>
      </c>
      <c r="B442" s="19"/>
      <c r="C442" s="19"/>
      <c r="D442" s="19"/>
      <c r="E442" s="19"/>
      <c r="F442" s="19"/>
    </row>
    <row r="443" spans="1:6" x14ac:dyDescent="0.3">
      <c r="A443" s="10" t="s">
        <v>13</v>
      </c>
      <c r="B443" s="11">
        <v>45730</v>
      </c>
      <c r="C443" s="12" t="s">
        <v>12</v>
      </c>
      <c r="D443" s="12" t="s">
        <v>24</v>
      </c>
      <c r="E443" s="11">
        <v>45749</v>
      </c>
      <c r="F443" s="12" t="s">
        <v>1785</v>
      </c>
    </row>
    <row r="444" spans="1:6" x14ac:dyDescent="0.3">
      <c r="A444" s="4"/>
    </row>
    <row r="445" spans="1:6" ht="15.6" x14ac:dyDescent="0.3">
      <c r="A445" s="18" t="s">
        <v>427</v>
      </c>
      <c r="B445" s="19"/>
      <c r="C445" s="19"/>
      <c r="D445" s="19"/>
      <c r="E445" s="19"/>
      <c r="F445" s="19"/>
    </row>
    <row r="446" spans="1:6" x14ac:dyDescent="0.3">
      <c r="A446" s="10" t="s">
        <v>13</v>
      </c>
      <c r="B446" s="11">
        <v>45730</v>
      </c>
      <c r="C446" s="12" t="s">
        <v>12</v>
      </c>
      <c r="D446" s="12" t="s">
        <v>24</v>
      </c>
      <c r="E446" s="11">
        <v>45743</v>
      </c>
      <c r="F446" s="12" t="s">
        <v>1785</v>
      </c>
    </row>
    <row r="447" spans="1:6" x14ac:dyDescent="0.3">
      <c r="A447" s="4"/>
    </row>
    <row r="448" spans="1:6" ht="15.6" x14ac:dyDescent="0.3">
      <c r="A448" s="18" t="s">
        <v>430</v>
      </c>
      <c r="B448" s="19"/>
      <c r="C448" s="19"/>
      <c r="D448" s="19"/>
      <c r="E448" s="19"/>
      <c r="F448" s="19"/>
    </row>
    <row r="449" spans="1:6" x14ac:dyDescent="0.3">
      <c r="A449" s="10" t="s">
        <v>11</v>
      </c>
      <c r="B449" s="11">
        <v>45730</v>
      </c>
      <c r="C449" s="12" t="s">
        <v>12</v>
      </c>
      <c r="D449" s="12" t="s">
        <v>24</v>
      </c>
      <c r="E449" s="11">
        <v>45754</v>
      </c>
      <c r="F449" s="12" t="s">
        <v>1827</v>
      </c>
    </row>
    <row r="450" spans="1:6" x14ac:dyDescent="0.3">
      <c r="A450" s="4"/>
    </row>
    <row r="451" spans="1:6" ht="15.6" x14ac:dyDescent="0.3">
      <c r="A451" s="18" t="s">
        <v>433</v>
      </c>
      <c r="B451" s="19"/>
      <c r="C451" s="19"/>
      <c r="D451" s="19"/>
      <c r="E451" s="19"/>
      <c r="F451" s="19"/>
    </row>
    <row r="452" spans="1:6" x14ac:dyDescent="0.3">
      <c r="A452" s="10" t="s">
        <v>13</v>
      </c>
      <c r="B452" s="11">
        <v>45730</v>
      </c>
      <c r="C452" s="12" t="s">
        <v>12</v>
      </c>
      <c r="D452" s="12" t="s">
        <v>24</v>
      </c>
      <c r="E452" s="11">
        <v>45749</v>
      </c>
      <c r="F452" s="12" t="s">
        <v>1785</v>
      </c>
    </row>
    <row r="453" spans="1:6" x14ac:dyDescent="0.3">
      <c r="A453" s="4"/>
    </row>
    <row r="454" spans="1:6" ht="15.6" x14ac:dyDescent="0.3">
      <c r="A454" s="18" t="s">
        <v>436</v>
      </c>
      <c r="B454" s="19"/>
      <c r="C454" s="19"/>
      <c r="D454" s="19"/>
      <c r="E454" s="19"/>
      <c r="F454" s="19"/>
    </row>
    <row r="455" spans="1:6" x14ac:dyDescent="0.3">
      <c r="A455" s="10" t="s">
        <v>13</v>
      </c>
      <c r="B455" s="11">
        <v>45730</v>
      </c>
      <c r="C455" s="12" t="s">
        <v>12</v>
      </c>
      <c r="D455" s="12" t="s">
        <v>24</v>
      </c>
      <c r="E455" s="11">
        <v>45749</v>
      </c>
      <c r="F455" s="12" t="s">
        <v>1785</v>
      </c>
    </row>
    <row r="456" spans="1:6" x14ac:dyDescent="0.3">
      <c r="A456" s="4"/>
    </row>
    <row r="457" spans="1:6" ht="15.6" x14ac:dyDescent="0.3">
      <c r="A457" s="18" t="s">
        <v>439</v>
      </c>
      <c r="B457" s="19"/>
      <c r="C457" s="19"/>
      <c r="D457" s="19"/>
      <c r="E457" s="19"/>
      <c r="F457" s="19"/>
    </row>
    <row r="458" spans="1:6" x14ac:dyDescent="0.3">
      <c r="A458" s="10" t="s">
        <v>13</v>
      </c>
      <c r="B458" s="11">
        <v>45730</v>
      </c>
      <c r="C458" s="12" t="s">
        <v>12</v>
      </c>
      <c r="D458" s="12" t="s">
        <v>24</v>
      </c>
      <c r="E458" s="11">
        <v>45749</v>
      </c>
      <c r="F458" s="12" t="s">
        <v>1785</v>
      </c>
    </row>
    <row r="459" spans="1:6" x14ac:dyDescent="0.3">
      <c r="A459" s="4"/>
    </row>
    <row r="460" spans="1:6" ht="15.6" x14ac:dyDescent="0.3">
      <c r="A460" s="18" t="s">
        <v>442</v>
      </c>
      <c r="B460" s="19"/>
      <c r="C460" s="19"/>
      <c r="D460" s="19"/>
      <c r="E460" s="19"/>
      <c r="F460" s="19"/>
    </row>
    <row r="461" spans="1:6" ht="57.6" x14ac:dyDescent="0.3">
      <c r="A461" s="10" t="s">
        <v>13</v>
      </c>
      <c r="B461" s="11">
        <v>45730</v>
      </c>
      <c r="C461" s="12" t="s">
        <v>12</v>
      </c>
      <c r="D461" s="12" t="s">
        <v>21</v>
      </c>
      <c r="E461" s="11">
        <v>45749</v>
      </c>
      <c r="F461" s="12" t="s">
        <v>1902</v>
      </c>
    </row>
    <row r="462" spans="1:6" ht="28.8" x14ac:dyDescent="0.3">
      <c r="B462" s="11">
        <v>45749</v>
      </c>
      <c r="C462" s="12" t="s">
        <v>22</v>
      </c>
      <c r="D462" s="12" t="s">
        <v>4</v>
      </c>
      <c r="E462" s="4" t="s">
        <v>1827</v>
      </c>
      <c r="F462" s="12" t="s">
        <v>1827</v>
      </c>
    </row>
    <row r="463" spans="1:6" x14ac:dyDescent="0.3">
      <c r="A463" s="4"/>
    </row>
    <row r="464" spans="1:6" ht="15.6" x14ac:dyDescent="0.3">
      <c r="A464" s="18" t="s">
        <v>445</v>
      </c>
      <c r="B464" s="19"/>
      <c r="C464" s="19"/>
      <c r="D464" s="19"/>
      <c r="E464" s="19"/>
      <c r="F464" s="19"/>
    </row>
    <row r="465" spans="1:6" x14ac:dyDescent="0.3">
      <c r="A465" s="10" t="s">
        <v>13</v>
      </c>
      <c r="B465" s="11">
        <v>45730</v>
      </c>
      <c r="C465" s="12" t="s">
        <v>12</v>
      </c>
      <c r="D465" s="12" t="s">
        <v>24</v>
      </c>
      <c r="E465" s="11">
        <v>45749</v>
      </c>
      <c r="F465" s="12" t="s">
        <v>1785</v>
      </c>
    </row>
    <row r="466" spans="1:6" x14ac:dyDescent="0.3">
      <c r="A466" s="4"/>
    </row>
    <row r="467" spans="1:6" ht="15.6" x14ac:dyDescent="0.3">
      <c r="A467" s="18" t="s">
        <v>448</v>
      </c>
      <c r="B467" s="19"/>
      <c r="C467" s="19"/>
      <c r="D467" s="19"/>
      <c r="E467" s="19"/>
      <c r="F467" s="19"/>
    </row>
    <row r="468" spans="1:6" x14ac:dyDescent="0.3">
      <c r="A468" s="10" t="s">
        <v>13</v>
      </c>
      <c r="B468" s="11">
        <v>45730</v>
      </c>
      <c r="C468" s="12" t="s">
        <v>12</v>
      </c>
      <c r="D468" s="12" t="s">
        <v>24</v>
      </c>
      <c r="E468" s="11">
        <v>45749</v>
      </c>
      <c r="F468" s="12" t="s">
        <v>1785</v>
      </c>
    </row>
    <row r="469" spans="1:6" x14ac:dyDescent="0.3">
      <c r="A469" s="4"/>
    </row>
    <row r="470" spans="1:6" ht="15.6" x14ac:dyDescent="0.3">
      <c r="A470" s="18" t="s">
        <v>451</v>
      </c>
      <c r="B470" s="19"/>
      <c r="C470" s="19"/>
      <c r="D470" s="19"/>
      <c r="E470" s="19"/>
      <c r="F470" s="19"/>
    </row>
    <row r="471" spans="1:6" ht="28.8" x14ac:dyDescent="0.3">
      <c r="A471" s="10" t="s">
        <v>13</v>
      </c>
      <c r="B471" s="11">
        <v>45730</v>
      </c>
      <c r="C471" s="12" t="s">
        <v>12</v>
      </c>
      <c r="D471" s="12" t="s">
        <v>1027</v>
      </c>
      <c r="E471" s="11">
        <v>45754</v>
      </c>
      <c r="F471" s="12" t="s">
        <v>1947</v>
      </c>
    </row>
    <row r="472" spans="1:6" ht="28.8" x14ac:dyDescent="0.3">
      <c r="B472" s="11">
        <v>45754</v>
      </c>
      <c r="C472" s="12" t="s">
        <v>22</v>
      </c>
      <c r="D472" s="12" t="s">
        <v>4</v>
      </c>
      <c r="E472" s="4" t="s">
        <v>1827</v>
      </c>
      <c r="F472" s="12" t="s">
        <v>1827</v>
      </c>
    </row>
    <row r="473" spans="1:6" x14ac:dyDescent="0.3">
      <c r="A473" s="4"/>
    </row>
    <row r="474" spans="1:6" ht="15.6" x14ac:dyDescent="0.3">
      <c r="A474" s="18" t="s">
        <v>454</v>
      </c>
      <c r="B474" s="19"/>
      <c r="C474" s="19"/>
      <c r="D474" s="19"/>
      <c r="E474" s="19"/>
      <c r="F474" s="19"/>
    </row>
    <row r="475" spans="1:6" x14ac:dyDescent="0.3">
      <c r="A475" s="10" t="s">
        <v>13</v>
      </c>
      <c r="B475" s="11">
        <v>45730</v>
      </c>
      <c r="C475" s="12" t="s">
        <v>12</v>
      </c>
      <c r="D475" s="12" t="s">
        <v>24</v>
      </c>
      <c r="E475" s="11">
        <v>45743</v>
      </c>
      <c r="F475" s="12" t="s">
        <v>1785</v>
      </c>
    </row>
    <row r="476" spans="1:6" x14ac:dyDescent="0.3">
      <c r="A476" s="4"/>
    </row>
    <row r="477" spans="1:6" ht="15.6" x14ac:dyDescent="0.3">
      <c r="A477" s="18" t="s">
        <v>457</v>
      </c>
      <c r="B477" s="19"/>
      <c r="C477" s="19"/>
      <c r="D477" s="19"/>
      <c r="E477" s="19"/>
      <c r="F477" s="19"/>
    </row>
    <row r="478" spans="1:6" x14ac:dyDescent="0.3">
      <c r="A478" s="10" t="s">
        <v>13</v>
      </c>
      <c r="B478" s="11">
        <v>45730</v>
      </c>
      <c r="C478" s="12" t="s">
        <v>12</v>
      </c>
      <c r="D478" s="12" t="s">
        <v>24</v>
      </c>
      <c r="E478" s="11">
        <v>45754</v>
      </c>
      <c r="F478" s="12" t="s">
        <v>1827</v>
      </c>
    </row>
    <row r="479" spans="1:6" x14ac:dyDescent="0.3">
      <c r="A479" s="4"/>
    </row>
    <row r="480" spans="1:6" ht="15.6" x14ac:dyDescent="0.3">
      <c r="A480" s="18" t="s">
        <v>460</v>
      </c>
      <c r="B480" s="19"/>
      <c r="C480" s="19"/>
      <c r="D480" s="19"/>
      <c r="E480" s="19"/>
      <c r="F480" s="19"/>
    </row>
    <row r="481" spans="1:6" x14ac:dyDescent="0.3">
      <c r="A481" s="10" t="s">
        <v>13</v>
      </c>
      <c r="B481" s="11">
        <v>45730</v>
      </c>
      <c r="C481" s="12" t="s">
        <v>12</v>
      </c>
      <c r="D481" s="12" t="s">
        <v>24</v>
      </c>
      <c r="E481" s="11">
        <v>45754</v>
      </c>
      <c r="F481" s="12" t="s">
        <v>1827</v>
      </c>
    </row>
    <row r="482" spans="1:6" x14ac:dyDescent="0.3">
      <c r="A482" s="4"/>
    </row>
    <row r="483" spans="1:6" ht="15.6" x14ac:dyDescent="0.3">
      <c r="A483" s="18" t="s">
        <v>463</v>
      </c>
      <c r="B483" s="19"/>
      <c r="C483" s="19"/>
      <c r="D483" s="19"/>
      <c r="E483" s="19"/>
      <c r="F483" s="19"/>
    </row>
    <row r="484" spans="1:6" x14ac:dyDescent="0.3">
      <c r="A484" s="10" t="s">
        <v>13</v>
      </c>
      <c r="B484" s="11">
        <v>45730</v>
      </c>
      <c r="C484" s="12" t="s">
        <v>12</v>
      </c>
      <c r="D484" s="12" t="s">
        <v>24</v>
      </c>
      <c r="E484" s="11">
        <v>45743</v>
      </c>
      <c r="F484" s="12" t="s">
        <v>1785</v>
      </c>
    </row>
    <row r="485" spans="1:6" x14ac:dyDescent="0.3">
      <c r="A485" s="4"/>
    </row>
    <row r="486" spans="1:6" ht="15.6" x14ac:dyDescent="0.3">
      <c r="A486" s="18" t="s">
        <v>466</v>
      </c>
      <c r="B486" s="19"/>
      <c r="C486" s="19"/>
      <c r="D486" s="19"/>
      <c r="E486" s="19"/>
      <c r="F486" s="19"/>
    </row>
    <row r="487" spans="1:6" x14ac:dyDescent="0.3">
      <c r="A487" s="10" t="s">
        <v>13</v>
      </c>
      <c r="B487" s="11">
        <v>45730</v>
      </c>
      <c r="C487" s="12" t="s">
        <v>12</v>
      </c>
      <c r="D487" s="12" t="s">
        <v>24</v>
      </c>
      <c r="E487" s="11">
        <v>45743</v>
      </c>
      <c r="F487" s="12" t="s">
        <v>1785</v>
      </c>
    </row>
    <row r="488" spans="1:6" x14ac:dyDescent="0.3">
      <c r="A488" s="4"/>
    </row>
    <row r="489" spans="1:6" ht="15.6" x14ac:dyDescent="0.3">
      <c r="A489" s="18" t="s">
        <v>469</v>
      </c>
      <c r="B489" s="19"/>
      <c r="C489" s="19"/>
      <c r="D489" s="19"/>
      <c r="E489" s="19"/>
      <c r="F489" s="19"/>
    </row>
    <row r="490" spans="1:6" x14ac:dyDescent="0.3">
      <c r="A490" s="10" t="s">
        <v>13</v>
      </c>
      <c r="B490" s="11">
        <v>45730</v>
      </c>
      <c r="C490" s="12" t="s">
        <v>12</v>
      </c>
      <c r="D490" s="12" t="s">
        <v>21</v>
      </c>
      <c r="E490" s="11">
        <v>45743</v>
      </c>
      <c r="F490" s="12" t="s">
        <v>1790</v>
      </c>
    </row>
    <row r="491" spans="1:6" ht="28.8" x14ac:dyDescent="0.3">
      <c r="B491" s="11">
        <v>45743</v>
      </c>
      <c r="C491" s="12" t="s">
        <v>22</v>
      </c>
      <c r="D491" s="12" t="s">
        <v>4</v>
      </c>
      <c r="E491" s="4" t="s">
        <v>1827</v>
      </c>
      <c r="F491" s="12" t="s">
        <v>1827</v>
      </c>
    </row>
    <row r="492" spans="1:6" x14ac:dyDescent="0.3">
      <c r="A492" s="4"/>
    </row>
    <row r="493" spans="1:6" ht="15.6" x14ac:dyDescent="0.3">
      <c r="A493" s="18" t="s">
        <v>472</v>
      </c>
      <c r="B493" s="19"/>
      <c r="C493" s="19"/>
      <c r="D493" s="19"/>
      <c r="E493" s="19"/>
      <c r="F493" s="19"/>
    </row>
    <row r="494" spans="1:6" x14ac:dyDescent="0.3">
      <c r="A494" s="10" t="s">
        <v>13</v>
      </c>
      <c r="B494" s="11">
        <v>45730</v>
      </c>
      <c r="C494" s="12" t="s">
        <v>12</v>
      </c>
      <c r="D494" s="12" t="s">
        <v>24</v>
      </c>
      <c r="E494" s="11">
        <v>45743</v>
      </c>
      <c r="F494" s="12" t="s">
        <v>1785</v>
      </c>
    </row>
    <row r="495" spans="1:6" x14ac:dyDescent="0.3">
      <c r="A495" s="4"/>
    </row>
    <row r="496" spans="1:6" ht="15.6" x14ac:dyDescent="0.3">
      <c r="A496" s="18" t="s">
        <v>475</v>
      </c>
      <c r="B496" s="19"/>
      <c r="C496" s="19"/>
      <c r="D496" s="19"/>
      <c r="E496" s="19"/>
      <c r="F496" s="19"/>
    </row>
    <row r="497" spans="1:6" x14ac:dyDescent="0.3">
      <c r="A497" s="10" t="s">
        <v>13</v>
      </c>
      <c r="B497" s="11">
        <v>45730</v>
      </c>
      <c r="C497" s="12" t="s">
        <v>12</v>
      </c>
      <c r="D497" s="12" t="s">
        <v>24</v>
      </c>
      <c r="E497" s="11">
        <v>45743</v>
      </c>
      <c r="F497" s="12" t="s">
        <v>1785</v>
      </c>
    </row>
    <row r="498" spans="1:6" x14ac:dyDescent="0.3">
      <c r="A498" s="4"/>
    </row>
    <row r="499" spans="1:6" ht="15.6" x14ac:dyDescent="0.3">
      <c r="A499" s="18" t="s">
        <v>478</v>
      </c>
      <c r="B499" s="19"/>
      <c r="C499" s="19"/>
      <c r="D499" s="19"/>
      <c r="E499" s="19"/>
      <c r="F499" s="19"/>
    </row>
    <row r="500" spans="1:6" x14ac:dyDescent="0.3">
      <c r="A500" s="10" t="s">
        <v>13</v>
      </c>
      <c r="B500" s="11">
        <v>45730</v>
      </c>
      <c r="C500" s="12" t="s">
        <v>12</v>
      </c>
      <c r="D500" s="12" t="s">
        <v>24</v>
      </c>
      <c r="E500" s="11">
        <v>45754</v>
      </c>
      <c r="F500" s="12" t="s">
        <v>1827</v>
      </c>
    </row>
    <row r="501" spans="1:6" x14ac:dyDescent="0.3">
      <c r="A501" s="4"/>
    </row>
    <row r="502" spans="1:6" ht="15.6" x14ac:dyDescent="0.3">
      <c r="A502" s="18" t="s">
        <v>481</v>
      </c>
      <c r="B502" s="19"/>
      <c r="C502" s="19"/>
      <c r="D502" s="19"/>
      <c r="E502" s="19"/>
      <c r="F502" s="19"/>
    </row>
    <row r="503" spans="1:6" ht="28.8" x14ac:dyDescent="0.3">
      <c r="A503" s="10" t="s">
        <v>13</v>
      </c>
      <c r="B503" s="11">
        <v>45730</v>
      </c>
      <c r="C503" s="12" t="s">
        <v>12</v>
      </c>
      <c r="D503" s="12" t="s">
        <v>1027</v>
      </c>
      <c r="E503" s="11">
        <v>45743</v>
      </c>
      <c r="F503" s="12" t="s">
        <v>1791</v>
      </c>
    </row>
    <row r="504" spans="1:6" ht="28.8" x14ac:dyDescent="0.3">
      <c r="B504" s="11">
        <v>45743</v>
      </c>
      <c r="C504" s="12" t="s">
        <v>22</v>
      </c>
      <c r="D504" s="12" t="s">
        <v>4</v>
      </c>
      <c r="E504" s="4" t="s">
        <v>1827</v>
      </c>
      <c r="F504" s="12" t="s">
        <v>1827</v>
      </c>
    </row>
    <row r="505" spans="1:6" x14ac:dyDescent="0.3">
      <c r="A505" s="4"/>
    </row>
    <row r="506" spans="1:6" ht="15.6" x14ac:dyDescent="0.3">
      <c r="A506" s="18" t="s">
        <v>484</v>
      </c>
      <c r="B506" s="19"/>
      <c r="C506" s="19"/>
      <c r="D506" s="19"/>
      <c r="E506" s="19"/>
      <c r="F506" s="19"/>
    </row>
    <row r="507" spans="1:6" x14ac:dyDescent="0.3">
      <c r="A507" s="10" t="s">
        <v>13</v>
      </c>
      <c r="B507" s="11">
        <v>45730</v>
      </c>
      <c r="C507" s="12" t="s">
        <v>12</v>
      </c>
      <c r="D507" s="12" t="s">
        <v>24</v>
      </c>
      <c r="E507" s="11">
        <v>45743</v>
      </c>
      <c r="F507" s="12" t="s">
        <v>1785</v>
      </c>
    </row>
    <row r="508" spans="1:6" x14ac:dyDescent="0.3">
      <c r="A508" s="4"/>
    </row>
    <row r="509" spans="1:6" ht="15.6" x14ac:dyDescent="0.3">
      <c r="A509" s="18" t="s">
        <v>487</v>
      </c>
      <c r="B509" s="19"/>
      <c r="C509" s="19"/>
      <c r="D509" s="19"/>
      <c r="E509" s="19"/>
      <c r="F509" s="19"/>
    </row>
    <row r="510" spans="1:6" ht="28.8" x14ac:dyDescent="0.3">
      <c r="A510" s="10" t="s">
        <v>13</v>
      </c>
      <c r="B510" s="11">
        <v>45730</v>
      </c>
      <c r="C510" s="12" t="s">
        <v>12</v>
      </c>
      <c r="D510" s="12" t="s">
        <v>1027</v>
      </c>
      <c r="E510" s="11">
        <v>45743</v>
      </c>
      <c r="F510" s="12" t="s">
        <v>1792</v>
      </c>
    </row>
    <row r="511" spans="1:6" ht="28.8" x14ac:dyDescent="0.3">
      <c r="B511" s="11">
        <v>45743</v>
      </c>
      <c r="C511" s="12" t="s">
        <v>22</v>
      </c>
      <c r="D511" s="12" t="s">
        <v>4</v>
      </c>
      <c r="E511" s="4" t="s">
        <v>1827</v>
      </c>
      <c r="F511" s="12" t="s">
        <v>1827</v>
      </c>
    </row>
    <row r="512" spans="1:6" x14ac:dyDescent="0.3">
      <c r="A512" s="4"/>
    </row>
    <row r="513" spans="1:6" ht="15.6" x14ac:dyDescent="0.3">
      <c r="A513" s="18" t="s">
        <v>490</v>
      </c>
      <c r="B513" s="19"/>
      <c r="C513" s="19"/>
      <c r="D513" s="19"/>
      <c r="E513" s="19"/>
      <c r="F513" s="19"/>
    </row>
    <row r="514" spans="1:6" x14ac:dyDescent="0.3">
      <c r="A514" s="10" t="s">
        <v>13</v>
      </c>
      <c r="B514" s="11">
        <v>45730</v>
      </c>
      <c r="C514" s="12" t="s">
        <v>12</v>
      </c>
      <c r="D514" s="12" t="s">
        <v>24</v>
      </c>
      <c r="E514" s="11">
        <v>45754</v>
      </c>
      <c r="F514" s="12" t="s">
        <v>1827</v>
      </c>
    </row>
    <row r="515" spans="1:6" x14ac:dyDescent="0.3">
      <c r="A515" s="4"/>
    </row>
    <row r="516" spans="1:6" ht="15.6" x14ac:dyDescent="0.3">
      <c r="A516" s="18" t="s">
        <v>493</v>
      </c>
      <c r="B516" s="19"/>
      <c r="C516" s="19"/>
      <c r="D516" s="19"/>
      <c r="E516" s="19"/>
      <c r="F516" s="19"/>
    </row>
    <row r="517" spans="1:6" x14ac:dyDescent="0.3">
      <c r="A517" s="10" t="s">
        <v>13</v>
      </c>
      <c r="B517" s="11">
        <v>45730</v>
      </c>
      <c r="C517" s="12" t="s">
        <v>12</v>
      </c>
      <c r="D517" s="12" t="s">
        <v>24</v>
      </c>
      <c r="E517" s="11">
        <v>45743</v>
      </c>
      <c r="F517" s="12" t="s">
        <v>1785</v>
      </c>
    </row>
    <row r="518" spans="1:6" x14ac:dyDescent="0.3">
      <c r="A518" s="4"/>
    </row>
    <row r="519" spans="1:6" ht="15.6" x14ac:dyDescent="0.3">
      <c r="A519" s="18" t="s">
        <v>496</v>
      </c>
      <c r="B519" s="19"/>
      <c r="C519" s="19"/>
      <c r="D519" s="19"/>
      <c r="E519" s="19"/>
      <c r="F519" s="19"/>
    </row>
    <row r="520" spans="1:6" x14ac:dyDescent="0.3">
      <c r="A520" s="10" t="s">
        <v>13</v>
      </c>
      <c r="B520" s="11">
        <v>45730</v>
      </c>
      <c r="C520" s="12" t="s">
        <v>12</v>
      </c>
      <c r="D520" s="12" t="s">
        <v>24</v>
      </c>
      <c r="E520" s="11">
        <v>45754</v>
      </c>
      <c r="F520" s="12" t="s">
        <v>1827</v>
      </c>
    </row>
    <row r="521" spans="1:6" x14ac:dyDescent="0.3">
      <c r="A521" s="4"/>
    </row>
    <row r="522" spans="1:6" ht="15.6" x14ac:dyDescent="0.3">
      <c r="A522" s="18" t="s">
        <v>499</v>
      </c>
      <c r="B522" s="19"/>
      <c r="C522" s="19"/>
      <c r="D522" s="19"/>
      <c r="E522" s="19"/>
      <c r="F522" s="19"/>
    </row>
    <row r="523" spans="1:6" x14ac:dyDescent="0.3">
      <c r="A523" s="10" t="s">
        <v>13</v>
      </c>
      <c r="B523" s="11">
        <v>45730</v>
      </c>
      <c r="C523" s="12" t="s">
        <v>12</v>
      </c>
      <c r="D523" s="12" t="s">
        <v>24</v>
      </c>
      <c r="E523" s="11">
        <v>45754</v>
      </c>
      <c r="F523" s="12" t="s">
        <v>1827</v>
      </c>
    </row>
    <row r="524" spans="1:6" x14ac:dyDescent="0.3">
      <c r="A524" s="4"/>
    </row>
    <row r="525" spans="1:6" ht="15.6" x14ac:dyDescent="0.3">
      <c r="A525" s="18" t="s">
        <v>502</v>
      </c>
      <c r="B525" s="19"/>
      <c r="C525" s="19"/>
      <c r="D525" s="19"/>
      <c r="E525" s="19"/>
      <c r="F525" s="19"/>
    </row>
    <row r="526" spans="1:6" x14ac:dyDescent="0.3">
      <c r="A526" s="10" t="s">
        <v>13</v>
      </c>
      <c r="B526" s="11">
        <v>45730</v>
      </c>
      <c r="C526" s="12" t="s">
        <v>12</v>
      </c>
      <c r="D526" s="12" t="s">
        <v>24</v>
      </c>
      <c r="E526" s="11">
        <v>45743</v>
      </c>
      <c r="F526" s="12" t="s">
        <v>1785</v>
      </c>
    </row>
    <row r="527" spans="1:6" x14ac:dyDescent="0.3">
      <c r="A527" s="4"/>
    </row>
    <row r="528" spans="1:6" ht="15.6" x14ac:dyDescent="0.3">
      <c r="A528" s="18" t="s">
        <v>505</v>
      </c>
      <c r="B528" s="19"/>
      <c r="C528" s="19"/>
      <c r="D528" s="19"/>
      <c r="E528" s="19"/>
      <c r="F528" s="19"/>
    </row>
    <row r="529" spans="1:6" x14ac:dyDescent="0.3">
      <c r="A529" s="10" t="s">
        <v>13</v>
      </c>
      <c r="B529" s="11">
        <v>45730</v>
      </c>
      <c r="C529" s="12" t="s">
        <v>12</v>
      </c>
      <c r="D529" s="12" t="s">
        <v>24</v>
      </c>
      <c r="E529" s="11">
        <v>45754</v>
      </c>
      <c r="F529" s="12" t="s">
        <v>1827</v>
      </c>
    </row>
    <row r="530" spans="1:6" x14ac:dyDescent="0.3">
      <c r="A530" s="4"/>
    </row>
    <row r="531" spans="1:6" ht="15.6" x14ac:dyDescent="0.3">
      <c r="A531" s="18" t="s">
        <v>508</v>
      </c>
      <c r="B531" s="19"/>
      <c r="C531" s="19"/>
      <c r="D531" s="19"/>
      <c r="E531" s="19"/>
      <c r="F531" s="19"/>
    </row>
    <row r="532" spans="1:6" x14ac:dyDescent="0.3">
      <c r="A532" s="10" t="s">
        <v>13</v>
      </c>
      <c r="B532" s="11">
        <v>45730</v>
      </c>
      <c r="C532" s="12" t="s">
        <v>12</v>
      </c>
      <c r="D532" s="12" t="s">
        <v>24</v>
      </c>
      <c r="E532" s="11">
        <v>45754</v>
      </c>
      <c r="F532" s="12" t="s">
        <v>1827</v>
      </c>
    </row>
    <row r="533" spans="1:6" x14ac:dyDescent="0.3">
      <c r="A533" s="4"/>
    </row>
    <row r="534" spans="1:6" ht="15.6" x14ac:dyDescent="0.3">
      <c r="A534" s="18" t="s">
        <v>511</v>
      </c>
      <c r="B534" s="19"/>
      <c r="C534" s="19"/>
      <c r="D534" s="19"/>
      <c r="E534" s="19"/>
      <c r="F534" s="19"/>
    </row>
    <row r="535" spans="1:6" x14ac:dyDescent="0.3">
      <c r="A535" s="10" t="s">
        <v>13</v>
      </c>
      <c r="B535" s="11">
        <v>45730</v>
      </c>
      <c r="C535" s="12" t="s">
        <v>12</v>
      </c>
      <c r="D535" s="12" t="s">
        <v>24</v>
      </c>
      <c r="E535" s="11">
        <v>45743</v>
      </c>
      <c r="F535" s="12" t="s">
        <v>1785</v>
      </c>
    </row>
    <row r="536" spans="1:6" x14ac:dyDescent="0.3">
      <c r="A536" s="4"/>
    </row>
    <row r="537" spans="1:6" ht="15.6" x14ac:dyDescent="0.3">
      <c r="A537" s="18" t="s">
        <v>514</v>
      </c>
      <c r="B537" s="19"/>
      <c r="C537" s="19"/>
      <c r="D537" s="19"/>
      <c r="E537" s="19"/>
      <c r="F537" s="19"/>
    </row>
    <row r="538" spans="1:6" x14ac:dyDescent="0.3">
      <c r="A538" s="10" t="s">
        <v>13</v>
      </c>
      <c r="B538" s="11">
        <v>45730</v>
      </c>
      <c r="C538" s="12" t="s">
        <v>12</v>
      </c>
      <c r="D538" s="12" t="s">
        <v>24</v>
      </c>
      <c r="E538" s="11">
        <v>45754</v>
      </c>
      <c r="F538" s="12" t="s">
        <v>1827</v>
      </c>
    </row>
    <row r="539" spans="1:6" x14ac:dyDescent="0.3">
      <c r="A539" s="4"/>
    </row>
    <row r="540" spans="1:6" ht="15.6" x14ac:dyDescent="0.3">
      <c r="A540" s="18" t="s">
        <v>517</v>
      </c>
      <c r="B540" s="19"/>
      <c r="C540" s="19"/>
      <c r="D540" s="19"/>
      <c r="E540" s="19"/>
      <c r="F540" s="19"/>
    </row>
    <row r="541" spans="1:6" x14ac:dyDescent="0.3">
      <c r="A541" s="10" t="s">
        <v>13</v>
      </c>
      <c r="B541" s="11">
        <v>45730</v>
      </c>
      <c r="C541" s="12" t="s">
        <v>12</v>
      </c>
      <c r="D541" s="12" t="s">
        <v>24</v>
      </c>
      <c r="E541" s="11">
        <v>45754</v>
      </c>
      <c r="F541" s="12" t="s">
        <v>1827</v>
      </c>
    </row>
    <row r="542" spans="1:6" x14ac:dyDescent="0.3">
      <c r="A542" s="4"/>
    </row>
    <row r="543" spans="1:6" ht="15.6" x14ac:dyDescent="0.3">
      <c r="A543" s="18" t="s">
        <v>520</v>
      </c>
      <c r="B543" s="19"/>
      <c r="C543" s="19"/>
      <c r="D543" s="19"/>
      <c r="E543" s="19"/>
      <c r="F543" s="19"/>
    </row>
    <row r="544" spans="1:6" x14ac:dyDescent="0.3">
      <c r="A544" s="10" t="s">
        <v>13</v>
      </c>
      <c r="B544" s="11">
        <v>45730</v>
      </c>
      <c r="C544" s="12" t="s">
        <v>12</v>
      </c>
      <c r="D544" s="12" t="s">
        <v>24</v>
      </c>
      <c r="E544" s="11">
        <v>45743</v>
      </c>
      <c r="F544" s="12" t="s">
        <v>1785</v>
      </c>
    </row>
    <row r="545" spans="1:6" x14ac:dyDescent="0.3">
      <c r="A545" s="4"/>
    </row>
    <row r="546" spans="1:6" ht="15.6" x14ac:dyDescent="0.3">
      <c r="A546" s="18" t="s">
        <v>523</v>
      </c>
      <c r="B546" s="19"/>
      <c r="C546" s="19"/>
      <c r="D546" s="19"/>
      <c r="E546" s="19"/>
      <c r="F546" s="19"/>
    </row>
    <row r="547" spans="1:6" x14ac:dyDescent="0.3">
      <c r="A547" s="10" t="s">
        <v>13</v>
      </c>
      <c r="B547" s="11">
        <v>45730</v>
      </c>
      <c r="C547" s="12" t="s">
        <v>12</v>
      </c>
      <c r="D547" s="12" t="s">
        <v>24</v>
      </c>
      <c r="E547" s="11">
        <v>45754</v>
      </c>
      <c r="F547" s="12" t="s">
        <v>1827</v>
      </c>
    </row>
    <row r="548" spans="1:6" x14ac:dyDescent="0.3">
      <c r="A548" s="4"/>
    </row>
    <row r="549" spans="1:6" ht="15.6" x14ac:dyDescent="0.3">
      <c r="A549" s="18" t="s">
        <v>526</v>
      </c>
      <c r="B549" s="19"/>
      <c r="C549" s="19"/>
      <c r="D549" s="19"/>
      <c r="E549" s="19"/>
      <c r="F549" s="19"/>
    </row>
    <row r="550" spans="1:6" x14ac:dyDescent="0.3">
      <c r="A550" s="10" t="s">
        <v>13</v>
      </c>
      <c r="B550" s="11">
        <v>45730</v>
      </c>
      <c r="C550" s="12" t="s">
        <v>12</v>
      </c>
      <c r="D550" s="12" t="s">
        <v>24</v>
      </c>
      <c r="E550" s="11">
        <v>45743</v>
      </c>
      <c r="F550" s="12" t="s">
        <v>1785</v>
      </c>
    </row>
    <row r="551" spans="1:6" x14ac:dyDescent="0.3">
      <c r="A551" s="4"/>
    </row>
    <row r="552" spans="1:6" ht="15.6" x14ac:dyDescent="0.3">
      <c r="A552" s="18" t="s">
        <v>529</v>
      </c>
      <c r="B552" s="19"/>
      <c r="C552" s="19"/>
      <c r="D552" s="19"/>
      <c r="E552" s="19"/>
      <c r="F552" s="19"/>
    </row>
    <row r="553" spans="1:6" x14ac:dyDescent="0.3">
      <c r="A553" s="10" t="s">
        <v>13</v>
      </c>
      <c r="B553" s="11">
        <v>45730</v>
      </c>
      <c r="C553" s="12" t="s">
        <v>12</v>
      </c>
      <c r="D553" s="12" t="s">
        <v>24</v>
      </c>
      <c r="E553" s="11">
        <v>45743</v>
      </c>
      <c r="F553" s="12" t="s">
        <v>1785</v>
      </c>
    </row>
    <row r="554" spans="1:6" x14ac:dyDescent="0.3">
      <c r="A554" s="4"/>
    </row>
    <row r="555" spans="1:6" ht="15.6" x14ac:dyDescent="0.3">
      <c r="A555" s="18" t="s">
        <v>532</v>
      </c>
      <c r="B555" s="19"/>
      <c r="C555" s="19"/>
      <c r="D555" s="19"/>
      <c r="E555" s="19"/>
      <c r="F555" s="19"/>
    </row>
    <row r="556" spans="1:6" x14ac:dyDescent="0.3">
      <c r="A556" s="10" t="s">
        <v>13</v>
      </c>
      <c r="B556" s="11">
        <v>45730</v>
      </c>
      <c r="C556" s="12" t="s">
        <v>12</v>
      </c>
      <c r="D556" s="12" t="s">
        <v>24</v>
      </c>
      <c r="E556" s="11">
        <v>45743</v>
      </c>
      <c r="F556" s="12" t="s">
        <v>1785</v>
      </c>
    </row>
    <row r="557" spans="1:6" x14ac:dyDescent="0.3">
      <c r="A557" s="4"/>
    </row>
    <row r="558" spans="1:6" ht="15.6" x14ac:dyDescent="0.3">
      <c r="A558" s="18" t="s">
        <v>535</v>
      </c>
      <c r="B558" s="19"/>
      <c r="C558" s="19"/>
      <c r="D558" s="19"/>
      <c r="E558" s="19"/>
      <c r="F558" s="19"/>
    </row>
    <row r="559" spans="1:6" x14ac:dyDescent="0.3">
      <c r="A559" s="10" t="s">
        <v>13</v>
      </c>
      <c r="B559" s="11">
        <v>45730</v>
      </c>
      <c r="C559" s="12" t="s">
        <v>12</v>
      </c>
      <c r="D559" s="12" t="s">
        <v>24</v>
      </c>
      <c r="E559" s="11">
        <v>45743</v>
      </c>
      <c r="F559" s="12" t="s">
        <v>1785</v>
      </c>
    </row>
    <row r="560" spans="1:6" x14ac:dyDescent="0.3">
      <c r="A560" s="4"/>
    </row>
    <row r="561" spans="1:6" ht="15.6" x14ac:dyDescent="0.3">
      <c r="A561" s="18" t="s">
        <v>538</v>
      </c>
      <c r="B561" s="19"/>
      <c r="C561" s="19"/>
      <c r="D561" s="19"/>
      <c r="E561" s="19"/>
      <c r="F561" s="19"/>
    </row>
    <row r="562" spans="1:6" x14ac:dyDescent="0.3">
      <c r="A562" s="10" t="s">
        <v>13</v>
      </c>
      <c r="B562" s="11">
        <v>45730</v>
      </c>
      <c r="C562" s="12" t="s">
        <v>12</v>
      </c>
      <c r="D562" s="12" t="s">
        <v>24</v>
      </c>
      <c r="E562" s="11">
        <v>45743</v>
      </c>
      <c r="F562" s="12" t="s">
        <v>1785</v>
      </c>
    </row>
    <row r="563" spans="1:6" x14ac:dyDescent="0.3">
      <c r="A563" s="4"/>
    </row>
    <row r="564" spans="1:6" ht="15.6" x14ac:dyDescent="0.3">
      <c r="A564" s="18" t="s">
        <v>541</v>
      </c>
      <c r="B564" s="19"/>
      <c r="C564" s="19"/>
      <c r="D564" s="19"/>
      <c r="E564" s="19"/>
      <c r="F564" s="19"/>
    </row>
    <row r="565" spans="1:6" x14ac:dyDescent="0.3">
      <c r="A565" s="10" t="s">
        <v>13</v>
      </c>
      <c r="B565" s="11">
        <v>45730</v>
      </c>
      <c r="C565" s="12" t="s">
        <v>12</v>
      </c>
      <c r="D565" s="12" t="s">
        <v>24</v>
      </c>
      <c r="E565" s="11">
        <v>45743</v>
      </c>
      <c r="F565" s="12" t="s">
        <v>1785</v>
      </c>
    </row>
    <row r="566" spans="1:6" x14ac:dyDescent="0.3">
      <c r="A566" s="4"/>
    </row>
    <row r="567" spans="1:6" ht="15.6" x14ac:dyDescent="0.3">
      <c r="A567" s="18" t="s">
        <v>544</v>
      </c>
      <c r="B567" s="19"/>
      <c r="C567" s="19"/>
      <c r="D567" s="19"/>
      <c r="E567" s="19"/>
      <c r="F567" s="19"/>
    </row>
    <row r="568" spans="1:6" x14ac:dyDescent="0.3">
      <c r="A568" s="10" t="s">
        <v>13</v>
      </c>
      <c r="B568" s="11">
        <v>45730</v>
      </c>
      <c r="C568" s="12" t="s">
        <v>12</v>
      </c>
      <c r="D568" s="12" t="s">
        <v>24</v>
      </c>
      <c r="E568" s="11">
        <v>45743</v>
      </c>
      <c r="F568" s="12" t="s">
        <v>1785</v>
      </c>
    </row>
    <row r="569" spans="1:6" x14ac:dyDescent="0.3">
      <c r="A569" s="4"/>
    </row>
    <row r="570" spans="1:6" ht="15.6" x14ac:dyDescent="0.3">
      <c r="A570" s="18" t="s">
        <v>547</v>
      </c>
      <c r="B570" s="19"/>
      <c r="C570" s="19"/>
      <c r="D570" s="19"/>
      <c r="E570" s="19"/>
      <c r="F570" s="19"/>
    </row>
    <row r="571" spans="1:6" x14ac:dyDescent="0.3">
      <c r="A571" s="10" t="s">
        <v>13</v>
      </c>
      <c r="B571" s="11">
        <v>45730</v>
      </c>
      <c r="C571" s="12" t="s">
        <v>12</v>
      </c>
      <c r="D571" s="12" t="s">
        <v>24</v>
      </c>
      <c r="E571" s="11">
        <v>45743</v>
      </c>
      <c r="F571" s="12" t="s">
        <v>1785</v>
      </c>
    </row>
    <row r="572" spans="1:6" x14ac:dyDescent="0.3">
      <c r="A572" s="4"/>
    </row>
    <row r="573" spans="1:6" ht="15.6" x14ac:dyDescent="0.3">
      <c r="A573" s="18" t="s">
        <v>550</v>
      </c>
      <c r="B573" s="19"/>
      <c r="C573" s="19"/>
      <c r="D573" s="19"/>
      <c r="E573" s="19"/>
      <c r="F573" s="19"/>
    </row>
    <row r="574" spans="1:6" x14ac:dyDescent="0.3">
      <c r="A574" s="10" t="s">
        <v>13</v>
      </c>
      <c r="B574" s="11">
        <v>45730</v>
      </c>
      <c r="C574" s="12" t="s">
        <v>12</v>
      </c>
      <c r="D574" s="12" t="s">
        <v>24</v>
      </c>
      <c r="E574" s="11">
        <v>45743</v>
      </c>
      <c r="F574" s="12" t="s">
        <v>1785</v>
      </c>
    </row>
    <row r="575" spans="1:6" x14ac:dyDescent="0.3">
      <c r="A575" s="4"/>
    </row>
    <row r="576" spans="1:6" ht="15.6" x14ac:dyDescent="0.3">
      <c r="A576" s="18" t="s">
        <v>553</v>
      </c>
      <c r="B576" s="19"/>
      <c r="C576" s="19"/>
      <c r="D576" s="19"/>
      <c r="E576" s="19"/>
      <c r="F576" s="19"/>
    </row>
    <row r="577" spans="1:6" x14ac:dyDescent="0.3">
      <c r="A577" s="10" t="s">
        <v>13</v>
      </c>
      <c r="B577" s="11">
        <v>45730</v>
      </c>
      <c r="C577" s="12" t="s">
        <v>12</v>
      </c>
      <c r="D577" s="12" t="s">
        <v>24</v>
      </c>
      <c r="E577" s="11">
        <v>45743</v>
      </c>
      <c r="F577" s="12" t="s">
        <v>1785</v>
      </c>
    </row>
    <row r="578" spans="1:6" x14ac:dyDescent="0.3">
      <c r="A578" s="4"/>
    </row>
    <row r="579" spans="1:6" ht="15.6" x14ac:dyDescent="0.3">
      <c r="A579" s="18" t="s">
        <v>556</v>
      </c>
      <c r="B579" s="19"/>
      <c r="C579" s="19"/>
      <c r="D579" s="19"/>
      <c r="E579" s="19"/>
      <c r="F579" s="19"/>
    </row>
    <row r="580" spans="1:6" x14ac:dyDescent="0.3">
      <c r="A580" s="10" t="s">
        <v>13</v>
      </c>
      <c r="B580" s="11">
        <v>45730</v>
      </c>
      <c r="C580" s="12" t="s">
        <v>12</v>
      </c>
      <c r="D580" s="12" t="s">
        <v>24</v>
      </c>
      <c r="E580" s="11">
        <v>45743</v>
      </c>
      <c r="F580" s="12" t="s">
        <v>1785</v>
      </c>
    </row>
    <row r="581" spans="1:6" x14ac:dyDescent="0.3">
      <c r="A581" s="4"/>
    </row>
    <row r="582" spans="1:6" ht="15.6" x14ac:dyDescent="0.3">
      <c r="A582" s="18" t="s">
        <v>559</v>
      </c>
      <c r="B582" s="19"/>
      <c r="C582" s="19"/>
      <c r="D582" s="19"/>
      <c r="E582" s="19"/>
      <c r="F582" s="19"/>
    </row>
    <row r="583" spans="1:6" x14ac:dyDescent="0.3">
      <c r="A583" s="10" t="s">
        <v>13</v>
      </c>
      <c r="B583" s="11">
        <v>45730</v>
      </c>
      <c r="C583" s="12" t="s">
        <v>12</v>
      </c>
      <c r="D583" s="12" t="s">
        <v>24</v>
      </c>
      <c r="E583" s="11">
        <v>45743</v>
      </c>
      <c r="F583" s="12" t="s">
        <v>1785</v>
      </c>
    </row>
    <row r="584" spans="1:6" x14ac:dyDescent="0.3">
      <c r="A584" s="4"/>
    </row>
    <row r="585" spans="1:6" ht="15.6" x14ac:dyDescent="0.3">
      <c r="A585" s="18" t="s">
        <v>562</v>
      </c>
      <c r="B585" s="19"/>
      <c r="C585" s="19"/>
      <c r="D585" s="19"/>
      <c r="E585" s="19"/>
      <c r="F585" s="19"/>
    </row>
    <row r="586" spans="1:6" x14ac:dyDescent="0.3">
      <c r="A586" s="10" t="s">
        <v>13</v>
      </c>
      <c r="B586" s="11">
        <v>45730</v>
      </c>
      <c r="C586" s="12" t="s">
        <v>12</v>
      </c>
      <c r="D586" s="12" t="s">
        <v>24</v>
      </c>
      <c r="E586" s="11">
        <v>45743</v>
      </c>
      <c r="F586" s="12" t="s">
        <v>1785</v>
      </c>
    </row>
    <row r="587" spans="1:6" x14ac:dyDescent="0.3">
      <c r="A587" s="4"/>
    </row>
    <row r="588" spans="1:6" ht="15.6" x14ac:dyDescent="0.3">
      <c r="A588" s="18" t="s">
        <v>565</v>
      </c>
      <c r="B588" s="19"/>
      <c r="C588" s="19"/>
      <c r="D588" s="19"/>
      <c r="E588" s="19"/>
      <c r="F588" s="19"/>
    </row>
    <row r="589" spans="1:6" x14ac:dyDescent="0.3">
      <c r="A589" s="10" t="s">
        <v>13</v>
      </c>
      <c r="B589" s="11">
        <v>45730</v>
      </c>
      <c r="C589" s="12" t="s">
        <v>12</v>
      </c>
      <c r="D589" s="12" t="s">
        <v>24</v>
      </c>
      <c r="E589" s="11">
        <v>45743</v>
      </c>
      <c r="F589" s="12" t="s">
        <v>1785</v>
      </c>
    </row>
    <row r="590" spans="1:6" x14ac:dyDescent="0.3">
      <c r="A590" s="4"/>
    </row>
    <row r="591" spans="1:6" ht="15.6" x14ac:dyDescent="0.3">
      <c r="A591" s="18" t="s">
        <v>568</v>
      </c>
      <c r="B591" s="19"/>
      <c r="C591" s="19"/>
      <c r="D591" s="19"/>
      <c r="E591" s="19"/>
      <c r="F591" s="19"/>
    </row>
    <row r="592" spans="1:6" x14ac:dyDescent="0.3">
      <c r="A592" s="10" t="s">
        <v>13</v>
      </c>
      <c r="B592" s="11">
        <v>45730</v>
      </c>
      <c r="C592" s="12" t="s">
        <v>12</v>
      </c>
      <c r="D592" s="12" t="s">
        <v>24</v>
      </c>
      <c r="E592" s="11">
        <v>45743</v>
      </c>
      <c r="F592" s="12" t="s">
        <v>1785</v>
      </c>
    </row>
    <row r="593" spans="1:6" x14ac:dyDescent="0.3">
      <c r="A593" s="4"/>
    </row>
    <row r="594" spans="1:6" ht="15.6" x14ac:dyDescent="0.3">
      <c r="A594" s="18" t="s">
        <v>571</v>
      </c>
      <c r="B594" s="19"/>
      <c r="C594" s="19"/>
      <c r="D594" s="19"/>
      <c r="E594" s="19"/>
      <c r="F594" s="19"/>
    </row>
    <row r="595" spans="1:6" x14ac:dyDescent="0.3">
      <c r="A595" s="10" t="s">
        <v>13</v>
      </c>
      <c r="B595" s="11">
        <v>45730</v>
      </c>
      <c r="C595" s="12" t="s">
        <v>12</v>
      </c>
      <c r="D595" s="12" t="s">
        <v>24</v>
      </c>
      <c r="E595" s="11">
        <v>45743</v>
      </c>
      <c r="F595" s="12" t="s">
        <v>1785</v>
      </c>
    </row>
    <row r="596" spans="1:6" x14ac:dyDescent="0.3">
      <c r="A596" s="4"/>
    </row>
    <row r="597" spans="1:6" ht="15.6" x14ac:dyDescent="0.3">
      <c r="A597" s="18" t="s">
        <v>574</v>
      </c>
      <c r="B597" s="19"/>
      <c r="C597" s="19"/>
      <c r="D597" s="19"/>
      <c r="E597" s="19"/>
      <c r="F597" s="19"/>
    </row>
    <row r="598" spans="1:6" x14ac:dyDescent="0.3">
      <c r="A598" s="10" t="s">
        <v>13</v>
      </c>
      <c r="B598" s="11">
        <v>45730</v>
      </c>
      <c r="C598" s="12" t="s">
        <v>12</v>
      </c>
      <c r="D598" s="12" t="s">
        <v>21</v>
      </c>
      <c r="E598" s="11">
        <v>45743</v>
      </c>
      <c r="F598" s="12" t="s">
        <v>1793</v>
      </c>
    </row>
    <row r="599" spans="1:6" ht="28.8" x14ac:dyDescent="0.3">
      <c r="B599" s="11">
        <v>45743</v>
      </c>
      <c r="C599" s="12" t="s">
        <v>22</v>
      </c>
      <c r="D599" s="12" t="s">
        <v>4</v>
      </c>
      <c r="E599" s="4" t="s">
        <v>1827</v>
      </c>
      <c r="F599" s="12" t="s">
        <v>1827</v>
      </c>
    </row>
    <row r="600" spans="1:6" x14ac:dyDescent="0.3">
      <c r="A600" s="4"/>
    </row>
    <row r="601" spans="1:6" ht="15.6" x14ac:dyDescent="0.3">
      <c r="A601" s="18" t="s">
        <v>577</v>
      </c>
      <c r="B601" s="19"/>
      <c r="C601" s="19"/>
      <c r="D601" s="19"/>
      <c r="E601" s="19"/>
      <c r="F601" s="19"/>
    </row>
    <row r="602" spans="1:6" x14ac:dyDescent="0.3">
      <c r="A602" s="10" t="s">
        <v>13</v>
      </c>
      <c r="B602" s="11">
        <v>45730</v>
      </c>
      <c r="C602" s="12" t="s">
        <v>12</v>
      </c>
      <c r="D602" s="12" t="s">
        <v>24</v>
      </c>
      <c r="E602" s="11">
        <v>45743</v>
      </c>
      <c r="F602" s="12" t="s">
        <v>1785</v>
      </c>
    </row>
    <row r="603" spans="1:6" x14ac:dyDescent="0.3">
      <c r="A603" s="4"/>
    </row>
    <row r="604" spans="1:6" ht="15.6" x14ac:dyDescent="0.3">
      <c r="A604" s="18" t="s">
        <v>580</v>
      </c>
      <c r="B604" s="19"/>
      <c r="C604" s="19"/>
      <c r="D604" s="19"/>
      <c r="E604" s="19"/>
      <c r="F604" s="19"/>
    </row>
    <row r="605" spans="1:6" x14ac:dyDescent="0.3">
      <c r="A605" s="10" t="s">
        <v>13</v>
      </c>
      <c r="B605" s="11">
        <v>45730</v>
      </c>
      <c r="C605" s="12" t="s">
        <v>12</v>
      </c>
      <c r="D605" s="12" t="s">
        <v>24</v>
      </c>
      <c r="E605" s="11">
        <v>45743</v>
      </c>
      <c r="F605" s="12" t="s">
        <v>1785</v>
      </c>
    </row>
    <row r="606" spans="1:6" x14ac:dyDescent="0.3">
      <c r="A606" s="4"/>
    </row>
    <row r="607" spans="1:6" ht="15.6" x14ac:dyDescent="0.3">
      <c r="A607" s="18" t="s">
        <v>583</v>
      </c>
      <c r="B607" s="19"/>
      <c r="C607" s="19"/>
      <c r="D607" s="19"/>
      <c r="E607" s="19"/>
      <c r="F607" s="19"/>
    </row>
    <row r="608" spans="1:6" x14ac:dyDescent="0.3">
      <c r="A608" s="10" t="s">
        <v>13</v>
      </c>
      <c r="B608" s="11">
        <v>45730</v>
      </c>
      <c r="C608" s="12" t="s">
        <v>12</v>
      </c>
      <c r="D608" s="12" t="s">
        <v>24</v>
      </c>
      <c r="E608" s="11">
        <v>45743</v>
      </c>
      <c r="F608" s="12" t="s">
        <v>1785</v>
      </c>
    </row>
    <row r="609" spans="1:6" x14ac:dyDescent="0.3">
      <c r="A609" s="4"/>
    </row>
    <row r="610" spans="1:6" ht="15.6" x14ac:dyDescent="0.3">
      <c r="A610" s="18" t="s">
        <v>586</v>
      </c>
      <c r="B610" s="19"/>
      <c r="C610" s="19"/>
      <c r="D610" s="19"/>
      <c r="E610" s="19"/>
      <c r="F610" s="19"/>
    </row>
    <row r="611" spans="1:6" x14ac:dyDescent="0.3">
      <c r="A611" s="10" t="s">
        <v>10</v>
      </c>
      <c r="B611" s="11">
        <v>45730</v>
      </c>
      <c r="C611" s="12" t="s">
        <v>12</v>
      </c>
      <c r="D611" s="12" t="s">
        <v>24</v>
      </c>
      <c r="E611" s="11">
        <v>45754</v>
      </c>
      <c r="F611" s="12" t="s">
        <v>1827</v>
      </c>
    </row>
    <row r="612" spans="1:6" x14ac:dyDescent="0.3">
      <c r="A612" s="4"/>
    </row>
    <row r="613" spans="1:6" ht="15.6" x14ac:dyDescent="0.3">
      <c r="A613" s="18" t="s">
        <v>589</v>
      </c>
      <c r="B613" s="19"/>
      <c r="C613" s="19"/>
      <c r="D613" s="19"/>
      <c r="E613" s="19"/>
      <c r="F613" s="19"/>
    </row>
    <row r="614" spans="1:6" x14ac:dyDescent="0.3">
      <c r="A614" s="10" t="s">
        <v>13</v>
      </c>
      <c r="B614" s="11">
        <v>45730</v>
      </c>
      <c r="C614" s="12" t="s">
        <v>12</v>
      </c>
      <c r="D614" s="12" t="s">
        <v>24</v>
      </c>
      <c r="E614" s="11">
        <v>45748</v>
      </c>
      <c r="F614" s="12" t="s">
        <v>1828</v>
      </c>
    </row>
    <row r="615" spans="1:6" x14ac:dyDescent="0.3">
      <c r="A615" s="4"/>
    </row>
    <row r="616" spans="1:6" ht="15.6" x14ac:dyDescent="0.3">
      <c r="A616" s="18" t="s">
        <v>592</v>
      </c>
      <c r="B616" s="19"/>
      <c r="C616" s="19"/>
      <c r="D616" s="19"/>
      <c r="E616" s="19"/>
      <c r="F616" s="19"/>
    </row>
    <row r="617" spans="1:6" ht="100.8" x14ac:dyDescent="0.3">
      <c r="A617" s="10" t="s">
        <v>13</v>
      </c>
      <c r="B617" s="11">
        <v>45730</v>
      </c>
      <c r="C617" s="12" t="s">
        <v>12</v>
      </c>
      <c r="D617" s="12" t="s">
        <v>1027</v>
      </c>
      <c r="E617" s="11">
        <v>45749</v>
      </c>
      <c r="F617" s="12" t="s">
        <v>1903</v>
      </c>
    </row>
    <row r="618" spans="1:6" ht="28.8" x14ac:dyDescent="0.3">
      <c r="B618" s="11">
        <v>45749</v>
      </c>
      <c r="C618" s="12" t="s">
        <v>22</v>
      </c>
      <c r="D618" s="12" t="s">
        <v>4</v>
      </c>
      <c r="E618" s="4" t="s">
        <v>1827</v>
      </c>
      <c r="F618" s="12" t="s">
        <v>1827</v>
      </c>
    </row>
    <row r="619" spans="1:6" x14ac:dyDescent="0.3">
      <c r="A619" s="4"/>
    </row>
    <row r="620" spans="1:6" ht="15.6" x14ac:dyDescent="0.3">
      <c r="A620" s="18" t="s">
        <v>595</v>
      </c>
      <c r="B620" s="19"/>
      <c r="C620" s="19"/>
      <c r="D620" s="19"/>
      <c r="E620" s="19"/>
      <c r="F620" s="19"/>
    </row>
    <row r="621" spans="1:6" ht="72" x14ac:dyDescent="0.3">
      <c r="A621" s="10" t="s">
        <v>10</v>
      </c>
      <c r="B621" s="11">
        <v>45730</v>
      </c>
      <c r="C621" s="12" t="s">
        <v>12</v>
      </c>
      <c r="D621" s="12" t="s">
        <v>1027</v>
      </c>
      <c r="E621" s="11">
        <v>45749</v>
      </c>
      <c r="F621" s="12" t="s">
        <v>1904</v>
      </c>
    </row>
    <row r="622" spans="1:6" ht="28.8" x14ac:dyDescent="0.3">
      <c r="B622" s="11">
        <v>45749</v>
      </c>
      <c r="C622" s="12" t="s">
        <v>22</v>
      </c>
      <c r="D622" s="12" t="s">
        <v>4</v>
      </c>
      <c r="E622" s="4" t="s">
        <v>1827</v>
      </c>
      <c r="F622" s="12" t="s">
        <v>1827</v>
      </c>
    </row>
    <row r="623" spans="1:6" x14ac:dyDescent="0.3">
      <c r="A623" s="4"/>
    </row>
    <row r="624" spans="1:6" ht="15.6" x14ac:dyDescent="0.3">
      <c r="A624" s="18" t="s">
        <v>598</v>
      </c>
      <c r="B624" s="19"/>
      <c r="C624" s="19"/>
      <c r="D624" s="19"/>
      <c r="E624" s="19"/>
      <c r="F624" s="19"/>
    </row>
    <row r="625" spans="1:6" ht="43.2" x14ac:dyDescent="0.3">
      <c r="A625" s="10" t="s">
        <v>13</v>
      </c>
      <c r="B625" s="11">
        <v>45730</v>
      </c>
      <c r="C625" s="12" t="s">
        <v>12</v>
      </c>
      <c r="D625" s="12" t="s">
        <v>21</v>
      </c>
      <c r="E625" s="11">
        <v>45748</v>
      </c>
      <c r="F625" s="12" t="s">
        <v>1905</v>
      </c>
    </row>
    <row r="626" spans="1:6" ht="28.8" x14ac:dyDescent="0.3">
      <c r="B626" s="11">
        <v>45748</v>
      </c>
      <c r="C626" s="12" t="s">
        <v>22</v>
      </c>
      <c r="D626" s="12" t="s">
        <v>4</v>
      </c>
      <c r="E626" s="4" t="s">
        <v>1827</v>
      </c>
      <c r="F626" s="12" t="s">
        <v>1827</v>
      </c>
    </row>
    <row r="627" spans="1:6" x14ac:dyDescent="0.3">
      <c r="A627" s="4"/>
    </row>
    <row r="628" spans="1:6" ht="15.6" x14ac:dyDescent="0.3">
      <c r="A628" s="18" t="s">
        <v>601</v>
      </c>
      <c r="B628" s="19"/>
      <c r="C628" s="19"/>
      <c r="D628" s="19"/>
      <c r="E628" s="19"/>
      <c r="F628" s="19"/>
    </row>
    <row r="629" spans="1:6" ht="28.8" x14ac:dyDescent="0.3">
      <c r="A629" s="10" t="s">
        <v>10</v>
      </c>
      <c r="B629" s="11">
        <v>45730</v>
      </c>
      <c r="C629" s="12" t="s">
        <v>12</v>
      </c>
      <c r="D629" s="12" t="s">
        <v>21</v>
      </c>
      <c r="E629" s="11">
        <v>45748</v>
      </c>
      <c r="F629" s="12" t="s">
        <v>1906</v>
      </c>
    </row>
    <row r="630" spans="1:6" ht="28.8" x14ac:dyDescent="0.3">
      <c r="B630" s="11">
        <v>45748</v>
      </c>
      <c r="C630" s="12" t="s">
        <v>22</v>
      </c>
      <c r="D630" s="12" t="s">
        <v>4</v>
      </c>
      <c r="E630" s="4" t="s">
        <v>1827</v>
      </c>
      <c r="F630" s="12" t="s">
        <v>1827</v>
      </c>
    </row>
    <row r="631" spans="1:6" x14ac:dyDescent="0.3">
      <c r="A631" s="4"/>
    </row>
    <row r="632" spans="1:6" ht="15.6" x14ac:dyDescent="0.3">
      <c r="A632" s="18" t="s">
        <v>604</v>
      </c>
      <c r="B632" s="19"/>
      <c r="C632" s="19"/>
      <c r="D632" s="19"/>
      <c r="E632" s="19"/>
      <c r="F632" s="19"/>
    </row>
    <row r="633" spans="1:6" x14ac:dyDescent="0.3">
      <c r="A633" s="10" t="s">
        <v>13</v>
      </c>
      <c r="B633" s="11">
        <v>45730</v>
      </c>
      <c r="C633" s="12" t="s">
        <v>12</v>
      </c>
      <c r="D633" s="12" t="s">
        <v>24</v>
      </c>
      <c r="E633" s="11">
        <v>45743</v>
      </c>
      <c r="F633" s="12" t="s">
        <v>1785</v>
      </c>
    </row>
    <row r="634" spans="1:6" x14ac:dyDescent="0.3">
      <c r="A634" s="4"/>
    </row>
    <row r="635" spans="1:6" ht="15.6" x14ac:dyDescent="0.3">
      <c r="A635" s="18" t="s">
        <v>607</v>
      </c>
      <c r="B635" s="19"/>
      <c r="C635" s="19"/>
      <c r="D635" s="19"/>
      <c r="E635" s="19"/>
      <c r="F635" s="19"/>
    </row>
    <row r="636" spans="1:6" ht="43.2" x14ac:dyDescent="0.3">
      <c r="A636" s="10" t="s">
        <v>13</v>
      </c>
      <c r="B636" s="11">
        <v>45730</v>
      </c>
      <c r="C636" s="12" t="s">
        <v>12</v>
      </c>
      <c r="D636" s="12" t="s">
        <v>21</v>
      </c>
      <c r="E636" s="11">
        <v>45748</v>
      </c>
      <c r="F636" s="12" t="s">
        <v>1831</v>
      </c>
    </row>
    <row r="637" spans="1:6" ht="28.8" x14ac:dyDescent="0.3">
      <c r="B637" s="11">
        <v>45748</v>
      </c>
      <c r="C637" s="12" t="s">
        <v>22</v>
      </c>
      <c r="D637" s="12" t="s">
        <v>4</v>
      </c>
      <c r="E637" s="4" t="s">
        <v>1827</v>
      </c>
      <c r="F637" s="12" t="s">
        <v>1827</v>
      </c>
    </row>
    <row r="638" spans="1:6" x14ac:dyDescent="0.3">
      <c r="A638" s="4"/>
    </row>
    <row r="639" spans="1:6" ht="15.6" x14ac:dyDescent="0.3">
      <c r="A639" s="18" t="s">
        <v>610</v>
      </c>
      <c r="B639" s="19"/>
      <c r="C639" s="19"/>
      <c r="D639" s="19"/>
      <c r="E639" s="19"/>
      <c r="F639" s="19"/>
    </row>
    <row r="640" spans="1:6" x14ac:dyDescent="0.3">
      <c r="A640" s="10" t="s">
        <v>13</v>
      </c>
      <c r="B640" s="11">
        <v>45730</v>
      </c>
      <c r="C640" s="12" t="s">
        <v>12</v>
      </c>
      <c r="D640" s="12" t="s">
        <v>24</v>
      </c>
      <c r="E640" s="11">
        <v>45749</v>
      </c>
      <c r="F640" s="12" t="s">
        <v>1785</v>
      </c>
    </row>
    <row r="641" spans="1:6" x14ac:dyDescent="0.3">
      <c r="A641" s="4"/>
    </row>
    <row r="642" spans="1:6" ht="15.6" x14ac:dyDescent="0.3">
      <c r="A642" s="18" t="s">
        <v>613</v>
      </c>
      <c r="B642" s="19"/>
      <c r="C642" s="19"/>
      <c r="D642" s="19"/>
      <c r="E642" s="19"/>
      <c r="F642" s="19"/>
    </row>
    <row r="643" spans="1:6" x14ac:dyDescent="0.3">
      <c r="A643" s="10" t="s">
        <v>13</v>
      </c>
      <c r="B643" s="11">
        <v>45730</v>
      </c>
      <c r="C643" s="12" t="s">
        <v>12</v>
      </c>
      <c r="D643" s="12" t="s">
        <v>21</v>
      </c>
      <c r="E643" s="11">
        <v>45743</v>
      </c>
      <c r="F643" s="12" t="s">
        <v>1794</v>
      </c>
    </row>
    <row r="644" spans="1:6" ht="28.8" x14ac:dyDescent="0.3">
      <c r="B644" s="11">
        <v>45743</v>
      </c>
      <c r="C644" s="12" t="s">
        <v>22</v>
      </c>
      <c r="D644" s="12" t="s">
        <v>4</v>
      </c>
      <c r="E644" s="4" t="s">
        <v>1827</v>
      </c>
      <c r="F644" s="12" t="s">
        <v>1827</v>
      </c>
    </row>
    <row r="645" spans="1:6" x14ac:dyDescent="0.3">
      <c r="A645" s="4"/>
    </row>
    <row r="646" spans="1:6" ht="15.6" x14ac:dyDescent="0.3">
      <c r="A646" s="18" t="s">
        <v>616</v>
      </c>
      <c r="B646" s="19"/>
      <c r="C646" s="19"/>
      <c r="D646" s="19"/>
      <c r="E646" s="19"/>
      <c r="F646" s="19"/>
    </row>
    <row r="647" spans="1:6" x14ac:dyDescent="0.3">
      <c r="A647" s="10" t="s">
        <v>13</v>
      </c>
      <c r="B647" s="11">
        <v>45730</v>
      </c>
      <c r="C647" s="12" t="s">
        <v>12</v>
      </c>
      <c r="D647" s="12" t="s">
        <v>24</v>
      </c>
      <c r="E647" s="11">
        <v>45743</v>
      </c>
      <c r="F647" s="12" t="s">
        <v>1785</v>
      </c>
    </row>
    <row r="648" spans="1:6" x14ac:dyDescent="0.3">
      <c r="A648" s="4"/>
    </row>
    <row r="649" spans="1:6" ht="15.6" x14ac:dyDescent="0.3">
      <c r="A649" s="18" t="s">
        <v>619</v>
      </c>
      <c r="B649" s="19"/>
      <c r="C649" s="19"/>
      <c r="D649" s="19"/>
      <c r="E649" s="19"/>
      <c r="F649" s="19"/>
    </row>
    <row r="650" spans="1:6" x14ac:dyDescent="0.3">
      <c r="A650" s="10" t="s">
        <v>13</v>
      </c>
      <c r="B650" s="11">
        <v>45730</v>
      </c>
      <c r="C650" s="12" t="s">
        <v>12</v>
      </c>
      <c r="D650" s="12" t="s">
        <v>24</v>
      </c>
      <c r="E650" s="11">
        <v>45743</v>
      </c>
      <c r="F650" s="12" t="s">
        <v>1785</v>
      </c>
    </row>
    <row r="651" spans="1:6" x14ac:dyDescent="0.3">
      <c r="A651" s="4"/>
    </row>
    <row r="652" spans="1:6" ht="15.6" x14ac:dyDescent="0.3">
      <c r="A652" s="18" t="s">
        <v>622</v>
      </c>
      <c r="B652" s="19"/>
      <c r="C652" s="19"/>
      <c r="D652" s="19"/>
      <c r="E652" s="19"/>
      <c r="F652" s="19"/>
    </row>
    <row r="653" spans="1:6" x14ac:dyDescent="0.3">
      <c r="A653" s="10" t="s">
        <v>13</v>
      </c>
      <c r="B653" s="11">
        <v>45730</v>
      </c>
      <c r="C653" s="12" t="s">
        <v>12</v>
      </c>
      <c r="D653" s="12" t="s">
        <v>24</v>
      </c>
      <c r="E653" s="11">
        <v>45743</v>
      </c>
      <c r="F653" s="12" t="s">
        <v>1785</v>
      </c>
    </row>
    <row r="654" spans="1:6" x14ac:dyDescent="0.3">
      <c r="A654" s="4"/>
    </row>
    <row r="655" spans="1:6" ht="15.6" x14ac:dyDescent="0.3">
      <c r="A655" s="18" t="s">
        <v>625</v>
      </c>
      <c r="B655" s="19"/>
      <c r="C655" s="19"/>
      <c r="D655" s="19"/>
      <c r="E655" s="19"/>
      <c r="F655" s="19"/>
    </row>
    <row r="656" spans="1:6" x14ac:dyDescent="0.3">
      <c r="A656" s="10" t="s">
        <v>13</v>
      </c>
      <c r="B656" s="11">
        <v>45730</v>
      </c>
      <c r="C656" s="12" t="s">
        <v>12</v>
      </c>
      <c r="D656" s="12" t="s">
        <v>24</v>
      </c>
      <c r="E656" s="11">
        <v>45743</v>
      </c>
      <c r="F656" s="12" t="s">
        <v>1785</v>
      </c>
    </row>
    <row r="657" spans="1:6" x14ac:dyDescent="0.3">
      <c r="A657" s="4"/>
    </row>
    <row r="658" spans="1:6" ht="15.6" x14ac:dyDescent="0.3">
      <c r="A658" s="18" t="s">
        <v>628</v>
      </c>
      <c r="B658" s="19"/>
      <c r="C658" s="19"/>
      <c r="D658" s="19"/>
      <c r="E658" s="19"/>
      <c r="F658" s="19"/>
    </row>
    <row r="659" spans="1:6" x14ac:dyDescent="0.3">
      <c r="A659" s="10" t="s">
        <v>13</v>
      </c>
      <c r="B659" s="11">
        <v>45730</v>
      </c>
      <c r="C659" s="12" t="s">
        <v>12</v>
      </c>
      <c r="D659" s="12" t="s">
        <v>24</v>
      </c>
      <c r="E659" s="11">
        <v>45743</v>
      </c>
      <c r="F659" s="12" t="s">
        <v>1785</v>
      </c>
    </row>
    <row r="660" spans="1:6" x14ac:dyDescent="0.3">
      <c r="A660" s="4"/>
    </row>
    <row r="661" spans="1:6" ht="15.6" x14ac:dyDescent="0.3">
      <c r="A661" s="18" t="s">
        <v>631</v>
      </c>
      <c r="B661" s="19"/>
      <c r="C661" s="19"/>
      <c r="D661" s="19"/>
      <c r="E661" s="19"/>
      <c r="F661" s="19"/>
    </row>
    <row r="662" spans="1:6" ht="57.6" x14ac:dyDescent="0.3">
      <c r="A662" s="10" t="s">
        <v>13</v>
      </c>
      <c r="B662" s="11">
        <v>45730</v>
      </c>
      <c r="C662" s="12" t="s">
        <v>12</v>
      </c>
      <c r="D662" s="12" t="s">
        <v>21</v>
      </c>
      <c r="E662" s="11">
        <v>45749</v>
      </c>
      <c r="F662" s="12" t="s">
        <v>1907</v>
      </c>
    </row>
    <row r="663" spans="1:6" ht="28.8" x14ac:dyDescent="0.3">
      <c r="B663" s="11">
        <v>45749</v>
      </c>
      <c r="C663" s="12" t="s">
        <v>22</v>
      </c>
      <c r="D663" s="12" t="s">
        <v>4</v>
      </c>
      <c r="E663" s="4" t="s">
        <v>1827</v>
      </c>
      <c r="F663" s="12" t="s">
        <v>1827</v>
      </c>
    </row>
    <row r="664" spans="1:6" x14ac:dyDescent="0.3">
      <c r="A664" s="4"/>
    </row>
    <row r="665" spans="1:6" ht="15.6" x14ac:dyDescent="0.3">
      <c r="A665" s="18" t="s">
        <v>634</v>
      </c>
      <c r="B665" s="19"/>
      <c r="C665" s="19"/>
      <c r="D665" s="19"/>
      <c r="E665" s="19"/>
      <c r="F665" s="19"/>
    </row>
    <row r="666" spans="1:6" x14ac:dyDescent="0.3">
      <c r="A666" s="10" t="s">
        <v>13</v>
      </c>
      <c r="B666" s="11">
        <v>45730</v>
      </c>
      <c r="C666" s="12" t="s">
        <v>12</v>
      </c>
      <c r="D666" s="12" t="s">
        <v>24</v>
      </c>
      <c r="E666" s="11">
        <v>45749</v>
      </c>
      <c r="F666" s="12" t="s">
        <v>1785</v>
      </c>
    </row>
    <row r="667" spans="1:6" x14ac:dyDescent="0.3">
      <c r="A667" s="4"/>
    </row>
    <row r="668" spans="1:6" ht="15.6" x14ac:dyDescent="0.3">
      <c r="A668" s="18" t="s">
        <v>637</v>
      </c>
      <c r="B668" s="19"/>
      <c r="C668" s="19"/>
      <c r="D668" s="19"/>
      <c r="E668" s="19"/>
      <c r="F668" s="19"/>
    </row>
    <row r="669" spans="1:6" x14ac:dyDescent="0.3">
      <c r="A669" s="10" t="s">
        <v>13</v>
      </c>
      <c r="B669" s="11">
        <v>45730</v>
      </c>
      <c r="C669" s="12" t="s">
        <v>12</v>
      </c>
      <c r="D669" s="12" t="s">
        <v>24</v>
      </c>
      <c r="E669" s="11">
        <v>45749</v>
      </c>
      <c r="F669" s="12" t="s">
        <v>1785</v>
      </c>
    </row>
    <row r="670" spans="1:6" x14ac:dyDescent="0.3">
      <c r="A670" s="4"/>
    </row>
    <row r="671" spans="1:6" ht="15.6" x14ac:dyDescent="0.3">
      <c r="A671" s="18" t="s">
        <v>640</v>
      </c>
      <c r="B671" s="19"/>
      <c r="C671" s="19"/>
      <c r="D671" s="19"/>
      <c r="E671" s="19"/>
      <c r="F671" s="19"/>
    </row>
    <row r="672" spans="1:6" x14ac:dyDescent="0.3">
      <c r="A672" s="10" t="s">
        <v>13</v>
      </c>
      <c r="B672" s="11">
        <v>45730</v>
      </c>
      <c r="C672" s="12" t="s">
        <v>12</v>
      </c>
      <c r="D672" s="12" t="s">
        <v>24</v>
      </c>
      <c r="E672" s="11">
        <v>45748</v>
      </c>
      <c r="F672" s="12" t="s">
        <v>1785</v>
      </c>
    </row>
    <row r="673" spans="1:6" x14ac:dyDescent="0.3">
      <c r="A673" s="4"/>
    </row>
    <row r="674" spans="1:6" ht="15.6" x14ac:dyDescent="0.3">
      <c r="A674" s="18" t="s">
        <v>643</v>
      </c>
      <c r="B674" s="19"/>
      <c r="C674" s="19"/>
      <c r="D674" s="19"/>
      <c r="E674" s="19"/>
      <c r="F674" s="19"/>
    </row>
    <row r="675" spans="1:6" ht="100.8" x14ac:dyDescent="0.3">
      <c r="A675" s="10" t="s">
        <v>13</v>
      </c>
      <c r="B675" s="11">
        <v>45730</v>
      </c>
      <c r="C675" s="12" t="s">
        <v>12</v>
      </c>
      <c r="D675" s="12" t="s">
        <v>1027</v>
      </c>
      <c r="E675" s="11">
        <v>45754</v>
      </c>
      <c r="F675" s="12" t="s">
        <v>1948</v>
      </c>
    </row>
    <row r="676" spans="1:6" ht="28.8" x14ac:dyDescent="0.3">
      <c r="B676" s="11">
        <v>45754</v>
      </c>
      <c r="C676" s="12" t="s">
        <v>22</v>
      </c>
      <c r="D676" s="12" t="s">
        <v>4</v>
      </c>
      <c r="E676" s="4" t="s">
        <v>1827</v>
      </c>
      <c r="F676" s="12" t="s">
        <v>1827</v>
      </c>
    </row>
    <row r="677" spans="1:6" x14ac:dyDescent="0.3">
      <c r="A677" s="4"/>
    </row>
    <row r="678" spans="1:6" ht="15.6" x14ac:dyDescent="0.3">
      <c r="A678" s="18" t="s">
        <v>646</v>
      </c>
      <c r="B678" s="19"/>
      <c r="C678" s="19"/>
      <c r="D678" s="19"/>
      <c r="E678" s="19"/>
      <c r="F678" s="19"/>
    </row>
    <row r="679" spans="1:6" ht="43.2" x14ac:dyDescent="0.3">
      <c r="A679" s="10" t="s">
        <v>13</v>
      </c>
      <c r="B679" s="11">
        <v>45730</v>
      </c>
      <c r="C679" s="12" t="s">
        <v>12</v>
      </c>
      <c r="D679" s="12" t="s">
        <v>1027</v>
      </c>
      <c r="E679" s="11">
        <v>45754</v>
      </c>
      <c r="F679" s="12" t="s">
        <v>1949</v>
      </c>
    </row>
    <row r="680" spans="1:6" ht="28.8" x14ac:dyDescent="0.3">
      <c r="B680" s="11">
        <v>45754</v>
      </c>
      <c r="C680" s="12" t="s">
        <v>22</v>
      </c>
      <c r="D680" s="12" t="s">
        <v>4</v>
      </c>
      <c r="E680" s="4" t="s">
        <v>1827</v>
      </c>
      <c r="F680" s="12" t="s">
        <v>1827</v>
      </c>
    </row>
    <row r="681" spans="1:6" x14ac:dyDescent="0.3">
      <c r="A681" s="4"/>
    </row>
    <row r="682" spans="1:6" ht="15.6" x14ac:dyDescent="0.3">
      <c r="A682" s="18" t="s">
        <v>649</v>
      </c>
      <c r="B682" s="19"/>
      <c r="C682" s="19"/>
      <c r="D682" s="19"/>
      <c r="E682" s="19"/>
      <c r="F682" s="19"/>
    </row>
    <row r="683" spans="1:6" x14ac:dyDescent="0.3">
      <c r="A683" s="10" t="s">
        <v>13</v>
      </c>
      <c r="B683" s="11">
        <v>45730</v>
      </c>
      <c r="C683" s="12" t="s">
        <v>12</v>
      </c>
      <c r="D683" s="12" t="s">
        <v>24</v>
      </c>
      <c r="E683" s="11">
        <v>45754</v>
      </c>
      <c r="F683" s="12" t="s">
        <v>1827</v>
      </c>
    </row>
    <row r="684" spans="1:6" x14ac:dyDescent="0.3">
      <c r="A684" s="4"/>
    </row>
    <row r="685" spans="1:6" ht="15.6" x14ac:dyDescent="0.3">
      <c r="A685" s="18" t="s">
        <v>652</v>
      </c>
      <c r="B685" s="19"/>
      <c r="C685" s="19"/>
      <c r="D685" s="19"/>
      <c r="E685" s="19"/>
      <c r="F685" s="19"/>
    </row>
    <row r="686" spans="1:6" ht="28.8" x14ac:dyDescent="0.3">
      <c r="A686" s="10" t="s">
        <v>13</v>
      </c>
      <c r="B686" s="11">
        <v>45730</v>
      </c>
      <c r="C686" s="12" t="s">
        <v>12</v>
      </c>
      <c r="D686" s="12" t="s">
        <v>1027</v>
      </c>
      <c r="E686" s="11">
        <v>45754</v>
      </c>
      <c r="F686" s="12" t="s">
        <v>1950</v>
      </c>
    </row>
    <row r="687" spans="1:6" ht="28.8" x14ac:dyDescent="0.3">
      <c r="B687" s="11">
        <v>45754</v>
      </c>
      <c r="C687" s="12" t="s">
        <v>22</v>
      </c>
      <c r="D687" s="12" t="s">
        <v>4</v>
      </c>
      <c r="E687" s="4" t="s">
        <v>1827</v>
      </c>
      <c r="F687" s="12" t="s">
        <v>1827</v>
      </c>
    </row>
    <row r="688" spans="1:6" x14ac:dyDescent="0.3">
      <c r="A688" s="4"/>
    </row>
    <row r="689" spans="1:6" ht="15.6" x14ac:dyDescent="0.3">
      <c r="A689" s="18" t="s">
        <v>655</v>
      </c>
      <c r="B689" s="19"/>
      <c r="C689" s="19"/>
      <c r="D689" s="19"/>
      <c r="E689" s="19"/>
      <c r="F689" s="19"/>
    </row>
    <row r="690" spans="1:6" ht="28.8" x14ac:dyDescent="0.3">
      <c r="A690" s="10" t="s">
        <v>13</v>
      </c>
      <c r="B690" s="11">
        <v>45730</v>
      </c>
      <c r="C690" s="12" t="s">
        <v>12</v>
      </c>
      <c r="D690" s="12" t="s">
        <v>1027</v>
      </c>
      <c r="E690" s="11">
        <v>45743</v>
      </c>
      <c r="F690" s="12" t="s">
        <v>1795</v>
      </c>
    </row>
    <row r="691" spans="1:6" ht="28.8" x14ac:dyDescent="0.3">
      <c r="B691" s="11">
        <v>45743</v>
      </c>
      <c r="C691" s="12" t="s">
        <v>22</v>
      </c>
      <c r="D691" s="12" t="s">
        <v>4</v>
      </c>
      <c r="E691" s="4" t="s">
        <v>1827</v>
      </c>
      <c r="F691" s="12" t="s">
        <v>1827</v>
      </c>
    </row>
    <row r="692" spans="1:6" x14ac:dyDescent="0.3">
      <c r="A692" s="4"/>
    </row>
    <row r="693" spans="1:6" ht="15.6" x14ac:dyDescent="0.3">
      <c r="A693" s="18" t="s">
        <v>658</v>
      </c>
      <c r="B693" s="19"/>
      <c r="C693" s="19"/>
      <c r="D693" s="19"/>
      <c r="E693" s="19"/>
      <c r="F693" s="19"/>
    </row>
    <row r="694" spans="1:6" ht="28.8" x14ac:dyDescent="0.3">
      <c r="A694" s="10" t="s">
        <v>13</v>
      </c>
      <c r="B694" s="11">
        <v>45730</v>
      </c>
      <c r="C694" s="12" t="s">
        <v>12</v>
      </c>
      <c r="D694" s="12" t="s">
        <v>1027</v>
      </c>
      <c r="E694" s="11">
        <v>45743</v>
      </c>
      <c r="F694" s="12" t="s">
        <v>1795</v>
      </c>
    </row>
    <row r="695" spans="1:6" ht="28.8" x14ac:dyDescent="0.3">
      <c r="B695" s="11">
        <v>45743</v>
      </c>
      <c r="C695" s="12" t="s">
        <v>22</v>
      </c>
      <c r="D695" s="12" t="s">
        <v>4</v>
      </c>
      <c r="E695" s="4" t="s">
        <v>1827</v>
      </c>
      <c r="F695" s="12" t="s">
        <v>1827</v>
      </c>
    </row>
    <row r="696" spans="1:6" x14ac:dyDescent="0.3">
      <c r="A696" s="4"/>
    </row>
    <row r="697" spans="1:6" ht="15.6" x14ac:dyDescent="0.3">
      <c r="A697" s="18" t="s">
        <v>661</v>
      </c>
      <c r="B697" s="19"/>
      <c r="C697" s="19"/>
      <c r="D697" s="19"/>
      <c r="E697" s="19"/>
      <c r="F697" s="19"/>
    </row>
    <row r="698" spans="1:6" ht="28.8" x14ac:dyDescent="0.3">
      <c r="A698" s="10" t="s">
        <v>13</v>
      </c>
      <c r="B698" s="11">
        <v>45730</v>
      </c>
      <c r="C698" s="12" t="s">
        <v>12</v>
      </c>
      <c r="D698" s="12" t="s">
        <v>1027</v>
      </c>
      <c r="E698" s="11">
        <v>45743</v>
      </c>
      <c r="F698" s="12" t="s">
        <v>1795</v>
      </c>
    </row>
    <row r="699" spans="1:6" ht="28.8" x14ac:dyDescent="0.3">
      <c r="B699" s="11">
        <v>45743</v>
      </c>
      <c r="C699" s="12" t="s">
        <v>22</v>
      </c>
      <c r="D699" s="12" t="s">
        <v>4</v>
      </c>
      <c r="E699" s="4" t="s">
        <v>1827</v>
      </c>
      <c r="F699" s="12" t="s">
        <v>1827</v>
      </c>
    </row>
    <row r="700" spans="1:6" x14ac:dyDescent="0.3">
      <c r="A700" s="4"/>
    </row>
    <row r="701" spans="1:6" ht="15.6" x14ac:dyDescent="0.3">
      <c r="A701" s="18" t="s">
        <v>664</v>
      </c>
      <c r="B701" s="19"/>
      <c r="C701" s="19"/>
      <c r="D701" s="19"/>
      <c r="E701" s="19"/>
      <c r="F701" s="19"/>
    </row>
    <row r="702" spans="1:6" ht="28.8" x14ac:dyDescent="0.3">
      <c r="A702" s="10" t="s">
        <v>13</v>
      </c>
      <c r="B702" s="11">
        <v>45730</v>
      </c>
      <c r="C702" s="12" t="s">
        <v>12</v>
      </c>
      <c r="D702" s="12" t="s">
        <v>1027</v>
      </c>
      <c r="E702" s="11">
        <v>45743</v>
      </c>
      <c r="F702" s="12" t="s">
        <v>1795</v>
      </c>
    </row>
    <row r="703" spans="1:6" ht="28.8" x14ac:dyDescent="0.3">
      <c r="B703" s="11">
        <v>45743</v>
      </c>
      <c r="C703" s="12" t="s">
        <v>22</v>
      </c>
      <c r="D703" s="12" t="s">
        <v>4</v>
      </c>
      <c r="E703" s="4" t="s">
        <v>1827</v>
      </c>
      <c r="F703" s="12" t="s">
        <v>1827</v>
      </c>
    </row>
    <row r="704" spans="1:6" x14ac:dyDescent="0.3">
      <c r="A704" s="4"/>
    </row>
    <row r="705" spans="1:6" ht="15.6" x14ac:dyDescent="0.3">
      <c r="A705" s="18" t="s">
        <v>667</v>
      </c>
      <c r="B705" s="19"/>
      <c r="C705" s="19"/>
      <c r="D705" s="19"/>
      <c r="E705" s="19"/>
      <c r="F705" s="19"/>
    </row>
    <row r="706" spans="1:6" x14ac:dyDescent="0.3">
      <c r="A706" s="10" t="s">
        <v>13</v>
      </c>
      <c r="B706" s="11">
        <v>45730</v>
      </c>
      <c r="C706" s="12" t="s">
        <v>12</v>
      </c>
      <c r="D706" s="12" t="s">
        <v>24</v>
      </c>
      <c r="E706" s="11">
        <v>45743</v>
      </c>
      <c r="F706" s="12" t="s">
        <v>1785</v>
      </c>
    </row>
    <row r="707" spans="1:6" x14ac:dyDescent="0.3">
      <c r="A707" s="4"/>
    </row>
    <row r="708" spans="1:6" ht="15.6" x14ac:dyDescent="0.3">
      <c r="A708" s="18" t="s">
        <v>670</v>
      </c>
      <c r="B708" s="19"/>
      <c r="C708" s="19"/>
      <c r="D708" s="19"/>
      <c r="E708" s="19"/>
      <c r="F708" s="19"/>
    </row>
    <row r="709" spans="1:6" x14ac:dyDescent="0.3">
      <c r="A709" s="10" t="s">
        <v>13</v>
      </c>
      <c r="B709" s="11">
        <v>45730</v>
      </c>
      <c r="C709" s="12" t="s">
        <v>12</v>
      </c>
      <c r="D709" s="12" t="s">
        <v>24</v>
      </c>
      <c r="E709" s="11">
        <v>45743</v>
      </c>
      <c r="F709" s="12" t="s">
        <v>1785</v>
      </c>
    </row>
    <row r="710" spans="1:6" x14ac:dyDescent="0.3">
      <c r="A710" s="4"/>
    </row>
    <row r="711" spans="1:6" ht="15.6" x14ac:dyDescent="0.3">
      <c r="A711" s="18" t="s">
        <v>673</v>
      </c>
      <c r="B711" s="19"/>
      <c r="C711" s="19"/>
      <c r="D711" s="19"/>
      <c r="E711" s="19"/>
      <c r="F711" s="19"/>
    </row>
    <row r="712" spans="1:6" ht="28.8" x14ac:dyDescent="0.3">
      <c r="A712" s="10" t="s">
        <v>13</v>
      </c>
      <c r="B712" s="11">
        <v>45730</v>
      </c>
      <c r="C712" s="12" t="s">
        <v>12</v>
      </c>
      <c r="D712" s="12" t="s">
        <v>1027</v>
      </c>
      <c r="E712" s="11">
        <v>45743</v>
      </c>
      <c r="F712" s="12" t="s">
        <v>1796</v>
      </c>
    </row>
    <row r="713" spans="1:6" ht="28.8" x14ac:dyDescent="0.3">
      <c r="B713" s="11">
        <v>45743</v>
      </c>
      <c r="C713" s="12" t="s">
        <v>22</v>
      </c>
      <c r="D713" s="12" t="s">
        <v>4</v>
      </c>
      <c r="E713" s="4" t="s">
        <v>1827</v>
      </c>
      <c r="F713" s="12" t="s">
        <v>1827</v>
      </c>
    </row>
    <row r="714" spans="1:6" x14ac:dyDescent="0.3">
      <c r="A714" s="4"/>
    </row>
    <row r="715" spans="1:6" ht="15.6" x14ac:dyDescent="0.3">
      <c r="A715" s="18" t="s">
        <v>677</v>
      </c>
      <c r="B715" s="19"/>
      <c r="C715" s="19"/>
      <c r="D715" s="19"/>
      <c r="E715" s="19"/>
      <c r="F715" s="19"/>
    </row>
    <row r="716" spans="1:6" x14ac:dyDescent="0.3">
      <c r="A716" s="10" t="s">
        <v>676</v>
      </c>
      <c r="B716" s="11">
        <v>45730</v>
      </c>
      <c r="C716" s="12" t="s">
        <v>12</v>
      </c>
      <c r="D716" s="12" t="s">
        <v>24</v>
      </c>
      <c r="E716" s="11">
        <v>45763</v>
      </c>
      <c r="F716" s="12" t="s">
        <v>1785</v>
      </c>
    </row>
    <row r="717" spans="1:6" x14ac:dyDescent="0.3">
      <c r="A717" s="4"/>
    </row>
    <row r="718" spans="1:6" ht="15.6" x14ac:dyDescent="0.3">
      <c r="A718" s="18" t="s">
        <v>680</v>
      </c>
      <c r="B718" s="19"/>
      <c r="C718" s="19"/>
      <c r="D718" s="19"/>
      <c r="E718" s="19"/>
      <c r="F718" s="19"/>
    </row>
    <row r="719" spans="1:6" x14ac:dyDescent="0.3">
      <c r="A719" s="10" t="s">
        <v>676</v>
      </c>
      <c r="B719" s="11">
        <v>45730</v>
      </c>
      <c r="C719" s="12" t="s">
        <v>12</v>
      </c>
      <c r="D719" s="12" t="s">
        <v>24</v>
      </c>
      <c r="E719" s="11">
        <v>45763</v>
      </c>
      <c r="F719" s="12" t="s">
        <v>1785</v>
      </c>
    </row>
    <row r="720" spans="1:6" x14ac:dyDescent="0.3">
      <c r="A720" s="4"/>
    </row>
    <row r="721" spans="1:6" ht="15.6" x14ac:dyDescent="0.3">
      <c r="A721" s="18" t="s">
        <v>683</v>
      </c>
      <c r="B721" s="19"/>
      <c r="C721" s="19"/>
      <c r="D721" s="19"/>
      <c r="E721" s="19"/>
      <c r="F721" s="19"/>
    </row>
    <row r="722" spans="1:6" x14ac:dyDescent="0.3">
      <c r="A722" s="10" t="s">
        <v>676</v>
      </c>
      <c r="B722" s="11">
        <v>45730</v>
      </c>
      <c r="C722" s="12" t="s">
        <v>12</v>
      </c>
      <c r="D722" s="12" t="s">
        <v>24</v>
      </c>
      <c r="E722" s="11">
        <v>45763</v>
      </c>
      <c r="F722" s="12" t="s">
        <v>1785</v>
      </c>
    </row>
    <row r="723" spans="1:6" x14ac:dyDescent="0.3">
      <c r="A723" s="4"/>
    </row>
    <row r="724" spans="1:6" ht="15.6" x14ac:dyDescent="0.3">
      <c r="A724" s="18" t="s">
        <v>688</v>
      </c>
      <c r="B724" s="19"/>
      <c r="C724" s="19"/>
      <c r="D724" s="19"/>
      <c r="E724" s="19"/>
      <c r="F724" s="19"/>
    </row>
    <row r="725" spans="1:6" ht="172.8" x14ac:dyDescent="0.3">
      <c r="A725" s="10" t="s">
        <v>689</v>
      </c>
      <c r="B725" s="11">
        <v>45729</v>
      </c>
      <c r="C725" s="12" t="s">
        <v>12</v>
      </c>
      <c r="D725" s="12" t="s">
        <v>21</v>
      </c>
      <c r="E725" s="11">
        <v>45748</v>
      </c>
      <c r="F725" s="12" t="s">
        <v>1908</v>
      </c>
    </row>
    <row r="726" spans="1:6" ht="28.8" x14ac:dyDescent="0.3">
      <c r="B726" s="11">
        <v>45748</v>
      </c>
      <c r="C726" s="12" t="s">
        <v>22</v>
      </c>
      <c r="D726" s="12" t="s">
        <v>4</v>
      </c>
      <c r="E726" s="4" t="s">
        <v>1827</v>
      </c>
      <c r="F726" s="12" t="s">
        <v>1827</v>
      </c>
    </row>
    <row r="727" spans="1:6" x14ac:dyDescent="0.3">
      <c r="A727" s="4"/>
    </row>
    <row r="728" spans="1:6" ht="15.6" x14ac:dyDescent="0.3">
      <c r="A728" s="18" t="s">
        <v>691</v>
      </c>
      <c r="B728" s="19"/>
      <c r="C728" s="19"/>
      <c r="D728" s="19"/>
      <c r="E728" s="19"/>
      <c r="F728" s="19"/>
    </row>
    <row r="729" spans="1:6" ht="345.6" x14ac:dyDescent="0.3">
      <c r="A729" s="10" t="s">
        <v>418</v>
      </c>
      <c r="B729" s="11">
        <v>45729</v>
      </c>
      <c r="C729" s="12" t="s">
        <v>12</v>
      </c>
      <c r="D729" s="12" t="s">
        <v>21</v>
      </c>
      <c r="E729" s="11">
        <v>45748</v>
      </c>
      <c r="F729" s="12" t="s">
        <v>1909</v>
      </c>
    </row>
    <row r="730" spans="1:6" ht="28.8" x14ac:dyDescent="0.3">
      <c r="B730" s="11">
        <v>45748</v>
      </c>
      <c r="C730" s="12" t="s">
        <v>22</v>
      </c>
      <c r="D730" s="12" t="s">
        <v>4</v>
      </c>
      <c r="E730" s="4" t="s">
        <v>1827</v>
      </c>
      <c r="F730" s="12" t="s">
        <v>1827</v>
      </c>
    </row>
    <row r="731" spans="1:6" x14ac:dyDescent="0.3">
      <c r="A731" s="4"/>
    </row>
    <row r="732" spans="1:6" ht="15.6" x14ac:dyDescent="0.3">
      <c r="A732" s="18" t="s">
        <v>694</v>
      </c>
      <c r="B732" s="19"/>
      <c r="C732" s="19"/>
      <c r="D732" s="19"/>
      <c r="E732" s="19"/>
      <c r="F732" s="19"/>
    </row>
    <row r="733" spans="1:6" ht="288" x14ac:dyDescent="0.3">
      <c r="A733" s="10" t="s">
        <v>695</v>
      </c>
      <c r="B733" s="11">
        <v>45729</v>
      </c>
      <c r="C733" s="12" t="s">
        <v>12</v>
      </c>
      <c r="D733" s="12" t="s">
        <v>21</v>
      </c>
      <c r="E733" s="11">
        <v>45748</v>
      </c>
      <c r="F733" s="12" t="s">
        <v>1910</v>
      </c>
    </row>
    <row r="734" spans="1:6" ht="28.8" x14ac:dyDescent="0.3">
      <c r="B734" s="11">
        <v>45748</v>
      </c>
      <c r="C734" s="12" t="s">
        <v>22</v>
      </c>
      <c r="D734" s="12" t="s">
        <v>4</v>
      </c>
      <c r="E734" s="4" t="s">
        <v>1827</v>
      </c>
      <c r="F734" s="12" t="s">
        <v>1827</v>
      </c>
    </row>
    <row r="735" spans="1:6" x14ac:dyDescent="0.3">
      <c r="A735" s="4"/>
    </row>
    <row r="736" spans="1:6" ht="15.6" x14ac:dyDescent="0.3">
      <c r="A736" s="18" t="s">
        <v>698</v>
      </c>
      <c r="B736" s="19"/>
      <c r="C736" s="19"/>
      <c r="D736" s="19"/>
      <c r="E736" s="19"/>
      <c r="F736" s="19"/>
    </row>
    <row r="737" spans="1:6" ht="216" x14ac:dyDescent="0.3">
      <c r="A737" s="10" t="s">
        <v>13</v>
      </c>
      <c r="B737" s="11">
        <v>45729</v>
      </c>
      <c r="C737" s="12" t="s">
        <v>12</v>
      </c>
      <c r="D737" s="12" t="s">
        <v>21</v>
      </c>
      <c r="E737" s="11">
        <v>45748</v>
      </c>
      <c r="F737" s="12" t="s">
        <v>1911</v>
      </c>
    </row>
    <row r="738" spans="1:6" ht="28.8" x14ac:dyDescent="0.3">
      <c r="B738" s="11">
        <v>45748</v>
      </c>
      <c r="C738" s="12" t="s">
        <v>22</v>
      </c>
      <c r="D738" s="12" t="s">
        <v>4</v>
      </c>
      <c r="E738" s="4" t="s">
        <v>1827</v>
      </c>
      <c r="F738" s="12" t="s">
        <v>1827</v>
      </c>
    </row>
    <row r="739" spans="1:6" x14ac:dyDescent="0.3">
      <c r="A739" s="4"/>
    </row>
    <row r="740" spans="1:6" ht="15.6" x14ac:dyDescent="0.3">
      <c r="A740" s="18" t="s">
        <v>701</v>
      </c>
      <c r="B740" s="19"/>
      <c r="C740" s="19"/>
      <c r="D740" s="19"/>
      <c r="E740" s="19"/>
      <c r="F740" s="19"/>
    </row>
    <row r="741" spans="1:6" ht="28.8" x14ac:dyDescent="0.3">
      <c r="A741" s="10" t="s">
        <v>10</v>
      </c>
      <c r="B741" s="11">
        <v>45729</v>
      </c>
      <c r="C741" s="12" t="s">
        <v>12</v>
      </c>
      <c r="D741" s="12" t="s">
        <v>21</v>
      </c>
      <c r="E741" s="11">
        <v>45751</v>
      </c>
      <c r="F741" s="12" t="s">
        <v>1951</v>
      </c>
    </row>
    <row r="742" spans="1:6" ht="28.8" x14ac:dyDescent="0.3">
      <c r="B742" s="11">
        <v>45751</v>
      </c>
      <c r="C742" s="12" t="s">
        <v>22</v>
      </c>
      <c r="D742" s="12" t="s">
        <v>4</v>
      </c>
      <c r="E742" s="4" t="s">
        <v>1827</v>
      </c>
      <c r="F742" s="12" t="s">
        <v>1827</v>
      </c>
    </row>
    <row r="743" spans="1:6" x14ac:dyDescent="0.3">
      <c r="A743" s="4"/>
    </row>
    <row r="744" spans="1:6" ht="15.6" x14ac:dyDescent="0.3">
      <c r="A744" s="18" t="s">
        <v>704</v>
      </c>
      <c r="B744" s="19"/>
      <c r="C744" s="19"/>
      <c r="D744" s="19"/>
      <c r="E744" s="19"/>
      <c r="F744" s="19"/>
    </row>
    <row r="745" spans="1:6" x14ac:dyDescent="0.3">
      <c r="A745" s="10" t="s">
        <v>13</v>
      </c>
      <c r="B745" s="11">
        <v>45729</v>
      </c>
      <c r="C745" s="12" t="s">
        <v>12</v>
      </c>
      <c r="D745" s="12" t="s">
        <v>4</v>
      </c>
      <c r="E745" s="4" t="s">
        <v>1827</v>
      </c>
      <c r="F745" s="12" t="s">
        <v>1827</v>
      </c>
    </row>
    <row r="746" spans="1:6" x14ac:dyDescent="0.3">
      <c r="A746" s="4"/>
    </row>
    <row r="747" spans="1:6" ht="15.6" x14ac:dyDescent="0.3">
      <c r="A747" s="18" t="s">
        <v>708</v>
      </c>
      <c r="B747" s="19"/>
      <c r="C747" s="19"/>
      <c r="D747" s="19"/>
      <c r="E747" s="19"/>
      <c r="F747" s="19"/>
    </row>
    <row r="748" spans="1:6" ht="43.2" x14ac:dyDescent="0.3">
      <c r="A748" s="10" t="s">
        <v>707</v>
      </c>
      <c r="B748" s="11">
        <v>45729</v>
      </c>
      <c r="C748" s="12" t="s">
        <v>12</v>
      </c>
      <c r="D748" s="12" t="s">
        <v>21</v>
      </c>
      <c r="E748" s="11">
        <v>45763</v>
      </c>
      <c r="F748" s="12" t="s">
        <v>1952</v>
      </c>
    </row>
    <row r="749" spans="1:6" ht="28.8" x14ac:dyDescent="0.3">
      <c r="B749" s="11">
        <v>45763</v>
      </c>
      <c r="C749" s="12" t="s">
        <v>22</v>
      </c>
      <c r="D749" s="12" t="s">
        <v>4</v>
      </c>
      <c r="E749" s="4" t="s">
        <v>1827</v>
      </c>
      <c r="F749" s="12" t="s">
        <v>1827</v>
      </c>
    </row>
    <row r="750" spans="1:6" x14ac:dyDescent="0.3">
      <c r="A750" s="4"/>
    </row>
    <row r="751" spans="1:6" ht="15.6" x14ac:dyDescent="0.3">
      <c r="A751" s="18" t="s">
        <v>711</v>
      </c>
      <c r="B751" s="19"/>
      <c r="C751" s="19"/>
      <c r="D751" s="19"/>
      <c r="E751" s="19"/>
      <c r="F751" s="19"/>
    </row>
    <row r="752" spans="1:6" ht="409.6" x14ac:dyDescent="0.3">
      <c r="A752" s="10" t="s">
        <v>712</v>
      </c>
      <c r="B752" s="11">
        <v>45729</v>
      </c>
      <c r="C752" s="12" t="s">
        <v>12</v>
      </c>
      <c r="D752" s="12" t="s">
        <v>21</v>
      </c>
      <c r="E752" s="11">
        <v>45748</v>
      </c>
      <c r="F752" s="12" t="s">
        <v>1912</v>
      </c>
    </row>
    <row r="753" spans="1:6" ht="28.8" x14ac:dyDescent="0.3">
      <c r="B753" s="11">
        <v>45748</v>
      </c>
      <c r="C753" s="12" t="s">
        <v>22</v>
      </c>
      <c r="D753" s="12" t="s">
        <v>4</v>
      </c>
      <c r="E753" s="4" t="s">
        <v>1827</v>
      </c>
      <c r="F753" s="12" t="s">
        <v>1827</v>
      </c>
    </row>
    <row r="754" spans="1:6" x14ac:dyDescent="0.3">
      <c r="A754" s="4"/>
    </row>
    <row r="755" spans="1:6" ht="15.6" x14ac:dyDescent="0.3">
      <c r="A755" s="18" t="s">
        <v>715</v>
      </c>
      <c r="B755" s="19"/>
      <c r="C755" s="19"/>
      <c r="D755" s="19"/>
      <c r="E755" s="19"/>
      <c r="F755" s="19"/>
    </row>
    <row r="756" spans="1:6" ht="273.60000000000002" x14ac:dyDescent="0.3">
      <c r="A756" s="10" t="s">
        <v>10</v>
      </c>
      <c r="B756" s="11">
        <v>45729</v>
      </c>
      <c r="C756" s="12" t="s">
        <v>12</v>
      </c>
      <c r="D756" s="12" t="s">
        <v>21</v>
      </c>
      <c r="E756" s="11">
        <v>45748</v>
      </c>
      <c r="F756" s="12" t="s">
        <v>1913</v>
      </c>
    </row>
    <row r="757" spans="1:6" ht="28.8" x14ac:dyDescent="0.3">
      <c r="B757" s="11">
        <v>45748</v>
      </c>
      <c r="C757" s="12" t="s">
        <v>22</v>
      </c>
      <c r="D757" s="12" t="s">
        <v>4</v>
      </c>
      <c r="E757" s="4" t="s">
        <v>1827</v>
      </c>
      <c r="F757" s="12" t="s">
        <v>1827</v>
      </c>
    </row>
    <row r="758" spans="1:6" x14ac:dyDescent="0.3">
      <c r="A758" s="4"/>
    </row>
    <row r="759" spans="1:6" ht="15.6" x14ac:dyDescent="0.3">
      <c r="A759" s="18" t="s">
        <v>718</v>
      </c>
      <c r="B759" s="19"/>
      <c r="C759" s="19"/>
      <c r="D759" s="19"/>
      <c r="E759" s="19"/>
      <c r="F759" s="19"/>
    </row>
    <row r="760" spans="1:6" ht="86.4" x14ac:dyDescent="0.3">
      <c r="A760" s="10" t="s">
        <v>13</v>
      </c>
      <c r="B760" s="11">
        <v>45729</v>
      </c>
      <c r="C760" s="12" t="s">
        <v>12</v>
      </c>
      <c r="D760" s="12" t="s">
        <v>21</v>
      </c>
      <c r="E760" s="11">
        <v>45748</v>
      </c>
      <c r="F760" s="12" t="s">
        <v>1914</v>
      </c>
    </row>
    <row r="761" spans="1:6" ht="28.8" x14ac:dyDescent="0.3">
      <c r="B761" s="11">
        <v>45748</v>
      </c>
      <c r="C761" s="12" t="s">
        <v>22</v>
      </c>
      <c r="D761" s="12" t="s">
        <v>4</v>
      </c>
      <c r="E761" s="4" t="s">
        <v>1827</v>
      </c>
      <c r="F761" s="12" t="s">
        <v>1827</v>
      </c>
    </row>
    <row r="762" spans="1:6" x14ac:dyDescent="0.3">
      <c r="A762" s="4"/>
    </row>
    <row r="763" spans="1:6" ht="15.6" x14ac:dyDescent="0.3">
      <c r="A763" s="18" t="s">
        <v>721</v>
      </c>
      <c r="B763" s="19"/>
      <c r="C763" s="19"/>
      <c r="D763" s="19"/>
      <c r="E763" s="19"/>
      <c r="F763" s="19"/>
    </row>
    <row r="764" spans="1:6" ht="86.4" x14ac:dyDescent="0.3">
      <c r="A764" s="10" t="s">
        <v>418</v>
      </c>
      <c r="B764" s="11">
        <v>45729</v>
      </c>
      <c r="C764" s="12" t="s">
        <v>12</v>
      </c>
      <c r="D764" s="12" t="s">
        <v>21</v>
      </c>
      <c r="E764" s="11">
        <v>45748</v>
      </c>
      <c r="F764" s="12" t="s">
        <v>1915</v>
      </c>
    </row>
    <row r="765" spans="1:6" ht="28.8" x14ac:dyDescent="0.3">
      <c r="B765" s="11">
        <v>45748</v>
      </c>
      <c r="C765" s="12" t="s">
        <v>22</v>
      </c>
      <c r="D765" s="12" t="s">
        <v>4</v>
      </c>
      <c r="E765" s="4" t="s">
        <v>1827</v>
      </c>
      <c r="F765" s="12" t="s">
        <v>1827</v>
      </c>
    </row>
    <row r="766" spans="1:6" x14ac:dyDescent="0.3">
      <c r="A766" s="4"/>
    </row>
    <row r="767" spans="1:6" ht="15.6" x14ac:dyDescent="0.3">
      <c r="A767" s="18" t="s">
        <v>724</v>
      </c>
      <c r="B767" s="19"/>
      <c r="C767" s="19"/>
      <c r="D767" s="19"/>
      <c r="E767" s="19"/>
      <c r="F767" s="19"/>
    </row>
    <row r="768" spans="1:6" ht="43.2" x14ac:dyDescent="0.3">
      <c r="A768" s="10" t="s">
        <v>13</v>
      </c>
      <c r="B768" s="11">
        <v>45729</v>
      </c>
      <c r="C768" s="12" t="s">
        <v>12</v>
      </c>
      <c r="D768" s="12" t="s">
        <v>21</v>
      </c>
      <c r="E768" s="11">
        <v>45748</v>
      </c>
      <c r="F768" s="12" t="s">
        <v>1916</v>
      </c>
    </row>
    <row r="769" spans="1:6" ht="28.8" x14ac:dyDescent="0.3">
      <c r="B769" s="11">
        <v>45748</v>
      </c>
      <c r="C769" s="12" t="s">
        <v>22</v>
      </c>
      <c r="D769" s="12" t="s">
        <v>4</v>
      </c>
      <c r="E769" s="4" t="s">
        <v>1827</v>
      </c>
      <c r="F769" s="12" t="s">
        <v>1827</v>
      </c>
    </row>
    <row r="770" spans="1:6" x14ac:dyDescent="0.3">
      <c r="A770" s="4"/>
    </row>
    <row r="771" spans="1:6" ht="15.6" x14ac:dyDescent="0.3">
      <c r="A771" s="18" t="s">
        <v>727</v>
      </c>
      <c r="B771" s="19"/>
      <c r="C771" s="19"/>
      <c r="D771" s="19"/>
      <c r="E771" s="19"/>
      <c r="F771" s="19"/>
    </row>
    <row r="772" spans="1:6" ht="43.2" x14ac:dyDescent="0.3">
      <c r="A772" s="10" t="s">
        <v>10</v>
      </c>
      <c r="B772" s="11">
        <v>45729</v>
      </c>
      <c r="C772" s="12" t="s">
        <v>12</v>
      </c>
      <c r="D772" s="12" t="s">
        <v>21</v>
      </c>
      <c r="E772" s="11">
        <v>45748</v>
      </c>
      <c r="F772" s="12" t="s">
        <v>1917</v>
      </c>
    </row>
    <row r="773" spans="1:6" ht="28.8" x14ac:dyDescent="0.3">
      <c r="B773" s="11">
        <v>45748</v>
      </c>
      <c r="C773" s="12" t="s">
        <v>22</v>
      </c>
      <c r="D773" s="12" t="s">
        <v>4</v>
      </c>
      <c r="E773" s="4" t="s">
        <v>1827</v>
      </c>
      <c r="F773" s="12" t="s">
        <v>1827</v>
      </c>
    </row>
    <row r="774" spans="1:6" x14ac:dyDescent="0.3">
      <c r="A774" s="4"/>
    </row>
    <row r="775" spans="1:6" ht="15.6" x14ac:dyDescent="0.3">
      <c r="A775" s="18" t="s">
        <v>730</v>
      </c>
      <c r="B775" s="19"/>
      <c r="C775" s="19"/>
      <c r="D775" s="19"/>
      <c r="E775" s="19"/>
      <c r="F775" s="19"/>
    </row>
    <row r="776" spans="1:6" ht="28.8" x14ac:dyDescent="0.3">
      <c r="A776" s="10" t="s">
        <v>10</v>
      </c>
      <c r="B776" s="11">
        <v>45729</v>
      </c>
      <c r="C776" s="12" t="s">
        <v>12</v>
      </c>
      <c r="D776" s="12" t="s">
        <v>21</v>
      </c>
      <c r="E776" s="11">
        <v>45748</v>
      </c>
      <c r="F776" s="12" t="s">
        <v>1918</v>
      </c>
    </row>
    <row r="777" spans="1:6" ht="28.8" x14ac:dyDescent="0.3">
      <c r="B777" s="11">
        <v>45748</v>
      </c>
      <c r="C777" s="12" t="s">
        <v>22</v>
      </c>
      <c r="D777" s="12" t="s">
        <v>4</v>
      </c>
      <c r="E777" s="4" t="s">
        <v>1827</v>
      </c>
      <c r="F777" s="12" t="s">
        <v>1827</v>
      </c>
    </row>
    <row r="778" spans="1:6" x14ac:dyDescent="0.3">
      <c r="A778" s="4"/>
    </row>
    <row r="779" spans="1:6" ht="15.6" x14ac:dyDescent="0.3">
      <c r="A779" s="18" t="s">
        <v>733</v>
      </c>
      <c r="B779" s="19"/>
      <c r="C779" s="19"/>
      <c r="D779" s="19"/>
      <c r="E779" s="19"/>
      <c r="F779" s="19"/>
    </row>
    <row r="780" spans="1:6" ht="28.8" x14ac:dyDescent="0.3">
      <c r="A780" s="10" t="s">
        <v>13</v>
      </c>
      <c r="B780" s="11">
        <v>45729</v>
      </c>
      <c r="C780" s="12" t="s">
        <v>12</v>
      </c>
      <c r="D780" s="12" t="s">
        <v>21</v>
      </c>
      <c r="E780" s="11">
        <v>45748</v>
      </c>
      <c r="F780" s="12" t="s">
        <v>1918</v>
      </c>
    </row>
    <row r="781" spans="1:6" ht="28.8" x14ac:dyDescent="0.3">
      <c r="B781" s="11">
        <v>45748</v>
      </c>
      <c r="C781" s="12" t="s">
        <v>22</v>
      </c>
      <c r="D781" s="12" t="s">
        <v>4</v>
      </c>
      <c r="E781" s="4" t="s">
        <v>1827</v>
      </c>
      <c r="F781" s="12" t="s">
        <v>1827</v>
      </c>
    </row>
    <row r="782" spans="1:6" x14ac:dyDescent="0.3">
      <c r="A782" s="4"/>
    </row>
    <row r="783" spans="1:6" ht="15.6" x14ac:dyDescent="0.3">
      <c r="A783" s="18" t="s">
        <v>736</v>
      </c>
      <c r="B783" s="19"/>
      <c r="C783" s="19"/>
      <c r="D783" s="19"/>
      <c r="E783" s="19"/>
      <c r="F783" s="19"/>
    </row>
    <row r="784" spans="1:6" ht="72" x14ac:dyDescent="0.3">
      <c r="A784" s="10" t="s">
        <v>13</v>
      </c>
      <c r="B784" s="11">
        <v>45729</v>
      </c>
      <c r="C784" s="12" t="s">
        <v>12</v>
      </c>
      <c r="D784" s="12" t="s">
        <v>21</v>
      </c>
      <c r="E784" s="11">
        <v>45748</v>
      </c>
      <c r="F784" s="12" t="s">
        <v>1919</v>
      </c>
    </row>
    <row r="785" spans="1:6" ht="28.8" x14ac:dyDescent="0.3">
      <c r="B785" s="11">
        <v>45748</v>
      </c>
      <c r="C785" s="12" t="s">
        <v>22</v>
      </c>
      <c r="D785" s="12" t="s">
        <v>4</v>
      </c>
      <c r="E785" s="4" t="s">
        <v>1827</v>
      </c>
      <c r="F785" s="12" t="s">
        <v>1827</v>
      </c>
    </row>
    <row r="786" spans="1:6" x14ac:dyDescent="0.3">
      <c r="A786" s="4"/>
    </row>
    <row r="787" spans="1:6" ht="15.6" x14ac:dyDescent="0.3">
      <c r="A787" s="18" t="s">
        <v>739</v>
      </c>
      <c r="B787" s="19"/>
      <c r="C787" s="19"/>
      <c r="D787" s="19"/>
      <c r="E787" s="19"/>
      <c r="F787" s="19"/>
    </row>
    <row r="788" spans="1:6" ht="72" x14ac:dyDescent="0.3">
      <c r="A788" s="10" t="s">
        <v>13</v>
      </c>
      <c r="B788" s="11">
        <v>45729</v>
      </c>
      <c r="C788" s="12" t="s">
        <v>12</v>
      </c>
      <c r="D788" s="12" t="s">
        <v>21</v>
      </c>
      <c r="E788" s="11">
        <v>45748</v>
      </c>
      <c r="F788" s="12" t="s">
        <v>1919</v>
      </c>
    </row>
    <row r="789" spans="1:6" ht="28.8" x14ac:dyDescent="0.3">
      <c r="B789" s="11">
        <v>45748</v>
      </c>
      <c r="C789" s="12" t="s">
        <v>22</v>
      </c>
      <c r="D789" s="12" t="s">
        <v>4</v>
      </c>
      <c r="E789" s="4" t="s">
        <v>1827</v>
      </c>
      <c r="F789" s="12" t="s">
        <v>1827</v>
      </c>
    </row>
    <row r="790" spans="1:6" x14ac:dyDescent="0.3">
      <c r="A790" s="4"/>
    </row>
    <row r="791" spans="1:6" ht="15.6" x14ac:dyDescent="0.3">
      <c r="A791" s="18" t="s">
        <v>742</v>
      </c>
      <c r="B791" s="19"/>
      <c r="C791" s="19"/>
      <c r="D791" s="19"/>
      <c r="E791" s="19"/>
      <c r="F791" s="19"/>
    </row>
    <row r="792" spans="1:6" ht="172.8" x14ac:dyDescent="0.3">
      <c r="A792" s="10" t="s">
        <v>10</v>
      </c>
      <c r="B792" s="11">
        <v>45729</v>
      </c>
      <c r="C792" s="12" t="s">
        <v>12</v>
      </c>
      <c r="D792" s="12" t="s">
        <v>21</v>
      </c>
      <c r="E792" s="11">
        <v>45748</v>
      </c>
      <c r="F792" s="12" t="s">
        <v>1920</v>
      </c>
    </row>
    <row r="793" spans="1:6" ht="28.8" x14ac:dyDescent="0.3">
      <c r="B793" s="11">
        <v>45748</v>
      </c>
      <c r="C793" s="12" t="s">
        <v>22</v>
      </c>
      <c r="D793" s="12" t="s">
        <v>4</v>
      </c>
      <c r="E793" s="4" t="s">
        <v>1827</v>
      </c>
      <c r="F793" s="12" t="s">
        <v>1827</v>
      </c>
    </row>
    <row r="794" spans="1:6" x14ac:dyDescent="0.3">
      <c r="A794" s="4"/>
    </row>
    <row r="795" spans="1:6" ht="15.6" x14ac:dyDescent="0.3">
      <c r="A795" s="18" t="s">
        <v>745</v>
      </c>
      <c r="B795" s="19"/>
      <c r="C795" s="19"/>
      <c r="D795" s="19"/>
      <c r="E795" s="19"/>
      <c r="F795" s="19"/>
    </row>
    <row r="796" spans="1:6" ht="129.6" x14ac:dyDescent="0.3">
      <c r="A796" s="10" t="s">
        <v>13</v>
      </c>
      <c r="B796" s="11">
        <v>45729</v>
      </c>
      <c r="C796" s="12" t="s">
        <v>12</v>
      </c>
      <c r="D796" s="12" t="s">
        <v>21</v>
      </c>
      <c r="E796" s="11">
        <v>45748</v>
      </c>
      <c r="F796" s="12" t="s">
        <v>1921</v>
      </c>
    </row>
    <row r="797" spans="1:6" ht="28.8" x14ac:dyDescent="0.3">
      <c r="B797" s="11">
        <v>45748</v>
      </c>
      <c r="C797" s="12" t="s">
        <v>22</v>
      </c>
      <c r="D797" s="12" t="s">
        <v>4</v>
      </c>
      <c r="E797" s="4" t="s">
        <v>1827</v>
      </c>
      <c r="F797" s="12" t="s">
        <v>1827</v>
      </c>
    </row>
    <row r="798" spans="1:6" x14ac:dyDescent="0.3">
      <c r="A798" s="4"/>
    </row>
    <row r="799" spans="1:6" ht="15.6" x14ac:dyDescent="0.3">
      <c r="A799" s="18" t="s">
        <v>748</v>
      </c>
      <c r="B799" s="19"/>
      <c r="C799" s="19"/>
      <c r="D799" s="19"/>
      <c r="E799" s="19"/>
      <c r="F799" s="19"/>
    </row>
    <row r="800" spans="1:6" ht="216" x14ac:dyDescent="0.3">
      <c r="A800" s="10" t="s">
        <v>13</v>
      </c>
      <c r="B800" s="11">
        <v>45729</v>
      </c>
      <c r="C800" s="12" t="s">
        <v>12</v>
      </c>
      <c r="D800" s="12" t="s">
        <v>21</v>
      </c>
      <c r="E800" s="11">
        <v>45748</v>
      </c>
      <c r="F800" s="12" t="s">
        <v>1922</v>
      </c>
    </row>
    <row r="801" spans="1:6" ht="28.8" x14ac:dyDescent="0.3">
      <c r="B801" s="11">
        <v>45748</v>
      </c>
      <c r="C801" s="12" t="s">
        <v>22</v>
      </c>
      <c r="D801" s="12" t="s">
        <v>4</v>
      </c>
      <c r="E801" s="4" t="s">
        <v>1827</v>
      </c>
      <c r="F801" s="12" t="s">
        <v>1827</v>
      </c>
    </row>
    <row r="802" spans="1:6" x14ac:dyDescent="0.3">
      <c r="A802" s="4"/>
    </row>
    <row r="803" spans="1:6" ht="15.6" x14ac:dyDescent="0.3">
      <c r="A803" s="18" t="s">
        <v>751</v>
      </c>
      <c r="B803" s="19"/>
      <c r="C803" s="19"/>
      <c r="D803" s="19"/>
      <c r="E803" s="19"/>
      <c r="F803" s="19"/>
    </row>
    <row r="804" spans="1:6" ht="216" x14ac:dyDescent="0.3">
      <c r="A804" s="10" t="s">
        <v>13</v>
      </c>
      <c r="B804" s="11">
        <v>45729</v>
      </c>
      <c r="C804" s="12" t="s">
        <v>12</v>
      </c>
      <c r="D804" s="12" t="s">
        <v>21</v>
      </c>
      <c r="E804" s="11">
        <v>45748</v>
      </c>
      <c r="F804" s="12" t="s">
        <v>1922</v>
      </c>
    </row>
    <row r="805" spans="1:6" ht="28.8" x14ac:dyDescent="0.3">
      <c r="B805" s="11">
        <v>45748</v>
      </c>
      <c r="C805" s="12" t="s">
        <v>22</v>
      </c>
      <c r="D805" s="12" t="s">
        <v>4</v>
      </c>
      <c r="E805" s="4" t="s">
        <v>1827</v>
      </c>
      <c r="F805" s="12" t="s">
        <v>1827</v>
      </c>
    </row>
    <row r="806" spans="1:6" x14ac:dyDescent="0.3">
      <c r="A806" s="4"/>
    </row>
    <row r="807" spans="1:6" ht="15.6" x14ac:dyDescent="0.3">
      <c r="A807" s="18" t="s">
        <v>754</v>
      </c>
      <c r="B807" s="19"/>
      <c r="C807" s="19"/>
      <c r="D807" s="19"/>
      <c r="E807" s="19"/>
      <c r="F807" s="19"/>
    </row>
    <row r="808" spans="1:6" ht="129.6" x14ac:dyDescent="0.3">
      <c r="A808" s="10" t="s">
        <v>13</v>
      </c>
      <c r="B808" s="11">
        <v>45729</v>
      </c>
      <c r="C808" s="12" t="s">
        <v>12</v>
      </c>
      <c r="D808" s="12" t="s">
        <v>21</v>
      </c>
      <c r="E808" s="11">
        <v>45748</v>
      </c>
      <c r="F808" s="12" t="s">
        <v>1923</v>
      </c>
    </row>
    <row r="809" spans="1:6" ht="28.8" x14ac:dyDescent="0.3">
      <c r="B809" s="11">
        <v>45748</v>
      </c>
      <c r="C809" s="12" t="s">
        <v>22</v>
      </c>
      <c r="D809" s="12" t="s">
        <v>4</v>
      </c>
      <c r="E809" s="4" t="s">
        <v>1827</v>
      </c>
      <c r="F809" s="12" t="s">
        <v>1827</v>
      </c>
    </row>
    <row r="810" spans="1:6" x14ac:dyDescent="0.3">
      <c r="A810" s="4"/>
    </row>
    <row r="811" spans="1:6" ht="15.6" x14ac:dyDescent="0.3">
      <c r="A811" s="18" t="s">
        <v>757</v>
      </c>
      <c r="B811" s="19"/>
      <c r="C811" s="19"/>
      <c r="D811" s="19"/>
      <c r="E811" s="19"/>
      <c r="F811" s="19"/>
    </row>
    <row r="812" spans="1:6" ht="345.6" x14ac:dyDescent="0.3">
      <c r="A812" s="10" t="s">
        <v>10</v>
      </c>
      <c r="B812" s="11">
        <v>45729</v>
      </c>
      <c r="C812" s="12" t="s">
        <v>12</v>
      </c>
      <c r="D812" s="12" t="s">
        <v>21</v>
      </c>
      <c r="E812" s="11">
        <v>45748</v>
      </c>
      <c r="F812" s="12" t="s">
        <v>1924</v>
      </c>
    </row>
    <row r="813" spans="1:6" ht="28.8" x14ac:dyDescent="0.3">
      <c r="B813" s="11">
        <v>45748</v>
      </c>
      <c r="C813" s="12" t="s">
        <v>22</v>
      </c>
      <c r="D813" s="12" t="s">
        <v>4</v>
      </c>
      <c r="E813" s="4" t="s">
        <v>1827</v>
      </c>
      <c r="F813" s="12" t="s">
        <v>1827</v>
      </c>
    </row>
    <row r="814" spans="1:6" x14ac:dyDescent="0.3">
      <c r="A814" s="4"/>
    </row>
    <row r="815" spans="1:6" ht="15.6" x14ac:dyDescent="0.3">
      <c r="A815" s="18" t="s">
        <v>760</v>
      </c>
      <c r="B815" s="19"/>
      <c r="C815" s="19"/>
      <c r="D815" s="19"/>
      <c r="E815" s="19"/>
      <c r="F815" s="19"/>
    </row>
    <row r="816" spans="1:6" ht="216" x14ac:dyDescent="0.3">
      <c r="A816" s="10" t="s">
        <v>13</v>
      </c>
      <c r="B816" s="11">
        <v>45729</v>
      </c>
      <c r="C816" s="12" t="s">
        <v>12</v>
      </c>
      <c r="D816" s="12" t="s">
        <v>21</v>
      </c>
      <c r="E816" s="11">
        <v>45748</v>
      </c>
      <c r="F816" s="12" t="s">
        <v>1925</v>
      </c>
    </row>
    <row r="817" spans="1:6" ht="28.8" x14ac:dyDescent="0.3">
      <c r="B817" s="11">
        <v>45748</v>
      </c>
      <c r="C817" s="12" t="s">
        <v>22</v>
      </c>
      <c r="D817" s="12" t="s">
        <v>4</v>
      </c>
      <c r="E817" s="4" t="s">
        <v>1827</v>
      </c>
      <c r="F817" s="12" t="s">
        <v>1827</v>
      </c>
    </row>
    <row r="818" spans="1:6" x14ac:dyDescent="0.3">
      <c r="A818" s="4"/>
    </row>
    <row r="819" spans="1:6" ht="15.6" x14ac:dyDescent="0.3">
      <c r="A819" s="18" t="s">
        <v>764</v>
      </c>
      <c r="B819" s="19"/>
      <c r="C819" s="19"/>
      <c r="D819" s="19"/>
      <c r="E819" s="19"/>
      <c r="F819" s="19"/>
    </row>
    <row r="820" spans="1:6" ht="388.8" x14ac:dyDescent="0.3">
      <c r="A820" s="10" t="s">
        <v>765</v>
      </c>
      <c r="B820" s="11">
        <v>45729</v>
      </c>
      <c r="C820" s="12" t="s">
        <v>12</v>
      </c>
      <c r="D820" s="12" t="s">
        <v>21</v>
      </c>
      <c r="E820" s="11">
        <v>45748</v>
      </c>
      <c r="F820" s="12" t="s">
        <v>1926</v>
      </c>
    </row>
    <row r="821" spans="1:6" ht="28.8" x14ac:dyDescent="0.3">
      <c r="B821" s="11">
        <v>45748</v>
      </c>
      <c r="C821" s="12" t="s">
        <v>22</v>
      </c>
      <c r="D821" s="12" t="s">
        <v>4</v>
      </c>
      <c r="E821" s="4" t="s">
        <v>1827</v>
      </c>
      <c r="F821" s="12" t="s">
        <v>1827</v>
      </c>
    </row>
    <row r="822" spans="1:6" x14ac:dyDescent="0.3">
      <c r="A822" s="4"/>
    </row>
    <row r="823" spans="1:6" ht="15.6" x14ac:dyDescent="0.3">
      <c r="A823" s="18" t="s">
        <v>768</v>
      </c>
      <c r="B823" s="19"/>
      <c r="C823" s="19"/>
      <c r="D823" s="19"/>
      <c r="E823" s="19"/>
      <c r="F823" s="19"/>
    </row>
    <row r="824" spans="1:6" ht="43.2" x14ac:dyDescent="0.3">
      <c r="A824" s="10" t="s">
        <v>13</v>
      </c>
      <c r="B824" s="11">
        <v>45729</v>
      </c>
      <c r="C824" s="12" t="s">
        <v>12</v>
      </c>
      <c r="D824" s="12" t="s">
        <v>21</v>
      </c>
      <c r="E824" s="11">
        <v>45748</v>
      </c>
      <c r="F824" s="12" t="s">
        <v>1927</v>
      </c>
    </row>
    <row r="825" spans="1:6" ht="28.8" x14ac:dyDescent="0.3">
      <c r="B825" s="11">
        <v>45748</v>
      </c>
      <c r="C825" s="12" t="s">
        <v>22</v>
      </c>
      <c r="D825" s="12" t="s">
        <v>4</v>
      </c>
      <c r="E825" s="4" t="s">
        <v>1827</v>
      </c>
      <c r="F825" s="12" t="s">
        <v>1827</v>
      </c>
    </row>
    <row r="826" spans="1:6" x14ac:dyDescent="0.3">
      <c r="A826" s="4"/>
    </row>
    <row r="827" spans="1:6" ht="15.6" x14ac:dyDescent="0.3">
      <c r="A827" s="18" t="s">
        <v>771</v>
      </c>
      <c r="B827" s="19"/>
      <c r="C827" s="19"/>
      <c r="D827" s="19"/>
      <c r="E827" s="19"/>
      <c r="F827" s="19"/>
    </row>
    <row r="828" spans="1:6" ht="28.8" x14ac:dyDescent="0.3">
      <c r="A828" s="10" t="s">
        <v>13</v>
      </c>
      <c r="B828" s="11">
        <v>45729</v>
      </c>
      <c r="C828" s="12" t="s">
        <v>12</v>
      </c>
      <c r="D828" s="12" t="s">
        <v>21</v>
      </c>
      <c r="E828" s="11">
        <v>45750</v>
      </c>
      <c r="F828" s="12" t="s">
        <v>1953</v>
      </c>
    </row>
    <row r="829" spans="1:6" ht="28.8" x14ac:dyDescent="0.3">
      <c r="B829" s="11">
        <v>45750</v>
      </c>
      <c r="C829" s="12" t="s">
        <v>22</v>
      </c>
      <c r="D829" s="12" t="s">
        <v>4</v>
      </c>
      <c r="E829" s="4" t="s">
        <v>1827</v>
      </c>
      <c r="F829" s="12" t="s">
        <v>1827</v>
      </c>
    </row>
    <row r="830" spans="1:6" x14ac:dyDescent="0.3">
      <c r="A830" s="4"/>
    </row>
    <row r="831" spans="1:6" ht="15.6" x14ac:dyDescent="0.3">
      <c r="A831" s="18" t="s">
        <v>774</v>
      </c>
      <c r="B831" s="19"/>
      <c r="C831" s="19"/>
      <c r="D831" s="19"/>
      <c r="E831" s="19"/>
      <c r="F831" s="19"/>
    </row>
    <row r="832" spans="1:6" ht="28.8" x14ac:dyDescent="0.3">
      <c r="A832" s="10" t="s">
        <v>13</v>
      </c>
      <c r="B832" s="11">
        <v>45729</v>
      </c>
      <c r="C832" s="12" t="s">
        <v>12</v>
      </c>
      <c r="D832" s="12" t="s">
        <v>21</v>
      </c>
      <c r="E832" s="11">
        <v>45750</v>
      </c>
      <c r="F832" s="12" t="s">
        <v>1954</v>
      </c>
    </row>
    <row r="833" spans="1:6" ht="28.8" x14ac:dyDescent="0.3">
      <c r="B833" s="11">
        <v>45750</v>
      </c>
      <c r="C833" s="12" t="s">
        <v>22</v>
      </c>
      <c r="D833" s="12" t="s">
        <v>4</v>
      </c>
      <c r="E833" s="4" t="s">
        <v>1827</v>
      </c>
      <c r="F833" s="12" t="s">
        <v>1827</v>
      </c>
    </row>
    <row r="834" spans="1:6" x14ac:dyDescent="0.3">
      <c r="A834" s="4"/>
    </row>
    <row r="835" spans="1:6" ht="15.6" x14ac:dyDescent="0.3">
      <c r="A835" s="18" t="s">
        <v>777</v>
      </c>
      <c r="B835" s="19"/>
      <c r="C835" s="19"/>
      <c r="D835" s="19"/>
      <c r="E835" s="19"/>
      <c r="F835" s="19"/>
    </row>
    <row r="836" spans="1:6" ht="115.2" x14ac:dyDescent="0.3">
      <c r="A836" s="10" t="s">
        <v>418</v>
      </c>
      <c r="B836" s="11">
        <v>45729</v>
      </c>
      <c r="C836" s="12" t="s">
        <v>12</v>
      </c>
      <c r="D836" s="12" t="s">
        <v>21</v>
      </c>
      <c r="E836" s="11">
        <v>45750</v>
      </c>
      <c r="F836" s="12" t="s">
        <v>1955</v>
      </c>
    </row>
    <row r="837" spans="1:6" ht="28.8" x14ac:dyDescent="0.3">
      <c r="B837" s="11">
        <v>45750</v>
      </c>
      <c r="C837" s="12" t="s">
        <v>22</v>
      </c>
      <c r="D837" s="12" t="s">
        <v>4</v>
      </c>
      <c r="E837" s="4" t="s">
        <v>1827</v>
      </c>
      <c r="F837" s="12" t="s">
        <v>1827</v>
      </c>
    </row>
    <row r="838" spans="1:6" x14ac:dyDescent="0.3">
      <c r="A838" s="4"/>
    </row>
    <row r="839" spans="1:6" ht="15.6" x14ac:dyDescent="0.3">
      <c r="A839" s="18" t="s">
        <v>780</v>
      </c>
      <c r="B839" s="19"/>
      <c r="C839" s="19"/>
      <c r="D839" s="19"/>
      <c r="E839" s="19"/>
      <c r="F839" s="19"/>
    </row>
    <row r="840" spans="1:6" ht="115.2" x14ac:dyDescent="0.3">
      <c r="A840" s="10" t="s">
        <v>10</v>
      </c>
      <c r="B840" s="11">
        <v>45729</v>
      </c>
      <c r="C840" s="12" t="s">
        <v>12</v>
      </c>
      <c r="D840" s="12" t="s">
        <v>21</v>
      </c>
      <c r="E840" s="11">
        <v>45750</v>
      </c>
      <c r="F840" s="12" t="s">
        <v>1956</v>
      </c>
    </row>
    <row r="841" spans="1:6" ht="28.8" x14ac:dyDescent="0.3">
      <c r="B841" s="11">
        <v>45750</v>
      </c>
      <c r="C841" s="12" t="s">
        <v>22</v>
      </c>
      <c r="D841" s="12" t="s">
        <v>4</v>
      </c>
      <c r="E841" s="4" t="s">
        <v>1827</v>
      </c>
      <c r="F841" s="12" t="s">
        <v>1827</v>
      </c>
    </row>
    <row r="842" spans="1:6" x14ac:dyDescent="0.3">
      <c r="A842" s="4"/>
    </row>
    <row r="843" spans="1:6" ht="15.6" x14ac:dyDescent="0.3">
      <c r="A843" s="18" t="s">
        <v>783</v>
      </c>
      <c r="B843" s="19"/>
      <c r="C843" s="19"/>
      <c r="D843" s="19"/>
      <c r="E843" s="19"/>
      <c r="F843" s="19"/>
    </row>
    <row r="844" spans="1:6" ht="172.8" x14ac:dyDescent="0.3">
      <c r="A844" s="10" t="s">
        <v>13</v>
      </c>
      <c r="B844" s="11">
        <v>45729</v>
      </c>
      <c r="C844" s="12" t="s">
        <v>12</v>
      </c>
      <c r="D844" s="12" t="s">
        <v>21</v>
      </c>
      <c r="E844" s="11">
        <v>45750</v>
      </c>
      <c r="F844" s="12" t="s">
        <v>1957</v>
      </c>
    </row>
    <row r="845" spans="1:6" ht="28.8" x14ac:dyDescent="0.3">
      <c r="B845" s="11">
        <v>45750</v>
      </c>
      <c r="C845" s="12" t="s">
        <v>22</v>
      </c>
      <c r="D845" s="12" t="s">
        <v>4</v>
      </c>
      <c r="E845" s="4" t="s">
        <v>1827</v>
      </c>
      <c r="F845" s="12" t="s">
        <v>1827</v>
      </c>
    </row>
    <row r="846" spans="1:6" x14ac:dyDescent="0.3">
      <c r="A846" s="4"/>
    </row>
    <row r="847" spans="1:6" ht="15.6" x14ac:dyDescent="0.3">
      <c r="A847" s="18" t="s">
        <v>786</v>
      </c>
      <c r="B847" s="19"/>
      <c r="C847" s="19"/>
      <c r="D847" s="19"/>
      <c r="E847" s="19"/>
      <c r="F847" s="19"/>
    </row>
    <row r="848" spans="1:6" ht="187.2" x14ac:dyDescent="0.3">
      <c r="A848" s="10" t="s">
        <v>712</v>
      </c>
      <c r="B848" s="11">
        <v>45729</v>
      </c>
      <c r="C848" s="12" t="s">
        <v>12</v>
      </c>
      <c r="D848" s="12" t="s">
        <v>21</v>
      </c>
      <c r="E848" s="11">
        <v>45750</v>
      </c>
      <c r="F848" s="12" t="s">
        <v>1958</v>
      </c>
    </row>
    <row r="849" spans="1:6" ht="28.8" x14ac:dyDescent="0.3">
      <c r="B849" s="11">
        <v>45750</v>
      </c>
      <c r="C849" s="12" t="s">
        <v>22</v>
      </c>
      <c r="D849" s="12" t="s">
        <v>4</v>
      </c>
      <c r="E849" s="4" t="s">
        <v>1827</v>
      </c>
      <c r="F849" s="12" t="s">
        <v>1827</v>
      </c>
    </row>
    <row r="850" spans="1:6" x14ac:dyDescent="0.3">
      <c r="A850" s="4"/>
    </row>
    <row r="851" spans="1:6" ht="15.6" x14ac:dyDescent="0.3">
      <c r="A851" s="18" t="s">
        <v>789</v>
      </c>
      <c r="B851" s="19"/>
      <c r="C851" s="19"/>
      <c r="D851" s="19"/>
      <c r="E851" s="19"/>
      <c r="F851" s="19"/>
    </row>
    <row r="852" spans="1:6" ht="28.8" x14ac:dyDescent="0.3">
      <c r="A852" s="10" t="s">
        <v>13</v>
      </c>
      <c r="B852" s="11">
        <v>45729</v>
      </c>
      <c r="C852" s="12" t="s">
        <v>12</v>
      </c>
      <c r="D852" s="12" t="s">
        <v>21</v>
      </c>
      <c r="E852" s="11">
        <v>45750</v>
      </c>
      <c r="F852" s="12" t="s">
        <v>1959</v>
      </c>
    </row>
    <row r="853" spans="1:6" ht="28.8" x14ac:dyDescent="0.3">
      <c r="B853" s="11">
        <v>45750</v>
      </c>
      <c r="C853" s="12" t="s">
        <v>22</v>
      </c>
      <c r="D853" s="12" t="s">
        <v>4</v>
      </c>
      <c r="E853" s="4" t="s">
        <v>1827</v>
      </c>
      <c r="F853" s="12" t="s">
        <v>1827</v>
      </c>
    </row>
    <row r="854" spans="1:6" x14ac:dyDescent="0.3">
      <c r="A854" s="4"/>
    </row>
    <row r="855" spans="1:6" ht="15.6" x14ac:dyDescent="0.3">
      <c r="A855" s="18" t="s">
        <v>792</v>
      </c>
      <c r="B855" s="19"/>
      <c r="C855" s="19"/>
      <c r="D855" s="19"/>
      <c r="E855" s="19"/>
      <c r="F855" s="19"/>
    </row>
    <row r="856" spans="1:6" ht="86.4" x14ac:dyDescent="0.3">
      <c r="A856" s="10" t="s">
        <v>418</v>
      </c>
      <c r="B856" s="11">
        <v>45729</v>
      </c>
      <c r="C856" s="12" t="s">
        <v>12</v>
      </c>
      <c r="D856" s="12" t="s">
        <v>21</v>
      </c>
      <c r="E856" s="11">
        <v>45750</v>
      </c>
      <c r="F856" s="12" t="s">
        <v>1960</v>
      </c>
    </row>
    <row r="857" spans="1:6" ht="28.8" x14ac:dyDescent="0.3">
      <c r="B857" s="11">
        <v>45750</v>
      </c>
      <c r="C857" s="12" t="s">
        <v>22</v>
      </c>
      <c r="D857" s="12" t="s">
        <v>4</v>
      </c>
      <c r="E857" s="4" t="s">
        <v>1827</v>
      </c>
      <c r="F857" s="12" t="s">
        <v>1827</v>
      </c>
    </row>
    <row r="858" spans="1:6" x14ac:dyDescent="0.3">
      <c r="A858" s="4"/>
    </row>
    <row r="859" spans="1:6" ht="15.6" x14ac:dyDescent="0.3">
      <c r="A859" s="18" t="s">
        <v>795</v>
      </c>
      <c r="B859" s="19"/>
      <c r="C859" s="19"/>
      <c r="D859" s="19"/>
      <c r="E859" s="19"/>
      <c r="F859" s="19"/>
    </row>
    <row r="860" spans="1:6" ht="129.6" x14ac:dyDescent="0.3">
      <c r="A860" s="10" t="s">
        <v>10</v>
      </c>
      <c r="B860" s="11">
        <v>45729</v>
      </c>
      <c r="C860" s="12" t="s">
        <v>12</v>
      </c>
      <c r="D860" s="12" t="s">
        <v>21</v>
      </c>
      <c r="E860" s="11">
        <v>45750</v>
      </c>
      <c r="F860" s="12" t="s">
        <v>1961</v>
      </c>
    </row>
    <row r="861" spans="1:6" ht="28.8" x14ac:dyDescent="0.3">
      <c r="B861" s="11">
        <v>45750</v>
      </c>
      <c r="C861" s="12" t="s">
        <v>22</v>
      </c>
      <c r="D861" s="12" t="s">
        <v>4</v>
      </c>
      <c r="E861" s="4" t="s">
        <v>1827</v>
      </c>
      <c r="F861" s="12" t="s">
        <v>1827</v>
      </c>
    </row>
    <row r="862" spans="1:6" x14ac:dyDescent="0.3">
      <c r="A862" s="4"/>
    </row>
    <row r="863" spans="1:6" ht="15.6" x14ac:dyDescent="0.3">
      <c r="A863" s="18" t="s">
        <v>798</v>
      </c>
      <c r="B863" s="19"/>
      <c r="C863" s="19"/>
      <c r="D863" s="19"/>
      <c r="E863" s="19"/>
      <c r="F863" s="19"/>
    </row>
    <row r="864" spans="1:6" ht="129.6" x14ac:dyDescent="0.3">
      <c r="A864" s="10" t="s">
        <v>676</v>
      </c>
      <c r="B864" s="11">
        <v>45729</v>
      </c>
      <c r="C864" s="12" t="s">
        <v>12</v>
      </c>
      <c r="D864" s="12" t="s">
        <v>21</v>
      </c>
      <c r="E864" s="11">
        <v>45750</v>
      </c>
      <c r="F864" s="12" t="s">
        <v>1962</v>
      </c>
    </row>
    <row r="865" spans="1:6" ht="28.8" x14ac:dyDescent="0.3">
      <c r="B865" s="11">
        <v>45750</v>
      </c>
      <c r="C865" s="12" t="s">
        <v>22</v>
      </c>
      <c r="D865" s="12" t="s">
        <v>4</v>
      </c>
      <c r="E865" s="4" t="s">
        <v>1827</v>
      </c>
      <c r="F865" s="12" t="s">
        <v>1827</v>
      </c>
    </row>
    <row r="866" spans="1:6" x14ac:dyDescent="0.3">
      <c r="A866" s="4"/>
    </row>
    <row r="867" spans="1:6" ht="15.6" x14ac:dyDescent="0.3">
      <c r="A867" s="18" t="s">
        <v>802</v>
      </c>
      <c r="B867" s="19"/>
      <c r="C867" s="19"/>
      <c r="D867" s="19"/>
      <c r="E867" s="19"/>
      <c r="F867" s="19"/>
    </row>
    <row r="868" spans="1:6" ht="129.6" x14ac:dyDescent="0.3">
      <c r="A868" s="10" t="s">
        <v>10</v>
      </c>
      <c r="B868" s="11">
        <v>45729</v>
      </c>
      <c r="C868" s="12" t="s">
        <v>12</v>
      </c>
      <c r="D868" s="12" t="s">
        <v>21</v>
      </c>
      <c r="E868" s="11">
        <v>45750</v>
      </c>
      <c r="F868" s="12" t="s">
        <v>1963</v>
      </c>
    </row>
    <row r="869" spans="1:6" ht="28.8" x14ac:dyDescent="0.3">
      <c r="B869" s="11">
        <v>45750</v>
      </c>
      <c r="C869" s="12" t="s">
        <v>22</v>
      </c>
      <c r="D869" s="12" t="s">
        <v>4</v>
      </c>
      <c r="E869" s="4" t="s">
        <v>1827</v>
      </c>
      <c r="F869" s="12" t="s">
        <v>1827</v>
      </c>
    </row>
    <row r="870" spans="1:6" x14ac:dyDescent="0.3">
      <c r="A870" s="4"/>
    </row>
    <row r="871" spans="1:6" ht="15.6" x14ac:dyDescent="0.3">
      <c r="A871" s="18" t="s">
        <v>805</v>
      </c>
      <c r="B871" s="19"/>
      <c r="C871" s="19"/>
      <c r="D871" s="19"/>
      <c r="E871" s="19"/>
      <c r="F871" s="19"/>
    </row>
    <row r="872" spans="1:6" ht="86.4" x14ac:dyDescent="0.3">
      <c r="A872" s="10" t="s">
        <v>10</v>
      </c>
      <c r="B872" s="11">
        <v>45729</v>
      </c>
      <c r="C872" s="12" t="s">
        <v>12</v>
      </c>
      <c r="D872" s="12" t="s">
        <v>21</v>
      </c>
      <c r="E872" s="11">
        <v>45750</v>
      </c>
      <c r="F872" s="12" t="s">
        <v>1964</v>
      </c>
    </row>
    <row r="873" spans="1:6" ht="28.8" x14ac:dyDescent="0.3">
      <c r="B873" s="11">
        <v>45750</v>
      </c>
      <c r="C873" s="12" t="s">
        <v>22</v>
      </c>
      <c r="D873" s="12" t="s">
        <v>4</v>
      </c>
      <c r="E873" s="4" t="s">
        <v>1827</v>
      </c>
      <c r="F873" s="12" t="s">
        <v>1827</v>
      </c>
    </row>
    <row r="874" spans="1:6" x14ac:dyDescent="0.3">
      <c r="A874" s="4"/>
    </row>
    <row r="875" spans="1:6" ht="15.6" x14ac:dyDescent="0.3">
      <c r="A875" s="18" t="s">
        <v>808</v>
      </c>
      <c r="B875" s="19"/>
      <c r="C875" s="19"/>
      <c r="D875" s="19"/>
      <c r="E875" s="19"/>
      <c r="F875" s="19"/>
    </row>
    <row r="876" spans="1:6" ht="172.8" x14ac:dyDescent="0.3">
      <c r="A876" s="10" t="s">
        <v>418</v>
      </c>
      <c r="B876" s="11">
        <v>45729</v>
      </c>
      <c r="C876" s="12" t="s">
        <v>12</v>
      </c>
      <c r="D876" s="12" t="s">
        <v>21</v>
      </c>
      <c r="E876" s="11">
        <v>45750</v>
      </c>
      <c r="F876" s="12" t="s">
        <v>1965</v>
      </c>
    </row>
    <row r="877" spans="1:6" ht="28.8" x14ac:dyDescent="0.3">
      <c r="B877" s="11">
        <v>45750</v>
      </c>
      <c r="C877" s="12" t="s">
        <v>22</v>
      </c>
      <c r="D877" s="12" t="s">
        <v>4</v>
      </c>
      <c r="E877" s="4" t="s">
        <v>1827</v>
      </c>
      <c r="F877" s="12" t="s">
        <v>1827</v>
      </c>
    </row>
    <row r="878" spans="1:6" x14ac:dyDescent="0.3">
      <c r="A878" s="4"/>
    </row>
    <row r="879" spans="1:6" ht="15.6" x14ac:dyDescent="0.3">
      <c r="A879" s="18" t="s">
        <v>811</v>
      </c>
      <c r="B879" s="19"/>
      <c r="C879" s="19"/>
      <c r="D879" s="19"/>
      <c r="E879" s="19"/>
      <c r="F879" s="19"/>
    </row>
    <row r="880" spans="1:6" x14ac:dyDescent="0.3">
      <c r="A880" s="10" t="s">
        <v>13</v>
      </c>
      <c r="B880" s="11">
        <v>45729</v>
      </c>
      <c r="C880" s="12" t="s">
        <v>12</v>
      </c>
      <c r="D880" s="12" t="s">
        <v>24</v>
      </c>
      <c r="E880" s="11">
        <v>45750</v>
      </c>
      <c r="F880" s="12" t="s">
        <v>1966</v>
      </c>
    </row>
    <row r="881" spans="1:6" x14ac:dyDescent="0.3">
      <c r="A881" s="4"/>
    </row>
    <row r="882" spans="1:6" ht="15.6" x14ac:dyDescent="0.3">
      <c r="A882" s="18" t="s">
        <v>814</v>
      </c>
      <c r="B882" s="19"/>
      <c r="C882" s="19"/>
      <c r="D882" s="19"/>
      <c r="E882" s="19"/>
      <c r="F882" s="19"/>
    </row>
    <row r="883" spans="1:6" ht="43.2" x14ac:dyDescent="0.3">
      <c r="A883" s="10" t="s">
        <v>13</v>
      </c>
      <c r="B883" s="11">
        <v>45729</v>
      </c>
      <c r="C883" s="12" t="s">
        <v>12</v>
      </c>
      <c r="D883" s="12" t="s">
        <v>21</v>
      </c>
      <c r="E883" s="11">
        <v>45750</v>
      </c>
      <c r="F883" s="12" t="s">
        <v>1967</v>
      </c>
    </row>
    <row r="884" spans="1:6" ht="28.8" x14ac:dyDescent="0.3">
      <c r="B884" s="11">
        <v>45750</v>
      </c>
      <c r="C884" s="12" t="s">
        <v>22</v>
      </c>
      <c r="D884" s="12" t="s">
        <v>4</v>
      </c>
      <c r="E884" s="4" t="s">
        <v>1827</v>
      </c>
      <c r="F884" s="12" t="s">
        <v>1827</v>
      </c>
    </row>
    <row r="885" spans="1:6" x14ac:dyDescent="0.3">
      <c r="A885" s="4"/>
    </row>
    <row r="886" spans="1:6" ht="15.6" x14ac:dyDescent="0.3">
      <c r="A886" s="18" t="s">
        <v>817</v>
      </c>
      <c r="B886" s="19"/>
      <c r="C886" s="19"/>
      <c r="D886" s="19"/>
      <c r="E886" s="19"/>
      <c r="F886" s="19"/>
    </row>
    <row r="887" spans="1:6" ht="100.8" x14ac:dyDescent="0.3">
      <c r="A887" s="10" t="s">
        <v>13</v>
      </c>
      <c r="B887" s="11">
        <v>45729</v>
      </c>
      <c r="C887" s="12" t="s">
        <v>12</v>
      </c>
      <c r="D887" s="12" t="s">
        <v>21</v>
      </c>
      <c r="E887" s="11">
        <v>45750</v>
      </c>
      <c r="F887" s="12" t="s">
        <v>1968</v>
      </c>
    </row>
    <row r="888" spans="1:6" ht="28.8" x14ac:dyDescent="0.3">
      <c r="B888" s="11">
        <v>45750</v>
      </c>
      <c r="C888" s="12" t="s">
        <v>22</v>
      </c>
      <c r="D888" s="12" t="s">
        <v>4</v>
      </c>
      <c r="E888" s="4" t="s">
        <v>1827</v>
      </c>
      <c r="F888" s="12" t="s">
        <v>1827</v>
      </c>
    </row>
    <row r="889" spans="1:6" x14ac:dyDescent="0.3">
      <c r="A889" s="4"/>
    </row>
    <row r="890" spans="1:6" ht="15.6" x14ac:dyDescent="0.3">
      <c r="A890" s="18" t="s">
        <v>820</v>
      </c>
      <c r="B890" s="19"/>
      <c r="C890" s="19"/>
      <c r="D890" s="19"/>
      <c r="E890" s="19"/>
      <c r="F890" s="19"/>
    </row>
    <row r="891" spans="1:6" ht="230.4" x14ac:dyDescent="0.3">
      <c r="A891" s="10" t="s">
        <v>13</v>
      </c>
      <c r="B891" s="11">
        <v>45729</v>
      </c>
      <c r="C891" s="12" t="s">
        <v>12</v>
      </c>
      <c r="D891" s="12" t="s">
        <v>21</v>
      </c>
      <c r="E891" s="11">
        <v>45750</v>
      </c>
      <c r="F891" s="12" t="s">
        <v>1969</v>
      </c>
    </row>
    <row r="892" spans="1:6" ht="28.8" x14ac:dyDescent="0.3">
      <c r="B892" s="11">
        <v>45750</v>
      </c>
      <c r="C892" s="12" t="s">
        <v>22</v>
      </c>
      <c r="D892" s="12" t="s">
        <v>4</v>
      </c>
      <c r="E892" s="4" t="s">
        <v>1827</v>
      </c>
      <c r="F892" s="12" t="s">
        <v>1827</v>
      </c>
    </row>
    <row r="893" spans="1:6" x14ac:dyDescent="0.3">
      <c r="A893" s="4"/>
    </row>
    <row r="894" spans="1:6" ht="15.6" x14ac:dyDescent="0.3">
      <c r="A894" s="18" t="s">
        <v>823</v>
      </c>
      <c r="B894" s="19"/>
      <c r="C894" s="19"/>
      <c r="D894" s="19"/>
      <c r="E894" s="19"/>
      <c r="F894" s="19"/>
    </row>
    <row r="895" spans="1:6" x14ac:dyDescent="0.3">
      <c r="A895" s="10" t="s">
        <v>11</v>
      </c>
      <c r="B895" s="11">
        <v>45729</v>
      </c>
      <c r="C895" s="12" t="s">
        <v>12</v>
      </c>
      <c r="D895" s="12" t="s">
        <v>4</v>
      </c>
      <c r="E895" s="4" t="s">
        <v>1827</v>
      </c>
      <c r="F895" s="12" t="s">
        <v>1827</v>
      </c>
    </row>
    <row r="896" spans="1:6" x14ac:dyDescent="0.3">
      <c r="A896" s="4"/>
    </row>
    <row r="897" spans="1:6" ht="15.6" x14ac:dyDescent="0.3">
      <c r="A897" s="18" t="s">
        <v>826</v>
      </c>
      <c r="B897" s="19"/>
      <c r="C897" s="19"/>
      <c r="D897" s="19"/>
      <c r="E897" s="19"/>
      <c r="F897" s="19"/>
    </row>
    <row r="898" spans="1:6" ht="43.2" x14ac:dyDescent="0.3">
      <c r="A898" s="10" t="s">
        <v>11</v>
      </c>
      <c r="B898" s="11">
        <v>45729</v>
      </c>
      <c r="C898" s="12" t="s">
        <v>12</v>
      </c>
      <c r="D898" s="12" t="s">
        <v>21</v>
      </c>
      <c r="E898" s="11">
        <v>45751</v>
      </c>
      <c r="F898" s="12" t="s">
        <v>1970</v>
      </c>
    </row>
    <row r="899" spans="1:6" ht="28.8" x14ac:dyDescent="0.3">
      <c r="B899" s="11">
        <v>45751</v>
      </c>
      <c r="C899" s="12" t="s">
        <v>22</v>
      </c>
      <c r="D899" s="12" t="s">
        <v>4</v>
      </c>
      <c r="E899" s="4" t="s">
        <v>1827</v>
      </c>
      <c r="F899" s="12" t="s">
        <v>1827</v>
      </c>
    </row>
    <row r="900" spans="1:6" x14ac:dyDescent="0.3">
      <c r="A900" s="4"/>
    </row>
    <row r="901" spans="1:6" ht="15.6" x14ac:dyDescent="0.3">
      <c r="A901" s="18" t="s">
        <v>829</v>
      </c>
      <c r="B901" s="19"/>
      <c r="C901" s="19"/>
      <c r="D901" s="19"/>
      <c r="E901" s="19"/>
      <c r="F901" s="19"/>
    </row>
    <row r="902" spans="1:6" ht="158.4" x14ac:dyDescent="0.3">
      <c r="A902" s="10" t="s">
        <v>11</v>
      </c>
      <c r="B902" s="11">
        <v>45729</v>
      </c>
      <c r="C902" s="12" t="s">
        <v>12</v>
      </c>
      <c r="D902" s="12" t="s">
        <v>21</v>
      </c>
      <c r="E902" s="11">
        <v>45750</v>
      </c>
      <c r="F902" s="12" t="s">
        <v>1971</v>
      </c>
    </row>
    <row r="903" spans="1:6" ht="28.8" x14ac:dyDescent="0.3">
      <c r="B903" s="11">
        <v>45750</v>
      </c>
      <c r="C903" s="12" t="s">
        <v>22</v>
      </c>
      <c r="D903" s="12" t="s">
        <v>4</v>
      </c>
      <c r="E903" s="4" t="s">
        <v>1827</v>
      </c>
      <c r="F903" s="12" t="s">
        <v>1827</v>
      </c>
    </row>
    <row r="904" spans="1:6" x14ac:dyDescent="0.3">
      <c r="A904" s="4"/>
    </row>
    <row r="905" spans="1:6" ht="15.6" x14ac:dyDescent="0.3">
      <c r="A905" s="18" t="s">
        <v>832</v>
      </c>
      <c r="B905" s="19"/>
      <c r="C905" s="19"/>
      <c r="D905" s="19"/>
      <c r="E905" s="19"/>
      <c r="F905" s="19"/>
    </row>
    <row r="906" spans="1:6" ht="129.6" x14ac:dyDescent="0.3">
      <c r="A906" s="10" t="s">
        <v>11</v>
      </c>
      <c r="B906" s="11">
        <v>45729</v>
      </c>
      <c r="C906" s="12" t="s">
        <v>12</v>
      </c>
      <c r="D906" s="12" t="s">
        <v>21</v>
      </c>
      <c r="E906" s="11">
        <v>45750</v>
      </c>
      <c r="F906" s="12" t="s">
        <v>1972</v>
      </c>
    </row>
    <row r="907" spans="1:6" ht="28.8" x14ac:dyDescent="0.3">
      <c r="B907" s="11">
        <v>45750</v>
      </c>
      <c r="C907" s="12" t="s">
        <v>22</v>
      </c>
      <c r="D907" s="12" t="s">
        <v>4</v>
      </c>
      <c r="E907" s="4" t="s">
        <v>1827</v>
      </c>
      <c r="F907" s="12" t="s">
        <v>1827</v>
      </c>
    </row>
    <row r="908" spans="1:6" x14ac:dyDescent="0.3">
      <c r="A908" s="4"/>
    </row>
    <row r="909" spans="1:6" ht="15.6" x14ac:dyDescent="0.3">
      <c r="A909" s="18" t="s">
        <v>836</v>
      </c>
      <c r="B909" s="19"/>
      <c r="C909" s="19"/>
      <c r="D909" s="19"/>
      <c r="E909" s="19"/>
      <c r="F909" s="19"/>
    </row>
    <row r="910" spans="1:6" ht="172.8" x14ac:dyDescent="0.3">
      <c r="A910" s="10" t="s">
        <v>835</v>
      </c>
      <c r="B910" s="11">
        <v>45729</v>
      </c>
      <c r="C910" s="12" t="s">
        <v>12</v>
      </c>
      <c r="D910" s="12" t="s">
        <v>21</v>
      </c>
      <c r="E910" s="11">
        <v>45750</v>
      </c>
      <c r="F910" s="12" t="s">
        <v>1973</v>
      </c>
    </row>
    <row r="911" spans="1:6" ht="28.8" x14ac:dyDescent="0.3">
      <c r="B911" s="11">
        <v>45750</v>
      </c>
      <c r="C911" s="12" t="s">
        <v>22</v>
      </c>
      <c r="D911" s="12" t="s">
        <v>4</v>
      </c>
      <c r="E911" s="4" t="s">
        <v>1827</v>
      </c>
      <c r="F911" s="12" t="s">
        <v>1827</v>
      </c>
    </row>
    <row r="912" spans="1:6" x14ac:dyDescent="0.3">
      <c r="A912" s="4"/>
    </row>
    <row r="913" spans="1:6" ht="15.6" x14ac:dyDescent="0.3">
      <c r="A913" s="18" t="s">
        <v>839</v>
      </c>
      <c r="B913" s="19"/>
      <c r="C913" s="19"/>
      <c r="D913" s="19"/>
      <c r="E913" s="19"/>
      <c r="F913" s="19"/>
    </row>
    <row r="914" spans="1:6" ht="115.2" x14ac:dyDescent="0.3">
      <c r="A914" s="10" t="s">
        <v>418</v>
      </c>
      <c r="B914" s="11">
        <v>45729</v>
      </c>
      <c r="C914" s="12" t="s">
        <v>12</v>
      </c>
      <c r="D914" s="12" t="s">
        <v>21</v>
      </c>
      <c r="E914" s="11">
        <v>45750</v>
      </c>
      <c r="F914" s="12" t="s">
        <v>1974</v>
      </c>
    </row>
    <row r="915" spans="1:6" ht="28.8" x14ac:dyDescent="0.3">
      <c r="B915" s="11">
        <v>45750</v>
      </c>
      <c r="C915" s="12" t="s">
        <v>22</v>
      </c>
      <c r="D915" s="12" t="s">
        <v>4</v>
      </c>
      <c r="E915" s="4" t="s">
        <v>1827</v>
      </c>
      <c r="F915" s="12" t="s">
        <v>1827</v>
      </c>
    </row>
    <row r="916" spans="1:6" x14ac:dyDescent="0.3">
      <c r="A916" s="4"/>
    </row>
    <row r="917" spans="1:6" ht="15.6" x14ac:dyDescent="0.3">
      <c r="A917" s="18" t="s">
        <v>842</v>
      </c>
      <c r="B917" s="19"/>
      <c r="C917" s="19"/>
      <c r="D917" s="19"/>
      <c r="E917" s="19"/>
      <c r="F917" s="19"/>
    </row>
    <row r="918" spans="1:6" x14ac:dyDescent="0.3">
      <c r="A918" s="10" t="s">
        <v>13</v>
      </c>
      <c r="B918" s="11">
        <v>45730</v>
      </c>
      <c r="C918" s="12" t="s">
        <v>12</v>
      </c>
      <c r="D918" s="12" t="s">
        <v>24</v>
      </c>
      <c r="E918" s="11">
        <v>45750</v>
      </c>
      <c r="F918" s="12" t="s">
        <v>1966</v>
      </c>
    </row>
    <row r="919" spans="1:6" x14ac:dyDescent="0.3">
      <c r="A919" s="4"/>
    </row>
    <row r="920" spans="1:6" ht="15.6" x14ac:dyDescent="0.3">
      <c r="A920" s="18" t="s">
        <v>845</v>
      </c>
      <c r="B920" s="19"/>
      <c r="C920" s="19"/>
      <c r="D920" s="19"/>
      <c r="E920" s="19"/>
      <c r="F920" s="19"/>
    </row>
    <row r="921" spans="1:6" ht="172.8" x14ac:dyDescent="0.3">
      <c r="A921" s="10" t="s">
        <v>693</v>
      </c>
      <c r="B921" s="11">
        <v>45729</v>
      </c>
      <c r="C921" s="12" t="s">
        <v>12</v>
      </c>
      <c r="D921" s="12" t="s">
        <v>21</v>
      </c>
      <c r="E921" s="11">
        <v>45750</v>
      </c>
      <c r="F921" s="12" t="s">
        <v>1975</v>
      </c>
    </row>
    <row r="922" spans="1:6" ht="28.8" x14ac:dyDescent="0.3">
      <c r="B922" s="11">
        <v>45750</v>
      </c>
      <c r="C922" s="12" t="s">
        <v>22</v>
      </c>
      <c r="D922" s="12" t="s">
        <v>4</v>
      </c>
      <c r="E922" s="4" t="s">
        <v>1827</v>
      </c>
      <c r="F922" s="12" t="s">
        <v>1827</v>
      </c>
    </row>
    <row r="923" spans="1:6" x14ac:dyDescent="0.3">
      <c r="A923" s="4"/>
    </row>
    <row r="924" spans="1:6" ht="15.6" x14ac:dyDescent="0.3">
      <c r="A924" s="18" t="s">
        <v>848</v>
      </c>
      <c r="B924" s="19"/>
      <c r="C924" s="19"/>
      <c r="D924" s="19"/>
      <c r="E924" s="19"/>
      <c r="F924" s="19"/>
    </row>
    <row r="925" spans="1:6" ht="129.6" x14ac:dyDescent="0.3">
      <c r="A925" s="10" t="s">
        <v>689</v>
      </c>
      <c r="B925" s="11">
        <v>45729</v>
      </c>
      <c r="C925" s="12" t="s">
        <v>12</v>
      </c>
      <c r="D925" s="12" t="s">
        <v>21</v>
      </c>
      <c r="E925" s="11">
        <v>45750</v>
      </c>
      <c r="F925" s="12" t="s">
        <v>1976</v>
      </c>
    </row>
    <row r="926" spans="1:6" ht="28.8" x14ac:dyDescent="0.3">
      <c r="B926" s="11">
        <v>45750</v>
      </c>
      <c r="C926" s="12" t="s">
        <v>22</v>
      </c>
      <c r="D926" s="12" t="s">
        <v>4</v>
      </c>
      <c r="E926" s="4" t="s">
        <v>1827</v>
      </c>
      <c r="F926" s="12" t="s">
        <v>1827</v>
      </c>
    </row>
    <row r="927" spans="1:6" x14ac:dyDescent="0.3">
      <c r="A927" s="4"/>
    </row>
    <row r="928" spans="1:6" ht="15.6" x14ac:dyDescent="0.3">
      <c r="A928" s="18" t="s">
        <v>851</v>
      </c>
      <c r="B928" s="19"/>
      <c r="C928" s="19"/>
      <c r="D928" s="19"/>
      <c r="E928" s="19"/>
      <c r="F928" s="19"/>
    </row>
    <row r="929" spans="1:6" ht="288" x14ac:dyDescent="0.3">
      <c r="A929" s="10" t="s">
        <v>693</v>
      </c>
      <c r="B929" s="11">
        <v>45729</v>
      </c>
      <c r="C929" s="12" t="s">
        <v>12</v>
      </c>
      <c r="D929" s="12" t="s">
        <v>21</v>
      </c>
      <c r="E929" s="11">
        <v>45750</v>
      </c>
      <c r="F929" s="12" t="s">
        <v>1977</v>
      </c>
    </row>
    <row r="930" spans="1:6" ht="28.8" x14ac:dyDescent="0.3">
      <c r="B930" s="11">
        <v>45750</v>
      </c>
      <c r="C930" s="12" t="s">
        <v>22</v>
      </c>
      <c r="D930" s="12" t="s">
        <v>4</v>
      </c>
      <c r="E930" s="4" t="s">
        <v>1827</v>
      </c>
      <c r="F930" s="12" t="s">
        <v>1827</v>
      </c>
    </row>
    <row r="931" spans="1:6" x14ac:dyDescent="0.3">
      <c r="A931" s="4"/>
    </row>
    <row r="932" spans="1:6" ht="15.6" x14ac:dyDescent="0.3">
      <c r="A932" s="18" t="s">
        <v>854</v>
      </c>
      <c r="B932" s="19"/>
      <c r="C932" s="19"/>
      <c r="D932" s="19"/>
      <c r="E932" s="19"/>
      <c r="F932" s="19"/>
    </row>
    <row r="933" spans="1:6" ht="273.60000000000002" x14ac:dyDescent="0.3">
      <c r="A933" s="10" t="s">
        <v>689</v>
      </c>
      <c r="B933" s="11">
        <v>45729</v>
      </c>
      <c r="C933" s="12" t="s">
        <v>12</v>
      </c>
      <c r="D933" s="12" t="s">
        <v>21</v>
      </c>
      <c r="E933" s="11">
        <v>45750</v>
      </c>
      <c r="F933" s="12" t="s">
        <v>1978</v>
      </c>
    </row>
    <row r="934" spans="1:6" ht="28.8" x14ac:dyDescent="0.3">
      <c r="B934" s="11">
        <v>45750</v>
      </c>
      <c r="C934" s="12" t="s">
        <v>22</v>
      </c>
      <c r="D934" s="12" t="s">
        <v>4</v>
      </c>
      <c r="E934" s="4" t="s">
        <v>1827</v>
      </c>
      <c r="F934" s="12" t="s">
        <v>1827</v>
      </c>
    </row>
    <row r="935" spans="1:6" x14ac:dyDescent="0.3">
      <c r="A935" s="4"/>
    </row>
    <row r="936" spans="1:6" ht="15.6" x14ac:dyDescent="0.3">
      <c r="A936" s="18" t="s">
        <v>857</v>
      </c>
      <c r="B936" s="19"/>
      <c r="C936" s="19"/>
      <c r="D936" s="19"/>
      <c r="E936" s="19"/>
      <c r="F936" s="19"/>
    </row>
    <row r="937" spans="1:6" ht="172.8" x14ac:dyDescent="0.3">
      <c r="A937" s="10" t="s">
        <v>835</v>
      </c>
      <c r="B937" s="11">
        <v>45729</v>
      </c>
      <c r="C937" s="12" t="s">
        <v>12</v>
      </c>
      <c r="D937" s="12" t="s">
        <v>21</v>
      </c>
      <c r="E937" s="11">
        <v>45750</v>
      </c>
      <c r="F937" s="12" t="s">
        <v>1979</v>
      </c>
    </row>
    <row r="938" spans="1:6" ht="28.8" x14ac:dyDescent="0.3">
      <c r="B938" s="11">
        <v>45750</v>
      </c>
      <c r="C938" s="12" t="s">
        <v>22</v>
      </c>
      <c r="D938" s="12" t="s">
        <v>4</v>
      </c>
      <c r="E938" s="4" t="s">
        <v>1827</v>
      </c>
      <c r="F938" s="12" t="s">
        <v>1827</v>
      </c>
    </row>
    <row r="939" spans="1:6" x14ac:dyDescent="0.3">
      <c r="A939" s="4"/>
    </row>
    <row r="940" spans="1:6" ht="15.6" x14ac:dyDescent="0.3">
      <c r="A940" s="18" t="s">
        <v>860</v>
      </c>
      <c r="B940" s="19"/>
      <c r="C940" s="19"/>
      <c r="D940" s="19"/>
      <c r="E940" s="19"/>
      <c r="F940" s="19"/>
    </row>
    <row r="941" spans="1:6" ht="43.2" x14ac:dyDescent="0.3">
      <c r="A941" s="10" t="s">
        <v>10</v>
      </c>
      <c r="B941" s="11">
        <v>45729</v>
      </c>
      <c r="C941" s="12" t="s">
        <v>12</v>
      </c>
      <c r="D941" s="12" t="s">
        <v>21</v>
      </c>
      <c r="E941" s="11">
        <v>45750</v>
      </c>
      <c r="F941" s="12" t="s">
        <v>1980</v>
      </c>
    </row>
    <row r="942" spans="1:6" ht="28.8" x14ac:dyDescent="0.3">
      <c r="B942" s="11">
        <v>45750</v>
      </c>
      <c r="C942" s="12" t="s">
        <v>22</v>
      </c>
      <c r="D942" s="12" t="s">
        <v>4</v>
      </c>
      <c r="E942" s="4" t="s">
        <v>1827</v>
      </c>
      <c r="F942" s="12" t="s">
        <v>1827</v>
      </c>
    </row>
    <row r="943" spans="1:6" x14ac:dyDescent="0.3">
      <c r="A943" s="4"/>
    </row>
    <row r="944" spans="1:6" ht="15.6" x14ac:dyDescent="0.3">
      <c r="A944" s="18" t="s">
        <v>863</v>
      </c>
      <c r="B944" s="19"/>
      <c r="C944" s="19"/>
      <c r="D944" s="19"/>
      <c r="E944" s="19"/>
      <c r="F944" s="19"/>
    </row>
    <row r="945" spans="1:6" ht="57.6" x14ac:dyDescent="0.3">
      <c r="A945" s="10" t="s">
        <v>11</v>
      </c>
      <c r="B945" s="11">
        <v>45729</v>
      </c>
      <c r="C945" s="12" t="s">
        <v>12</v>
      </c>
      <c r="D945" s="12" t="s">
        <v>21</v>
      </c>
      <c r="E945" s="11">
        <v>45750</v>
      </c>
      <c r="F945" s="12" t="s">
        <v>1981</v>
      </c>
    </row>
    <row r="946" spans="1:6" ht="28.8" x14ac:dyDescent="0.3">
      <c r="B946" s="11">
        <v>45750</v>
      </c>
      <c r="C946" s="12" t="s">
        <v>22</v>
      </c>
      <c r="D946" s="12" t="s">
        <v>4</v>
      </c>
      <c r="E946" s="4" t="s">
        <v>1827</v>
      </c>
      <c r="F946" s="12" t="s">
        <v>1827</v>
      </c>
    </row>
    <row r="947" spans="1:6" x14ac:dyDescent="0.3">
      <c r="A947" s="4"/>
    </row>
    <row r="948" spans="1:6" ht="15.6" x14ac:dyDescent="0.3">
      <c r="A948" s="18" t="s">
        <v>866</v>
      </c>
      <c r="B948" s="19"/>
      <c r="C948" s="19"/>
      <c r="D948" s="19"/>
      <c r="E948" s="19"/>
      <c r="F948" s="19"/>
    </row>
    <row r="949" spans="1:6" ht="86.4" x14ac:dyDescent="0.3">
      <c r="A949" s="10" t="s">
        <v>11</v>
      </c>
      <c r="B949" s="11">
        <v>45729</v>
      </c>
      <c r="C949" s="12" t="s">
        <v>12</v>
      </c>
      <c r="D949" s="12" t="s">
        <v>21</v>
      </c>
      <c r="E949" s="11">
        <v>45750</v>
      </c>
      <c r="F949" s="12" t="s">
        <v>1982</v>
      </c>
    </row>
    <row r="950" spans="1:6" ht="28.8" x14ac:dyDescent="0.3">
      <c r="B950" s="11">
        <v>45750</v>
      </c>
      <c r="C950" s="12" t="s">
        <v>22</v>
      </c>
      <c r="D950" s="12" t="s">
        <v>4</v>
      </c>
      <c r="E950" s="4" t="s">
        <v>1827</v>
      </c>
      <c r="F950" s="12" t="s">
        <v>1827</v>
      </c>
    </row>
    <row r="951" spans="1:6" x14ac:dyDescent="0.3">
      <c r="A951" s="4"/>
    </row>
    <row r="952" spans="1:6" ht="15.6" x14ac:dyDescent="0.3">
      <c r="A952" s="18" t="s">
        <v>869</v>
      </c>
      <c r="B952" s="19"/>
      <c r="C952" s="19"/>
      <c r="D952" s="19"/>
      <c r="E952" s="19"/>
      <c r="F952" s="19"/>
    </row>
    <row r="953" spans="1:6" ht="86.4" x14ac:dyDescent="0.3">
      <c r="A953" s="10" t="s">
        <v>13</v>
      </c>
      <c r="B953" s="11">
        <v>45729</v>
      </c>
      <c r="C953" s="12" t="s">
        <v>12</v>
      </c>
      <c r="D953" s="12" t="s">
        <v>21</v>
      </c>
      <c r="E953" s="11">
        <v>45750</v>
      </c>
      <c r="F953" s="12" t="s">
        <v>1983</v>
      </c>
    </row>
    <row r="954" spans="1:6" ht="28.8" x14ac:dyDescent="0.3">
      <c r="B954" s="11">
        <v>45750</v>
      </c>
      <c r="C954" s="12" t="s">
        <v>22</v>
      </c>
      <c r="D954" s="12" t="s">
        <v>4</v>
      </c>
      <c r="E954" s="4" t="s">
        <v>1827</v>
      </c>
      <c r="F954" s="12" t="s">
        <v>1827</v>
      </c>
    </row>
    <row r="955" spans="1:6" x14ac:dyDescent="0.3">
      <c r="A955" s="4"/>
    </row>
    <row r="956" spans="1:6" ht="15.6" x14ac:dyDescent="0.3">
      <c r="A956" s="18" t="s">
        <v>872</v>
      </c>
      <c r="B956" s="19"/>
      <c r="C956" s="19"/>
      <c r="D956" s="19"/>
      <c r="E956" s="19"/>
      <c r="F956" s="19"/>
    </row>
    <row r="957" spans="1:6" ht="345.6" x14ac:dyDescent="0.3">
      <c r="A957" s="10" t="s">
        <v>418</v>
      </c>
      <c r="B957" s="11">
        <v>45729</v>
      </c>
      <c r="C957" s="12" t="s">
        <v>12</v>
      </c>
      <c r="D957" s="12" t="s">
        <v>21</v>
      </c>
      <c r="E957" s="11">
        <v>45750</v>
      </c>
      <c r="F957" s="12" t="s">
        <v>1984</v>
      </c>
    </row>
    <row r="958" spans="1:6" ht="28.8" x14ac:dyDescent="0.3">
      <c r="B958" s="11">
        <v>45750</v>
      </c>
      <c r="C958" s="12" t="s">
        <v>22</v>
      </c>
      <c r="D958" s="12" t="s">
        <v>4</v>
      </c>
      <c r="E958" s="4" t="s">
        <v>1827</v>
      </c>
      <c r="F958" s="12" t="s">
        <v>1827</v>
      </c>
    </row>
    <row r="959" spans="1:6" x14ac:dyDescent="0.3">
      <c r="A959" s="4"/>
    </row>
    <row r="960" spans="1:6" ht="15.6" x14ac:dyDescent="0.3">
      <c r="A960" s="18" t="s">
        <v>875</v>
      </c>
      <c r="B960" s="19"/>
      <c r="C960" s="19"/>
      <c r="D960" s="19"/>
      <c r="E960" s="19"/>
      <c r="F960" s="19"/>
    </row>
    <row r="961" spans="1:6" ht="115.2" x14ac:dyDescent="0.3">
      <c r="A961" s="10" t="s">
        <v>10</v>
      </c>
      <c r="B961" s="11">
        <v>45729</v>
      </c>
      <c r="C961" s="12" t="s">
        <v>12</v>
      </c>
      <c r="D961" s="12" t="s">
        <v>21</v>
      </c>
      <c r="E961" s="11">
        <v>45750</v>
      </c>
      <c r="F961" s="12" t="s">
        <v>1985</v>
      </c>
    </row>
    <row r="962" spans="1:6" ht="28.8" x14ac:dyDescent="0.3">
      <c r="B962" s="11">
        <v>45750</v>
      </c>
      <c r="C962" s="12" t="s">
        <v>22</v>
      </c>
      <c r="D962" s="12" t="s">
        <v>4</v>
      </c>
      <c r="E962" s="4" t="s">
        <v>1827</v>
      </c>
      <c r="F962" s="12" t="s">
        <v>1827</v>
      </c>
    </row>
    <row r="963" spans="1:6" x14ac:dyDescent="0.3">
      <c r="A963" s="4"/>
    </row>
    <row r="964" spans="1:6" ht="15.6" x14ac:dyDescent="0.3">
      <c r="A964" s="18" t="s">
        <v>878</v>
      </c>
      <c r="B964" s="19"/>
      <c r="C964" s="19"/>
      <c r="D964" s="19"/>
      <c r="E964" s="19"/>
      <c r="F964" s="19"/>
    </row>
    <row r="965" spans="1:6" ht="43.2" x14ac:dyDescent="0.3">
      <c r="A965" s="10" t="s">
        <v>11</v>
      </c>
      <c r="B965" s="11">
        <v>45729</v>
      </c>
      <c r="C965" s="12" t="s">
        <v>12</v>
      </c>
      <c r="D965" s="12" t="s">
        <v>21</v>
      </c>
      <c r="E965" s="11">
        <v>45750</v>
      </c>
      <c r="F965" s="12" t="s">
        <v>1986</v>
      </c>
    </row>
    <row r="966" spans="1:6" ht="28.8" x14ac:dyDescent="0.3">
      <c r="B966" s="11">
        <v>45750</v>
      </c>
      <c r="C966" s="12" t="s">
        <v>22</v>
      </c>
      <c r="D966" s="12" t="s">
        <v>4</v>
      </c>
      <c r="E966" s="4" t="s">
        <v>1827</v>
      </c>
      <c r="F966" s="12" t="s">
        <v>1827</v>
      </c>
    </row>
    <row r="967" spans="1:6" x14ac:dyDescent="0.3">
      <c r="A967" s="4"/>
    </row>
    <row r="968" spans="1:6" ht="15.6" x14ac:dyDescent="0.3">
      <c r="A968" s="18" t="s">
        <v>881</v>
      </c>
      <c r="B968" s="19"/>
      <c r="C968" s="19"/>
      <c r="D968" s="19"/>
      <c r="E968" s="19"/>
      <c r="F968" s="19"/>
    </row>
    <row r="969" spans="1:6" ht="43.2" x14ac:dyDescent="0.3">
      <c r="A969" s="10" t="s">
        <v>10</v>
      </c>
      <c r="B969" s="11">
        <v>45729</v>
      </c>
      <c r="C969" s="12" t="s">
        <v>12</v>
      </c>
      <c r="D969" s="12" t="s">
        <v>21</v>
      </c>
      <c r="E969" s="11">
        <v>45750</v>
      </c>
      <c r="F969" s="12" t="s">
        <v>1986</v>
      </c>
    </row>
    <row r="970" spans="1:6" ht="28.8" x14ac:dyDescent="0.3">
      <c r="B970" s="11">
        <v>45750</v>
      </c>
      <c r="C970" s="12" t="s">
        <v>22</v>
      </c>
      <c r="D970" s="12" t="s">
        <v>4</v>
      </c>
      <c r="E970" s="4" t="s">
        <v>1827</v>
      </c>
      <c r="F970" s="12" t="s">
        <v>1827</v>
      </c>
    </row>
    <row r="971" spans="1:6" x14ac:dyDescent="0.3">
      <c r="A971" s="4"/>
    </row>
    <row r="972" spans="1:6" ht="15.6" x14ac:dyDescent="0.3">
      <c r="A972" s="18" t="s">
        <v>884</v>
      </c>
      <c r="B972" s="19"/>
      <c r="C972" s="19"/>
      <c r="D972" s="19"/>
      <c r="E972" s="19"/>
      <c r="F972" s="19"/>
    </row>
    <row r="973" spans="1:6" ht="28.8" x14ac:dyDescent="0.3">
      <c r="A973" s="10" t="s">
        <v>13</v>
      </c>
      <c r="B973" s="11">
        <v>45729</v>
      </c>
      <c r="C973" s="12" t="s">
        <v>12</v>
      </c>
      <c r="D973" s="12" t="s">
        <v>21</v>
      </c>
      <c r="E973" s="11">
        <v>45750</v>
      </c>
      <c r="F973" s="12" t="s">
        <v>1987</v>
      </c>
    </row>
    <row r="974" spans="1:6" ht="28.8" x14ac:dyDescent="0.3">
      <c r="B974" s="11">
        <v>45750</v>
      </c>
      <c r="C974" s="12" t="s">
        <v>22</v>
      </c>
      <c r="D974" s="12" t="s">
        <v>4</v>
      </c>
      <c r="E974" s="4" t="s">
        <v>1827</v>
      </c>
      <c r="F974" s="12" t="s">
        <v>1827</v>
      </c>
    </row>
    <row r="975" spans="1:6" x14ac:dyDescent="0.3">
      <c r="A975" s="4"/>
    </row>
    <row r="976" spans="1:6" ht="15.6" x14ac:dyDescent="0.3">
      <c r="A976" s="18" t="s">
        <v>887</v>
      </c>
      <c r="B976" s="19"/>
      <c r="C976" s="19"/>
      <c r="D976" s="19"/>
      <c r="E976" s="19"/>
      <c r="F976" s="19"/>
    </row>
    <row r="977" spans="1:6" ht="28.8" x14ac:dyDescent="0.3">
      <c r="A977" s="10" t="s">
        <v>13</v>
      </c>
      <c r="B977" s="11">
        <v>45729</v>
      </c>
      <c r="C977" s="12" t="s">
        <v>12</v>
      </c>
      <c r="D977" s="12" t="s">
        <v>21</v>
      </c>
      <c r="E977" s="11">
        <v>45750</v>
      </c>
      <c r="F977" s="12" t="s">
        <v>1988</v>
      </c>
    </row>
    <row r="978" spans="1:6" ht="28.8" x14ac:dyDescent="0.3">
      <c r="B978" s="11">
        <v>45750</v>
      </c>
      <c r="C978" s="12" t="s">
        <v>22</v>
      </c>
      <c r="D978" s="12" t="s">
        <v>4</v>
      </c>
      <c r="E978" s="4" t="s">
        <v>1827</v>
      </c>
      <c r="F978" s="12" t="s">
        <v>1827</v>
      </c>
    </row>
    <row r="979" spans="1:6" x14ac:dyDescent="0.3">
      <c r="A979" s="4"/>
    </row>
    <row r="980" spans="1:6" ht="15.6" x14ac:dyDescent="0.3">
      <c r="A980" s="18" t="s">
        <v>890</v>
      </c>
      <c r="B980" s="19"/>
      <c r="C980" s="19"/>
      <c r="D980" s="19"/>
      <c r="E980" s="19"/>
      <c r="F980" s="19"/>
    </row>
    <row r="981" spans="1:6" ht="28.8" x14ac:dyDescent="0.3">
      <c r="A981" s="10" t="s">
        <v>13</v>
      </c>
      <c r="B981" s="11">
        <v>45729</v>
      </c>
      <c r="C981" s="12" t="s">
        <v>12</v>
      </c>
      <c r="D981" s="12" t="s">
        <v>21</v>
      </c>
      <c r="E981" s="11">
        <v>45750</v>
      </c>
      <c r="F981" s="12" t="s">
        <v>1989</v>
      </c>
    </row>
    <row r="982" spans="1:6" ht="28.8" x14ac:dyDescent="0.3">
      <c r="B982" s="11">
        <v>45750</v>
      </c>
      <c r="C982" s="12" t="s">
        <v>22</v>
      </c>
      <c r="D982" s="12" t="s">
        <v>4</v>
      </c>
      <c r="E982" s="4" t="s">
        <v>1827</v>
      </c>
      <c r="F982" s="12" t="s">
        <v>1827</v>
      </c>
    </row>
    <row r="983" spans="1:6" x14ac:dyDescent="0.3">
      <c r="A983" s="4"/>
    </row>
    <row r="984" spans="1:6" ht="15.6" x14ac:dyDescent="0.3">
      <c r="A984" s="18" t="s">
        <v>893</v>
      </c>
      <c r="B984" s="19"/>
      <c r="C984" s="19"/>
      <c r="D984" s="19"/>
      <c r="E984" s="19"/>
      <c r="F984" s="19"/>
    </row>
    <row r="985" spans="1:6" ht="28.8" x14ac:dyDescent="0.3">
      <c r="A985" s="10" t="s">
        <v>13</v>
      </c>
      <c r="B985" s="11">
        <v>45729</v>
      </c>
      <c r="C985" s="12" t="s">
        <v>12</v>
      </c>
      <c r="D985" s="12" t="s">
        <v>21</v>
      </c>
      <c r="E985" s="11">
        <v>45750</v>
      </c>
      <c r="F985" s="12" t="s">
        <v>1989</v>
      </c>
    </row>
    <row r="986" spans="1:6" ht="28.8" x14ac:dyDescent="0.3">
      <c r="B986" s="11">
        <v>45750</v>
      </c>
      <c r="C986" s="12" t="s">
        <v>22</v>
      </c>
      <c r="D986" s="12" t="s">
        <v>4</v>
      </c>
      <c r="E986" s="4" t="s">
        <v>1827</v>
      </c>
      <c r="F986" s="12" t="s">
        <v>1827</v>
      </c>
    </row>
    <row r="987" spans="1:6" x14ac:dyDescent="0.3">
      <c r="A987" s="4"/>
    </row>
    <row r="988" spans="1:6" ht="15.6" x14ac:dyDescent="0.3">
      <c r="A988" s="18" t="s">
        <v>896</v>
      </c>
      <c r="B988" s="19"/>
      <c r="C988" s="19"/>
      <c r="D988" s="19"/>
      <c r="E988" s="19"/>
      <c r="F988" s="19"/>
    </row>
    <row r="989" spans="1:6" ht="115.2" x14ac:dyDescent="0.3">
      <c r="A989" s="10" t="s">
        <v>13</v>
      </c>
      <c r="B989" s="11">
        <v>45729</v>
      </c>
      <c r="C989" s="12" t="s">
        <v>12</v>
      </c>
      <c r="D989" s="12" t="s">
        <v>21</v>
      </c>
      <c r="E989" s="11">
        <v>45750</v>
      </c>
      <c r="F989" s="12" t="s">
        <v>1990</v>
      </c>
    </row>
    <row r="990" spans="1:6" ht="28.8" x14ac:dyDescent="0.3">
      <c r="B990" s="11">
        <v>45750</v>
      </c>
      <c r="C990" s="12" t="s">
        <v>22</v>
      </c>
      <c r="D990" s="12" t="s">
        <v>4</v>
      </c>
      <c r="E990" s="4" t="s">
        <v>1827</v>
      </c>
      <c r="F990" s="12" t="s">
        <v>1827</v>
      </c>
    </row>
    <row r="991" spans="1:6" x14ac:dyDescent="0.3">
      <c r="A991" s="4"/>
    </row>
    <row r="992" spans="1:6" ht="15.6" x14ac:dyDescent="0.3">
      <c r="A992" s="18" t="s">
        <v>899</v>
      </c>
      <c r="B992" s="19"/>
      <c r="C992" s="19"/>
      <c r="D992" s="19"/>
      <c r="E992" s="19"/>
      <c r="F992" s="19"/>
    </row>
    <row r="993" spans="1:6" ht="28.8" x14ac:dyDescent="0.3">
      <c r="A993" s="10" t="s">
        <v>13</v>
      </c>
      <c r="B993" s="11">
        <v>45729</v>
      </c>
      <c r="C993" s="12" t="s">
        <v>12</v>
      </c>
      <c r="D993" s="12" t="s">
        <v>21</v>
      </c>
      <c r="E993" s="11">
        <v>45750</v>
      </c>
      <c r="F993" s="12" t="s">
        <v>1991</v>
      </c>
    </row>
    <row r="994" spans="1:6" ht="28.8" x14ac:dyDescent="0.3">
      <c r="B994" s="11">
        <v>45750</v>
      </c>
      <c r="C994" s="12" t="s">
        <v>22</v>
      </c>
      <c r="D994" s="12" t="s">
        <v>4</v>
      </c>
      <c r="E994" s="4" t="s">
        <v>1827</v>
      </c>
      <c r="F994" s="12" t="s">
        <v>1827</v>
      </c>
    </row>
    <row r="995" spans="1:6" x14ac:dyDescent="0.3">
      <c r="A995" s="4"/>
    </row>
    <row r="996" spans="1:6" ht="15.6" x14ac:dyDescent="0.3">
      <c r="A996" s="18" t="s">
        <v>902</v>
      </c>
      <c r="B996" s="19"/>
      <c r="C996" s="19"/>
      <c r="D996" s="19"/>
      <c r="E996" s="19"/>
      <c r="F996" s="19"/>
    </row>
    <row r="997" spans="1:6" ht="28.8" x14ac:dyDescent="0.3">
      <c r="A997" s="10" t="s">
        <v>13</v>
      </c>
      <c r="B997" s="11">
        <v>45729</v>
      </c>
      <c r="C997" s="12" t="s">
        <v>12</v>
      </c>
      <c r="D997" s="12" t="s">
        <v>21</v>
      </c>
      <c r="E997" s="11">
        <v>45750</v>
      </c>
      <c r="F997" s="12" t="s">
        <v>1992</v>
      </c>
    </row>
    <row r="998" spans="1:6" ht="28.8" x14ac:dyDescent="0.3">
      <c r="B998" s="11">
        <v>45750</v>
      </c>
      <c r="C998" s="12" t="s">
        <v>22</v>
      </c>
      <c r="D998" s="12" t="s">
        <v>4</v>
      </c>
      <c r="E998" s="4" t="s">
        <v>1827</v>
      </c>
      <c r="F998" s="12" t="s">
        <v>1827</v>
      </c>
    </row>
    <row r="999" spans="1:6" x14ac:dyDescent="0.3">
      <c r="A999" s="4"/>
    </row>
    <row r="1000" spans="1:6" ht="15.6" x14ac:dyDescent="0.3">
      <c r="A1000" s="18" t="s">
        <v>905</v>
      </c>
      <c r="B1000" s="19"/>
      <c r="C1000" s="19"/>
      <c r="D1000" s="19"/>
      <c r="E1000" s="19"/>
      <c r="F1000" s="19"/>
    </row>
    <row r="1001" spans="1:6" ht="28.8" x14ac:dyDescent="0.3">
      <c r="A1001" s="10" t="s">
        <v>13</v>
      </c>
      <c r="B1001" s="11">
        <v>45729</v>
      </c>
      <c r="C1001" s="12" t="s">
        <v>12</v>
      </c>
      <c r="D1001" s="12" t="s">
        <v>21</v>
      </c>
      <c r="E1001" s="11">
        <v>45750</v>
      </c>
      <c r="F1001" s="12" t="s">
        <v>1993</v>
      </c>
    </row>
    <row r="1002" spans="1:6" ht="28.8" x14ac:dyDescent="0.3">
      <c r="B1002" s="11">
        <v>45750</v>
      </c>
      <c r="C1002" s="12" t="s">
        <v>22</v>
      </c>
      <c r="D1002" s="12" t="s">
        <v>4</v>
      </c>
      <c r="E1002" s="4" t="s">
        <v>1827</v>
      </c>
      <c r="F1002" s="12" t="s">
        <v>1827</v>
      </c>
    </row>
    <row r="1003" spans="1:6" x14ac:dyDescent="0.3">
      <c r="A1003" s="4"/>
    </row>
    <row r="1004" spans="1:6" ht="15.6" x14ac:dyDescent="0.3">
      <c r="A1004" s="18" t="s">
        <v>908</v>
      </c>
      <c r="B1004" s="19"/>
      <c r="C1004" s="19"/>
      <c r="D1004" s="19"/>
      <c r="E1004" s="19"/>
      <c r="F1004" s="19"/>
    </row>
    <row r="1005" spans="1:6" ht="216" x14ac:dyDescent="0.3">
      <c r="A1005" s="10" t="s">
        <v>13</v>
      </c>
      <c r="B1005" s="11">
        <v>45729</v>
      </c>
      <c r="C1005" s="12" t="s">
        <v>12</v>
      </c>
      <c r="D1005" s="12" t="s">
        <v>21</v>
      </c>
      <c r="E1005" s="11">
        <v>45750</v>
      </c>
      <c r="F1005" s="12" t="s">
        <v>1994</v>
      </c>
    </row>
    <row r="1006" spans="1:6" ht="28.8" x14ac:dyDescent="0.3">
      <c r="B1006" s="11">
        <v>45750</v>
      </c>
      <c r="C1006" s="12" t="s">
        <v>22</v>
      </c>
      <c r="D1006" s="12" t="s">
        <v>4</v>
      </c>
      <c r="E1006" s="4" t="s">
        <v>1827</v>
      </c>
      <c r="F1006" s="12" t="s">
        <v>1827</v>
      </c>
    </row>
    <row r="1007" spans="1:6" x14ac:dyDescent="0.3">
      <c r="A1007" s="4"/>
    </row>
    <row r="1008" spans="1:6" ht="15.6" x14ac:dyDescent="0.3">
      <c r="A1008" s="18" t="s">
        <v>911</v>
      </c>
      <c r="B1008" s="19"/>
      <c r="C1008" s="19"/>
      <c r="D1008" s="19"/>
      <c r="E1008" s="19"/>
      <c r="F1008" s="19"/>
    </row>
    <row r="1009" spans="1:6" ht="86.4" x14ac:dyDescent="0.3">
      <c r="A1009" s="10" t="s">
        <v>13</v>
      </c>
      <c r="B1009" s="11">
        <v>45729</v>
      </c>
      <c r="C1009" s="12" t="s">
        <v>12</v>
      </c>
      <c r="D1009" s="12" t="s">
        <v>21</v>
      </c>
      <c r="E1009" s="11">
        <v>45750</v>
      </c>
      <c r="F1009" s="12" t="s">
        <v>1995</v>
      </c>
    </row>
    <row r="1010" spans="1:6" ht="28.8" x14ac:dyDescent="0.3">
      <c r="B1010" s="11">
        <v>45750</v>
      </c>
      <c r="C1010" s="12" t="s">
        <v>22</v>
      </c>
      <c r="D1010" s="12" t="s">
        <v>4</v>
      </c>
      <c r="E1010" s="4" t="s">
        <v>1827</v>
      </c>
      <c r="F1010" s="12" t="s">
        <v>1827</v>
      </c>
    </row>
    <row r="1011" spans="1:6" x14ac:dyDescent="0.3">
      <c r="A1011" s="4"/>
    </row>
    <row r="1012" spans="1:6" ht="15.6" x14ac:dyDescent="0.3">
      <c r="A1012" s="18" t="s">
        <v>914</v>
      </c>
      <c r="B1012" s="19"/>
      <c r="C1012" s="19"/>
      <c r="D1012" s="19"/>
      <c r="E1012" s="19"/>
      <c r="F1012" s="19"/>
    </row>
    <row r="1013" spans="1:6" ht="28.8" x14ac:dyDescent="0.3">
      <c r="A1013" s="10" t="s">
        <v>13</v>
      </c>
      <c r="B1013" s="11">
        <v>45729</v>
      </c>
      <c r="C1013" s="12" t="s">
        <v>12</v>
      </c>
      <c r="D1013" s="12" t="s">
        <v>21</v>
      </c>
      <c r="E1013" s="11">
        <v>45750</v>
      </c>
      <c r="F1013" s="12" t="s">
        <v>1996</v>
      </c>
    </row>
    <row r="1014" spans="1:6" ht="28.8" x14ac:dyDescent="0.3">
      <c r="B1014" s="11">
        <v>45750</v>
      </c>
      <c r="C1014" s="12" t="s">
        <v>22</v>
      </c>
      <c r="D1014" s="12" t="s">
        <v>4</v>
      </c>
      <c r="E1014" s="4" t="s">
        <v>1827</v>
      </c>
      <c r="F1014" s="12" t="s">
        <v>1827</v>
      </c>
    </row>
    <row r="1015" spans="1:6" x14ac:dyDescent="0.3">
      <c r="A1015" s="4"/>
    </row>
    <row r="1016" spans="1:6" ht="15.6" x14ac:dyDescent="0.3">
      <c r="A1016" s="18" t="s">
        <v>917</v>
      </c>
      <c r="B1016" s="19"/>
      <c r="C1016" s="19"/>
      <c r="D1016" s="19"/>
      <c r="E1016" s="19"/>
      <c r="F1016" s="19"/>
    </row>
    <row r="1017" spans="1:6" ht="28.8" x14ac:dyDescent="0.3">
      <c r="A1017" s="10" t="s">
        <v>13</v>
      </c>
      <c r="B1017" s="11">
        <v>45729</v>
      </c>
      <c r="C1017" s="12" t="s">
        <v>12</v>
      </c>
      <c r="D1017" s="12" t="s">
        <v>21</v>
      </c>
      <c r="E1017" s="11">
        <v>45750</v>
      </c>
      <c r="F1017" s="12" t="s">
        <v>1997</v>
      </c>
    </row>
    <row r="1018" spans="1:6" ht="28.8" x14ac:dyDescent="0.3">
      <c r="B1018" s="11">
        <v>45750</v>
      </c>
      <c r="C1018" s="12" t="s">
        <v>22</v>
      </c>
      <c r="D1018" s="12" t="s">
        <v>4</v>
      </c>
      <c r="E1018" s="4" t="s">
        <v>1827</v>
      </c>
      <c r="F1018" s="12" t="s">
        <v>1827</v>
      </c>
    </row>
    <row r="1019" spans="1:6" x14ac:dyDescent="0.3">
      <c r="A1019" s="4"/>
    </row>
    <row r="1020" spans="1:6" ht="15.6" x14ac:dyDescent="0.3">
      <c r="A1020" s="18" t="s">
        <v>920</v>
      </c>
      <c r="B1020" s="19"/>
      <c r="C1020" s="19"/>
      <c r="D1020" s="19"/>
      <c r="E1020" s="19"/>
      <c r="F1020" s="19"/>
    </row>
    <row r="1021" spans="1:6" ht="360" x14ac:dyDescent="0.3">
      <c r="A1021" s="10" t="s">
        <v>418</v>
      </c>
      <c r="B1021" s="11">
        <v>45729</v>
      </c>
      <c r="C1021" s="12" t="s">
        <v>12</v>
      </c>
      <c r="D1021" s="12" t="s">
        <v>21</v>
      </c>
      <c r="E1021" s="11">
        <v>45750</v>
      </c>
      <c r="F1021" s="12" t="s">
        <v>1998</v>
      </c>
    </row>
    <row r="1022" spans="1:6" ht="28.8" x14ac:dyDescent="0.3">
      <c r="B1022" s="11">
        <v>45750</v>
      </c>
      <c r="C1022" s="12" t="s">
        <v>22</v>
      </c>
      <c r="D1022" s="12" t="s">
        <v>4</v>
      </c>
      <c r="E1022" s="4" t="s">
        <v>1827</v>
      </c>
      <c r="F1022" s="12" t="s">
        <v>1827</v>
      </c>
    </row>
    <row r="1023" spans="1:6" x14ac:dyDescent="0.3">
      <c r="A1023" s="4"/>
    </row>
    <row r="1024" spans="1:6" ht="15.6" x14ac:dyDescent="0.3">
      <c r="A1024" s="18" t="s">
        <v>923</v>
      </c>
      <c r="B1024" s="19"/>
      <c r="C1024" s="19"/>
      <c r="D1024" s="19"/>
      <c r="E1024" s="19"/>
      <c r="F1024" s="19"/>
    </row>
    <row r="1025" spans="1:6" ht="409.6" x14ac:dyDescent="0.3">
      <c r="A1025" s="10" t="s">
        <v>418</v>
      </c>
      <c r="B1025" s="11">
        <v>45729</v>
      </c>
      <c r="C1025" s="12" t="s">
        <v>12</v>
      </c>
      <c r="D1025" s="12" t="s">
        <v>21</v>
      </c>
      <c r="E1025" s="11">
        <v>45750</v>
      </c>
      <c r="F1025" s="12" t="s">
        <v>1999</v>
      </c>
    </row>
    <row r="1026" spans="1:6" ht="28.8" x14ac:dyDescent="0.3">
      <c r="B1026" s="11">
        <v>45750</v>
      </c>
      <c r="C1026" s="12" t="s">
        <v>22</v>
      </c>
      <c r="D1026" s="12" t="s">
        <v>4</v>
      </c>
      <c r="E1026" s="4" t="s">
        <v>1827</v>
      </c>
      <c r="F1026" s="12" t="s">
        <v>1827</v>
      </c>
    </row>
    <row r="1027" spans="1:6" x14ac:dyDescent="0.3">
      <c r="A1027" s="4"/>
    </row>
    <row r="1028" spans="1:6" ht="15.6" x14ac:dyDescent="0.3">
      <c r="A1028" s="18" t="s">
        <v>926</v>
      </c>
      <c r="B1028" s="19"/>
      <c r="C1028" s="19"/>
      <c r="D1028" s="19"/>
      <c r="E1028" s="19"/>
      <c r="F1028" s="19"/>
    </row>
    <row r="1029" spans="1:6" ht="259.2" x14ac:dyDescent="0.3">
      <c r="A1029" s="10" t="s">
        <v>13</v>
      </c>
      <c r="B1029" s="11">
        <v>45729</v>
      </c>
      <c r="C1029" s="12" t="s">
        <v>12</v>
      </c>
      <c r="D1029" s="12" t="s">
        <v>21</v>
      </c>
      <c r="E1029" s="11">
        <v>45750</v>
      </c>
      <c r="F1029" s="12" t="s">
        <v>2000</v>
      </c>
    </row>
    <row r="1030" spans="1:6" ht="28.8" x14ac:dyDescent="0.3">
      <c r="B1030" s="11">
        <v>45750</v>
      </c>
      <c r="C1030" s="12" t="s">
        <v>22</v>
      </c>
      <c r="D1030" s="12" t="s">
        <v>4</v>
      </c>
      <c r="E1030" s="4" t="s">
        <v>1827</v>
      </c>
      <c r="F1030" s="12" t="s">
        <v>1827</v>
      </c>
    </row>
    <row r="1031" spans="1:6" x14ac:dyDescent="0.3">
      <c r="A1031" s="4"/>
    </row>
    <row r="1032" spans="1:6" ht="15.6" x14ac:dyDescent="0.3">
      <c r="A1032" s="18" t="s">
        <v>929</v>
      </c>
      <c r="B1032" s="19"/>
      <c r="C1032" s="19"/>
      <c r="D1032" s="19"/>
      <c r="E1032" s="19"/>
      <c r="F1032" s="19"/>
    </row>
    <row r="1033" spans="1:6" ht="187.2" x14ac:dyDescent="0.3">
      <c r="A1033" s="10" t="s">
        <v>10</v>
      </c>
      <c r="B1033" s="11">
        <v>45729</v>
      </c>
      <c r="C1033" s="12" t="s">
        <v>12</v>
      </c>
      <c r="D1033" s="12" t="s">
        <v>21</v>
      </c>
      <c r="E1033" s="11">
        <v>45750</v>
      </c>
      <c r="F1033" s="12" t="s">
        <v>2001</v>
      </c>
    </row>
    <row r="1034" spans="1:6" ht="28.8" x14ac:dyDescent="0.3">
      <c r="B1034" s="11">
        <v>45750</v>
      </c>
      <c r="C1034" s="12" t="s">
        <v>22</v>
      </c>
      <c r="D1034" s="12" t="s">
        <v>4</v>
      </c>
      <c r="E1034" s="4" t="s">
        <v>1827</v>
      </c>
      <c r="F1034" s="12" t="s">
        <v>1827</v>
      </c>
    </row>
    <row r="1035" spans="1:6" x14ac:dyDescent="0.3">
      <c r="A1035" s="4"/>
    </row>
    <row r="1036" spans="1:6" ht="15.6" x14ac:dyDescent="0.3">
      <c r="A1036" s="18" t="s">
        <v>932</v>
      </c>
      <c r="B1036" s="19"/>
      <c r="C1036" s="19"/>
      <c r="D1036" s="19"/>
      <c r="E1036" s="19"/>
      <c r="F1036" s="19"/>
    </row>
    <row r="1037" spans="1:6" ht="172.8" x14ac:dyDescent="0.3">
      <c r="A1037" s="10" t="s">
        <v>13</v>
      </c>
      <c r="B1037" s="11">
        <v>45729</v>
      </c>
      <c r="C1037" s="12" t="s">
        <v>12</v>
      </c>
      <c r="D1037" s="12" t="s">
        <v>21</v>
      </c>
      <c r="E1037" s="11">
        <v>45750</v>
      </c>
      <c r="F1037" s="12" t="s">
        <v>2002</v>
      </c>
    </row>
    <row r="1038" spans="1:6" ht="28.8" x14ac:dyDescent="0.3">
      <c r="B1038" s="11">
        <v>45750</v>
      </c>
      <c r="C1038" s="12" t="s">
        <v>22</v>
      </c>
      <c r="D1038" s="12" t="s">
        <v>4</v>
      </c>
      <c r="E1038" s="4" t="s">
        <v>1827</v>
      </c>
      <c r="F1038" s="12" t="s">
        <v>1827</v>
      </c>
    </row>
    <row r="1039" spans="1:6" x14ac:dyDescent="0.3">
      <c r="A1039" s="4"/>
    </row>
    <row r="1040" spans="1:6" ht="15.6" x14ac:dyDescent="0.3">
      <c r="A1040" s="18" t="s">
        <v>935</v>
      </c>
      <c r="B1040" s="19"/>
      <c r="C1040" s="19"/>
      <c r="D1040" s="19"/>
      <c r="E1040" s="19"/>
      <c r="F1040" s="19"/>
    </row>
    <row r="1041" spans="1:6" ht="172.8" x14ac:dyDescent="0.3">
      <c r="A1041" s="10" t="s">
        <v>10</v>
      </c>
      <c r="B1041" s="11">
        <v>45729</v>
      </c>
      <c r="C1041" s="12" t="s">
        <v>12</v>
      </c>
      <c r="D1041" s="12" t="s">
        <v>21</v>
      </c>
      <c r="E1041" s="11">
        <v>45750</v>
      </c>
      <c r="F1041" s="12" t="s">
        <v>2003</v>
      </c>
    </row>
    <row r="1042" spans="1:6" ht="28.8" x14ac:dyDescent="0.3">
      <c r="B1042" s="11">
        <v>45750</v>
      </c>
      <c r="C1042" s="12" t="s">
        <v>22</v>
      </c>
      <c r="D1042" s="12" t="s">
        <v>4</v>
      </c>
      <c r="E1042" s="4" t="s">
        <v>1827</v>
      </c>
      <c r="F1042" s="12" t="s">
        <v>1827</v>
      </c>
    </row>
    <row r="1043" spans="1:6" x14ac:dyDescent="0.3">
      <c r="A1043" s="4"/>
    </row>
    <row r="1044" spans="1:6" ht="15.6" x14ac:dyDescent="0.3">
      <c r="A1044" s="18" t="s">
        <v>938</v>
      </c>
      <c r="B1044" s="19"/>
      <c r="C1044" s="19"/>
      <c r="D1044" s="19"/>
      <c r="E1044" s="19"/>
      <c r="F1044" s="19"/>
    </row>
    <row r="1045" spans="1:6" ht="86.4" x14ac:dyDescent="0.3">
      <c r="A1045" s="10" t="s">
        <v>13</v>
      </c>
      <c r="B1045" s="11">
        <v>45729</v>
      </c>
      <c r="C1045" s="12" t="s">
        <v>12</v>
      </c>
      <c r="D1045" s="12" t="s">
        <v>21</v>
      </c>
      <c r="E1045" s="11">
        <v>45750</v>
      </c>
      <c r="F1045" s="12" t="s">
        <v>2004</v>
      </c>
    </row>
    <row r="1046" spans="1:6" ht="28.8" x14ac:dyDescent="0.3">
      <c r="B1046" s="11">
        <v>45750</v>
      </c>
      <c r="C1046" s="12" t="s">
        <v>22</v>
      </c>
      <c r="D1046" s="12" t="s">
        <v>4</v>
      </c>
      <c r="E1046" s="4" t="s">
        <v>1827</v>
      </c>
      <c r="F1046" s="12" t="s">
        <v>1827</v>
      </c>
    </row>
    <row r="1047" spans="1:6" x14ac:dyDescent="0.3">
      <c r="A1047" s="4"/>
    </row>
    <row r="1048" spans="1:6" ht="15.6" x14ac:dyDescent="0.3">
      <c r="A1048" s="18" t="s">
        <v>941</v>
      </c>
      <c r="B1048" s="19"/>
      <c r="C1048" s="19"/>
      <c r="D1048" s="19"/>
      <c r="E1048" s="19"/>
      <c r="F1048" s="19"/>
    </row>
    <row r="1049" spans="1:6" ht="216" x14ac:dyDescent="0.3">
      <c r="A1049" s="10" t="s">
        <v>13</v>
      </c>
      <c r="B1049" s="11">
        <v>45729</v>
      </c>
      <c r="C1049" s="12" t="s">
        <v>12</v>
      </c>
      <c r="D1049" s="12" t="s">
        <v>21</v>
      </c>
      <c r="E1049" s="11">
        <v>45750</v>
      </c>
      <c r="F1049" s="12" t="s">
        <v>2005</v>
      </c>
    </row>
    <row r="1050" spans="1:6" ht="28.8" x14ac:dyDescent="0.3">
      <c r="B1050" s="11">
        <v>45750</v>
      </c>
      <c r="C1050" s="12" t="s">
        <v>22</v>
      </c>
      <c r="D1050" s="12" t="s">
        <v>4</v>
      </c>
      <c r="E1050" s="4" t="s">
        <v>1827</v>
      </c>
      <c r="F1050" s="12" t="s">
        <v>1827</v>
      </c>
    </row>
    <row r="1051" spans="1:6" x14ac:dyDescent="0.3">
      <c r="A1051" s="4"/>
    </row>
    <row r="1052" spans="1:6" ht="15.6" x14ac:dyDescent="0.3">
      <c r="A1052" s="18" t="s">
        <v>944</v>
      </c>
      <c r="B1052" s="19"/>
      <c r="C1052" s="19"/>
      <c r="D1052" s="19"/>
      <c r="E1052" s="19"/>
      <c r="F1052" s="19"/>
    </row>
    <row r="1053" spans="1:6" ht="129.6" x14ac:dyDescent="0.3">
      <c r="A1053" s="10" t="s">
        <v>13</v>
      </c>
      <c r="B1053" s="11">
        <v>45729</v>
      </c>
      <c r="C1053" s="12" t="s">
        <v>12</v>
      </c>
      <c r="D1053" s="12" t="s">
        <v>21</v>
      </c>
      <c r="E1053" s="11">
        <v>45750</v>
      </c>
      <c r="F1053" s="12" t="s">
        <v>2006</v>
      </c>
    </row>
    <row r="1054" spans="1:6" ht="28.8" x14ac:dyDescent="0.3">
      <c r="B1054" s="11">
        <v>45750</v>
      </c>
      <c r="C1054" s="12" t="s">
        <v>22</v>
      </c>
      <c r="D1054" s="12" t="s">
        <v>4</v>
      </c>
      <c r="E1054" s="4" t="s">
        <v>1827</v>
      </c>
      <c r="F1054" s="12" t="s">
        <v>1827</v>
      </c>
    </row>
    <row r="1055" spans="1:6" x14ac:dyDescent="0.3">
      <c r="A1055" s="4"/>
    </row>
    <row r="1056" spans="1:6" ht="15.6" x14ac:dyDescent="0.3">
      <c r="A1056" s="18" t="s">
        <v>947</v>
      </c>
      <c r="B1056" s="19"/>
      <c r="C1056" s="19"/>
      <c r="D1056" s="19"/>
      <c r="E1056" s="19"/>
      <c r="F1056" s="19"/>
    </row>
    <row r="1057" spans="1:6" ht="216" x14ac:dyDescent="0.3">
      <c r="A1057" s="10" t="s">
        <v>13</v>
      </c>
      <c r="B1057" s="11">
        <v>45729</v>
      </c>
      <c r="C1057" s="12" t="s">
        <v>12</v>
      </c>
      <c r="D1057" s="12" t="s">
        <v>21</v>
      </c>
      <c r="E1057" s="11">
        <v>45750</v>
      </c>
      <c r="F1057" s="12" t="s">
        <v>2007</v>
      </c>
    </row>
    <row r="1058" spans="1:6" ht="28.8" x14ac:dyDescent="0.3">
      <c r="B1058" s="11">
        <v>45750</v>
      </c>
      <c r="C1058" s="12" t="s">
        <v>22</v>
      </c>
      <c r="D1058" s="12" t="s">
        <v>4</v>
      </c>
      <c r="E1058" s="4" t="s">
        <v>1827</v>
      </c>
      <c r="F1058" s="12" t="s">
        <v>1827</v>
      </c>
    </row>
    <row r="1059" spans="1:6" x14ac:dyDescent="0.3">
      <c r="A1059" s="4"/>
    </row>
    <row r="1060" spans="1:6" ht="15.6" x14ac:dyDescent="0.3">
      <c r="A1060" s="18" t="s">
        <v>950</v>
      </c>
      <c r="B1060" s="19"/>
      <c r="C1060" s="19"/>
      <c r="D1060" s="19"/>
      <c r="E1060" s="19"/>
      <c r="F1060" s="19"/>
    </row>
    <row r="1061" spans="1:6" ht="28.8" x14ac:dyDescent="0.3">
      <c r="A1061" s="10" t="s">
        <v>11</v>
      </c>
      <c r="B1061" s="11">
        <v>45729</v>
      </c>
      <c r="C1061" s="12" t="s">
        <v>12</v>
      </c>
      <c r="D1061" s="12" t="s">
        <v>21</v>
      </c>
      <c r="E1061" s="11">
        <v>45750</v>
      </c>
      <c r="F1061" s="12" t="s">
        <v>2008</v>
      </c>
    </row>
    <row r="1062" spans="1:6" ht="28.8" x14ac:dyDescent="0.3">
      <c r="B1062" s="11">
        <v>45750</v>
      </c>
      <c r="C1062" s="12" t="s">
        <v>22</v>
      </c>
      <c r="D1062" s="12" t="s">
        <v>4</v>
      </c>
      <c r="E1062" s="4" t="s">
        <v>1827</v>
      </c>
      <c r="F1062" s="12" t="s">
        <v>1827</v>
      </c>
    </row>
    <row r="1063" spans="1:6" x14ac:dyDescent="0.3">
      <c r="A1063" s="4"/>
    </row>
    <row r="1064" spans="1:6" ht="15.6" x14ac:dyDescent="0.3">
      <c r="A1064" s="18" t="s">
        <v>953</v>
      </c>
      <c r="B1064" s="19"/>
      <c r="C1064" s="19"/>
      <c r="D1064" s="19"/>
      <c r="E1064" s="19"/>
      <c r="F1064" s="19"/>
    </row>
    <row r="1065" spans="1:6" ht="86.4" x14ac:dyDescent="0.3">
      <c r="A1065" s="10" t="s">
        <v>13</v>
      </c>
      <c r="B1065" s="11">
        <v>45729</v>
      </c>
      <c r="C1065" s="12" t="s">
        <v>12</v>
      </c>
      <c r="D1065" s="12" t="s">
        <v>21</v>
      </c>
      <c r="E1065" s="11">
        <v>45750</v>
      </c>
      <c r="F1065" s="12" t="s">
        <v>2009</v>
      </c>
    </row>
    <row r="1066" spans="1:6" ht="28.8" x14ac:dyDescent="0.3">
      <c r="B1066" s="11">
        <v>45750</v>
      </c>
      <c r="C1066" s="12" t="s">
        <v>22</v>
      </c>
      <c r="D1066" s="12" t="s">
        <v>4</v>
      </c>
      <c r="E1066" s="4" t="s">
        <v>1827</v>
      </c>
      <c r="F1066" s="12" t="s">
        <v>1827</v>
      </c>
    </row>
    <row r="1067" spans="1:6" x14ac:dyDescent="0.3">
      <c r="A1067" s="4"/>
    </row>
    <row r="1068" spans="1:6" ht="15.6" x14ac:dyDescent="0.3">
      <c r="A1068" s="18" t="s">
        <v>956</v>
      </c>
      <c r="B1068" s="19"/>
      <c r="C1068" s="19"/>
      <c r="D1068" s="19"/>
      <c r="E1068" s="19"/>
      <c r="F1068" s="19"/>
    </row>
    <row r="1069" spans="1:6" ht="100.8" x14ac:dyDescent="0.3">
      <c r="A1069" s="10" t="s">
        <v>13</v>
      </c>
      <c r="B1069" s="11">
        <v>45729</v>
      </c>
      <c r="C1069" s="12" t="s">
        <v>12</v>
      </c>
      <c r="D1069" s="12" t="s">
        <v>21</v>
      </c>
      <c r="E1069" s="11">
        <v>45750</v>
      </c>
      <c r="F1069" s="12" t="s">
        <v>2010</v>
      </c>
    </row>
    <row r="1070" spans="1:6" ht="28.8" x14ac:dyDescent="0.3">
      <c r="B1070" s="11">
        <v>45750</v>
      </c>
      <c r="C1070" s="12" t="s">
        <v>22</v>
      </c>
      <c r="D1070" s="12" t="s">
        <v>4</v>
      </c>
      <c r="E1070" s="4" t="s">
        <v>1827</v>
      </c>
      <c r="F1070" s="12" t="s">
        <v>1827</v>
      </c>
    </row>
    <row r="1071" spans="1:6" x14ac:dyDescent="0.3">
      <c r="A1071" s="4"/>
    </row>
    <row r="1072" spans="1:6" ht="15.6" x14ac:dyDescent="0.3">
      <c r="A1072" s="18" t="s">
        <v>959</v>
      </c>
      <c r="B1072" s="19"/>
      <c r="C1072" s="19"/>
      <c r="D1072" s="19"/>
      <c r="E1072" s="19"/>
      <c r="F1072" s="19"/>
    </row>
    <row r="1073" spans="1:6" x14ac:dyDescent="0.3">
      <c r="A1073" s="10" t="s">
        <v>11</v>
      </c>
      <c r="B1073" s="11">
        <v>45729</v>
      </c>
      <c r="C1073" s="12" t="s">
        <v>12</v>
      </c>
      <c r="D1073" s="12" t="s">
        <v>21</v>
      </c>
      <c r="E1073" s="11">
        <v>45763</v>
      </c>
      <c r="F1073" s="12" t="s">
        <v>2011</v>
      </c>
    </row>
    <row r="1074" spans="1:6" ht="28.8" x14ac:dyDescent="0.3">
      <c r="B1074" s="11">
        <v>45763</v>
      </c>
      <c r="C1074" s="12" t="s">
        <v>22</v>
      </c>
      <c r="D1074" s="12" t="s">
        <v>4</v>
      </c>
      <c r="E1074" s="4" t="s">
        <v>1827</v>
      </c>
      <c r="F1074" s="12" t="s">
        <v>1827</v>
      </c>
    </row>
    <row r="1075" spans="1:6" x14ac:dyDescent="0.3">
      <c r="A1075" s="4"/>
    </row>
    <row r="1076" spans="1:6" ht="15.6" x14ac:dyDescent="0.3">
      <c r="A1076" s="18" t="s">
        <v>962</v>
      </c>
      <c r="B1076" s="19"/>
      <c r="C1076" s="19"/>
      <c r="D1076" s="19"/>
      <c r="E1076" s="19"/>
      <c r="F1076" s="19"/>
    </row>
    <row r="1077" spans="1:6" x14ac:dyDescent="0.3">
      <c r="A1077" s="10" t="s">
        <v>707</v>
      </c>
      <c r="B1077" s="11">
        <v>45729</v>
      </c>
      <c r="C1077" s="12" t="s">
        <v>12</v>
      </c>
      <c r="D1077" s="12" t="s">
        <v>24</v>
      </c>
      <c r="E1077" s="11">
        <v>45763</v>
      </c>
      <c r="F1077" s="12" t="s">
        <v>1785</v>
      </c>
    </row>
    <row r="1078" spans="1:6" x14ac:dyDescent="0.3">
      <c r="A1078" s="4"/>
    </row>
    <row r="1079" spans="1:6" ht="15.6" x14ac:dyDescent="0.3">
      <c r="A1079" s="18" t="s">
        <v>965</v>
      </c>
      <c r="B1079" s="19"/>
      <c r="C1079" s="19"/>
      <c r="D1079" s="19"/>
      <c r="E1079" s="19"/>
      <c r="F1079" s="19"/>
    </row>
    <row r="1080" spans="1:6" x14ac:dyDescent="0.3">
      <c r="A1080" s="10" t="s">
        <v>707</v>
      </c>
      <c r="B1080" s="11">
        <v>45729</v>
      </c>
      <c r="C1080" s="12" t="s">
        <v>12</v>
      </c>
      <c r="D1080" s="12" t="s">
        <v>24</v>
      </c>
      <c r="E1080" s="11">
        <v>45763</v>
      </c>
      <c r="F1080" s="12" t="s">
        <v>1785</v>
      </c>
    </row>
    <row r="1081" spans="1:6" x14ac:dyDescent="0.3">
      <c r="A1081" s="4"/>
    </row>
    <row r="1082" spans="1:6" ht="15.6" x14ac:dyDescent="0.3">
      <c r="A1082" s="18" t="s">
        <v>968</v>
      </c>
      <c r="B1082" s="19"/>
      <c r="C1082" s="19"/>
      <c r="D1082" s="19"/>
      <c r="E1082" s="19"/>
      <c r="F1082" s="19"/>
    </row>
    <row r="1083" spans="1:6" x14ac:dyDescent="0.3">
      <c r="A1083" s="10" t="s">
        <v>707</v>
      </c>
      <c r="B1083" s="11">
        <v>45756</v>
      </c>
      <c r="C1083" s="12" t="s">
        <v>12</v>
      </c>
      <c r="D1083" s="12" t="s">
        <v>24</v>
      </c>
      <c r="E1083" s="11">
        <v>45763</v>
      </c>
      <c r="F1083" s="12" t="s">
        <v>1785</v>
      </c>
    </row>
    <row r="1084" spans="1:6" x14ac:dyDescent="0.3">
      <c r="A1084" s="4"/>
    </row>
    <row r="1085" spans="1:6" ht="15.6" x14ac:dyDescent="0.3">
      <c r="A1085" s="18" t="s">
        <v>971</v>
      </c>
      <c r="B1085" s="19"/>
      <c r="C1085" s="19"/>
      <c r="D1085" s="19"/>
      <c r="E1085" s="19"/>
      <c r="F1085" s="19"/>
    </row>
    <row r="1086" spans="1:6" x14ac:dyDescent="0.3">
      <c r="A1086" s="10" t="s">
        <v>13</v>
      </c>
      <c r="B1086" s="11">
        <v>45730</v>
      </c>
      <c r="C1086" s="12" t="s">
        <v>12</v>
      </c>
      <c r="D1086" s="12" t="s">
        <v>24</v>
      </c>
      <c r="E1086" s="11">
        <v>45750</v>
      </c>
      <c r="F1086" s="12" t="s">
        <v>1966</v>
      </c>
    </row>
    <row r="1087" spans="1:6" x14ac:dyDescent="0.3">
      <c r="A1087" s="4"/>
    </row>
    <row r="1088" spans="1:6" ht="15.6" x14ac:dyDescent="0.3">
      <c r="A1088" s="18" t="s">
        <v>974</v>
      </c>
      <c r="B1088" s="19"/>
      <c r="C1088" s="19"/>
      <c r="D1088" s="19"/>
      <c r="E1088" s="19"/>
      <c r="F1088" s="19"/>
    </row>
    <row r="1089" spans="1:6" ht="43.2" x14ac:dyDescent="0.3">
      <c r="A1089" s="10" t="s">
        <v>13</v>
      </c>
      <c r="B1089" s="11">
        <v>45730</v>
      </c>
      <c r="C1089" s="12" t="s">
        <v>12</v>
      </c>
      <c r="D1089" s="12" t="s">
        <v>21</v>
      </c>
      <c r="E1089" s="11">
        <v>45750</v>
      </c>
      <c r="F1089" s="12" t="s">
        <v>2012</v>
      </c>
    </row>
    <row r="1090" spans="1:6" ht="28.8" x14ac:dyDescent="0.3">
      <c r="B1090" s="11">
        <v>45750</v>
      </c>
      <c r="C1090" s="12" t="s">
        <v>22</v>
      </c>
      <c r="D1090" s="12" t="s">
        <v>4</v>
      </c>
      <c r="E1090" s="4" t="s">
        <v>1827</v>
      </c>
      <c r="F1090" s="12" t="s">
        <v>1827</v>
      </c>
    </row>
    <row r="1091" spans="1:6" x14ac:dyDescent="0.3">
      <c r="A1091" s="4"/>
    </row>
    <row r="1092" spans="1:6" ht="15.6" x14ac:dyDescent="0.3">
      <c r="A1092" s="18" t="s">
        <v>977</v>
      </c>
      <c r="B1092" s="19"/>
      <c r="C1092" s="19"/>
      <c r="D1092" s="19"/>
      <c r="E1092" s="19"/>
      <c r="F1092" s="19"/>
    </row>
    <row r="1093" spans="1:6" x14ac:dyDescent="0.3">
      <c r="A1093" s="10" t="s">
        <v>11</v>
      </c>
      <c r="B1093" s="11">
        <v>45729</v>
      </c>
      <c r="C1093" s="12" t="s">
        <v>12</v>
      </c>
      <c r="D1093" s="12" t="s">
        <v>4</v>
      </c>
      <c r="E1093" s="4" t="s">
        <v>1827</v>
      </c>
      <c r="F1093" s="12" t="s">
        <v>1827</v>
      </c>
    </row>
    <row r="1094" spans="1:6" x14ac:dyDescent="0.3">
      <c r="A1094" s="4"/>
    </row>
    <row r="1095" spans="1:6" ht="15.6" x14ac:dyDescent="0.3">
      <c r="A1095" s="18" t="s">
        <v>980</v>
      </c>
      <c r="B1095" s="19"/>
      <c r="C1095" s="19"/>
      <c r="D1095" s="19"/>
      <c r="E1095" s="19"/>
      <c r="F1095" s="19"/>
    </row>
    <row r="1096" spans="1:6" x14ac:dyDescent="0.3">
      <c r="A1096" s="10" t="s">
        <v>11</v>
      </c>
      <c r="B1096" s="11">
        <v>45729</v>
      </c>
      <c r="C1096" s="12" t="s">
        <v>12</v>
      </c>
      <c r="D1096" s="12" t="s">
        <v>4</v>
      </c>
      <c r="E1096" s="4" t="s">
        <v>1827</v>
      </c>
      <c r="F1096" s="12" t="s">
        <v>1827</v>
      </c>
    </row>
    <row r="1097" spans="1:6" x14ac:dyDescent="0.3">
      <c r="A1097" s="4"/>
    </row>
    <row r="1098" spans="1:6" ht="15.6" x14ac:dyDescent="0.3">
      <c r="A1098" s="18" t="s">
        <v>983</v>
      </c>
      <c r="B1098" s="19"/>
      <c r="C1098" s="19"/>
      <c r="D1098" s="19"/>
      <c r="E1098" s="19"/>
      <c r="F1098" s="19"/>
    </row>
    <row r="1099" spans="1:6" x14ac:dyDescent="0.3">
      <c r="A1099" s="10" t="s">
        <v>13</v>
      </c>
      <c r="B1099" s="11">
        <v>45729</v>
      </c>
      <c r="C1099" s="12" t="s">
        <v>12</v>
      </c>
      <c r="D1099" s="12" t="s">
        <v>4</v>
      </c>
      <c r="E1099" s="4" t="s">
        <v>1827</v>
      </c>
      <c r="F1099" s="12" t="s">
        <v>1827</v>
      </c>
    </row>
    <row r="1100" spans="1:6" x14ac:dyDescent="0.3">
      <c r="A1100" s="4"/>
    </row>
    <row r="1101" spans="1:6" ht="15.6" x14ac:dyDescent="0.3">
      <c r="A1101" s="18" t="s">
        <v>986</v>
      </c>
      <c r="B1101" s="19"/>
      <c r="C1101" s="19"/>
      <c r="D1101" s="19"/>
      <c r="E1101" s="19"/>
      <c r="F1101" s="19"/>
    </row>
    <row r="1102" spans="1:6" x14ac:dyDescent="0.3">
      <c r="A1102" s="10" t="s">
        <v>13</v>
      </c>
      <c r="B1102" s="11">
        <v>45729</v>
      </c>
      <c r="C1102" s="12" t="s">
        <v>12</v>
      </c>
      <c r="D1102" s="12" t="s">
        <v>4</v>
      </c>
      <c r="E1102" s="4" t="s">
        <v>1827</v>
      </c>
      <c r="F1102" s="12" t="s">
        <v>1827</v>
      </c>
    </row>
    <row r="1103" spans="1:6" x14ac:dyDescent="0.3">
      <c r="A1103" s="4"/>
    </row>
    <row r="1104" spans="1:6" ht="15.6" x14ac:dyDescent="0.3">
      <c r="A1104" s="18" t="s">
        <v>989</v>
      </c>
      <c r="B1104" s="19"/>
      <c r="C1104" s="19"/>
      <c r="D1104" s="19"/>
      <c r="E1104" s="19"/>
      <c r="F1104" s="19"/>
    </row>
    <row r="1105" spans="1:6" x14ac:dyDescent="0.3">
      <c r="A1105" s="10" t="s">
        <v>10</v>
      </c>
      <c r="B1105" s="11">
        <v>45729</v>
      </c>
      <c r="C1105" s="12" t="s">
        <v>12</v>
      </c>
      <c r="D1105" s="12" t="s">
        <v>4</v>
      </c>
      <c r="E1105" s="4" t="s">
        <v>1827</v>
      </c>
      <c r="F1105" s="12" t="s">
        <v>1827</v>
      </c>
    </row>
    <row r="1106" spans="1:6" x14ac:dyDescent="0.3">
      <c r="A1106" s="4"/>
    </row>
    <row r="1107" spans="1:6" ht="15.6" x14ac:dyDescent="0.3">
      <c r="A1107" s="18" t="s">
        <v>992</v>
      </c>
      <c r="B1107" s="19"/>
      <c r="C1107" s="19"/>
      <c r="D1107" s="19"/>
      <c r="E1107" s="19"/>
      <c r="F1107" s="19"/>
    </row>
    <row r="1108" spans="1:6" x14ac:dyDescent="0.3">
      <c r="A1108" s="10" t="s">
        <v>10</v>
      </c>
      <c r="B1108" s="11">
        <v>45729</v>
      </c>
      <c r="C1108" s="12" t="s">
        <v>12</v>
      </c>
      <c r="D1108" s="12" t="s">
        <v>4</v>
      </c>
      <c r="E1108" s="4" t="s">
        <v>1827</v>
      </c>
      <c r="F1108" s="12" t="s">
        <v>1827</v>
      </c>
    </row>
    <row r="1109" spans="1:6" x14ac:dyDescent="0.3">
      <c r="A1109" s="4"/>
    </row>
    <row r="1110" spans="1:6" ht="15.6" x14ac:dyDescent="0.3">
      <c r="A1110" s="18" t="s">
        <v>995</v>
      </c>
      <c r="B1110" s="19"/>
      <c r="C1110" s="19"/>
      <c r="D1110" s="19"/>
      <c r="E1110" s="19"/>
      <c r="F1110" s="19"/>
    </row>
    <row r="1111" spans="1:6" x14ac:dyDescent="0.3">
      <c r="A1111" s="10" t="s">
        <v>10</v>
      </c>
      <c r="B1111" s="11">
        <v>45729</v>
      </c>
      <c r="C1111" s="12" t="s">
        <v>12</v>
      </c>
      <c r="D1111" s="12" t="s">
        <v>4</v>
      </c>
      <c r="E1111" s="4" t="s">
        <v>1827</v>
      </c>
      <c r="F1111" s="12" t="s">
        <v>1827</v>
      </c>
    </row>
    <row r="1112" spans="1:6" x14ac:dyDescent="0.3">
      <c r="A1112" s="4"/>
    </row>
    <row r="1113" spans="1:6" ht="15.6" x14ac:dyDescent="0.3">
      <c r="A1113" s="18" t="s">
        <v>998</v>
      </c>
      <c r="B1113" s="19"/>
      <c r="C1113" s="19"/>
      <c r="D1113" s="19"/>
      <c r="E1113" s="19"/>
      <c r="F1113" s="19"/>
    </row>
    <row r="1114" spans="1:6" x14ac:dyDescent="0.3">
      <c r="A1114" s="10" t="s">
        <v>13</v>
      </c>
      <c r="B1114" s="11">
        <v>45729</v>
      </c>
      <c r="C1114" s="12" t="s">
        <v>12</v>
      </c>
      <c r="D1114" s="12" t="s">
        <v>4</v>
      </c>
      <c r="E1114" s="4" t="s">
        <v>1827</v>
      </c>
      <c r="F1114" s="12" t="s">
        <v>1827</v>
      </c>
    </row>
    <row r="1115" spans="1:6" x14ac:dyDescent="0.3">
      <c r="A1115" s="4"/>
    </row>
    <row r="1116" spans="1:6" ht="15.6" x14ac:dyDescent="0.3">
      <c r="A1116" s="18" t="s">
        <v>1001</v>
      </c>
      <c r="B1116" s="19"/>
      <c r="C1116" s="19"/>
      <c r="D1116" s="19"/>
      <c r="E1116" s="19"/>
      <c r="F1116" s="19"/>
    </row>
    <row r="1117" spans="1:6" x14ac:dyDescent="0.3">
      <c r="A1117" s="10" t="s">
        <v>10</v>
      </c>
      <c r="B1117" s="11">
        <v>45729</v>
      </c>
      <c r="C1117" s="12" t="s">
        <v>12</v>
      </c>
      <c r="D1117" s="12" t="s">
        <v>4</v>
      </c>
      <c r="E1117" s="4" t="s">
        <v>1827</v>
      </c>
      <c r="F1117" s="12" t="s">
        <v>1827</v>
      </c>
    </row>
    <row r="1118" spans="1:6" x14ac:dyDescent="0.3">
      <c r="A1118" s="4"/>
    </row>
    <row r="1119" spans="1:6" ht="15.6" x14ac:dyDescent="0.3">
      <c r="A1119" s="18" t="s">
        <v>1004</v>
      </c>
      <c r="B1119" s="19"/>
      <c r="C1119" s="19"/>
      <c r="D1119" s="19"/>
      <c r="E1119" s="19"/>
      <c r="F1119" s="19"/>
    </row>
    <row r="1120" spans="1:6" x14ac:dyDescent="0.3">
      <c r="A1120" s="10" t="s">
        <v>13</v>
      </c>
      <c r="B1120" s="11">
        <v>45729</v>
      </c>
      <c r="C1120" s="12" t="s">
        <v>12</v>
      </c>
      <c r="D1120" s="12" t="s">
        <v>4</v>
      </c>
      <c r="E1120" s="4" t="s">
        <v>1827</v>
      </c>
      <c r="F1120" s="12" t="s">
        <v>1827</v>
      </c>
    </row>
    <row r="1121" spans="1:6" x14ac:dyDescent="0.3">
      <c r="A1121" s="4"/>
    </row>
    <row r="1122" spans="1:6" ht="15.6" x14ac:dyDescent="0.3">
      <c r="A1122" s="18" t="s">
        <v>1007</v>
      </c>
      <c r="B1122" s="19"/>
      <c r="C1122" s="19"/>
      <c r="D1122" s="19"/>
      <c r="E1122" s="19"/>
      <c r="F1122" s="19"/>
    </row>
    <row r="1123" spans="1:6" x14ac:dyDescent="0.3">
      <c r="A1123" s="10" t="s">
        <v>13</v>
      </c>
      <c r="B1123" s="11">
        <v>45729</v>
      </c>
      <c r="C1123" s="12" t="s">
        <v>12</v>
      </c>
      <c r="D1123" s="12" t="s">
        <v>4</v>
      </c>
      <c r="E1123" s="4" t="s">
        <v>1827</v>
      </c>
      <c r="F1123" s="12" t="s">
        <v>1827</v>
      </c>
    </row>
    <row r="1124" spans="1:6" x14ac:dyDescent="0.3">
      <c r="A1124" s="4"/>
    </row>
    <row r="1125" spans="1:6" ht="15.6" x14ac:dyDescent="0.3">
      <c r="A1125" s="18" t="s">
        <v>1010</v>
      </c>
      <c r="B1125" s="19"/>
      <c r="C1125" s="19"/>
      <c r="D1125" s="19"/>
      <c r="E1125" s="19"/>
      <c r="F1125" s="19"/>
    </row>
    <row r="1126" spans="1:6" x14ac:dyDescent="0.3">
      <c r="A1126" s="10" t="s">
        <v>13</v>
      </c>
      <c r="B1126" s="11">
        <v>45729</v>
      </c>
      <c r="C1126" s="12" t="s">
        <v>12</v>
      </c>
      <c r="D1126" s="12" t="s">
        <v>4</v>
      </c>
      <c r="E1126" s="4" t="s">
        <v>1827</v>
      </c>
      <c r="F1126" s="12" t="s">
        <v>1827</v>
      </c>
    </row>
    <row r="1127" spans="1:6" x14ac:dyDescent="0.3">
      <c r="A1127" s="4"/>
    </row>
    <row r="1128" spans="1:6" ht="15.6" x14ac:dyDescent="0.3">
      <c r="A1128" s="18" t="s">
        <v>1013</v>
      </c>
      <c r="B1128" s="19"/>
      <c r="C1128" s="19"/>
      <c r="D1128" s="19"/>
      <c r="E1128" s="19"/>
      <c r="F1128" s="19"/>
    </row>
    <row r="1129" spans="1:6" x14ac:dyDescent="0.3">
      <c r="A1129" s="10" t="s">
        <v>13</v>
      </c>
      <c r="B1129" s="11">
        <v>45729</v>
      </c>
      <c r="C1129" s="12" t="s">
        <v>12</v>
      </c>
      <c r="D1129" s="12" t="s">
        <v>4</v>
      </c>
      <c r="E1129" s="4" t="s">
        <v>1827</v>
      </c>
      <c r="F1129" s="12" t="s">
        <v>1827</v>
      </c>
    </row>
    <row r="1130" spans="1:6" x14ac:dyDescent="0.3">
      <c r="A1130" s="4"/>
    </row>
    <row r="1131" spans="1:6" ht="15.6" x14ac:dyDescent="0.3">
      <c r="A1131" s="18" t="s">
        <v>1016</v>
      </c>
      <c r="B1131" s="19"/>
      <c r="C1131" s="19"/>
      <c r="D1131" s="19"/>
      <c r="E1131" s="19"/>
      <c r="F1131" s="19"/>
    </row>
    <row r="1132" spans="1:6" x14ac:dyDescent="0.3">
      <c r="A1132" s="10" t="s">
        <v>13</v>
      </c>
      <c r="B1132" s="11">
        <v>45729</v>
      </c>
      <c r="C1132" s="12" t="s">
        <v>12</v>
      </c>
      <c r="D1132" s="12" t="s">
        <v>4</v>
      </c>
      <c r="E1132" s="4" t="s">
        <v>1827</v>
      </c>
      <c r="F1132" s="12" t="s">
        <v>1827</v>
      </c>
    </row>
    <row r="1133" spans="1:6" x14ac:dyDescent="0.3">
      <c r="A1133" s="4"/>
    </row>
    <row r="1134" spans="1:6" ht="15.6" x14ac:dyDescent="0.3">
      <c r="A1134" s="18" t="s">
        <v>1019</v>
      </c>
      <c r="B1134" s="19"/>
      <c r="C1134" s="19"/>
      <c r="D1134" s="19"/>
      <c r="E1134" s="19"/>
      <c r="F1134" s="19"/>
    </row>
    <row r="1135" spans="1:6" x14ac:dyDescent="0.3">
      <c r="A1135" s="10" t="s">
        <v>13</v>
      </c>
      <c r="B1135" s="11">
        <v>45742</v>
      </c>
      <c r="C1135" s="12" t="s">
        <v>12</v>
      </c>
      <c r="D1135" s="12" t="s">
        <v>4</v>
      </c>
      <c r="E1135" s="4" t="s">
        <v>1827</v>
      </c>
      <c r="F1135" s="12" t="s">
        <v>1827</v>
      </c>
    </row>
    <row r="1136" spans="1:6" x14ac:dyDescent="0.3">
      <c r="A1136" s="4"/>
    </row>
    <row r="1137" spans="1:6" ht="15.6" x14ac:dyDescent="0.3">
      <c r="A1137" s="18" t="s">
        <v>1022</v>
      </c>
      <c r="B1137" s="19"/>
      <c r="C1137" s="19"/>
      <c r="D1137" s="19"/>
      <c r="E1137" s="19"/>
      <c r="F1137" s="19"/>
    </row>
    <row r="1138" spans="1:6" x14ac:dyDescent="0.3">
      <c r="A1138" s="10" t="s">
        <v>10</v>
      </c>
      <c r="B1138" s="11">
        <v>45729</v>
      </c>
      <c r="C1138" s="12" t="s">
        <v>12</v>
      </c>
      <c r="D1138" s="12" t="s">
        <v>24</v>
      </c>
      <c r="E1138" s="11">
        <v>45735</v>
      </c>
      <c r="F1138" s="12" t="s">
        <v>1023</v>
      </c>
    </row>
    <row r="1139" spans="1:6" x14ac:dyDescent="0.3">
      <c r="B1139" s="11">
        <v>45742</v>
      </c>
      <c r="C1139" s="12" t="s">
        <v>12</v>
      </c>
      <c r="D1139" s="12" t="s">
        <v>4</v>
      </c>
      <c r="E1139" s="4" t="s">
        <v>1827</v>
      </c>
      <c r="F1139" s="12" t="s">
        <v>1827</v>
      </c>
    </row>
    <row r="1140" spans="1:6" x14ac:dyDescent="0.3">
      <c r="A1140" s="4"/>
    </row>
    <row r="1141" spans="1:6" ht="15.6" x14ac:dyDescent="0.3">
      <c r="A1141" s="18" t="s">
        <v>1026</v>
      </c>
      <c r="B1141" s="19"/>
      <c r="C1141" s="19"/>
      <c r="D1141" s="19"/>
      <c r="E1141" s="19"/>
      <c r="F1141" s="19"/>
    </row>
    <row r="1142" spans="1:6" x14ac:dyDescent="0.3">
      <c r="A1142" s="10" t="s">
        <v>10</v>
      </c>
      <c r="B1142" s="11">
        <v>45742</v>
      </c>
      <c r="C1142" s="12" t="s">
        <v>12</v>
      </c>
      <c r="D1142" s="12" t="s">
        <v>4</v>
      </c>
      <c r="E1142" s="4" t="s">
        <v>1827</v>
      </c>
      <c r="F1142" s="12" t="s">
        <v>1827</v>
      </c>
    </row>
    <row r="1143" spans="1:6" x14ac:dyDescent="0.3">
      <c r="A1143" s="4"/>
    </row>
    <row r="1144" spans="1:6" ht="15.6" x14ac:dyDescent="0.3">
      <c r="A1144" s="18" t="s">
        <v>1030</v>
      </c>
      <c r="B1144" s="19"/>
      <c r="C1144" s="19"/>
      <c r="D1144" s="19"/>
      <c r="E1144" s="19"/>
      <c r="F1144" s="19"/>
    </row>
    <row r="1145" spans="1:6" x14ac:dyDescent="0.3">
      <c r="A1145" s="10" t="s">
        <v>13</v>
      </c>
      <c r="B1145" s="11">
        <v>45742</v>
      </c>
      <c r="C1145" s="12" t="s">
        <v>12</v>
      </c>
      <c r="D1145" s="12" t="s">
        <v>4</v>
      </c>
      <c r="E1145" s="4" t="s">
        <v>1827</v>
      </c>
      <c r="F1145" s="12" t="s">
        <v>1827</v>
      </c>
    </row>
    <row r="1146" spans="1:6" x14ac:dyDescent="0.3">
      <c r="A1146" s="4"/>
    </row>
    <row r="1147" spans="1:6" ht="15.6" x14ac:dyDescent="0.3">
      <c r="A1147" s="18" t="s">
        <v>1033</v>
      </c>
      <c r="B1147" s="19"/>
      <c r="C1147" s="19"/>
      <c r="D1147" s="19"/>
      <c r="E1147" s="19"/>
      <c r="F1147" s="19"/>
    </row>
    <row r="1148" spans="1:6" x14ac:dyDescent="0.3">
      <c r="A1148" s="10" t="s">
        <v>13</v>
      </c>
      <c r="B1148" s="11">
        <v>45742</v>
      </c>
      <c r="C1148" s="12" t="s">
        <v>12</v>
      </c>
      <c r="D1148" s="12" t="s">
        <v>4</v>
      </c>
      <c r="E1148" s="4" t="s">
        <v>1827</v>
      </c>
      <c r="F1148" s="12" t="s">
        <v>1827</v>
      </c>
    </row>
    <row r="1149" spans="1:6" x14ac:dyDescent="0.3">
      <c r="A1149" s="4"/>
    </row>
    <row r="1150" spans="1:6" ht="15.6" x14ac:dyDescent="0.3">
      <c r="A1150" s="18" t="s">
        <v>1036</v>
      </c>
      <c r="B1150" s="19"/>
      <c r="C1150" s="19"/>
      <c r="D1150" s="19"/>
      <c r="E1150" s="19"/>
      <c r="F1150" s="19"/>
    </row>
    <row r="1151" spans="1:6" x14ac:dyDescent="0.3">
      <c r="A1151" s="10" t="s">
        <v>676</v>
      </c>
      <c r="B1151" s="11">
        <v>45729</v>
      </c>
      <c r="C1151" s="12" t="s">
        <v>12</v>
      </c>
      <c r="D1151" s="12" t="s">
        <v>4</v>
      </c>
      <c r="E1151" s="4" t="s">
        <v>1827</v>
      </c>
      <c r="F1151" s="12" t="s">
        <v>1827</v>
      </c>
    </row>
    <row r="1152" spans="1:6" x14ac:dyDescent="0.3">
      <c r="A1152" s="4"/>
    </row>
    <row r="1153" spans="1:6" ht="15.6" x14ac:dyDescent="0.3">
      <c r="A1153" s="18" t="s">
        <v>1039</v>
      </c>
      <c r="B1153" s="19"/>
      <c r="C1153" s="19"/>
      <c r="D1153" s="19"/>
      <c r="E1153" s="19"/>
      <c r="F1153" s="19"/>
    </row>
    <row r="1154" spans="1:6" x14ac:dyDescent="0.3">
      <c r="A1154" s="10" t="s">
        <v>10</v>
      </c>
      <c r="B1154" s="11">
        <v>45742</v>
      </c>
      <c r="C1154" s="12" t="s">
        <v>12</v>
      </c>
      <c r="D1154" s="12" t="s">
        <v>4</v>
      </c>
      <c r="E1154" s="4" t="s">
        <v>1827</v>
      </c>
      <c r="F1154" s="12" t="s">
        <v>1827</v>
      </c>
    </row>
    <row r="1155" spans="1:6" x14ac:dyDescent="0.3">
      <c r="A1155" s="4"/>
    </row>
    <row r="1156" spans="1:6" ht="15.6" x14ac:dyDescent="0.3">
      <c r="A1156" s="18" t="s">
        <v>1042</v>
      </c>
      <c r="B1156" s="19"/>
      <c r="C1156" s="19"/>
      <c r="D1156" s="19"/>
      <c r="E1156" s="19"/>
      <c r="F1156" s="19"/>
    </row>
    <row r="1157" spans="1:6" x14ac:dyDescent="0.3">
      <c r="A1157" s="10" t="s">
        <v>10</v>
      </c>
      <c r="B1157" s="11">
        <v>45742</v>
      </c>
      <c r="C1157" s="12" t="s">
        <v>12</v>
      </c>
      <c r="D1157" s="12" t="s">
        <v>4</v>
      </c>
      <c r="E1157" s="4" t="s">
        <v>1827</v>
      </c>
      <c r="F1157" s="12" t="s">
        <v>1827</v>
      </c>
    </row>
    <row r="1158" spans="1:6" x14ac:dyDescent="0.3">
      <c r="A1158" s="4"/>
    </row>
    <row r="1159" spans="1:6" ht="15.6" x14ac:dyDescent="0.3">
      <c r="A1159" s="18" t="s">
        <v>1045</v>
      </c>
      <c r="B1159" s="19"/>
      <c r="C1159" s="19"/>
      <c r="D1159" s="19"/>
      <c r="E1159" s="19"/>
      <c r="F1159" s="19"/>
    </row>
    <row r="1160" spans="1:6" x14ac:dyDescent="0.3">
      <c r="A1160" s="10" t="s">
        <v>10</v>
      </c>
      <c r="B1160" s="11">
        <v>45742</v>
      </c>
      <c r="C1160" s="12" t="s">
        <v>12</v>
      </c>
      <c r="D1160" s="12" t="s">
        <v>4</v>
      </c>
      <c r="E1160" s="4" t="s">
        <v>1827</v>
      </c>
      <c r="F1160" s="12" t="s">
        <v>1827</v>
      </c>
    </row>
    <row r="1161" spans="1:6" x14ac:dyDescent="0.3">
      <c r="A1161" s="4"/>
    </row>
    <row r="1162" spans="1:6" ht="15.6" x14ac:dyDescent="0.3">
      <c r="A1162" s="18" t="s">
        <v>1048</v>
      </c>
      <c r="B1162" s="19"/>
      <c r="C1162" s="19"/>
      <c r="D1162" s="19"/>
      <c r="E1162" s="19"/>
      <c r="F1162" s="19"/>
    </row>
    <row r="1163" spans="1:6" x14ac:dyDescent="0.3">
      <c r="A1163" s="10" t="s">
        <v>10</v>
      </c>
      <c r="B1163" s="11">
        <v>45729</v>
      </c>
      <c r="C1163" s="12" t="s">
        <v>12</v>
      </c>
      <c r="D1163" s="12" t="s">
        <v>4</v>
      </c>
      <c r="E1163" s="4" t="s">
        <v>1827</v>
      </c>
      <c r="F1163" s="12" t="s">
        <v>1827</v>
      </c>
    </row>
    <row r="1164" spans="1:6" x14ac:dyDescent="0.3">
      <c r="A1164" s="4"/>
    </row>
    <row r="1165" spans="1:6" ht="15.6" x14ac:dyDescent="0.3">
      <c r="A1165" s="18" t="s">
        <v>1050</v>
      </c>
      <c r="B1165" s="19"/>
      <c r="C1165" s="19"/>
      <c r="D1165" s="19"/>
      <c r="E1165" s="19"/>
      <c r="F1165" s="19"/>
    </row>
    <row r="1166" spans="1:6" x14ac:dyDescent="0.3">
      <c r="A1166" s="10" t="s">
        <v>10</v>
      </c>
      <c r="B1166" s="11">
        <v>45742</v>
      </c>
      <c r="C1166" s="12" t="s">
        <v>12</v>
      </c>
      <c r="D1166" s="12" t="s">
        <v>4</v>
      </c>
      <c r="E1166" s="4" t="s">
        <v>1827</v>
      </c>
      <c r="F1166" s="12" t="s">
        <v>1827</v>
      </c>
    </row>
    <row r="1167" spans="1:6" x14ac:dyDescent="0.3">
      <c r="A1167" s="4"/>
    </row>
    <row r="1168" spans="1:6" ht="15.6" x14ac:dyDescent="0.3">
      <c r="A1168" s="18" t="s">
        <v>1799</v>
      </c>
      <c r="B1168" s="19"/>
      <c r="C1168" s="19"/>
      <c r="D1168" s="19"/>
      <c r="E1168" s="19"/>
      <c r="F1168" s="19"/>
    </row>
    <row r="1169" spans="1:6" x14ac:dyDescent="0.3">
      <c r="A1169" s="10" t="s">
        <v>10</v>
      </c>
      <c r="B1169" s="11">
        <v>45744</v>
      </c>
      <c r="C1169" s="12" t="s">
        <v>12</v>
      </c>
      <c r="D1169" s="12" t="s">
        <v>24</v>
      </c>
      <c r="E1169" s="11">
        <v>45748</v>
      </c>
      <c r="F1169" s="12" t="s">
        <v>1827</v>
      </c>
    </row>
    <row r="1170" spans="1:6" x14ac:dyDescent="0.3">
      <c r="A1170" s="4"/>
    </row>
    <row r="1171" spans="1:6" ht="15.6" x14ac:dyDescent="0.3">
      <c r="A1171" s="18" t="s">
        <v>1802</v>
      </c>
      <c r="B1171" s="19"/>
      <c r="C1171" s="19"/>
      <c r="D1171" s="19"/>
      <c r="E1171" s="19"/>
      <c r="F1171" s="19"/>
    </row>
    <row r="1172" spans="1:6" x14ac:dyDescent="0.3">
      <c r="A1172" s="10" t="s">
        <v>10</v>
      </c>
      <c r="B1172" s="11">
        <v>45744</v>
      </c>
      <c r="C1172" s="12" t="s">
        <v>12</v>
      </c>
      <c r="D1172" s="12" t="s">
        <v>24</v>
      </c>
      <c r="E1172" s="11">
        <v>45748</v>
      </c>
      <c r="F1172" s="12" t="s">
        <v>1832</v>
      </c>
    </row>
    <row r="1173" spans="1:6" x14ac:dyDescent="0.3">
      <c r="A1173" s="4"/>
    </row>
    <row r="1174" spans="1:6" ht="15.6" x14ac:dyDescent="0.3">
      <c r="A1174" s="18" t="s">
        <v>1805</v>
      </c>
      <c r="B1174" s="19"/>
      <c r="C1174" s="19"/>
      <c r="D1174" s="19"/>
      <c r="E1174" s="19"/>
      <c r="F1174" s="19"/>
    </row>
    <row r="1175" spans="1:6" x14ac:dyDescent="0.3">
      <c r="A1175" s="10" t="s">
        <v>10</v>
      </c>
      <c r="B1175" s="11">
        <v>45744</v>
      </c>
      <c r="C1175" s="12" t="s">
        <v>12</v>
      </c>
      <c r="D1175" s="12" t="s">
        <v>24</v>
      </c>
      <c r="E1175" s="11">
        <v>45747</v>
      </c>
      <c r="F1175" s="12" t="s">
        <v>1827</v>
      </c>
    </row>
    <row r="1176" spans="1:6" x14ac:dyDescent="0.3">
      <c r="A1176" s="4"/>
    </row>
    <row r="1177" spans="1:6" ht="15.6" x14ac:dyDescent="0.3">
      <c r="A1177" s="18" t="s">
        <v>1931</v>
      </c>
      <c r="B1177" s="19"/>
      <c r="C1177" s="19"/>
      <c r="D1177" s="19"/>
      <c r="E1177" s="19"/>
      <c r="F1177" s="19"/>
    </row>
    <row r="1178" spans="1:6" x14ac:dyDescent="0.3">
      <c r="A1178" s="10" t="s">
        <v>10</v>
      </c>
      <c r="B1178" s="11">
        <v>45748</v>
      </c>
      <c r="C1178" s="12" t="s">
        <v>12</v>
      </c>
      <c r="D1178" s="12" t="s">
        <v>24</v>
      </c>
      <c r="E1178" s="11">
        <v>45748</v>
      </c>
      <c r="F1178" s="12" t="s">
        <v>1930</v>
      </c>
    </row>
    <row r="1179" spans="1:6" x14ac:dyDescent="0.3">
      <c r="A1179" s="4"/>
    </row>
    <row r="1180" spans="1:6" ht="15.6" x14ac:dyDescent="0.3">
      <c r="A1180" s="18" t="s">
        <v>1808</v>
      </c>
      <c r="B1180" s="19"/>
      <c r="C1180" s="19"/>
      <c r="D1180" s="19"/>
      <c r="E1180" s="19"/>
      <c r="F1180" s="19"/>
    </row>
    <row r="1181" spans="1:6" x14ac:dyDescent="0.3">
      <c r="A1181" s="10" t="s">
        <v>11</v>
      </c>
      <c r="B1181" s="11">
        <v>45744</v>
      </c>
      <c r="C1181" s="12" t="s">
        <v>12</v>
      </c>
      <c r="D1181" s="12" t="s">
        <v>21</v>
      </c>
      <c r="E1181" s="11">
        <v>45747</v>
      </c>
      <c r="F1181" s="12" t="s">
        <v>1819</v>
      </c>
    </row>
    <row r="1182" spans="1:6" ht="28.8" x14ac:dyDescent="0.3">
      <c r="B1182" s="11">
        <v>45757</v>
      </c>
      <c r="C1182" s="12" t="s">
        <v>2013</v>
      </c>
      <c r="D1182" s="12" t="s">
        <v>21</v>
      </c>
      <c r="E1182" s="11">
        <v>45757</v>
      </c>
      <c r="F1182" s="12" t="s">
        <v>1785</v>
      </c>
    </row>
    <row r="1183" spans="1:6" x14ac:dyDescent="0.3">
      <c r="A1183" s="10" t="s">
        <v>418</v>
      </c>
      <c r="B1183" s="11">
        <v>45757</v>
      </c>
      <c r="C1183" s="12" t="s">
        <v>12</v>
      </c>
      <c r="D1183" s="12" t="s">
        <v>4</v>
      </c>
      <c r="E1183" s="4" t="s">
        <v>1827</v>
      </c>
      <c r="F1183" s="12" t="s">
        <v>1827</v>
      </c>
    </row>
    <row r="1184" spans="1:6" x14ac:dyDescent="0.3">
      <c r="A1184" s="4"/>
    </row>
    <row r="1185" spans="1:6" ht="15.6" x14ac:dyDescent="0.3">
      <c r="A1185" s="18" t="s">
        <v>1053</v>
      </c>
      <c r="B1185" s="19"/>
      <c r="C1185" s="19"/>
      <c r="D1185" s="19"/>
      <c r="E1185" s="19"/>
      <c r="F1185" s="19"/>
    </row>
    <row r="1186" spans="1:6" x14ac:dyDescent="0.3">
      <c r="A1186" s="10" t="s">
        <v>10</v>
      </c>
      <c r="B1186" s="11">
        <v>45729</v>
      </c>
      <c r="C1186" s="12" t="s">
        <v>12</v>
      </c>
      <c r="D1186" s="12" t="s">
        <v>4</v>
      </c>
      <c r="E1186" s="4" t="s">
        <v>1827</v>
      </c>
      <c r="F1186" s="12" t="s">
        <v>1827</v>
      </c>
    </row>
    <row r="1187" spans="1:6" x14ac:dyDescent="0.3">
      <c r="A1187" s="4"/>
    </row>
    <row r="1188" spans="1:6" ht="15.6" x14ac:dyDescent="0.3">
      <c r="A1188" s="18" t="s">
        <v>1056</v>
      </c>
      <c r="B1188" s="19"/>
      <c r="C1188" s="19"/>
      <c r="D1188" s="19"/>
      <c r="E1188" s="19"/>
      <c r="F1188" s="19"/>
    </row>
    <row r="1189" spans="1:6" x14ac:dyDescent="0.3">
      <c r="A1189" s="10" t="s">
        <v>11</v>
      </c>
      <c r="B1189" s="11">
        <v>45729</v>
      </c>
      <c r="C1189" s="12" t="s">
        <v>12</v>
      </c>
      <c r="D1189" s="12" t="s">
        <v>4</v>
      </c>
      <c r="E1189" s="4" t="s">
        <v>1827</v>
      </c>
      <c r="F1189" s="12" t="s">
        <v>1827</v>
      </c>
    </row>
    <row r="1190" spans="1:6" x14ac:dyDescent="0.3">
      <c r="A1190" s="4"/>
    </row>
    <row r="1191" spans="1:6" ht="15.6" x14ac:dyDescent="0.3">
      <c r="A1191" s="18" t="s">
        <v>1059</v>
      </c>
      <c r="B1191" s="19"/>
      <c r="C1191" s="19"/>
      <c r="D1191" s="19"/>
      <c r="E1191" s="19"/>
      <c r="F1191" s="19"/>
    </row>
    <row r="1192" spans="1:6" x14ac:dyDescent="0.3">
      <c r="A1192" s="10" t="s">
        <v>10</v>
      </c>
      <c r="B1192" s="11">
        <v>45729</v>
      </c>
      <c r="C1192" s="12" t="s">
        <v>12</v>
      </c>
      <c r="D1192" s="12" t="s">
        <v>4</v>
      </c>
      <c r="E1192" s="4" t="s">
        <v>1827</v>
      </c>
      <c r="F1192" s="12" t="s">
        <v>1827</v>
      </c>
    </row>
    <row r="1193" spans="1:6" x14ac:dyDescent="0.3">
      <c r="A1193" s="4"/>
    </row>
    <row r="1194" spans="1:6" ht="15.6" x14ac:dyDescent="0.3">
      <c r="A1194" s="18" t="s">
        <v>1062</v>
      </c>
      <c r="B1194" s="19"/>
      <c r="C1194" s="19"/>
      <c r="D1194" s="19"/>
      <c r="E1194" s="19"/>
      <c r="F1194" s="19"/>
    </row>
    <row r="1195" spans="1:6" x14ac:dyDescent="0.3">
      <c r="A1195" s="10" t="s">
        <v>10</v>
      </c>
      <c r="B1195" s="11">
        <v>45729</v>
      </c>
      <c r="C1195" s="12" t="s">
        <v>12</v>
      </c>
      <c r="D1195" s="12" t="s">
        <v>4</v>
      </c>
      <c r="E1195" s="4" t="s">
        <v>1827</v>
      </c>
      <c r="F1195" s="12" t="s">
        <v>1827</v>
      </c>
    </row>
    <row r="1196" spans="1:6" x14ac:dyDescent="0.3">
      <c r="A1196" s="4"/>
    </row>
    <row r="1197" spans="1:6" ht="15.6" x14ac:dyDescent="0.3">
      <c r="A1197" s="18" t="s">
        <v>1065</v>
      </c>
      <c r="B1197" s="19"/>
      <c r="C1197" s="19"/>
      <c r="D1197" s="19"/>
      <c r="E1197" s="19"/>
      <c r="F1197" s="19"/>
    </row>
    <row r="1198" spans="1:6" x14ac:dyDescent="0.3">
      <c r="A1198" s="10" t="s">
        <v>13</v>
      </c>
      <c r="B1198" s="11">
        <v>45729</v>
      </c>
      <c r="C1198" s="12" t="s">
        <v>12</v>
      </c>
      <c r="D1198" s="12" t="s">
        <v>4</v>
      </c>
      <c r="E1198" s="4" t="s">
        <v>1827</v>
      </c>
      <c r="F1198" s="12" t="s">
        <v>1827</v>
      </c>
    </row>
    <row r="1199" spans="1:6" x14ac:dyDescent="0.3">
      <c r="A1199" s="4"/>
    </row>
    <row r="1200" spans="1:6" ht="15.6" x14ac:dyDescent="0.3">
      <c r="A1200" s="18" t="s">
        <v>1068</v>
      </c>
      <c r="B1200" s="19"/>
      <c r="C1200" s="19"/>
      <c r="D1200" s="19"/>
      <c r="E1200" s="19"/>
      <c r="F1200" s="19"/>
    </row>
    <row r="1201" spans="1:6" x14ac:dyDescent="0.3">
      <c r="A1201" s="10" t="s">
        <v>13</v>
      </c>
      <c r="B1201" s="11">
        <v>45729</v>
      </c>
      <c r="C1201" s="12" t="s">
        <v>12</v>
      </c>
      <c r="D1201" s="12" t="s">
        <v>4</v>
      </c>
      <c r="E1201" s="4" t="s">
        <v>1827</v>
      </c>
      <c r="F1201" s="12" t="s">
        <v>1827</v>
      </c>
    </row>
    <row r="1202" spans="1:6" x14ac:dyDescent="0.3">
      <c r="A1202" s="4"/>
    </row>
    <row r="1203" spans="1:6" ht="15.6" x14ac:dyDescent="0.3">
      <c r="A1203" s="18" t="s">
        <v>1071</v>
      </c>
      <c r="B1203" s="19"/>
      <c r="C1203" s="19"/>
      <c r="D1203" s="19"/>
      <c r="E1203" s="19"/>
      <c r="F1203" s="19"/>
    </row>
    <row r="1204" spans="1:6" x14ac:dyDescent="0.3">
      <c r="A1204" s="10" t="s">
        <v>10</v>
      </c>
      <c r="B1204" s="11">
        <v>45729</v>
      </c>
      <c r="C1204" s="12" t="s">
        <v>12</v>
      </c>
      <c r="D1204" s="12" t="s">
        <v>24</v>
      </c>
      <c r="E1204" s="11">
        <v>45748</v>
      </c>
      <c r="F1204" s="12" t="s">
        <v>1827</v>
      </c>
    </row>
    <row r="1205" spans="1:6" x14ac:dyDescent="0.3">
      <c r="A1205" s="4"/>
    </row>
    <row r="1206" spans="1:6" ht="15.6" x14ac:dyDescent="0.3">
      <c r="A1206" s="18" t="s">
        <v>1074</v>
      </c>
      <c r="B1206" s="19"/>
      <c r="C1206" s="19"/>
      <c r="D1206" s="19"/>
      <c r="E1206" s="19"/>
      <c r="F1206" s="19"/>
    </row>
    <row r="1207" spans="1:6" x14ac:dyDescent="0.3">
      <c r="A1207" s="10" t="s">
        <v>11</v>
      </c>
      <c r="B1207" s="11">
        <v>45729</v>
      </c>
      <c r="C1207" s="12" t="s">
        <v>12</v>
      </c>
      <c r="D1207" s="12" t="s">
        <v>21</v>
      </c>
      <c r="E1207" s="11">
        <v>45748</v>
      </c>
      <c r="F1207" s="12" t="s">
        <v>1833</v>
      </c>
    </row>
    <row r="1208" spans="1:6" ht="28.8" x14ac:dyDescent="0.3">
      <c r="B1208" s="11">
        <v>45748</v>
      </c>
      <c r="C1208" s="12" t="s">
        <v>22</v>
      </c>
      <c r="D1208" s="12" t="s">
        <v>4</v>
      </c>
      <c r="E1208" s="4" t="s">
        <v>1827</v>
      </c>
      <c r="F1208" s="12" t="s">
        <v>1827</v>
      </c>
    </row>
    <row r="1209" spans="1:6" x14ac:dyDescent="0.3">
      <c r="A1209" s="4"/>
    </row>
    <row r="1210" spans="1:6" ht="15.6" x14ac:dyDescent="0.3">
      <c r="A1210" s="18" t="s">
        <v>1077</v>
      </c>
      <c r="B1210" s="19"/>
      <c r="C1210" s="19"/>
      <c r="D1210" s="19"/>
      <c r="E1210" s="19"/>
      <c r="F1210" s="19"/>
    </row>
    <row r="1211" spans="1:6" x14ac:dyDescent="0.3">
      <c r="A1211" s="10" t="s">
        <v>13</v>
      </c>
      <c r="B1211" s="11">
        <v>45742</v>
      </c>
      <c r="C1211" s="12" t="s">
        <v>12</v>
      </c>
      <c r="D1211" s="12" t="s">
        <v>4</v>
      </c>
      <c r="E1211" s="4" t="s">
        <v>1827</v>
      </c>
      <c r="F1211" s="12" t="s">
        <v>1827</v>
      </c>
    </row>
    <row r="1212" spans="1:6" x14ac:dyDescent="0.3">
      <c r="A1212" s="4"/>
    </row>
    <row r="1213" spans="1:6" ht="15.6" x14ac:dyDescent="0.3">
      <c r="A1213" s="18" t="s">
        <v>1080</v>
      </c>
      <c r="B1213" s="19"/>
      <c r="C1213" s="19"/>
      <c r="D1213" s="19"/>
      <c r="E1213" s="19"/>
      <c r="F1213" s="19"/>
    </row>
    <row r="1214" spans="1:6" x14ac:dyDescent="0.3">
      <c r="A1214" s="10" t="s">
        <v>10</v>
      </c>
      <c r="B1214" s="11">
        <v>45729</v>
      </c>
      <c r="C1214" s="12" t="s">
        <v>12</v>
      </c>
      <c r="D1214" s="12" t="s">
        <v>4</v>
      </c>
      <c r="E1214" s="4" t="s">
        <v>1827</v>
      </c>
      <c r="F1214" s="12" t="s">
        <v>1827</v>
      </c>
    </row>
    <row r="1215" spans="1:6" x14ac:dyDescent="0.3">
      <c r="A1215" s="4"/>
    </row>
    <row r="1216" spans="1:6" ht="15.6" x14ac:dyDescent="0.3">
      <c r="A1216" s="18" t="s">
        <v>1083</v>
      </c>
      <c r="B1216" s="19"/>
      <c r="C1216" s="19"/>
      <c r="D1216" s="19"/>
      <c r="E1216" s="19"/>
      <c r="F1216" s="19"/>
    </row>
    <row r="1217" spans="1:6" x14ac:dyDescent="0.3">
      <c r="A1217" s="10" t="s">
        <v>835</v>
      </c>
      <c r="B1217" s="11">
        <v>45764</v>
      </c>
      <c r="C1217" s="12" t="s">
        <v>12</v>
      </c>
      <c r="D1217" s="12" t="s">
        <v>4</v>
      </c>
      <c r="E1217" s="4" t="s">
        <v>1827</v>
      </c>
      <c r="F1217" s="12" t="s">
        <v>1827</v>
      </c>
    </row>
    <row r="1218" spans="1:6" x14ac:dyDescent="0.3">
      <c r="A1218" s="4"/>
    </row>
    <row r="1219" spans="1:6" ht="15.6" x14ac:dyDescent="0.3">
      <c r="A1219" s="18" t="s">
        <v>1086</v>
      </c>
      <c r="B1219" s="19"/>
      <c r="C1219" s="19"/>
      <c r="D1219" s="19"/>
      <c r="E1219" s="19"/>
      <c r="F1219" s="19"/>
    </row>
    <row r="1220" spans="1:6" x14ac:dyDescent="0.3">
      <c r="A1220" s="10" t="s">
        <v>13</v>
      </c>
      <c r="B1220" s="11">
        <v>45742</v>
      </c>
      <c r="C1220" s="12" t="s">
        <v>12</v>
      </c>
      <c r="D1220" s="12" t="s">
        <v>4</v>
      </c>
      <c r="E1220" s="4" t="s">
        <v>1827</v>
      </c>
      <c r="F1220" s="12" t="s">
        <v>1827</v>
      </c>
    </row>
    <row r="1221" spans="1:6" x14ac:dyDescent="0.3">
      <c r="A1221" s="4"/>
    </row>
    <row r="1222" spans="1:6" ht="15.6" x14ac:dyDescent="0.3">
      <c r="A1222" s="18" t="s">
        <v>1089</v>
      </c>
      <c r="B1222" s="19"/>
      <c r="C1222" s="19"/>
      <c r="D1222" s="19"/>
      <c r="E1222" s="19"/>
      <c r="F1222" s="19"/>
    </row>
    <row r="1223" spans="1:6" x14ac:dyDescent="0.3">
      <c r="A1223" s="10" t="s">
        <v>11</v>
      </c>
      <c r="B1223" s="11">
        <v>45729</v>
      </c>
      <c r="C1223" s="12" t="s">
        <v>12</v>
      </c>
      <c r="D1223" s="12" t="s">
        <v>4</v>
      </c>
      <c r="E1223" s="4" t="s">
        <v>1827</v>
      </c>
      <c r="F1223" s="12" t="s">
        <v>1827</v>
      </c>
    </row>
    <row r="1224" spans="1:6" x14ac:dyDescent="0.3">
      <c r="A1224" s="4"/>
    </row>
    <row r="1225" spans="1:6" ht="15.6" x14ac:dyDescent="0.3">
      <c r="A1225" s="18" t="s">
        <v>2016</v>
      </c>
      <c r="B1225" s="19"/>
      <c r="C1225" s="19"/>
      <c r="D1225" s="19"/>
      <c r="E1225" s="19"/>
      <c r="F1225" s="19"/>
    </row>
    <row r="1226" spans="1:6" x14ac:dyDescent="0.3">
      <c r="A1226" s="10" t="s">
        <v>13</v>
      </c>
      <c r="B1226" s="11">
        <v>45757</v>
      </c>
      <c r="C1226" s="12" t="s">
        <v>12</v>
      </c>
      <c r="D1226" s="12" t="s">
        <v>4</v>
      </c>
      <c r="E1226" s="4" t="s">
        <v>1827</v>
      </c>
      <c r="F1226" s="12" t="s">
        <v>1827</v>
      </c>
    </row>
    <row r="1227" spans="1:6" x14ac:dyDescent="0.3">
      <c r="A1227" s="4"/>
    </row>
    <row r="1228" spans="1:6" ht="15.6" x14ac:dyDescent="0.3">
      <c r="A1228" s="18" t="s">
        <v>1092</v>
      </c>
      <c r="B1228" s="19"/>
      <c r="C1228" s="19"/>
      <c r="D1228" s="19"/>
      <c r="E1228" s="19"/>
      <c r="F1228" s="19"/>
    </row>
    <row r="1229" spans="1:6" x14ac:dyDescent="0.3">
      <c r="A1229" s="10" t="s">
        <v>13</v>
      </c>
      <c r="B1229" s="11">
        <v>45729</v>
      </c>
      <c r="C1229" s="12" t="s">
        <v>12</v>
      </c>
      <c r="D1229" s="12" t="s">
        <v>24</v>
      </c>
      <c r="E1229" s="11">
        <v>45748</v>
      </c>
      <c r="F1229" s="12" t="s">
        <v>1785</v>
      </c>
    </row>
    <row r="1230" spans="1:6" x14ac:dyDescent="0.3">
      <c r="A1230" s="4"/>
    </row>
    <row r="1231" spans="1:6" ht="15.6" x14ac:dyDescent="0.3">
      <c r="A1231" s="18" t="s">
        <v>1095</v>
      </c>
      <c r="B1231" s="19"/>
      <c r="C1231" s="19"/>
      <c r="D1231" s="19"/>
      <c r="E1231" s="19"/>
      <c r="F1231" s="19"/>
    </row>
    <row r="1232" spans="1:6" x14ac:dyDescent="0.3">
      <c r="A1232" s="10" t="s">
        <v>13</v>
      </c>
      <c r="B1232" s="11">
        <v>45729</v>
      </c>
      <c r="C1232" s="12" t="s">
        <v>12</v>
      </c>
      <c r="D1232" s="12" t="s">
        <v>24</v>
      </c>
      <c r="E1232" s="11">
        <v>45748</v>
      </c>
      <c r="F1232" s="12" t="s">
        <v>1785</v>
      </c>
    </row>
    <row r="1233" spans="1:6" x14ac:dyDescent="0.3">
      <c r="A1233" s="4"/>
    </row>
    <row r="1234" spans="1:6" ht="15.6" x14ac:dyDescent="0.3">
      <c r="A1234" s="18" t="s">
        <v>1098</v>
      </c>
      <c r="B1234" s="19"/>
      <c r="C1234" s="19"/>
      <c r="D1234" s="19"/>
      <c r="E1234" s="19"/>
      <c r="F1234" s="19"/>
    </row>
    <row r="1235" spans="1:6" x14ac:dyDescent="0.3">
      <c r="A1235" s="10" t="s">
        <v>13</v>
      </c>
      <c r="B1235" s="11">
        <v>45729</v>
      </c>
      <c r="C1235" s="12" t="s">
        <v>12</v>
      </c>
      <c r="D1235" s="12" t="s">
        <v>24</v>
      </c>
      <c r="E1235" s="11">
        <v>45748</v>
      </c>
      <c r="F1235" s="12" t="s">
        <v>1785</v>
      </c>
    </row>
    <row r="1236" spans="1:6" x14ac:dyDescent="0.3">
      <c r="A1236" s="4"/>
    </row>
    <row r="1237" spans="1:6" ht="15.6" x14ac:dyDescent="0.3">
      <c r="A1237" s="18" t="s">
        <v>1101</v>
      </c>
      <c r="B1237" s="19"/>
      <c r="C1237" s="19"/>
      <c r="D1237" s="19"/>
      <c r="E1237" s="19"/>
      <c r="F1237" s="19"/>
    </row>
    <row r="1238" spans="1:6" x14ac:dyDescent="0.3">
      <c r="A1238" s="10" t="s">
        <v>13</v>
      </c>
      <c r="B1238" s="11">
        <v>45729</v>
      </c>
      <c r="C1238" s="12" t="s">
        <v>12</v>
      </c>
      <c r="D1238" s="12" t="s">
        <v>24</v>
      </c>
      <c r="E1238" s="11">
        <v>45748</v>
      </c>
      <c r="F1238" s="12" t="s">
        <v>1785</v>
      </c>
    </row>
    <row r="1239" spans="1:6" x14ac:dyDescent="0.3">
      <c r="A1239" s="4"/>
    </row>
    <row r="1240" spans="1:6" ht="15.6" x14ac:dyDescent="0.3">
      <c r="A1240" s="18" t="s">
        <v>1104</v>
      </c>
      <c r="B1240" s="19"/>
      <c r="C1240" s="19"/>
      <c r="D1240" s="19"/>
      <c r="E1240" s="19"/>
      <c r="F1240" s="19"/>
    </row>
    <row r="1241" spans="1:6" x14ac:dyDescent="0.3">
      <c r="A1241" s="10" t="s">
        <v>13</v>
      </c>
      <c r="B1241" s="11">
        <v>45729</v>
      </c>
      <c r="C1241" s="12" t="s">
        <v>12</v>
      </c>
      <c r="D1241" s="12" t="s">
        <v>24</v>
      </c>
      <c r="E1241" s="11">
        <v>45748</v>
      </c>
      <c r="F1241" s="12" t="s">
        <v>1785</v>
      </c>
    </row>
    <row r="1242" spans="1:6" x14ac:dyDescent="0.3">
      <c r="A1242" s="4"/>
    </row>
    <row r="1243" spans="1:6" ht="15.6" x14ac:dyDescent="0.3">
      <c r="A1243" s="18" t="s">
        <v>1107</v>
      </c>
      <c r="B1243" s="19"/>
      <c r="C1243" s="19"/>
      <c r="D1243" s="19"/>
      <c r="E1243" s="19"/>
      <c r="F1243" s="19"/>
    </row>
    <row r="1244" spans="1:6" x14ac:dyDescent="0.3">
      <c r="A1244" s="10" t="s">
        <v>13</v>
      </c>
      <c r="B1244" s="11">
        <v>45729</v>
      </c>
      <c r="C1244" s="12" t="s">
        <v>12</v>
      </c>
      <c r="D1244" s="12" t="s">
        <v>24</v>
      </c>
      <c r="E1244" s="11">
        <v>45748</v>
      </c>
      <c r="F1244" s="12" t="s">
        <v>1785</v>
      </c>
    </row>
    <row r="1245" spans="1:6" x14ac:dyDescent="0.3">
      <c r="A1245" s="4"/>
    </row>
    <row r="1246" spans="1:6" ht="15.6" x14ac:dyDescent="0.3">
      <c r="A1246" s="18" t="s">
        <v>1110</v>
      </c>
      <c r="B1246" s="19"/>
      <c r="C1246" s="19"/>
      <c r="D1246" s="19"/>
      <c r="E1246" s="19"/>
      <c r="F1246" s="19"/>
    </row>
    <row r="1247" spans="1:6" x14ac:dyDescent="0.3">
      <c r="A1247" s="10" t="s">
        <v>13</v>
      </c>
      <c r="B1247" s="11">
        <v>45729</v>
      </c>
      <c r="C1247" s="12" t="s">
        <v>12</v>
      </c>
      <c r="D1247" s="12" t="s">
        <v>24</v>
      </c>
      <c r="E1247" s="11">
        <v>45748</v>
      </c>
      <c r="F1247" s="12" t="s">
        <v>1785</v>
      </c>
    </row>
    <row r="1248" spans="1:6" x14ac:dyDescent="0.3">
      <c r="A1248" s="4"/>
    </row>
    <row r="1249" spans="1:6" ht="15.6" x14ac:dyDescent="0.3">
      <c r="A1249" s="18" t="s">
        <v>1113</v>
      </c>
      <c r="B1249" s="19"/>
      <c r="C1249" s="19"/>
      <c r="D1249" s="19"/>
      <c r="E1249" s="19"/>
      <c r="F1249" s="19"/>
    </row>
    <row r="1250" spans="1:6" x14ac:dyDescent="0.3">
      <c r="A1250" s="10" t="s">
        <v>13</v>
      </c>
      <c r="B1250" s="11">
        <v>45729</v>
      </c>
      <c r="C1250" s="12" t="s">
        <v>12</v>
      </c>
      <c r="D1250" s="12" t="s">
        <v>24</v>
      </c>
      <c r="E1250" s="11">
        <v>45748</v>
      </c>
      <c r="F1250" s="12" t="s">
        <v>1785</v>
      </c>
    </row>
    <row r="1251" spans="1:6" x14ac:dyDescent="0.3">
      <c r="A1251" s="4"/>
    </row>
    <row r="1252" spans="1:6" ht="15.6" x14ac:dyDescent="0.3">
      <c r="A1252" s="18" t="s">
        <v>1116</v>
      </c>
      <c r="B1252" s="19"/>
      <c r="C1252" s="19"/>
      <c r="D1252" s="19"/>
      <c r="E1252" s="19"/>
      <c r="F1252" s="19"/>
    </row>
    <row r="1253" spans="1:6" x14ac:dyDescent="0.3">
      <c r="A1253" s="10" t="s">
        <v>13</v>
      </c>
      <c r="B1253" s="11">
        <v>45729</v>
      </c>
      <c r="C1253" s="12" t="s">
        <v>12</v>
      </c>
      <c r="D1253" s="12" t="s">
        <v>24</v>
      </c>
      <c r="E1253" s="11">
        <v>45748</v>
      </c>
      <c r="F1253" s="12" t="s">
        <v>1785</v>
      </c>
    </row>
    <row r="1254" spans="1:6" x14ac:dyDescent="0.3">
      <c r="A1254" s="4"/>
    </row>
    <row r="1255" spans="1:6" ht="15.6" x14ac:dyDescent="0.3">
      <c r="A1255" s="18" t="s">
        <v>1119</v>
      </c>
      <c r="B1255" s="19"/>
      <c r="C1255" s="19"/>
      <c r="D1255" s="19"/>
      <c r="E1255" s="19"/>
      <c r="F1255" s="19"/>
    </row>
    <row r="1256" spans="1:6" x14ac:dyDescent="0.3">
      <c r="A1256" s="10" t="s">
        <v>13</v>
      </c>
      <c r="B1256" s="11">
        <v>45729</v>
      </c>
      <c r="C1256" s="12" t="s">
        <v>12</v>
      </c>
      <c r="D1256" s="12" t="s">
        <v>24</v>
      </c>
      <c r="E1256" s="11">
        <v>45748</v>
      </c>
      <c r="F1256" s="12" t="s">
        <v>1785</v>
      </c>
    </row>
    <row r="1257" spans="1:6" x14ac:dyDescent="0.3">
      <c r="A1257" s="4"/>
    </row>
    <row r="1258" spans="1:6" ht="15.6" x14ac:dyDescent="0.3">
      <c r="A1258" s="18" t="s">
        <v>1122</v>
      </c>
      <c r="B1258" s="19"/>
      <c r="C1258" s="19"/>
      <c r="D1258" s="19"/>
      <c r="E1258" s="19"/>
      <c r="F1258" s="19"/>
    </row>
    <row r="1259" spans="1:6" x14ac:dyDescent="0.3">
      <c r="A1259" s="10" t="s">
        <v>13</v>
      </c>
      <c r="B1259" s="11">
        <v>45729</v>
      </c>
      <c r="C1259" s="12" t="s">
        <v>12</v>
      </c>
      <c r="D1259" s="12" t="s">
        <v>24</v>
      </c>
      <c r="E1259" s="11">
        <v>45748</v>
      </c>
      <c r="F1259" s="12" t="s">
        <v>1785</v>
      </c>
    </row>
    <row r="1260" spans="1:6" x14ac:dyDescent="0.3">
      <c r="A1260" s="4"/>
    </row>
    <row r="1261" spans="1:6" ht="15.6" x14ac:dyDescent="0.3">
      <c r="A1261" s="18" t="s">
        <v>1125</v>
      </c>
      <c r="B1261" s="19"/>
      <c r="C1261" s="19"/>
      <c r="D1261" s="19"/>
      <c r="E1261" s="19"/>
      <c r="F1261" s="19"/>
    </row>
    <row r="1262" spans="1:6" x14ac:dyDescent="0.3">
      <c r="A1262" s="10" t="s">
        <v>13</v>
      </c>
      <c r="B1262" s="11">
        <v>45729</v>
      </c>
      <c r="C1262" s="12" t="s">
        <v>12</v>
      </c>
      <c r="D1262" s="12" t="s">
        <v>24</v>
      </c>
      <c r="E1262" s="11">
        <v>45748</v>
      </c>
      <c r="F1262" s="12" t="s">
        <v>1785</v>
      </c>
    </row>
    <row r="1263" spans="1:6" x14ac:dyDescent="0.3">
      <c r="A1263" s="4"/>
    </row>
    <row r="1264" spans="1:6" ht="15.6" x14ac:dyDescent="0.3">
      <c r="A1264" s="18" t="s">
        <v>1128</v>
      </c>
      <c r="B1264" s="19"/>
      <c r="C1264" s="19"/>
      <c r="D1264" s="19"/>
      <c r="E1264" s="19"/>
      <c r="F1264" s="19"/>
    </row>
    <row r="1265" spans="1:6" x14ac:dyDescent="0.3">
      <c r="A1265" s="10" t="s">
        <v>13</v>
      </c>
      <c r="B1265" s="11">
        <v>45729</v>
      </c>
      <c r="C1265" s="12" t="s">
        <v>12</v>
      </c>
      <c r="D1265" s="12" t="s">
        <v>24</v>
      </c>
      <c r="E1265" s="11">
        <v>45748</v>
      </c>
      <c r="F1265" s="12" t="s">
        <v>1785</v>
      </c>
    </row>
    <row r="1266" spans="1:6" x14ac:dyDescent="0.3">
      <c r="A1266" s="4"/>
    </row>
    <row r="1267" spans="1:6" ht="15.6" x14ac:dyDescent="0.3">
      <c r="A1267" s="18" t="s">
        <v>1131</v>
      </c>
      <c r="B1267" s="19"/>
      <c r="C1267" s="19"/>
      <c r="D1267" s="19"/>
      <c r="E1267" s="19"/>
      <c r="F1267" s="19"/>
    </row>
    <row r="1268" spans="1:6" x14ac:dyDescent="0.3">
      <c r="A1268" s="10" t="s">
        <v>13</v>
      </c>
      <c r="B1268" s="11">
        <v>45729</v>
      </c>
      <c r="C1268" s="12" t="s">
        <v>12</v>
      </c>
      <c r="D1268" s="12" t="s">
        <v>24</v>
      </c>
      <c r="E1268" s="11">
        <v>45748</v>
      </c>
      <c r="F1268" s="12" t="s">
        <v>1785</v>
      </c>
    </row>
    <row r="1269" spans="1:6" x14ac:dyDescent="0.3">
      <c r="A1269" s="4"/>
    </row>
    <row r="1270" spans="1:6" ht="15.6" x14ac:dyDescent="0.3">
      <c r="A1270" s="18" t="s">
        <v>1134</v>
      </c>
      <c r="B1270" s="19"/>
      <c r="C1270" s="19"/>
      <c r="D1270" s="19"/>
      <c r="E1270" s="19"/>
      <c r="F1270" s="19"/>
    </row>
    <row r="1271" spans="1:6" x14ac:dyDescent="0.3">
      <c r="A1271" s="10" t="s">
        <v>13</v>
      </c>
      <c r="B1271" s="11">
        <v>45729</v>
      </c>
      <c r="C1271" s="12" t="s">
        <v>12</v>
      </c>
      <c r="D1271" s="12" t="s">
        <v>24</v>
      </c>
      <c r="E1271" s="11">
        <v>45748</v>
      </c>
      <c r="F1271" s="12" t="s">
        <v>1785</v>
      </c>
    </row>
    <row r="1272" spans="1:6" x14ac:dyDescent="0.3">
      <c r="A1272" s="4"/>
    </row>
    <row r="1273" spans="1:6" ht="15.6" x14ac:dyDescent="0.3">
      <c r="A1273" s="18" t="s">
        <v>1137</v>
      </c>
      <c r="B1273" s="19"/>
      <c r="C1273" s="19"/>
      <c r="D1273" s="19"/>
      <c r="E1273" s="19"/>
      <c r="F1273" s="19"/>
    </row>
    <row r="1274" spans="1:6" x14ac:dyDescent="0.3">
      <c r="A1274" s="10" t="s">
        <v>13</v>
      </c>
      <c r="B1274" s="11">
        <v>45729</v>
      </c>
      <c r="C1274" s="12" t="s">
        <v>12</v>
      </c>
      <c r="D1274" s="12" t="s">
        <v>24</v>
      </c>
      <c r="E1274" s="11">
        <v>45748</v>
      </c>
      <c r="F1274" s="12" t="s">
        <v>1785</v>
      </c>
    </row>
    <row r="1275" spans="1:6" x14ac:dyDescent="0.3">
      <c r="A1275" s="4"/>
    </row>
    <row r="1276" spans="1:6" ht="15.6" x14ac:dyDescent="0.3">
      <c r="A1276" s="18" t="s">
        <v>1140</v>
      </c>
      <c r="B1276" s="19"/>
      <c r="C1276" s="19"/>
      <c r="D1276" s="19"/>
      <c r="E1276" s="19"/>
      <c r="F1276" s="19"/>
    </row>
    <row r="1277" spans="1:6" x14ac:dyDescent="0.3">
      <c r="A1277" s="10" t="s">
        <v>13</v>
      </c>
      <c r="B1277" s="11">
        <v>45742</v>
      </c>
      <c r="C1277" s="12" t="s">
        <v>12</v>
      </c>
      <c r="D1277" s="12" t="s">
        <v>4</v>
      </c>
      <c r="E1277" s="4" t="s">
        <v>1827</v>
      </c>
      <c r="F1277" s="12" t="s">
        <v>1827</v>
      </c>
    </row>
    <row r="1278" spans="1:6" x14ac:dyDescent="0.3">
      <c r="A1278" s="4"/>
    </row>
    <row r="1279" spans="1:6" ht="15.6" x14ac:dyDescent="0.3">
      <c r="A1279" s="18" t="s">
        <v>1143</v>
      </c>
      <c r="B1279" s="19"/>
      <c r="C1279" s="19"/>
      <c r="D1279" s="19"/>
      <c r="E1279" s="19"/>
      <c r="F1279" s="19"/>
    </row>
    <row r="1280" spans="1:6" x14ac:dyDescent="0.3">
      <c r="A1280" s="10" t="s">
        <v>13</v>
      </c>
      <c r="B1280" s="11">
        <v>45729</v>
      </c>
      <c r="C1280" s="12" t="s">
        <v>12</v>
      </c>
      <c r="D1280" s="12" t="s">
        <v>4</v>
      </c>
      <c r="E1280" s="4" t="s">
        <v>1827</v>
      </c>
      <c r="F1280" s="12" t="s">
        <v>1827</v>
      </c>
    </row>
    <row r="1281" spans="1:6" x14ac:dyDescent="0.3">
      <c r="A1281" s="4"/>
    </row>
    <row r="1282" spans="1:6" ht="15.6" x14ac:dyDescent="0.3">
      <c r="A1282" s="18" t="s">
        <v>1146</v>
      </c>
      <c r="B1282" s="19"/>
      <c r="C1282" s="19"/>
      <c r="D1282" s="19"/>
      <c r="E1282" s="19"/>
      <c r="F1282" s="19"/>
    </row>
    <row r="1283" spans="1:6" x14ac:dyDescent="0.3">
      <c r="A1283" s="10" t="s">
        <v>13</v>
      </c>
      <c r="B1283" s="11">
        <v>45729</v>
      </c>
      <c r="C1283" s="12" t="s">
        <v>12</v>
      </c>
      <c r="D1283" s="12" t="s">
        <v>4</v>
      </c>
      <c r="E1283" s="4" t="s">
        <v>1827</v>
      </c>
      <c r="F1283" s="12" t="s">
        <v>1827</v>
      </c>
    </row>
    <row r="1284" spans="1:6" x14ac:dyDescent="0.3">
      <c r="A1284" s="4"/>
    </row>
    <row r="1285" spans="1:6" ht="15.6" x14ac:dyDescent="0.3">
      <c r="A1285" s="18" t="s">
        <v>1149</v>
      </c>
      <c r="B1285" s="19"/>
      <c r="C1285" s="19"/>
      <c r="D1285" s="19"/>
      <c r="E1285" s="19"/>
      <c r="F1285" s="19"/>
    </row>
    <row r="1286" spans="1:6" x14ac:dyDescent="0.3">
      <c r="A1286" s="10" t="s">
        <v>13</v>
      </c>
      <c r="B1286" s="11">
        <v>45729</v>
      </c>
      <c r="C1286" s="12" t="s">
        <v>12</v>
      </c>
      <c r="D1286" s="12" t="s">
        <v>24</v>
      </c>
      <c r="E1286" s="11">
        <v>45748</v>
      </c>
      <c r="F1286" s="12" t="s">
        <v>1827</v>
      </c>
    </row>
    <row r="1287" spans="1:6" x14ac:dyDescent="0.3">
      <c r="A1287" s="4"/>
    </row>
    <row r="1288" spans="1:6" ht="15.6" x14ac:dyDescent="0.3">
      <c r="A1288" s="18" t="s">
        <v>1152</v>
      </c>
      <c r="B1288" s="19"/>
      <c r="C1288" s="19"/>
      <c r="D1288" s="19"/>
      <c r="E1288" s="19"/>
      <c r="F1288" s="19"/>
    </row>
    <row r="1289" spans="1:6" ht="302.39999999999998" x14ac:dyDescent="0.3">
      <c r="A1289" s="10" t="s">
        <v>10</v>
      </c>
      <c r="B1289" s="11">
        <v>45729</v>
      </c>
      <c r="C1289" s="12" t="s">
        <v>12</v>
      </c>
      <c r="D1289" s="12" t="s">
        <v>21</v>
      </c>
      <c r="E1289" s="11">
        <v>45741</v>
      </c>
      <c r="F1289" s="12" t="s">
        <v>1809</v>
      </c>
    </row>
    <row r="1290" spans="1:6" ht="28.8" x14ac:dyDescent="0.3">
      <c r="B1290" s="11">
        <v>45741</v>
      </c>
      <c r="C1290" s="12" t="s">
        <v>22</v>
      </c>
      <c r="D1290" s="12" t="s">
        <v>4</v>
      </c>
      <c r="E1290" s="4" t="s">
        <v>1827</v>
      </c>
      <c r="F1290" s="12" t="s">
        <v>1827</v>
      </c>
    </row>
    <row r="1291" spans="1:6" x14ac:dyDescent="0.3">
      <c r="A1291" s="4"/>
    </row>
    <row r="1292" spans="1:6" ht="15.6" x14ac:dyDescent="0.3">
      <c r="A1292" s="18" t="s">
        <v>1154</v>
      </c>
      <c r="B1292" s="19"/>
      <c r="C1292" s="19"/>
      <c r="D1292" s="19"/>
      <c r="E1292" s="19"/>
      <c r="F1292" s="19"/>
    </row>
    <row r="1293" spans="1:6" x14ac:dyDescent="0.3">
      <c r="A1293" s="10" t="s">
        <v>11</v>
      </c>
      <c r="B1293" s="11">
        <v>45729</v>
      </c>
      <c r="C1293" s="12" t="s">
        <v>12</v>
      </c>
      <c r="D1293" s="12" t="s">
        <v>21</v>
      </c>
      <c r="E1293" s="11">
        <v>45741</v>
      </c>
      <c r="F1293" s="12" t="s">
        <v>1810</v>
      </c>
    </row>
    <row r="1294" spans="1:6" ht="28.8" x14ac:dyDescent="0.3">
      <c r="B1294" s="11">
        <v>45741</v>
      </c>
      <c r="C1294" s="12" t="s">
        <v>22</v>
      </c>
      <c r="D1294" s="12" t="s">
        <v>4</v>
      </c>
      <c r="E1294" s="4" t="s">
        <v>1827</v>
      </c>
      <c r="F1294" s="12" t="s">
        <v>1827</v>
      </c>
    </row>
    <row r="1295" spans="1:6" x14ac:dyDescent="0.3">
      <c r="A1295" s="4"/>
    </row>
    <row r="1296" spans="1:6" ht="15.6" x14ac:dyDescent="0.3">
      <c r="A1296" s="18" t="s">
        <v>1157</v>
      </c>
      <c r="B1296" s="19"/>
      <c r="C1296" s="19"/>
      <c r="D1296" s="19"/>
      <c r="E1296" s="19"/>
      <c r="F1296" s="19"/>
    </row>
    <row r="1297" spans="1:6" ht="57.6" x14ac:dyDescent="0.3">
      <c r="A1297" s="10" t="s">
        <v>13</v>
      </c>
      <c r="B1297" s="11">
        <v>45729</v>
      </c>
      <c r="C1297" s="12" t="s">
        <v>12</v>
      </c>
      <c r="D1297" s="12" t="s">
        <v>21</v>
      </c>
      <c r="E1297" s="11">
        <v>45741</v>
      </c>
      <c r="F1297" s="12" t="s">
        <v>1811</v>
      </c>
    </row>
    <row r="1298" spans="1:6" ht="28.8" x14ac:dyDescent="0.3">
      <c r="B1298" s="11">
        <v>45741</v>
      </c>
      <c r="C1298" s="12" t="s">
        <v>22</v>
      </c>
      <c r="D1298" s="12" t="s">
        <v>4</v>
      </c>
      <c r="E1298" s="4" t="s">
        <v>1827</v>
      </c>
      <c r="F1298" s="12" t="s">
        <v>1827</v>
      </c>
    </row>
    <row r="1299" spans="1:6" x14ac:dyDescent="0.3">
      <c r="A1299" s="4"/>
    </row>
    <row r="1300" spans="1:6" ht="15.6" x14ac:dyDescent="0.3">
      <c r="A1300" s="18" t="s">
        <v>1160</v>
      </c>
      <c r="B1300" s="19"/>
      <c r="C1300" s="19"/>
      <c r="D1300" s="19"/>
      <c r="E1300" s="19"/>
      <c r="F1300" s="19"/>
    </row>
    <row r="1301" spans="1:6" x14ac:dyDescent="0.3">
      <c r="A1301" s="10" t="s">
        <v>13</v>
      </c>
      <c r="B1301" s="11">
        <v>45729</v>
      </c>
      <c r="C1301" s="12" t="s">
        <v>12</v>
      </c>
      <c r="D1301" s="12" t="s">
        <v>4</v>
      </c>
      <c r="E1301" s="4" t="s">
        <v>1827</v>
      </c>
      <c r="F1301" s="12" t="s">
        <v>1827</v>
      </c>
    </row>
    <row r="1302" spans="1:6" x14ac:dyDescent="0.3">
      <c r="A1302" s="4"/>
    </row>
    <row r="1303" spans="1:6" ht="15.6" x14ac:dyDescent="0.3">
      <c r="A1303" s="18" t="s">
        <v>1163</v>
      </c>
      <c r="B1303" s="19"/>
      <c r="C1303" s="19"/>
      <c r="D1303" s="19"/>
      <c r="E1303" s="19"/>
      <c r="F1303" s="19"/>
    </row>
    <row r="1304" spans="1:6" x14ac:dyDescent="0.3">
      <c r="A1304" s="10" t="s">
        <v>10</v>
      </c>
      <c r="B1304" s="11">
        <v>45729</v>
      </c>
      <c r="C1304" s="12" t="s">
        <v>12</v>
      </c>
      <c r="D1304" s="12" t="s">
        <v>4</v>
      </c>
      <c r="E1304" s="4" t="s">
        <v>1827</v>
      </c>
      <c r="F1304" s="12" t="s">
        <v>1827</v>
      </c>
    </row>
    <row r="1305" spans="1:6" x14ac:dyDescent="0.3">
      <c r="A1305" s="4"/>
    </row>
    <row r="1306" spans="1:6" ht="15.6" x14ac:dyDescent="0.3">
      <c r="A1306" s="18" t="s">
        <v>1166</v>
      </c>
      <c r="B1306" s="19"/>
      <c r="C1306" s="19"/>
      <c r="D1306" s="19"/>
      <c r="E1306" s="19"/>
      <c r="F1306" s="19"/>
    </row>
    <row r="1307" spans="1:6" x14ac:dyDescent="0.3">
      <c r="A1307" s="10" t="s">
        <v>10</v>
      </c>
      <c r="B1307" s="11">
        <v>45729</v>
      </c>
      <c r="C1307" s="12" t="s">
        <v>12</v>
      </c>
      <c r="D1307" s="12" t="s">
        <v>21</v>
      </c>
      <c r="E1307" s="11">
        <v>45744</v>
      </c>
      <c r="F1307" s="12" t="s">
        <v>1820</v>
      </c>
    </row>
    <row r="1308" spans="1:6" ht="28.8" x14ac:dyDescent="0.3">
      <c r="B1308" s="11">
        <v>45744</v>
      </c>
      <c r="C1308" s="12" t="s">
        <v>22</v>
      </c>
      <c r="D1308" s="12" t="s">
        <v>4</v>
      </c>
      <c r="E1308" s="4" t="s">
        <v>1827</v>
      </c>
      <c r="F1308" s="12" t="s">
        <v>1827</v>
      </c>
    </row>
    <row r="1309" spans="1:6" x14ac:dyDescent="0.3">
      <c r="A1309" s="4"/>
    </row>
    <row r="1310" spans="1:6" ht="15.6" x14ac:dyDescent="0.3">
      <c r="A1310" s="18" t="s">
        <v>1169</v>
      </c>
      <c r="B1310" s="19"/>
      <c r="C1310" s="19"/>
      <c r="D1310" s="19"/>
      <c r="E1310" s="19"/>
      <c r="F1310" s="19"/>
    </row>
    <row r="1311" spans="1:6" x14ac:dyDescent="0.3">
      <c r="A1311" s="10" t="s">
        <v>13</v>
      </c>
      <c r="B1311" s="11">
        <v>45729</v>
      </c>
      <c r="C1311" s="12" t="s">
        <v>12</v>
      </c>
      <c r="D1311" s="12" t="s">
        <v>21</v>
      </c>
      <c r="E1311" s="11">
        <v>45744</v>
      </c>
      <c r="F1311" s="12" t="s">
        <v>1821</v>
      </c>
    </row>
    <row r="1312" spans="1:6" ht="28.8" x14ac:dyDescent="0.3">
      <c r="B1312" s="11">
        <v>45744</v>
      </c>
      <c r="C1312" s="12" t="s">
        <v>22</v>
      </c>
      <c r="D1312" s="12" t="s">
        <v>4</v>
      </c>
      <c r="E1312" s="4" t="s">
        <v>1827</v>
      </c>
      <c r="F1312" s="12" t="s">
        <v>1827</v>
      </c>
    </row>
    <row r="1313" spans="1:6" x14ac:dyDescent="0.3">
      <c r="A1313" s="4"/>
    </row>
    <row r="1314" spans="1:6" ht="15.6" x14ac:dyDescent="0.3">
      <c r="A1314" s="18" t="s">
        <v>1172</v>
      </c>
      <c r="B1314" s="19"/>
      <c r="C1314" s="19"/>
      <c r="D1314" s="19"/>
      <c r="E1314" s="19"/>
      <c r="F1314" s="19"/>
    </row>
    <row r="1315" spans="1:6" x14ac:dyDescent="0.3">
      <c r="A1315" s="10" t="s">
        <v>13</v>
      </c>
      <c r="B1315" s="11">
        <v>45729</v>
      </c>
      <c r="C1315" s="12" t="s">
        <v>12</v>
      </c>
      <c r="D1315" s="12" t="s">
        <v>21</v>
      </c>
      <c r="E1315" s="11">
        <v>45744</v>
      </c>
      <c r="F1315" s="12" t="s">
        <v>1785</v>
      </c>
    </row>
    <row r="1316" spans="1:6" ht="28.8" x14ac:dyDescent="0.3">
      <c r="B1316" s="11">
        <v>45744</v>
      </c>
      <c r="C1316" s="12" t="s">
        <v>22</v>
      </c>
      <c r="D1316" s="12" t="s">
        <v>4</v>
      </c>
      <c r="E1316" s="4" t="s">
        <v>1827</v>
      </c>
      <c r="F1316" s="12" t="s">
        <v>1827</v>
      </c>
    </row>
    <row r="1317" spans="1:6" x14ac:dyDescent="0.3">
      <c r="A1317" s="4"/>
    </row>
    <row r="1318" spans="1:6" ht="15.6" x14ac:dyDescent="0.3">
      <c r="A1318" s="18" t="s">
        <v>1175</v>
      </c>
      <c r="B1318" s="19"/>
      <c r="C1318" s="19"/>
      <c r="D1318" s="19"/>
      <c r="E1318" s="19"/>
      <c r="F1318" s="19"/>
    </row>
    <row r="1319" spans="1:6" x14ac:dyDescent="0.3">
      <c r="A1319" s="10" t="s">
        <v>13</v>
      </c>
      <c r="B1319" s="11">
        <v>45729</v>
      </c>
      <c r="C1319" s="12" t="s">
        <v>12</v>
      </c>
      <c r="D1319" s="12" t="s">
        <v>21</v>
      </c>
      <c r="E1319" s="11">
        <v>45744</v>
      </c>
      <c r="F1319" s="12" t="s">
        <v>1821</v>
      </c>
    </row>
    <row r="1320" spans="1:6" ht="28.8" x14ac:dyDescent="0.3">
      <c r="B1320" s="11">
        <v>45744</v>
      </c>
      <c r="C1320" s="12" t="s">
        <v>22</v>
      </c>
      <c r="D1320" s="12" t="s">
        <v>4</v>
      </c>
      <c r="E1320" s="4" t="s">
        <v>1827</v>
      </c>
      <c r="F1320" s="12" t="s">
        <v>1827</v>
      </c>
    </row>
    <row r="1321" spans="1:6" x14ac:dyDescent="0.3">
      <c r="A1321" s="4"/>
    </row>
    <row r="1322" spans="1:6" ht="15.6" x14ac:dyDescent="0.3">
      <c r="A1322" s="18" t="s">
        <v>1178</v>
      </c>
      <c r="B1322" s="19"/>
      <c r="C1322" s="19"/>
      <c r="D1322" s="19"/>
      <c r="E1322" s="19"/>
      <c r="F1322" s="19"/>
    </row>
    <row r="1323" spans="1:6" x14ac:dyDescent="0.3">
      <c r="A1323" s="10" t="s">
        <v>11</v>
      </c>
      <c r="B1323" s="11">
        <v>45729</v>
      </c>
      <c r="C1323" s="12" t="s">
        <v>12</v>
      </c>
      <c r="D1323" s="12" t="s">
        <v>21</v>
      </c>
      <c r="E1323" s="11">
        <v>45744</v>
      </c>
      <c r="F1323" s="12" t="s">
        <v>1785</v>
      </c>
    </row>
    <row r="1324" spans="1:6" ht="28.8" x14ac:dyDescent="0.3">
      <c r="B1324" s="11">
        <v>45744</v>
      </c>
      <c r="C1324" s="12" t="s">
        <v>22</v>
      </c>
      <c r="D1324" s="12" t="s">
        <v>4</v>
      </c>
      <c r="E1324" s="4" t="s">
        <v>1827</v>
      </c>
      <c r="F1324" s="12" t="s">
        <v>1827</v>
      </c>
    </row>
    <row r="1325" spans="1:6" x14ac:dyDescent="0.3">
      <c r="A1325" s="4"/>
    </row>
    <row r="1326" spans="1:6" ht="15.6" x14ac:dyDescent="0.3">
      <c r="A1326" s="18" t="s">
        <v>1181</v>
      </c>
      <c r="B1326" s="19"/>
      <c r="C1326" s="19"/>
      <c r="D1326" s="19"/>
      <c r="E1326" s="19"/>
      <c r="F1326" s="19"/>
    </row>
    <row r="1327" spans="1:6" x14ac:dyDescent="0.3">
      <c r="A1327" s="10" t="s">
        <v>13</v>
      </c>
      <c r="B1327" s="11">
        <v>45729</v>
      </c>
      <c r="C1327" s="12" t="s">
        <v>12</v>
      </c>
      <c r="D1327" s="12" t="s">
        <v>21</v>
      </c>
      <c r="E1327" s="11">
        <v>45744</v>
      </c>
      <c r="F1327" s="12" t="s">
        <v>1785</v>
      </c>
    </row>
    <row r="1328" spans="1:6" ht="28.8" x14ac:dyDescent="0.3">
      <c r="B1328" s="11">
        <v>45744</v>
      </c>
      <c r="C1328" s="12" t="s">
        <v>22</v>
      </c>
      <c r="D1328" s="12" t="s">
        <v>4</v>
      </c>
      <c r="E1328" s="4" t="s">
        <v>1827</v>
      </c>
      <c r="F1328" s="12" t="s">
        <v>1827</v>
      </c>
    </row>
    <row r="1329" spans="1:6" x14ac:dyDescent="0.3">
      <c r="A1329" s="4"/>
    </row>
    <row r="1330" spans="1:6" ht="15.6" x14ac:dyDescent="0.3">
      <c r="A1330" s="18" t="s">
        <v>1184</v>
      </c>
      <c r="B1330" s="19"/>
      <c r="C1330" s="19"/>
      <c r="D1330" s="19"/>
      <c r="E1330" s="19"/>
      <c r="F1330" s="19"/>
    </row>
    <row r="1331" spans="1:6" ht="57.6" x14ac:dyDescent="0.3">
      <c r="A1331" s="10" t="s">
        <v>11</v>
      </c>
      <c r="B1331" s="11">
        <v>45729</v>
      </c>
      <c r="C1331" s="12" t="s">
        <v>12</v>
      </c>
      <c r="D1331" s="12" t="s">
        <v>21</v>
      </c>
      <c r="E1331" s="11">
        <v>45744</v>
      </c>
      <c r="F1331" s="12" t="s">
        <v>1822</v>
      </c>
    </row>
    <row r="1332" spans="1:6" ht="28.8" x14ac:dyDescent="0.3">
      <c r="B1332" s="11">
        <v>45744</v>
      </c>
      <c r="C1332" s="12" t="s">
        <v>22</v>
      </c>
      <c r="D1332" s="12" t="s">
        <v>4</v>
      </c>
      <c r="E1332" s="4" t="s">
        <v>1827</v>
      </c>
      <c r="F1332" s="12" t="s">
        <v>1827</v>
      </c>
    </row>
    <row r="1333" spans="1:6" x14ac:dyDescent="0.3">
      <c r="A1333" s="4"/>
    </row>
    <row r="1334" spans="1:6" ht="15.6" x14ac:dyDescent="0.3">
      <c r="A1334" s="18" t="s">
        <v>1187</v>
      </c>
      <c r="B1334" s="19"/>
      <c r="C1334" s="19"/>
      <c r="D1334" s="19"/>
      <c r="E1334" s="19"/>
      <c r="F1334" s="19"/>
    </row>
    <row r="1335" spans="1:6" x14ac:dyDescent="0.3">
      <c r="A1335" s="10" t="s">
        <v>11</v>
      </c>
      <c r="B1335" s="11">
        <v>45729</v>
      </c>
      <c r="C1335" s="12" t="s">
        <v>12</v>
      </c>
      <c r="D1335" s="12" t="s">
        <v>21</v>
      </c>
      <c r="E1335" s="11">
        <v>45744</v>
      </c>
      <c r="F1335" s="12" t="s">
        <v>1823</v>
      </c>
    </row>
    <row r="1336" spans="1:6" ht="28.8" x14ac:dyDescent="0.3">
      <c r="B1336" s="11">
        <v>45744</v>
      </c>
      <c r="C1336" s="12" t="s">
        <v>22</v>
      </c>
      <c r="D1336" s="12" t="s">
        <v>4</v>
      </c>
      <c r="E1336" s="4" t="s">
        <v>1827</v>
      </c>
      <c r="F1336" s="12" t="s">
        <v>1827</v>
      </c>
    </row>
    <row r="1337" spans="1:6" x14ac:dyDescent="0.3">
      <c r="A1337" s="4"/>
    </row>
    <row r="1338" spans="1:6" ht="15.6" x14ac:dyDescent="0.3">
      <c r="A1338" s="18" t="s">
        <v>1190</v>
      </c>
      <c r="B1338" s="19"/>
      <c r="C1338" s="19"/>
      <c r="D1338" s="19"/>
      <c r="E1338" s="19"/>
      <c r="F1338" s="19"/>
    </row>
    <row r="1339" spans="1:6" x14ac:dyDescent="0.3">
      <c r="A1339" s="10" t="s">
        <v>11</v>
      </c>
      <c r="B1339" s="11">
        <v>45729</v>
      </c>
      <c r="C1339" s="12" t="s">
        <v>12</v>
      </c>
      <c r="D1339" s="12" t="s">
        <v>21</v>
      </c>
      <c r="E1339" s="11">
        <v>45744</v>
      </c>
      <c r="F1339" s="12" t="s">
        <v>1823</v>
      </c>
    </row>
    <row r="1340" spans="1:6" ht="28.8" x14ac:dyDescent="0.3">
      <c r="B1340" s="11">
        <v>45744</v>
      </c>
      <c r="C1340" s="12" t="s">
        <v>22</v>
      </c>
      <c r="D1340" s="12" t="s">
        <v>4</v>
      </c>
      <c r="E1340" s="4" t="s">
        <v>1827</v>
      </c>
      <c r="F1340" s="12" t="s">
        <v>1827</v>
      </c>
    </row>
    <row r="1341" spans="1:6" x14ac:dyDescent="0.3">
      <c r="A1341" s="4"/>
    </row>
    <row r="1342" spans="1:6" ht="15.6" x14ac:dyDescent="0.3">
      <c r="A1342" s="18" t="s">
        <v>1193</v>
      </c>
      <c r="B1342" s="19"/>
      <c r="C1342" s="19"/>
      <c r="D1342" s="19"/>
      <c r="E1342" s="19"/>
      <c r="F1342" s="19"/>
    </row>
    <row r="1343" spans="1:6" x14ac:dyDescent="0.3">
      <c r="A1343" s="10" t="s">
        <v>11</v>
      </c>
      <c r="B1343" s="11">
        <v>45729</v>
      </c>
      <c r="C1343" s="12" t="s">
        <v>12</v>
      </c>
      <c r="D1343" s="12" t="s">
        <v>21</v>
      </c>
      <c r="E1343" s="11">
        <v>45744</v>
      </c>
      <c r="F1343" s="12" t="s">
        <v>1823</v>
      </c>
    </row>
    <row r="1344" spans="1:6" ht="28.8" x14ac:dyDescent="0.3">
      <c r="B1344" s="11">
        <v>45744</v>
      </c>
      <c r="C1344" s="12" t="s">
        <v>22</v>
      </c>
      <c r="D1344" s="12" t="s">
        <v>4</v>
      </c>
      <c r="E1344" s="4" t="s">
        <v>1827</v>
      </c>
      <c r="F1344" s="12" t="s">
        <v>1827</v>
      </c>
    </row>
    <row r="1345" spans="1:6" x14ac:dyDescent="0.3">
      <c r="A1345" s="4"/>
    </row>
    <row r="1346" spans="1:6" ht="15.6" x14ac:dyDescent="0.3">
      <c r="A1346" s="18" t="s">
        <v>1196</v>
      </c>
      <c r="B1346" s="19"/>
      <c r="C1346" s="19"/>
      <c r="D1346" s="19"/>
      <c r="E1346" s="19"/>
      <c r="F1346" s="19"/>
    </row>
    <row r="1347" spans="1:6" x14ac:dyDescent="0.3">
      <c r="A1347" s="10" t="s">
        <v>11</v>
      </c>
      <c r="B1347" s="11">
        <v>45729</v>
      </c>
      <c r="C1347" s="12" t="s">
        <v>12</v>
      </c>
      <c r="D1347" s="12" t="s">
        <v>21</v>
      </c>
      <c r="E1347" s="11">
        <v>45744</v>
      </c>
      <c r="F1347" s="12" t="s">
        <v>1823</v>
      </c>
    </row>
    <row r="1348" spans="1:6" ht="28.8" x14ac:dyDescent="0.3">
      <c r="B1348" s="11">
        <v>45744</v>
      </c>
      <c r="C1348" s="12" t="s">
        <v>22</v>
      </c>
      <c r="D1348" s="12" t="s">
        <v>4</v>
      </c>
      <c r="E1348" s="4" t="s">
        <v>1827</v>
      </c>
      <c r="F1348" s="12" t="s">
        <v>1827</v>
      </c>
    </row>
    <row r="1349" spans="1:6" x14ac:dyDescent="0.3">
      <c r="A1349" s="4"/>
    </row>
    <row r="1350" spans="1:6" ht="15.6" x14ac:dyDescent="0.3">
      <c r="A1350" s="18" t="s">
        <v>1199</v>
      </c>
      <c r="B1350" s="19"/>
      <c r="C1350" s="19"/>
      <c r="D1350" s="19"/>
      <c r="E1350" s="19"/>
      <c r="F1350" s="19"/>
    </row>
    <row r="1351" spans="1:6" x14ac:dyDescent="0.3">
      <c r="A1351" s="10" t="s">
        <v>11</v>
      </c>
      <c r="B1351" s="11">
        <v>45729</v>
      </c>
      <c r="C1351" s="12" t="s">
        <v>12</v>
      </c>
      <c r="D1351" s="12" t="s">
        <v>21</v>
      </c>
      <c r="E1351" s="11">
        <v>45744</v>
      </c>
      <c r="F1351" s="12" t="s">
        <v>1821</v>
      </c>
    </row>
    <row r="1352" spans="1:6" ht="28.8" x14ac:dyDescent="0.3">
      <c r="B1352" s="11">
        <v>45744</v>
      </c>
      <c r="C1352" s="12" t="s">
        <v>22</v>
      </c>
      <c r="D1352" s="12" t="s">
        <v>4</v>
      </c>
      <c r="E1352" s="4" t="s">
        <v>1827</v>
      </c>
      <c r="F1352" s="12" t="s">
        <v>1827</v>
      </c>
    </row>
    <row r="1353" spans="1:6" x14ac:dyDescent="0.3">
      <c r="A1353" s="4"/>
    </row>
    <row r="1354" spans="1:6" ht="15.6" x14ac:dyDescent="0.3">
      <c r="A1354" s="18" t="s">
        <v>1202</v>
      </c>
      <c r="B1354" s="19"/>
      <c r="C1354" s="19"/>
      <c r="D1354" s="19"/>
      <c r="E1354" s="19"/>
      <c r="F1354" s="19"/>
    </row>
    <row r="1355" spans="1:6" ht="86.4" x14ac:dyDescent="0.3">
      <c r="A1355" s="10" t="s">
        <v>10</v>
      </c>
      <c r="B1355" s="11">
        <v>45729</v>
      </c>
      <c r="C1355" s="12" t="s">
        <v>12</v>
      </c>
      <c r="D1355" s="12" t="s">
        <v>21</v>
      </c>
      <c r="E1355" s="11">
        <v>45744</v>
      </c>
      <c r="F1355" s="12" t="s">
        <v>1824</v>
      </c>
    </row>
    <row r="1356" spans="1:6" ht="28.8" x14ac:dyDescent="0.3">
      <c r="B1356" s="11">
        <v>45744</v>
      </c>
      <c r="C1356" s="12" t="s">
        <v>22</v>
      </c>
      <c r="D1356" s="12" t="s">
        <v>4</v>
      </c>
      <c r="E1356" s="4" t="s">
        <v>1827</v>
      </c>
      <c r="F1356" s="12" t="s">
        <v>1827</v>
      </c>
    </row>
    <row r="1357" spans="1:6" x14ac:dyDescent="0.3">
      <c r="A1357" s="4"/>
    </row>
    <row r="1358" spans="1:6" ht="15.6" x14ac:dyDescent="0.3">
      <c r="A1358" s="18" t="s">
        <v>1205</v>
      </c>
      <c r="B1358" s="19"/>
      <c r="C1358" s="19"/>
      <c r="D1358" s="19"/>
      <c r="E1358" s="19"/>
      <c r="F1358" s="19"/>
    </row>
    <row r="1359" spans="1:6" ht="129.6" x14ac:dyDescent="0.3">
      <c r="A1359" s="10" t="s">
        <v>835</v>
      </c>
      <c r="B1359" s="11">
        <v>45729</v>
      </c>
      <c r="C1359" s="12" t="s">
        <v>12</v>
      </c>
      <c r="D1359" s="12" t="s">
        <v>21</v>
      </c>
      <c r="E1359" s="11">
        <v>45741</v>
      </c>
      <c r="F1359" s="12" t="s">
        <v>1812</v>
      </c>
    </row>
    <row r="1360" spans="1:6" ht="28.8" x14ac:dyDescent="0.3">
      <c r="B1360" s="11">
        <v>45741</v>
      </c>
      <c r="C1360" s="12" t="s">
        <v>22</v>
      </c>
      <c r="D1360" s="12" t="s">
        <v>4</v>
      </c>
      <c r="E1360" s="4" t="s">
        <v>1827</v>
      </c>
      <c r="F1360" s="12" t="s">
        <v>1827</v>
      </c>
    </row>
    <row r="1361" spans="1:6" x14ac:dyDescent="0.3">
      <c r="A1361" s="4"/>
    </row>
    <row r="1362" spans="1:6" ht="15.6" x14ac:dyDescent="0.3">
      <c r="A1362" s="18" t="s">
        <v>1208</v>
      </c>
      <c r="B1362" s="19"/>
      <c r="C1362" s="19"/>
      <c r="D1362" s="19"/>
      <c r="E1362" s="19"/>
      <c r="F1362" s="19"/>
    </row>
    <row r="1363" spans="1:6" x14ac:dyDescent="0.3">
      <c r="A1363" s="10" t="s">
        <v>835</v>
      </c>
      <c r="B1363" s="11">
        <v>45729</v>
      </c>
      <c r="C1363" s="12" t="s">
        <v>12</v>
      </c>
      <c r="D1363" s="12" t="s">
        <v>21</v>
      </c>
      <c r="E1363" s="11">
        <v>45741</v>
      </c>
      <c r="F1363" s="12" t="s">
        <v>1813</v>
      </c>
    </row>
    <row r="1364" spans="1:6" ht="28.8" x14ac:dyDescent="0.3">
      <c r="B1364" s="11">
        <v>45741</v>
      </c>
      <c r="C1364" s="12" t="s">
        <v>22</v>
      </c>
      <c r="D1364" s="12" t="s">
        <v>4</v>
      </c>
      <c r="E1364" s="4" t="s">
        <v>1827</v>
      </c>
      <c r="F1364" s="12" t="s">
        <v>1827</v>
      </c>
    </row>
    <row r="1365" spans="1:6" x14ac:dyDescent="0.3">
      <c r="A1365" s="4"/>
    </row>
    <row r="1366" spans="1:6" ht="15.6" x14ac:dyDescent="0.3">
      <c r="A1366" s="18" t="s">
        <v>1211</v>
      </c>
      <c r="B1366" s="19"/>
      <c r="C1366" s="19"/>
      <c r="D1366" s="19"/>
      <c r="E1366" s="19"/>
      <c r="F1366" s="19"/>
    </row>
    <row r="1367" spans="1:6" ht="86.4" x14ac:dyDescent="0.3">
      <c r="A1367" s="10" t="s">
        <v>418</v>
      </c>
      <c r="B1367" s="11">
        <v>45729</v>
      </c>
      <c r="C1367" s="12" t="s">
        <v>12</v>
      </c>
      <c r="D1367" s="12" t="s">
        <v>21</v>
      </c>
      <c r="E1367" s="11">
        <v>45741</v>
      </c>
      <c r="F1367" s="12" t="s">
        <v>1814</v>
      </c>
    </row>
    <row r="1368" spans="1:6" ht="28.8" x14ac:dyDescent="0.3">
      <c r="B1368" s="11">
        <v>45741</v>
      </c>
      <c r="C1368" s="12" t="s">
        <v>22</v>
      </c>
      <c r="D1368" s="12" t="s">
        <v>4</v>
      </c>
      <c r="E1368" s="4" t="s">
        <v>1827</v>
      </c>
      <c r="F1368" s="12" t="s">
        <v>1827</v>
      </c>
    </row>
    <row r="1369" spans="1:6" x14ac:dyDescent="0.3">
      <c r="A1369" s="4"/>
    </row>
    <row r="1370" spans="1:6" ht="15.6" x14ac:dyDescent="0.3">
      <c r="A1370" s="18" t="s">
        <v>1214</v>
      </c>
      <c r="B1370" s="19"/>
      <c r="C1370" s="19"/>
      <c r="D1370" s="19"/>
      <c r="E1370" s="19"/>
      <c r="F1370" s="19"/>
    </row>
    <row r="1371" spans="1:6" ht="129.6" x14ac:dyDescent="0.3">
      <c r="A1371" s="10" t="s">
        <v>11</v>
      </c>
      <c r="B1371" s="11">
        <v>45729</v>
      </c>
      <c r="C1371" s="12" t="s">
        <v>12</v>
      </c>
      <c r="D1371" s="12" t="s">
        <v>21</v>
      </c>
      <c r="E1371" s="11">
        <v>45741</v>
      </c>
      <c r="F1371" s="12" t="s">
        <v>1815</v>
      </c>
    </row>
    <row r="1372" spans="1:6" ht="28.8" x14ac:dyDescent="0.3">
      <c r="B1372" s="11">
        <v>45741</v>
      </c>
      <c r="C1372" s="12" t="s">
        <v>22</v>
      </c>
      <c r="D1372" s="12" t="s">
        <v>4</v>
      </c>
      <c r="E1372" s="4" t="s">
        <v>1827</v>
      </c>
      <c r="F1372" s="12" t="s">
        <v>1827</v>
      </c>
    </row>
    <row r="1373" spans="1:6" x14ac:dyDescent="0.3">
      <c r="A1373" s="4"/>
    </row>
    <row r="1374" spans="1:6" ht="15.6" x14ac:dyDescent="0.3">
      <c r="A1374" s="18" t="s">
        <v>1217</v>
      </c>
      <c r="B1374" s="19"/>
      <c r="C1374" s="19"/>
      <c r="D1374" s="19"/>
      <c r="E1374" s="19"/>
      <c r="F1374" s="19"/>
    </row>
    <row r="1375" spans="1:6" ht="129.6" x14ac:dyDescent="0.3">
      <c r="A1375" s="10" t="s">
        <v>11</v>
      </c>
      <c r="B1375" s="11">
        <v>45729</v>
      </c>
      <c r="C1375" s="12" t="s">
        <v>12</v>
      </c>
      <c r="D1375" s="12" t="s">
        <v>21</v>
      </c>
      <c r="E1375" s="11">
        <v>45741</v>
      </c>
      <c r="F1375" s="12" t="s">
        <v>1816</v>
      </c>
    </row>
    <row r="1376" spans="1:6" ht="28.8" x14ac:dyDescent="0.3">
      <c r="B1376" s="11">
        <v>45741</v>
      </c>
      <c r="C1376" s="12" t="s">
        <v>22</v>
      </c>
      <c r="D1376" s="12" t="s">
        <v>4</v>
      </c>
      <c r="E1376" s="4" t="s">
        <v>1827</v>
      </c>
      <c r="F1376" s="12" t="s">
        <v>1827</v>
      </c>
    </row>
    <row r="1377" spans="1:6" x14ac:dyDescent="0.3">
      <c r="A1377" s="4"/>
    </row>
    <row r="1378" spans="1:6" ht="15.6" x14ac:dyDescent="0.3">
      <c r="A1378" s="18" t="s">
        <v>1220</v>
      </c>
      <c r="B1378" s="19"/>
      <c r="C1378" s="19"/>
      <c r="D1378" s="19"/>
      <c r="E1378" s="19"/>
      <c r="F1378" s="19"/>
    </row>
    <row r="1379" spans="1:6" x14ac:dyDescent="0.3">
      <c r="A1379" s="10" t="s">
        <v>13</v>
      </c>
      <c r="B1379" s="11">
        <v>45729</v>
      </c>
      <c r="C1379" s="12" t="s">
        <v>12</v>
      </c>
      <c r="D1379" s="12" t="s">
        <v>4</v>
      </c>
      <c r="E1379" s="4" t="s">
        <v>1827</v>
      </c>
      <c r="F1379" s="12" t="s">
        <v>1827</v>
      </c>
    </row>
    <row r="1380" spans="1:6" x14ac:dyDescent="0.3">
      <c r="A1380" s="4"/>
    </row>
    <row r="1381" spans="1:6" ht="15.6" x14ac:dyDescent="0.3">
      <c r="A1381" s="18" t="s">
        <v>1223</v>
      </c>
      <c r="B1381" s="19"/>
      <c r="C1381" s="19"/>
      <c r="D1381" s="19"/>
      <c r="E1381" s="19"/>
      <c r="F1381" s="19"/>
    </row>
    <row r="1382" spans="1:6" x14ac:dyDescent="0.3">
      <c r="A1382" s="10" t="s">
        <v>10</v>
      </c>
      <c r="B1382" s="11">
        <v>45729</v>
      </c>
      <c r="C1382" s="12" t="s">
        <v>12</v>
      </c>
      <c r="D1382" s="12" t="s">
        <v>4</v>
      </c>
      <c r="E1382" s="4" t="s">
        <v>1827</v>
      </c>
      <c r="F1382" s="12" t="s">
        <v>1827</v>
      </c>
    </row>
    <row r="1383" spans="1:6" x14ac:dyDescent="0.3">
      <c r="A1383" s="4"/>
    </row>
    <row r="1384" spans="1:6" ht="15.6" x14ac:dyDescent="0.3">
      <c r="A1384" s="18" t="s">
        <v>1226</v>
      </c>
      <c r="B1384" s="19"/>
      <c r="C1384" s="19"/>
      <c r="D1384" s="19"/>
      <c r="E1384" s="19"/>
      <c r="F1384" s="19"/>
    </row>
    <row r="1385" spans="1:6" x14ac:dyDescent="0.3">
      <c r="A1385" s="10" t="s">
        <v>10</v>
      </c>
      <c r="B1385" s="11">
        <v>45729</v>
      </c>
      <c r="C1385" s="12" t="s">
        <v>12</v>
      </c>
      <c r="D1385" s="12" t="s">
        <v>4</v>
      </c>
      <c r="E1385" s="4" t="s">
        <v>1827</v>
      </c>
      <c r="F1385" s="12" t="s">
        <v>1827</v>
      </c>
    </row>
    <row r="1386" spans="1:6" x14ac:dyDescent="0.3">
      <c r="A1386" s="4"/>
    </row>
    <row r="1387" spans="1:6" ht="15.6" x14ac:dyDescent="0.3">
      <c r="A1387" s="18" t="s">
        <v>1229</v>
      </c>
      <c r="B1387" s="19"/>
      <c r="C1387" s="19"/>
      <c r="D1387" s="19"/>
      <c r="E1387" s="19"/>
      <c r="F1387" s="19"/>
    </row>
    <row r="1388" spans="1:6" x14ac:dyDescent="0.3">
      <c r="A1388" s="10" t="s">
        <v>10</v>
      </c>
      <c r="B1388" s="11">
        <v>45729</v>
      </c>
      <c r="C1388" s="12" t="s">
        <v>12</v>
      </c>
      <c r="D1388" s="12" t="s">
        <v>21</v>
      </c>
      <c r="E1388" s="11">
        <v>45741</v>
      </c>
      <c r="F1388" s="12" t="s">
        <v>1817</v>
      </c>
    </row>
    <row r="1389" spans="1:6" ht="28.8" x14ac:dyDescent="0.3">
      <c r="B1389" s="11">
        <v>45741</v>
      </c>
      <c r="C1389" s="12" t="s">
        <v>22</v>
      </c>
      <c r="D1389" s="12" t="s">
        <v>4</v>
      </c>
      <c r="E1389" s="4" t="s">
        <v>1827</v>
      </c>
      <c r="F1389" s="12" t="s">
        <v>1827</v>
      </c>
    </row>
    <row r="1390" spans="1:6" x14ac:dyDescent="0.3">
      <c r="A1390" s="4"/>
    </row>
    <row r="1391" spans="1:6" ht="15.6" x14ac:dyDescent="0.3">
      <c r="A1391" s="18" t="s">
        <v>1232</v>
      </c>
      <c r="B1391" s="19"/>
      <c r="C1391" s="19"/>
      <c r="D1391" s="19"/>
      <c r="E1391" s="19"/>
      <c r="F1391" s="19"/>
    </row>
    <row r="1392" spans="1:6" x14ac:dyDescent="0.3">
      <c r="A1392" s="10" t="s">
        <v>11</v>
      </c>
      <c r="B1392" s="11">
        <v>45729</v>
      </c>
      <c r="C1392" s="12" t="s">
        <v>12</v>
      </c>
      <c r="D1392" s="12" t="s">
        <v>21</v>
      </c>
      <c r="E1392" s="11">
        <v>45744</v>
      </c>
      <c r="F1392" s="12" t="s">
        <v>1823</v>
      </c>
    </row>
    <row r="1393" spans="1:6" ht="28.8" x14ac:dyDescent="0.3">
      <c r="B1393" s="11">
        <v>45744</v>
      </c>
      <c r="C1393" s="12" t="s">
        <v>22</v>
      </c>
      <c r="D1393" s="12" t="s">
        <v>4</v>
      </c>
      <c r="E1393" s="4" t="s">
        <v>1827</v>
      </c>
      <c r="F1393" s="12" t="s">
        <v>1827</v>
      </c>
    </row>
    <row r="1394" spans="1:6" x14ac:dyDescent="0.3">
      <c r="A1394" s="4"/>
    </row>
    <row r="1395" spans="1:6" ht="15.6" x14ac:dyDescent="0.3">
      <c r="A1395" s="18" t="s">
        <v>1235</v>
      </c>
      <c r="B1395" s="19"/>
      <c r="C1395" s="19"/>
      <c r="D1395" s="19"/>
      <c r="E1395" s="19"/>
      <c r="F1395" s="19"/>
    </row>
    <row r="1396" spans="1:6" x14ac:dyDescent="0.3">
      <c r="A1396" s="10" t="s">
        <v>11</v>
      </c>
      <c r="B1396" s="11">
        <v>45729</v>
      </c>
      <c r="C1396" s="12" t="s">
        <v>12</v>
      </c>
      <c r="D1396" s="12" t="s">
        <v>21</v>
      </c>
      <c r="E1396" s="11">
        <v>45744</v>
      </c>
      <c r="F1396" s="12" t="s">
        <v>1823</v>
      </c>
    </row>
    <row r="1397" spans="1:6" ht="28.8" x14ac:dyDescent="0.3">
      <c r="B1397" s="11">
        <v>45744</v>
      </c>
      <c r="C1397" s="12" t="s">
        <v>22</v>
      </c>
      <c r="D1397" s="12" t="s">
        <v>4</v>
      </c>
      <c r="E1397" s="4" t="s">
        <v>1827</v>
      </c>
      <c r="F1397" s="12" t="s">
        <v>1827</v>
      </c>
    </row>
    <row r="1398" spans="1:6" x14ac:dyDescent="0.3">
      <c r="A1398" s="4"/>
    </row>
    <row r="1399" spans="1:6" ht="15.6" x14ac:dyDescent="0.3">
      <c r="A1399" s="18" t="s">
        <v>1238</v>
      </c>
      <c r="B1399" s="19"/>
      <c r="C1399" s="19"/>
      <c r="D1399" s="19"/>
      <c r="E1399" s="19"/>
      <c r="F1399" s="19"/>
    </row>
    <row r="1400" spans="1:6" x14ac:dyDescent="0.3">
      <c r="A1400" s="10" t="s">
        <v>11</v>
      </c>
      <c r="B1400" s="11">
        <v>45729</v>
      </c>
      <c r="C1400" s="12" t="s">
        <v>12</v>
      </c>
      <c r="D1400" s="12" t="s">
        <v>21</v>
      </c>
      <c r="E1400" s="11">
        <v>45744</v>
      </c>
      <c r="F1400" s="12" t="s">
        <v>1823</v>
      </c>
    </row>
    <row r="1401" spans="1:6" ht="28.8" x14ac:dyDescent="0.3">
      <c r="B1401" s="11">
        <v>45744</v>
      </c>
      <c r="C1401" s="12" t="s">
        <v>22</v>
      </c>
      <c r="D1401" s="12" t="s">
        <v>4</v>
      </c>
      <c r="E1401" s="4" t="s">
        <v>1827</v>
      </c>
      <c r="F1401" s="12" t="s">
        <v>1827</v>
      </c>
    </row>
    <row r="1402" spans="1:6" x14ac:dyDescent="0.3">
      <c r="A1402" s="4"/>
    </row>
    <row r="1403" spans="1:6" ht="15.6" x14ac:dyDescent="0.3">
      <c r="A1403" s="18" t="s">
        <v>1241</v>
      </c>
      <c r="B1403" s="19"/>
      <c r="C1403" s="19"/>
      <c r="D1403" s="19"/>
      <c r="E1403" s="19"/>
      <c r="F1403" s="19"/>
    </row>
    <row r="1404" spans="1:6" ht="43.2" x14ac:dyDescent="0.3">
      <c r="A1404" s="10" t="s">
        <v>11</v>
      </c>
      <c r="B1404" s="11">
        <v>45729</v>
      </c>
      <c r="C1404" s="12" t="s">
        <v>12</v>
      </c>
      <c r="D1404" s="12" t="s">
        <v>21</v>
      </c>
      <c r="E1404" s="11">
        <v>45744</v>
      </c>
      <c r="F1404" s="12" t="s">
        <v>1825</v>
      </c>
    </row>
    <row r="1405" spans="1:6" ht="28.8" x14ac:dyDescent="0.3">
      <c r="B1405" s="11">
        <v>45744</v>
      </c>
      <c r="C1405" s="12" t="s">
        <v>22</v>
      </c>
      <c r="D1405" s="12" t="s">
        <v>4</v>
      </c>
      <c r="E1405" s="4" t="s">
        <v>1827</v>
      </c>
      <c r="F1405" s="12" t="s">
        <v>1827</v>
      </c>
    </row>
    <row r="1406" spans="1:6" x14ac:dyDescent="0.3">
      <c r="A1406" s="4"/>
    </row>
    <row r="1407" spans="1:6" ht="15.6" x14ac:dyDescent="0.3">
      <c r="A1407" s="18" t="s">
        <v>1244</v>
      </c>
      <c r="B1407" s="19"/>
      <c r="C1407" s="19"/>
      <c r="D1407" s="19"/>
      <c r="E1407" s="19"/>
      <c r="F1407" s="19"/>
    </row>
    <row r="1408" spans="1:6" ht="216" x14ac:dyDescent="0.3">
      <c r="A1408" s="10" t="s">
        <v>11</v>
      </c>
      <c r="B1408" s="11">
        <v>45729</v>
      </c>
      <c r="C1408" s="12" t="s">
        <v>12</v>
      </c>
      <c r="D1408" s="12" t="s">
        <v>21</v>
      </c>
      <c r="E1408" s="11">
        <v>45744</v>
      </c>
      <c r="F1408" s="12" t="s">
        <v>1826</v>
      </c>
    </row>
    <row r="1409" spans="1:6" ht="28.8" x14ac:dyDescent="0.3">
      <c r="B1409" s="11">
        <v>45744</v>
      </c>
      <c r="C1409" s="12" t="s">
        <v>22</v>
      </c>
      <c r="D1409" s="12" t="s">
        <v>4</v>
      </c>
      <c r="E1409" s="4" t="s">
        <v>1827</v>
      </c>
      <c r="F1409" s="12" t="s">
        <v>1827</v>
      </c>
    </row>
    <row r="1410" spans="1:6" x14ac:dyDescent="0.3">
      <c r="A1410" s="4"/>
    </row>
    <row r="1411" spans="1:6" ht="15.6" x14ac:dyDescent="0.3">
      <c r="A1411" s="18" t="s">
        <v>1247</v>
      </c>
      <c r="B1411" s="19"/>
      <c r="C1411" s="19"/>
      <c r="D1411" s="19"/>
      <c r="E1411" s="19"/>
      <c r="F1411" s="19"/>
    </row>
    <row r="1412" spans="1:6" x14ac:dyDescent="0.3">
      <c r="A1412" s="10" t="s">
        <v>13</v>
      </c>
      <c r="B1412" s="11">
        <v>45729</v>
      </c>
      <c r="C1412" s="12" t="s">
        <v>12</v>
      </c>
      <c r="D1412" s="12" t="s">
        <v>21</v>
      </c>
      <c r="E1412" s="11">
        <v>45744</v>
      </c>
      <c r="F1412" s="12" t="s">
        <v>1823</v>
      </c>
    </row>
    <row r="1413" spans="1:6" ht="28.8" x14ac:dyDescent="0.3">
      <c r="B1413" s="11">
        <v>45744</v>
      </c>
      <c r="C1413" s="12" t="s">
        <v>22</v>
      </c>
      <c r="D1413" s="12" t="s">
        <v>4</v>
      </c>
      <c r="E1413" s="4" t="s">
        <v>1827</v>
      </c>
      <c r="F1413" s="12" t="s">
        <v>1827</v>
      </c>
    </row>
    <row r="1414" spans="1:6" x14ac:dyDescent="0.3">
      <c r="A1414" s="4"/>
    </row>
    <row r="1415" spans="1:6" ht="15.6" x14ac:dyDescent="0.3">
      <c r="A1415" s="18" t="s">
        <v>1250</v>
      </c>
      <c r="B1415" s="19"/>
      <c r="C1415" s="19"/>
      <c r="D1415" s="19"/>
      <c r="E1415" s="19"/>
      <c r="F1415" s="19"/>
    </row>
    <row r="1416" spans="1:6" ht="28.8" x14ac:dyDescent="0.3">
      <c r="A1416" s="10" t="s">
        <v>10</v>
      </c>
      <c r="B1416" s="11">
        <v>45729</v>
      </c>
      <c r="C1416" s="12" t="s">
        <v>12</v>
      </c>
      <c r="D1416" s="12" t="s">
        <v>21</v>
      </c>
      <c r="E1416" s="11">
        <v>45763</v>
      </c>
      <c r="F1416" s="12" t="s">
        <v>2047</v>
      </c>
    </row>
    <row r="1417" spans="1:6" ht="28.8" x14ac:dyDescent="0.3">
      <c r="B1417" s="11">
        <v>45763</v>
      </c>
      <c r="C1417" s="12" t="s">
        <v>22</v>
      </c>
      <c r="D1417" s="12" t="s">
        <v>4</v>
      </c>
      <c r="E1417" s="4" t="s">
        <v>1827</v>
      </c>
      <c r="F1417" s="12" t="s">
        <v>1827</v>
      </c>
    </row>
    <row r="1418" spans="1:6" x14ac:dyDescent="0.3">
      <c r="A1418" s="4"/>
    </row>
    <row r="1419" spans="1:6" ht="15.6" x14ac:dyDescent="0.3">
      <c r="A1419" s="18" t="s">
        <v>1253</v>
      </c>
      <c r="B1419" s="19"/>
      <c r="C1419" s="19"/>
      <c r="D1419" s="19"/>
      <c r="E1419" s="19"/>
      <c r="F1419" s="19"/>
    </row>
    <row r="1420" spans="1:6" x14ac:dyDescent="0.3">
      <c r="A1420" s="10" t="s">
        <v>10</v>
      </c>
      <c r="B1420" s="11">
        <v>45729</v>
      </c>
      <c r="C1420" s="12" t="s">
        <v>12</v>
      </c>
      <c r="D1420" s="12" t="s">
        <v>24</v>
      </c>
      <c r="E1420" s="11">
        <v>45763</v>
      </c>
      <c r="F1420" s="12" t="s">
        <v>1785</v>
      </c>
    </row>
    <row r="1421" spans="1:6" x14ac:dyDescent="0.3">
      <c r="A1421" s="4"/>
    </row>
    <row r="1422" spans="1:6" ht="15.6" x14ac:dyDescent="0.3">
      <c r="A1422" s="18" t="s">
        <v>1256</v>
      </c>
      <c r="B1422" s="19"/>
      <c r="C1422" s="19"/>
      <c r="D1422" s="19"/>
      <c r="E1422" s="19"/>
      <c r="F1422" s="19"/>
    </row>
    <row r="1423" spans="1:6" x14ac:dyDescent="0.3">
      <c r="A1423" s="10" t="s">
        <v>10</v>
      </c>
      <c r="B1423" s="11">
        <v>45729</v>
      </c>
      <c r="C1423" s="12" t="s">
        <v>12</v>
      </c>
      <c r="D1423" s="12" t="s">
        <v>24</v>
      </c>
      <c r="E1423" s="11">
        <v>45763</v>
      </c>
      <c r="F1423" s="12" t="s">
        <v>1785</v>
      </c>
    </row>
    <row r="1424" spans="1:6" x14ac:dyDescent="0.3">
      <c r="A1424" s="4"/>
    </row>
    <row r="1425" spans="1:6" ht="15.6" x14ac:dyDescent="0.3">
      <c r="A1425" s="18" t="s">
        <v>1259</v>
      </c>
      <c r="B1425" s="19"/>
      <c r="C1425" s="19"/>
      <c r="D1425" s="19"/>
      <c r="E1425" s="19"/>
      <c r="F1425" s="19"/>
    </row>
    <row r="1426" spans="1:6" ht="28.8" x14ac:dyDescent="0.3">
      <c r="A1426" s="10" t="s">
        <v>695</v>
      </c>
      <c r="B1426" s="11">
        <v>45729</v>
      </c>
      <c r="C1426" s="12" t="s">
        <v>12</v>
      </c>
      <c r="D1426" s="12" t="s">
        <v>21</v>
      </c>
      <c r="E1426" s="11">
        <v>45763</v>
      </c>
      <c r="F1426" s="12" t="s">
        <v>2048</v>
      </c>
    </row>
    <row r="1427" spans="1:6" ht="28.8" x14ac:dyDescent="0.3">
      <c r="B1427" s="11">
        <v>45763</v>
      </c>
      <c r="C1427" s="12" t="s">
        <v>22</v>
      </c>
      <c r="D1427" s="12" t="s">
        <v>4</v>
      </c>
      <c r="E1427" s="4" t="s">
        <v>1827</v>
      </c>
      <c r="F1427" s="12" t="s">
        <v>1827</v>
      </c>
    </row>
    <row r="1428" spans="1:6" x14ac:dyDescent="0.3">
      <c r="A1428" s="4"/>
    </row>
    <row r="1429" spans="1:6" ht="15.6" x14ac:dyDescent="0.3">
      <c r="A1429" s="18" t="s">
        <v>1262</v>
      </c>
      <c r="B1429" s="19"/>
      <c r="C1429" s="19"/>
      <c r="D1429" s="19"/>
      <c r="E1429" s="19"/>
      <c r="F1429" s="19"/>
    </row>
    <row r="1430" spans="1:6" x14ac:dyDescent="0.3">
      <c r="A1430" s="10" t="s">
        <v>695</v>
      </c>
      <c r="B1430" s="11">
        <v>45729</v>
      </c>
      <c r="C1430" s="12" t="s">
        <v>12</v>
      </c>
      <c r="D1430" s="12" t="s">
        <v>24</v>
      </c>
      <c r="E1430" s="11">
        <v>45763</v>
      </c>
      <c r="F1430" s="12" t="s">
        <v>1785</v>
      </c>
    </row>
    <row r="1431" spans="1:6" x14ac:dyDescent="0.3">
      <c r="A1431" s="4"/>
    </row>
    <row r="1432" spans="1:6" ht="15.6" x14ac:dyDescent="0.3">
      <c r="A1432" s="18" t="s">
        <v>1265</v>
      </c>
      <c r="B1432" s="19"/>
      <c r="C1432" s="19"/>
      <c r="D1432" s="19"/>
      <c r="E1432" s="19"/>
      <c r="F1432" s="19"/>
    </row>
    <row r="1433" spans="1:6" x14ac:dyDescent="0.3">
      <c r="A1433" s="10" t="s">
        <v>695</v>
      </c>
      <c r="B1433" s="11">
        <v>45729</v>
      </c>
      <c r="C1433" s="12" t="s">
        <v>12</v>
      </c>
      <c r="D1433" s="12" t="s">
        <v>24</v>
      </c>
      <c r="E1433" s="11">
        <v>45763</v>
      </c>
      <c r="F1433" s="12" t="s">
        <v>1785</v>
      </c>
    </row>
    <row r="1434" spans="1:6" x14ac:dyDescent="0.3">
      <c r="A1434" s="4"/>
    </row>
    <row r="1435" spans="1:6" ht="15.6" x14ac:dyDescent="0.3">
      <c r="A1435" s="18" t="s">
        <v>1268</v>
      </c>
      <c r="B1435" s="19"/>
      <c r="C1435" s="19"/>
      <c r="D1435" s="19"/>
      <c r="E1435" s="19"/>
      <c r="F1435" s="19"/>
    </row>
    <row r="1436" spans="1:6" ht="158.4" x14ac:dyDescent="0.3">
      <c r="A1436" s="10" t="s">
        <v>10</v>
      </c>
      <c r="B1436" s="11">
        <v>45729</v>
      </c>
      <c r="C1436" s="12" t="s">
        <v>12</v>
      </c>
      <c r="D1436" s="12" t="s">
        <v>21</v>
      </c>
      <c r="E1436" s="11">
        <v>45741</v>
      </c>
      <c r="F1436" s="12" t="s">
        <v>1818</v>
      </c>
    </row>
    <row r="1437" spans="1:6" ht="28.8" x14ac:dyDescent="0.3">
      <c r="B1437" s="11">
        <v>45741</v>
      </c>
      <c r="C1437" s="12" t="s">
        <v>22</v>
      </c>
      <c r="D1437" s="12" t="s">
        <v>4</v>
      </c>
      <c r="E1437" s="4" t="s">
        <v>1827</v>
      </c>
      <c r="F1437" s="12" t="s">
        <v>1827</v>
      </c>
    </row>
    <row r="1438" spans="1:6" x14ac:dyDescent="0.3">
      <c r="A1438" s="4"/>
    </row>
    <row r="1439" spans="1:6" ht="15.6" x14ac:dyDescent="0.3">
      <c r="A1439" s="18" t="s">
        <v>1271</v>
      </c>
      <c r="B1439" s="19"/>
      <c r="C1439" s="19"/>
      <c r="D1439" s="19"/>
      <c r="E1439" s="19"/>
      <c r="F1439" s="19"/>
    </row>
    <row r="1440" spans="1:6" ht="28.8" x14ac:dyDescent="0.3">
      <c r="A1440" s="10" t="s">
        <v>10</v>
      </c>
      <c r="B1440" s="11">
        <v>45729</v>
      </c>
      <c r="C1440" s="12" t="s">
        <v>12</v>
      </c>
      <c r="D1440" s="12" t="s">
        <v>21</v>
      </c>
      <c r="E1440" s="11">
        <v>45763</v>
      </c>
      <c r="F1440" s="12" t="s">
        <v>2049</v>
      </c>
    </row>
    <row r="1441" spans="1:6" ht="28.8" x14ac:dyDescent="0.3">
      <c r="B1441" s="11">
        <v>45763</v>
      </c>
      <c r="C1441" s="12" t="s">
        <v>22</v>
      </c>
      <c r="D1441" s="12" t="s">
        <v>4</v>
      </c>
      <c r="E1441" s="4" t="s">
        <v>1827</v>
      </c>
      <c r="F1441" s="12" t="s">
        <v>1827</v>
      </c>
    </row>
    <row r="1442" spans="1:6" x14ac:dyDescent="0.3">
      <c r="A1442" s="4"/>
    </row>
    <row r="1443" spans="1:6" ht="15.6" x14ac:dyDescent="0.3">
      <c r="A1443" s="18" t="s">
        <v>1274</v>
      </c>
      <c r="B1443" s="19"/>
      <c r="C1443" s="19"/>
      <c r="D1443" s="19"/>
      <c r="E1443" s="19"/>
      <c r="F1443" s="19"/>
    </row>
    <row r="1444" spans="1:6" ht="158.4" x14ac:dyDescent="0.3">
      <c r="A1444" s="10" t="s">
        <v>10</v>
      </c>
      <c r="B1444" s="11">
        <v>45729</v>
      </c>
      <c r="C1444" s="12" t="s">
        <v>12</v>
      </c>
      <c r="D1444" s="12" t="s">
        <v>21</v>
      </c>
      <c r="E1444" s="11">
        <v>45758</v>
      </c>
      <c r="F1444" s="12" t="s">
        <v>2017</v>
      </c>
    </row>
    <row r="1445" spans="1:6" ht="28.8" x14ac:dyDescent="0.3">
      <c r="B1445" s="11">
        <v>45758</v>
      </c>
      <c r="C1445" s="12" t="s">
        <v>22</v>
      </c>
      <c r="D1445" s="12" t="s">
        <v>4</v>
      </c>
      <c r="E1445" s="4" t="s">
        <v>1827</v>
      </c>
      <c r="F1445" s="12" t="s">
        <v>1827</v>
      </c>
    </row>
    <row r="1446" spans="1:6" x14ac:dyDescent="0.3">
      <c r="A1446" s="4"/>
    </row>
    <row r="1447" spans="1:6" ht="15.6" x14ac:dyDescent="0.3">
      <c r="A1447" s="18" t="s">
        <v>1277</v>
      </c>
      <c r="B1447" s="19"/>
      <c r="C1447" s="19"/>
      <c r="D1447" s="19"/>
      <c r="E1447" s="19"/>
      <c r="F1447" s="19"/>
    </row>
    <row r="1448" spans="1:6" ht="43.2" x14ac:dyDescent="0.3">
      <c r="A1448" s="10" t="s">
        <v>10</v>
      </c>
      <c r="B1448" s="11">
        <v>45729</v>
      </c>
      <c r="C1448" s="12" t="s">
        <v>12</v>
      </c>
      <c r="D1448" s="12" t="s">
        <v>21</v>
      </c>
      <c r="E1448" s="11">
        <v>45763</v>
      </c>
      <c r="F1448" s="12" t="s">
        <v>1952</v>
      </c>
    </row>
    <row r="1449" spans="1:6" ht="28.8" x14ac:dyDescent="0.3">
      <c r="B1449" s="11">
        <v>45763</v>
      </c>
      <c r="C1449" s="12" t="s">
        <v>22</v>
      </c>
      <c r="D1449" s="12" t="s">
        <v>4</v>
      </c>
      <c r="E1449" s="4" t="s">
        <v>1827</v>
      </c>
      <c r="F1449" s="12" t="s">
        <v>1827</v>
      </c>
    </row>
    <row r="1450" spans="1:6" x14ac:dyDescent="0.3">
      <c r="A1450" s="4"/>
    </row>
    <row r="1451" spans="1:6" ht="15.6" x14ac:dyDescent="0.3">
      <c r="A1451" s="18" t="s">
        <v>1280</v>
      </c>
      <c r="B1451" s="19"/>
      <c r="C1451" s="19"/>
      <c r="D1451" s="19"/>
      <c r="E1451" s="19"/>
      <c r="F1451" s="19"/>
    </row>
    <row r="1452" spans="1:6" ht="158.4" x14ac:dyDescent="0.3">
      <c r="A1452" s="10" t="s">
        <v>689</v>
      </c>
      <c r="B1452" s="11">
        <v>45729</v>
      </c>
      <c r="C1452" s="12" t="s">
        <v>12</v>
      </c>
      <c r="D1452" s="12" t="s">
        <v>21</v>
      </c>
      <c r="E1452" s="11">
        <v>45763</v>
      </c>
      <c r="F1452" s="12" t="s">
        <v>2050</v>
      </c>
    </row>
    <row r="1453" spans="1:6" ht="28.8" x14ac:dyDescent="0.3">
      <c r="B1453" s="11">
        <v>45763</v>
      </c>
      <c r="C1453" s="12" t="s">
        <v>22</v>
      </c>
      <c r="D1453" s="12" t="s">
        <v>4</v>
      </c>
      <c r="E1453" s="4" t="s">
        <v>1827</v>
      </c>
      <c r="F1453" s="12" t="s">
        <v>1827</v>
      </c>
    </row>
    <row r="1454" spans="1:6" x14ac:dyDescent="0.3">
      <c r="A1454" s="4"/>
    </row>
    <row r="1455" spans="1:6" ht="15.6" x14ac:dyDescent="0.3">
      <c r="A1455" s="18" t="s">
        <v>1283</v>
      </c>
      <c r="B1455" s="19"/>
      <c r="C1455" s="19"/>
      <c r="D1455" s="19"/>
      <c r="E1455" s="19"/>
      <c r="F1455" s="19"/>
    </row>
    <row r="1456" spans="1:6" ht="28.8" x14ac:dyDescent="0.3">
      <c r="A1456" s="10" t="s">
        <v>418</v>
      </c>
      <c r="B1456" s="11">
        <v>45729</v>
      </c>
      <c r="C1456" s="12" t="s">
        <v>12</v>
      </c>
      <c r="D1456" s="12" t="s">
        <v>21</v>
      </c>
      <c r="E1456" s="11">
        <v>45763</v>
      </c>
      <c r="F1456" s="12" t="s">
        <v>2018</v>
      </c>
    </row>
    <row r="1457" spans="1:6" ht="28.8" x14ac:dyDescent="0.3">
      <c r="B1457" s="11">
        <v>45763</v>
      </c>
      <c r="C1457" s="12" t="s">
        <v>22</v>
      </c>
      <c r="D1457" s="12" t="s">
        <v>4</v>
      </c>
      <c r="E1457" s="4" t="s">
        <v>1827</v>
      </c>
      <c r="F1457" s="12" t="s">
        <v>1827</v>
      </c>
    </row>
    <row r="1458" spans="1:6" x14ac:dyDescent="0.3">
      <c r="A1458" s="4"/>
    </row>
    <row r="1459" spans="1:6" ht="15.6" x14ac:dyDescent="0.3">
      <c r="A1459" s="18" t="s">
        <v>1286</v>
      </c>
      <c r="B1459" s="19"/>
      <c r="C1459" s="19"/>
      <c r="D1459" s="19"/>
      <c r="E1459" s="19"/>
      <c r="F1459" s="19"/>
    </row>
    <row r="1460" spans="1:6" ht="43.2" x14ac:dyDescent="0.3">
      <c r="A1460" s="10" t="s">
        <v>689</v>
      </c>
      <c r="B1460" s="11">
        <v>45729</v>
      </c>
      <c r="C1460" s="12" t="s">
        <v>12</v>
      </c>
      <c r="D1460" s="12" t="s">
        <v>21</v>
      </c>
      <c r="E1460" s="11">
        <v>45758</v>
      </c>
      <c r="F1460" s="12" t="s">
        <v>2019</v>
      </c>
    </row>
    <row r="1461" spans="1:6" ht="28.8" x14ac:dyDescent="0.3">
      <c r="B1461" s="11">
        <v>45758</v>
      </c>
      <c r="C1461" s="12" t="s">
        <v>22</v>
      </c>
      <c r="D1461" s="12" t="s">
        <v>4</v>
      </c>
      <c r="E1461" s="4" t="s">
        <v>1827</v>
      </c>
      <c r="F1461" s="12" t="s">
        <v>1827</v>
      </c>
    </row>
    <row r="1462" spans="1:6" x14ac:dyDescent="0.3">
      <c r="A1462" s="4"/>
    </row>
    <row r="1463" spans="1:6" ht="15.6" x14ac:dyDescent="0.3">
      <c r="A1463" s="18" t="s">
        <v>1289</v>
      </c>
      <c r="B1463" s="19"/>
      <c r="C1463" s="19"/>
      <c r="D1463" s="19"/>
      <c r="E1463" s="19"/>
      <c r="F1463" s="19"/>
    </row>
    <row r="1464" spans="1:6" ht="43.2" x14ac:dyDescent="0.3">
      <c r="A1464" s="10" t="s">
        <v>835</v>
      </c>
      <c r="B1464" s="11">
        <v>45729</v>
      </c>
      <c r="C1464" s="12" t="s">
        <v>12</v>
      </c>
      <c r="D1464" s="12" t="s">
        <v>1027</v>
      </c>
      <c r="E1464" s="11">
        <v>45747</v>
      </c>
      <c r="F1464" s="12" t="s">
        <v>1834</v>
      </c>
    </row>
    <row r="1465" spans="1:6" ht="201.6" x14ac:dyDescent="0.3">
      <c r="B1465" s="11">
        <v>45747</v>
      </c>
      <c r="C1465" s="12" t="s">
        <v>22</v>
      </c>
      <c r="D1465" s="12" t="s">
        <v>2020</v>
      </c>
      <c r="E1465" s="11">
        <v>45751</v>
      </c>
      <c r="F1465" s="12" t="s">
        <v>2021</v>
      </c>
    </row>
    <row r="1466" spans="1:6" ht="28.8" x14ac:dyDescent="0.3">
      <c r="B1466" s="11">
        <v>45751</v>
      </c>
      <c r="C1466" s="12" t="s">
        <v>2013</v>
      </c>
      <c r="D1466" s="12" t="s">
        <v>4</v>
      </c>
      <c r="E1466" s="4" t="s">
        <v>1827</v>
      </c>
      <c r="F1466" s="12" t="s">
        <v>1827</v>
      </c>
    </row>
    <row r="1467" spans="1:6" x14ac:dyDescent="0.3">
      <c r="A1467" s="4"/>
    </row>
    <row r="1468" spans="1:6" ht="15.6" x14ac:dyDescent="0.3">
      <c r="A1468" s="18" t="s">
        <v>1291</v>
      </c>
      <c r="B1468" s="19"/>
      <c r="C1468" s="19"/>
      <c r="D1468" s="19"/>
      <c r="E1468" s="19"/>
      <c r="F1468" s="19"/>
    </row>
    <row r="1469" spans="1:6" ht="28.8" x14ac:dyDescent="0.3">
      <c r="A1469" s="10" t="s">
        <v>418</v>
      </c>
      <c r="B1469" s="11">
        <v>45729</v>
      </c>
      <c r="C1469" s="12" t="s">
        <v>12</v>
      </c>
      <c r="D1469" s="12" t="s">
        <v>21</v>
      </c>
      <c r="E1469" s="11">
        <v>45749</v>
      </c>
      <c r="F1469" s="12" t="s">
        <v>1932</v>
      </c>
    </row>
    <row r="1470" spans="1:6" ht="28.8" x14ac:dyDescent="0.3">
      <c r="B1470" s="11">
        <v>45749</v>
      </c>
      <c r="C1470" s="12" t="s">
        <v>22</v>
      </c>
      <c r="D1470" s="12" t="s">
        <v>4</v>
      </c>
      <c r="E1470" s="4" t="s">
        <v>1827</v>
      </c>
      <c r="F1470" s="12" t="s">
        <v>1827</v>
      </c>
    </row>
    <row r="1471" spans="1:6" x14ac:dyDescent="0.3">
      <c r="A1471" s="4"/>
    </row>
    <row r="1472" spans="1:6" ht="15.6" x14ac:dyDescent="0.3">
      <c r="A1472" s="18" t="s">
        <v>1294</v>
      </c>
      <c r="B1472" s="19"/>
      <c r="C1472" s="19"/>
      <c r="D1472" s="19"/>
      <c r="E1472" s="19"/>
      <c r="F1472" s="19"/>
    </row>
    <row r="1473" spans="1:6" x14ac:dyDescent="0.3">
      <c r="A1473" s="10" t="s">
        <v>10</v>
      </c>
      <c r="B1473" s="11">
        <v>45729</v>
      </c>
      <c r="C1473" s="12" t="s">
        <v>12</v>
      </c>
      <c r="D1473" s="12" t="s">
        <v>4</v>
      </c>
      <c r="E1473" s="4" t="s">
        <v>1827</v>
      </c>
      <c r="F1473" s="12" t="s">
        <v>1827</v>
      </c>
    </row>
    <row r="1474" spans="1:6" x14ac:dyDescent="0.3">
      <c r="A1474" s="4"/>
    </row>
    <row r="1475" spans="1:6" ht="15.6" x14ac:dyDescent="0.3">
      <c r="A1475" s="18" t="s">
        <v>1297</v>
      </c>
      <c r="B1475" s="19"/>
      <c r="C1475" s="19"/>
      <c r="D1475" s="19"/>
      <c r="E1475" s="19"/>
      <c r="F1475" s="19"/>
    </row>
    <row r="1476" spans="1:6" x14ac:dyDescent="0.3">
      <c r="A1476" s="10" t="s">
        <v>835</v>
      </c>
      <c r="B1476" s="11">
        <v>45729</v>
      </c>
      <c r="C1476" s="12" t="s">
        <v>12</v>
      </c>
      <c r="D1476" s="12" t="s">
        <v>24</v>
      </c>
      <c r="E1476" s="11">
        <v>45750</v>
      </c>
      <c r="F1476" s="12" t="s">
        <v>1785</v>
      </c>
    </row>
    <row r="1477" spans="1:6" x14ac:dyDescent="0.3">
      <c r="A1477" s="4"/>
    </row>
    <row r="1478" spans="1:6" ht="15.6" x14ac:dyDescent="0.3">
      <c r="A1478" s="18" t="s">
        <v>1300</v>
      </c>
      <c r="B1478" s="19"/>
      <c r="C1478" s="19"/>
      <c r="D1478" s="19"/>
      <c r="E1478" s="19"/>
      <c r="F1478" s="19"/>
    </row>
    <row r="1479" spans="1:6" x14ac:dyDescent="0.3">
      <c r="A1479" s="10" t="s">
        <v>799</v>
      </c>
      <c r="B1479" s="11">
        <v>45729</v>
      </c>
      <c r="C1479" s="12" t="s">
        <v>12</v>
      </c>
      <c r="D1479" s="12" t="s">
        <v>24</v>
      </c>
      <c r="E1479" s="11">
        <v>45750</v>
      </c>
      <c r="F1479" s="12" t="s">
        <v>1785</v>
      </c>
    </row>
    <row r="1480" spans="1:6" x14ac:dyDescent="0.3">
      <c r="A1480" s="4"/>
    </row>
    <row r="1481" spans="1:6" ht="15.6" x14ac:dyDescent="0.3">
      <c r="A1481" s="18" t="s">
        <v>1303</v>
      </c>
      <c r="B1481" s="19"/>
      <c r="C1481" s="19"/>
      <c r="D1481" s="19"/>
      <c r="E1481" s="19"/>
      <c r="F1481" s="19"/>
    </row>
    <row r="1482" spans="1:6" ht="259.2" x14ac:dyDescent="0.3">
      <c r="A1482" s="10" t="s">
        <v>1304</v>
      </c>
      <c r="B1482" s="11">
        <v>45729</v>
      </c>
      <c r="C1482" s="12" t="s">
        <v>12</v>
      </c>
      <c r="D1482" s="12" t="s">
        <v>21</v>
      </c>
      <c r="E1482" s="11">
        <v>45750</v>
      </c>
      <c r="F1482" s="12" t="s">
        <v>2022</v>
      </c>
    </row>
    <row r="1483" spans="1:6" ht="28.8" x14ac:dyDescent="0.3">
      <c r="B1483" s="11">
        <v>45750</v>
      </c>
      <c r="C1483" s="12" t="s">
        <v>22</v>
      </c>
      <c r="D1483" s="12" t="s">
        <v>4</v>
      </c>
      <c r="E1483" s="4" t="s">
        <v>1827</v>
      </c>
      <c r="F1483" s="12" t="s">
        <v>1827</v>
      </c>
    </row>
    <row r="1484" spans="1:6" x14ac:dyDescent="0.3">
      <c r="A1484" s="4"/>
    </row>
    <row r="1485" spans="1:6" ht="15.6" x14ac:dyDescent="0.3">
      <c r="A1485" s="18" t="s">
        <v>1307</v>
      </c>
      <c r="B1485" s="19"/>
      <c r="C1485" s="19"/>
      <c r="D1485" s="19"/>
      <c r="E1485" s="19"/>
      <c r="F1485" s="19"/>
    </row>
    <row r="1486" spans="1:6" ht="201.6" x14ac:dyDescent="0.3">
      <c r="A1486" s="10" t="s">
        <v>799</v>
      </c>
      <c r="B1486" s="11">
        <v>45729</v>
      </c>
      <c r="C1486" s="12" t="s">
        <v>12</v>
      </c>
      <c r="D1486" s="12" t="s">
        <v>21</v>
      </c>
      <c r="E1486" s="11">
        <v>45750</v>
      </c>
      <c r="F1486" s="12" t="s">
        <v>2023</v>
      </c>
    </row>
    <row r="1487" spans="1:6" ht="28.8" x14ac:dyDescent="0.3">
      <c r="B1487" s="11">
        <v>45750</v>
      </c>
      <c r="C1487" s="12" t="s">
        <v>22</v>
      </c>
      <c r="D1487" s="12" t="s">
        <v>4</v>
      </c>
      <c r="E1487" s="4" t="s">
        <v>1827</v>
      </c>
      <c r="F1487" s="12" t="s">
        <v>1827</v>
      </c>
    </row>
    <row r="1488" spans="1:6" x14ac:dyDescent="0.3">
      <c r="A1488" s="4"/>
    </row>
    <row r="1489" spans="1:6" ht="15.6" x14ac:dyDescent="0.3">
      <c r="A1489" s="18" t="s">
        <v>1310</v>
      </c>
      <c r="B1489" s="19"/>
      <c r="C1489" s="19"/>
      <c r="D1489" s="19"/>
      <c r="E1489" s="19"/>
      <c r="F1489" s="19"/>
    </row>
    <row r="1490" spans="1:6" ht="100.8" x14ac:dyDescent="0.3">
      <c r="A1490" s="10" t="s">
        <v>799</v>
      </c>
      <c r="B1490" s="11">
        <v>45729</v>
      </c>
      <c r="C1490" s="12" t="s">
        <v>12</v>
      </c>
      <c r="D1490" s="12" t="s">
        <v>21</v>
      </c>
      <c r="E1490" s="11">
        <v>45750</v>
      </c>
      <c r="F1490" s="12" t="s">
        <v>2024</v>
      </c>
    </row>
    <row r="1491" spans="1:6" ht="28.8" x14ac:dyDescent="0.3">
      <c r="B1491" s="11">
        <v>45750</v>
      </c>
      <c r="C1491" s="12" t="s">
        <v>22</v>
      </c>
      <c r="D1491" s="12" t="s">
        <v>4</v>
      </c>
      <c r="E1491" s="4" t="s">
        <v>1827</v>
      </c>
      <c r="F1491" s="12" t="s">
        <v>1827</v>
      </c>
    </row>
    <row r="1492" spans="1:6" x14ac:dyDescent="0.3">
      <c r="A1492" s="4"/>
    </row>
    <row r="1493" spans="1:6" ht="15.6" x14ac:dyDescent="0.3">
      <c r="A1493" s="18" t="s">
        <v>1313</v>
      </c>
      <c r="B1493" s="19"/>
      <c r="C1493" s="19"/>
      <c r="D1493" s="19"/>
      <c r="E1493" s="19"/>
      <c r="F1493" s="19"/>
    </row>
    <row r="1494" spans="1:6" ht="115.2" x14ac:dyDescent="0.3">
      <c r="A1494" s="10" t="s">
        <v>799</v>
      </c>
      <c r="B1494" s="11">
        <v>45729</v>
      </c>
      <c r="C1494" s="12" t="s">
        <v>12</v>
      </c>
      <c r="D1494" s="12" t="s">
        <v>21</v>
      </c>
      <c r="E1494" s="11">
        <v>45750</v>
      </c>
      <c r="F1494" s="12" t="s">
        <v>2025</v>
      </c>
    </row>
    <row r="1495" spans="1:6" ht="28.8" x14ac:dyDescent="0.3">
      <c r="B1495" s="11">
        <v>45750</v>
      </c>
      <c r="C1495" s="12" t="s">
        <v>22</v>
      </c>
      <c r="D1495" s="12" t="s">
        <v>4</v>
      </c>
      <c r="E1495" s="4" t="s">
        <v>1827</v>
      </c>
      <c r="F1495" s="12" t="s">
        <v>1827</v>
      </c>
    </row>
    <row r="1496" spans="1:6" x14ac:dyDescent="0.3">
      <c r="A1496" s="4"/>
    </row>
    <row r="1497" spans="1:6" ht="15.6" x14ac:dyDescent="0.3">
      <c r="A1497" s="18" t="s">
        <v>1316</v>
      </c>
      <c r="B1497" s="19"/>
      <c r="C1497" s="19"/>
      <c r="D1497" s="19"/>
      <c r="E1497" s="19"/>
      <c r="F1497" s="19"/>
    </row>
    <row r="1498" spans="1:6" ht="72" x14ac:dyDescent="0.3">
      <c r="A1498" s="10" t="s">
        <v>799</v>
      </c>
      <c r="B1498" s="11">
        <v>45729</v>
      </c>
      <c r="C1498" s="12" t="s">
        <v>12</v>
      </c>
      <c r="D1498" s="12" t="s">
        <v>21</v>
      </c>
      <c r="E1498" s="11">
        <v>45750</v>
      </c>
      <c r="F1498" s="12" t="s">
        <v>2026</v>
      </c>
    </row>
    <row r="1499" spans="1:6" ht="28.8" x14ac:dyDescent="0.3">
      <c r="B1499" s="11">
        <v>45750</v>
      </c>
      <c r="C1499" s="12" t="s">
        <v>22</v>
      </c>
      <c r="D1499" s="12" t="s">
        <v>4</v>
      </c>
      <c r="E1499" s="4" t="s">
        <v>1827</v>
      </c>
      <c r="F1499" s="12" t="s">
        <v>1827</v>
      </c>
    </row>
    <row r="1500" spans="1:6" x14ac:dyDescent="0.3">
      <c r="A1500" s="4"/>
    </row>
    <row r="1501" spans="1:6" ht="15.6" x14ac:dyDescent="0.3">
      <c r="A1501" s="18" t="s">
        <v>1319</v>
      </c>
      <c r="B1501" s="19"/>
      <c r="C1501" s="19"/>
      <c r="D1501" s="19"/>
      <c r="E1501" s="19"/>
      <c r="F1501" s="19"/>
    </row>
    <row r="1502" spans="1:6" ht="72" x14ac:dyDescent="0.3">
      <c r="A1502" s="10" t="s">
        <v>799</v>
      </c>
      <c r="B1502" s="11">
        <v>45729</v>
      </c>
      <c r="C1502" s="12" t="s">
        <v>12</v>
      </c>
      <c r="D1502" s="12" t="s">
        <v>21</v>
      </c>
      <c r="E1502" s="11">
        <v>45750</v>
      </c>
      <c r="F1502" s="12" t="s">
        <v>2027</v>
      </c>
    </row>
    <row r="1503" spans="1:6" ht="28.8" x14ac:dyDescent="0.3">
      <c r="B1503" s="11">
        <v>45750</v>
      </c>
      <c r="C1503" s="12" t="s">
        <v>22</v>
      </c>
      <c r="D1503" s="12" t="s">
        <v>4</v>
      </c>
      <c r="E1503" s="4" t="s">
        <v>1827</v>
      </c>
      <c r="F1503" s="12" t="s">
        <v>1827</v>
      </c>
    </row>
    <row r="1504" spans="1:6" x14ac:dyDescent="0.3">
      <c r="A1504" s="4"/>
    </row>
    <row r="1505" spans="1:6" ht="15.6" x14ac:dyDescent="0.3">
      <c r="A1505" s="18" t="s">
        <v>1322</v>
      </c>
      <c r="B1505" s="19"/>
      <c r="C1505" s="19"/>
      <c r="D1505" s="19"/>
      <c r="E1505" s="19"/>
      <c r="F1505" s="19"/>
    </row>
    <row r="1506" spans="1:6" ht="43.2" x14ac:dyDescent="0.3">
      <c r="A1506" s="10" t="s">
        <v>693</v>
      </c>
      <c r="B1506" s="11">
        <v>45729</v>
      </c>
      <c r="C1506" s="12" t="s">
        <v>12</v>
      </c>
      <c r="D1506" s="12" t="s">
        <v>21</v>
      </c>
      <c r="E1506" s="11">
        <v>45750</v>
      </c>
      <c r="F1506" s="12" t="s">
        <v>2028</v>
      </c>
    </row>
    <row r="1507" spans="1:6" ht="28.8" x14ac:dyDescent="0.3">
      <c r="B1507" s="11">
        <v>45750</v>
      </c>
      <c r="C1507" s="12" t="s">
        <v>22</v>
      </c>
      <c r="D1507" s="12" t="s">
        <v>4</v>
      </c>
      <c r="E1507" s="4" t="s">
        <v>1827</v>
      </c>
      <c r="F1507" s="12" t="s">
        <v>1827</v>
      </c>
    </row>
    <row r="1508" spans="1:6" x14ac:dyDescent="0.3">
      <c r="A1508" s="4"/>
    </row>
    <row r="1509" spans="1:6" ht="15.6" x14ac:dyDescent="0.3">
      <c r="A1509" s="18" t="s">
        <v>1324</v>
      </c>
      <c r="B1509" s="19"/>
      <c r="C1509" s="19"/>
      <c r="D1509" s="19"/>
      <c r="E1509" s="19"/>
      <c r="F1509" s="19"/>
    </row>
    <row r="1510" spans="1:6" ht="86.4" x14ac:dyDescent="0.3">
      <c r="A1510" s="10" t="s">
        <v>689</v>
      </c>
      <c r="B1510" s="11">
        <v>45729</v>
      </c>
      <c r="C1510" s="12" t="s">
        <v>12</v>
      </c>
      <c r="D1510" s="12" t="s">
        <v>21</v>
      </c>
      <c r="E1510" s="11">
        <v>45750</v>
      </c>
      <c r="F1510" s="12" t="s">
        <v>2029</v>
      </c>
    </row>
    <row r="1511" spans="1:6" ht="28.8" x14ac:dyDescent="0.3">
      <c r="B1511" s="11">
        <v>45750</v>
      </c>
      <c r="C1511" s="12" t="s">
        <v>22</v>
      </c>
      <c r="D1511" s="12" t="s">
        <v>4</v>
      </c>
      <c r="E1511" s="4" t="s">
        <v>1827</v>
      </c>
      <c r="F1511" s="12" t="s">
        <v>1827</v>
      </c>
    </row>
    <row r="1512" spans="1:6" x14ac:dyDescent="0.3">
      <c r="A1512" s="4"/>
    </row>
    <row r="1513" spans="1:6" ht="15.6" x14ac:dyDescent="0.3">
      <c r="A1513" s="18" t="s">
        <v>1327</v>
      </c>
      <c r="B1513" s="19"/>
      <c r="C1513" s="19"/>
      <c r="D1513" s="19"/>
      <c r="E1513" s="19"/>
      <c r="F1513" s="19"/>
    </row>
    <row r="1514" spans="1:6" ht="43.2" x14ac:dyDescent="0.3">
      <c r="A1514" s="10" t="s">
        <v>799</v>
      </c>
      <c r="B1514" s="11">
        <v>45729</v>
      </c>
      <c r="C1514" s="12" t="s">
        <v>12</v>
      </c>
      <c r="D1514" s="12" t="s">
        <v>21</v>
      </c>
      <c r="E1514" s="11">
        <v>45750</v>
      </c>
      <c r="F1514" s="12" t="s">
        <v>2030</v>
      </c>
    </row>
    <row r="1515" spans="1:6" ht="28.8" x14ac:dyDescent="0.3">
      <c r="B1515" s="11">
        <v>45750</v>
      </c>
      <c r="C1515" s="12" t="s">
        <v>22</v>
      </c>
      <c r="D1515" s="12" t="s">
        <v>4</v>
      </c>
      <c r="E1515" s="4" t="s">
        <v>1827</v>
      </c>
      <c r="F1515" s="12" t="s">
        <v>1827</v>
      </c>
    </row>
    <row r="1516" spans="1:6" x14ac:dyDescent="0.3">
      <c r="A1516" s="4"/>
    </row>
    <row r="1517" spans="1:6" ht="15.6" x14ac:dyDescent="0.3">
      <c r="A1517" s="18" t="s">
        <v>1330</v>
      </c>
      <c r="B1517" s="19"/>
      <c r="C1517" s="19"/>
      <c r="D1517" s="19"/>
      <c r="E1517" s="19"/>
      <c r="F1517" s="19"/>
    </row>
    <row r="1518" spans="1:6" x14ac:dyDescent="0.3">
      <c r="A1518" s="10" t="s">
        <v>693</v>
      </c>
      <c r="B1518" s="11">
        <v>45729</v>
      </c>
      <c r="C1518" s="12" t="s">
        <v>12</v>
      </c>
      <c r="D1518" s="12" t="s">
        <v>21</v>
      </c>
      <c r="E1518" s="11">
        <v>45748</v>
      </c>
      <c r="F1518" s="12" t="s">
        <v>1835</v>
      </c>
    </row>
    <row r="1519" spans="1:6" ht="28.8" x14ac:dyDescent="0.3">
      <c r="B1519" s="11">
        <v>45748</v>
      </c>
      <c r="C1519" s="12" t="s">
        <v>22</v>
      </c>
      <c r="D1519" s="12" t="s">
        <v>4</v>
      </c>
      <c r="E1519" s="4" t="s">
        <v>1827</v>
      </c>
      <c r="F1519" s="12" t="s">
        <v>1827</v>
      </c>
    </row>
    <row r="1520" spans="1:6" x14ac:dyDescent="0.3">
      <c r="A1520" s="4"/>
    </row>
    <row r="1521" spans="1:6" ht="15.6" x14ac:dyDescent="0.3">
      <c r="A1521" s="18" t="s">
        <v>1333</v>
      </c>
      <c r="B1521" s="19"/>
      <c r="C1521" s="19"/>
      <c r="D1521" s="19"/>
      <c r="E1521" s="19"/>
      <c r="F1521" s="19"/>
    </row>
    <row r="1522" spans="1:6" ht="72" x14ac:dyDescent="0.3">
      <c r="A1522" s="10" t="s">
        <v>835</v>
      </c>
      <c r="B1522" s="11">
        <v>45729</v>
      </c>
      <c r="C1522" s="12" t="s">
        <v>12</v>
      </c>
      <c r="D1522" s="12" t="s">
        <v>21</v>
      </c>
      <c r="E1522" s="11">
        <v>45750</v>
      </c>
      <c r="F1522" s="12" t="s">
        <v>2031</v>
      </c>
    </row>
    <row r="1523" spans="1:6" ht="28.8" x14ac:dyDescent="0.3">
      <c r="B1523" s="11">
        <v>45750</v>
      </c>
      <c r="C1523" s="12" t="s">
        <v>22</v>
      </c>
      <c r="D1523" s="12" t="s">
        <v>4</v>
      </c>
      <c r="E1523" s="4" t="s">
        <v>1827</v>
      </c>
      <c r="F1523" s="12" t="s">
        <v>1827</v>
      </c>
    </row>
    <row r="1524" spans="1:6" x14ac:dyDescent="0.3">
      <c r="A1524" s="4"/>
    </row>
    <row r="1525" spans="1:6" ht="15.6" x14ac:dyDescent="0.3">
      <c r="A1525" s="18" t="s">
        <v>1335</v>
      </c>
      <c r="B1525" s="19"/>
      <c r="C1525" s="19"/>
      <c r="D1525" s="19"/>
      <c r="E1525" s="19"/>
      <c r="F1525" s="19"/>
    </row>
    <row r="1526" spans="1:6" ht="72" x14ac:dyDescent="0.3">
      <c r="A1526" s="10" t="s">
        <v>689</v>
      </c>
      <c r="B1526" s="11">
        <v>45729</v>
      </c>
      <c r="C1526" s="12" t="s">
        <v>12</v>
      </c>
      <c r="D1526" s="12" t="s">
        <v>21</v>
      </c>
      <c r="E1526" s="11">
        <v>45750</v>
      </c>
      <c r="F1526" s="12" t="s">
        <v>2032</v>
      </c>
    </row>
    <row r="1527" spans="1:6" ht="28.8" x14ac:dyDescent="0.3">
      <c r="B1527" s="11">
        <v>45750</v>
      </c>
      <c r="C1527" s="12" t="s">
        <v>22</v>
      </c>
      <c r="D1527" s="12" t="s">
        <v>4</v>
      </c>
      <c r="E1527" s="4" t="s">
        <v>1827</v>
      </c>
      <c r="F1527" s="12" t="s">
        <v>1827</v>
      </c>
    </row>
    <row r="1528" spans="1:6" x14ac:dyDescent="0.3">
      <c r="A1528" s="4"/>
    </row>
    <row r="1529" spans="1:6" ht="15.6" x14ac:dyDescent="0.3">
      <c r="A1529" s="18" t="s">
        <v>1338</v>
      </c>
      <c r="B1529" s="19"/>
      <c r="C1529" s="19"/>
      <c r="D1529" s="19"/>
      <c r="E1529" s="19"/>
      <c r="F1529" s="19"/>
    </row>
    <row r="1530" spans="1:6" ht="57.6" x14ac:dyDescent="0.3">
      <c r="A1530" s="10" t="s">
        <v>695</v>
      </c>
      <c r="B1530" s="11">
        <v>45729</v>
      </c>
      <c r="C1530" s="12" t="s">
        <v>12</v>
      </c>
      <c r="D1530" s="12" t="s">
        <v>21</v>
      </c>
      <c r="E1530" s="11">
        <v>45750</v>
      </c>
      <c r="F1530" s="12" t="s">
        <v>2033</v>
      </c>
    </row>
    <row r="1531" spans="1:6" ht="28.8" x14ac:dyDescent="0.3">
      <c r="B1531" s="11">
        <v>45750</v>
      </c>
      <c r="C1531" s="12" t="s">
        <v>22</v>
      </c>
      <c r="D1531" s="12" t="s">
        <v>4</v>
      </c>
      <c r="E1531" s="4" t="s">
        <v>1827</v>
      </c>
      <c r="F1531" s="12" t="s">
        <v>1827</v>
      </c>
    </row>
    <row r="1532" spans="1:6" x14ac:dyDescent="0.3">
      <c r="A1532" s="4"/>
    </row>
    <row r="1533" spans="1:6" ht="15.6" x14ac:dyDescent="0.3">
      <c r="A1533" s="18" t="s">
        <v>1341</v>
      </c>
      <c r="B1533" s="19"/>
      <c r="C1533" s="19"/>
      <c r="D1533" s="19"/>
      <c r="E1533" s="19"/>
      <c r="F1533" s="19"/>
    </row>
    <row r="1534" spans="1:6" ht="72" x14ac:dyDescent="0.3">
      <c r="A1534" s="10" t="s">
        <v>11</v>
      </c>
      <c r="B1534" s="11">
        <v>45729</v>
      </c>
      <c r="C1534" s="12" t="s">
        <v>12</v>
      </c>
      <c r="D1534" s="12" t="s">
        <v>21</v>
      </c>
      <c r="E1534" s="11">
        <v>45750</v>
      </c>
      <c r="F1534" s="12" t="s">
        <v>2034</v>
      </c>
    </row>
    <row r="1535" spans="1:6" ht="28.8" x14ac:dyDescent="0.3">
      <c r="B1535" s="11">
        <v>45750</v>
      </c>
      <c r="C1535" s="12" t="s">
        <v>22</v>
      </c>
      <c r="D1535" s="12" t="s">
        <v>4</v>
      </c>
      <c r="E1535" s="4" t="s">
        <v>1827</v>
      </c>
      <c r="F1535" s="12" t="s">
        <v>1827</v>
      </c>
    </row>
    <row r="1536" spans="1:6" x14ac:dyDescent="0.3">
      <c r="A1536" s="4"/>
    </row>
    <row r="1537" spans="1:6" ht="15.6" x14ac:dyDescent="0.3">
      <c r="A1537" s="18" t="s">
        <v>1344</v>
      </c>
      <c r="B1537" s="19"/>
      <c r="C1537" s="19"/>
      <c r="D1537" s="19"/>
      <c r="E1537" s="19"/>
      <c r="F1537" s="19"/>
    </row>
    <row r="1538" spans="1:6" x14ac:dyDescent="0.3">
      <c r="A1538" s="10" t="s">
        <v>10</v>
      </c>
      <c r="B1538" s="11">
        <v>45729</v>
      </c>
      <c r="C1538" s="12" t="s">
        <v>12</v>
      </c>
      <c r="D1538" s="12" t="s">
        <v>24</v>
      </c>
      <c r="E1538" s="11">
        <v>45750</v>
      </c>
      <c r="F1538" s="12" t="s">
        <v>1785</v>
      </c>
    </row>
    <row r="1539" spans="1:6" x14ac:dyDescent="0.3">
      <c r="A1539" s="4"/>
    </row>
    <row r="1540" spans="1:6" ht="15.6" x14ac:dyDescent="0.3">
      <c r="A1540" s="18" t="s">
        <v>1347</v>
      </c>
      <c r="B1540" s="19"/>
      <c r="C1540" s="19"/>
      <c r="D1540" s="19"/>
      <c r="E1540" s="19"/>
      <c r="F1540" s="19"/>
    </row>
    <row r="1541" spans="1:6" x14ac:dyDescent="0.3">
      <c r="A1541" s="10" t="s">
        <v>10</v>
      </c>
      <c r="B1541" s="11">
        <v>45729</v>
      </c>
      <c r="C1541" s="12" t="s">
        <v>12</v>
      </c>
      <c r="D1541" s="12" t="s">
        <v>24</v>
      </c>
      <c r="E1541" s="11">
        <v>45750</v>
      </c>
      <c r="F1541" s="12" t="s">
        <v>1785</v>
      </c>
    </row>
    <row r="1542" spans="1:6" x14ac:dyDescent="0.3">
      <c r="A1542" s="4"/>
    </row>
    <row r="1543" spans="1:6" ht="15.6" x14ac:dyDescent="0.3">
      <c r="A1543" s="18" t="s">
        <v>1350</v>
      </c>
      <c r="B1543" s="19"/>
      <c r="C1543" s="19"/>
      <c r="D1543" s="19"/>
      <c r="E1543" s="19"/>
      <c r="F1543" s="19"/>
    </row>
    <row r="1544" spans="1:6" x14ac:dyDescent="0.3">
      <c r="A1544" s="10" t="s">
        <v>10</v>
      </c>
      <c r="B1544" s="11">
        <v>45729</v>
      </c>
      <c r="C1544" s="12" t="s">
        <v>12</v>
      </c>
      <c r="D1544" s="12" t="s">
        <v>24</v>
      </c>
      <c r="E1544" s="11">
        <v>45750</v>
      </c>
      <c r="F1544" s="12" t="s">
        <v>1785</v>
      </c>
    </row>
    <row r="1545" spans="1:6" x14ac:dyDescent="0.3">
      <c r="A1545" s="4"/>
    </row>
    <row r="1546" spans="1:6" ht="15.6" x14ac:dyDescent="0.3">
      <c r="A1546" s="18" t="s">
        <v>1353</v>
      </c>
      <c r="B1546" s="19"/>
      <c r="C1546" s="19"/>
      <c r="D1546" s="19"/>
      <c r="E1546" s="19"/>
      <c r="F1546" s="19"/>
    </row>
    <row r="1547" spans="1:6" x14ac:dyDescent="0.3">
      <c r="A1547" s="10" t="s">
        <v>10</v>
      </c>
      <c r="B1547" s="11">
        <v>45729</v>
      </c>
      <c r="C1547" s="12" t="s">
        <v>12</v>
      </c>
      <c r="D1547" s="12" t="s">
        <v>24</v>
      </c>
      <c r="E1547" s="11">
        <v>45750</v>
      </c>
      <c r="F1547" s="12" t="s">
        <v>1785</v>
      </c>
    </row>
    <row r="1548" spans="1:6" x14ac:dyDescent="0.3">
      <c r="A1548" s="4"/>
    </row>
    <row r="1549" spans="1:6" ht="15.6" x14ac:dyDescent="0.3">
      <c r="A1549" s="18" t="s">
        <v>1356</v>
      </c>
      <c r="B1549" s="19"/>
      <c r="C1549" s="19"/>
      <c r="D1549" s="19"/>
      <c r="E1549" s="19"/>
      <c r="F1549" s="19"/>
    </row>
    <row r="1550" spans="1:6" x14ac:dyDescent="0.3">
      <c r="A1550" s="10" t="s">
        <v>10</v>
      </c>
      <c r="B1550" s="11">
        <v>45729</v>
      </c>
      <c r="C1550" s="12" t="s">
        <v>12</v>
      </c>
      <c r="D1550" s="12" t="s">
        <v>24</v>
      </c>
      <c r="E1550" s="11">
        <v>45750</v>
      </c>
      <c r="F1550" s="12" t="s">
        <v>1785</v>
      </c>
    </row>
    <row r="1551" spans="1:6" x14ac:dyDescent="0.3">
      <c r="A1551" s="4"/>
    </row>
    <row r="1552" spans="1:6" ht="15.6" x14ac:dyDescent="0.3">
      <c r="A1552" s="18" t="s">
        <v>1359</v>
      </c>
      <c r="B1552" s="19"/>
      <c r="C1552" s="19"/>
      <c r="D1552" s="19"/>
      <c r="E1552" s="19"/>
      <c r="F1552" s="19"/>
    </row>
    <row r="1553" spans="1:6" ht="72" x14ac:dyDescent="0.3">
      <c r="A1553" s="10" t="s">
        <v>11</v>
      </c>
      <c r="B1553" s="11">
        <v>45729</v>
      </c>
      <c r="C1553" s="12" t="s">
        <v>12</v>
      </c>
      <c r="D1553" s="12" t="s">
        <v>21</v>
      </c>
      <c r="E1553" s="11">
        <v>45750</v>
      </c>
      <c r="F1553" s="12" t="s">
        <v>2035</v>
      </c>
    </row>
    <row r="1554" spans="1:6" ht="28.8" x14ac:dyDescent="0.3">
      <c r="B1554" s="11">
        <v>45750</v>
      </c>
      <c r="C1554" s="12" t="s">
        <v>22</v>
      </c>
      <c r="D1554" s="12" t="s">
        <v>4</v>
      </c>
      <c r="E1554" s="4" t="s">
        <v>1827</v>
      </c>
      <c r="F1554" s="12" t="s">
        <v>1827</v>
      </c>
    </row>
    <row r="1555" spans="1:6" x14ac:dyDescent="0.3">
      <c r="A1555" s="4"/>
    </row>
    <row r="1556" spans="1:6" ht="15.6" x14ac:dyDescent="0.3">
      <c r="A1556" s="18" t="s">
        <v>1362</v>
      </c>
      <c r="B1556" s="19"/>
      <c r="C1556" s="19"/>
      <c r="D1556" s="19"/>
      <c r="E1556" s="19"/>
      <c r="F1556" s="19"/>
    </row>
    <row r="1557" spans="1:6" ht="43.2" x14ac:dyDescent="0.3">
      <c r="A1557" s="10" t="s">
        <v>11</v>
      </c>
      <c r="B1557" s="11">
        <v>45729</v>
      </c>
      <c r="C1557" s="12" t="s">
        <v>12</v>
      </c>
      <c r="D1557" s="12" t="s">
        <v>21</v>
      </c>
      <c r="E1557" s="11">
        <v>45750</v>
      </c>
      <c r="F1557" s="12" t="s">
        <v>2036</v>
      </c>
    </row>
    <row r="1558" spans="1:6" ht="28.8" x14ac:dyDescent="0.3">
      <c r="B1558" s="11">
        <v>45750</v>
      </c>
      <c r="C1558" s="12" t="s">
        <v>22</v>
      </c>
      <c r="D1558" s="12" t="s">
        <v>4</v>
      </c>
      <c r="E1558" s="4" t="s">
        <v>1827</v>
      </c>
      <c r="F1558" s="12" t="s">
        <v>1827</v>
      </c>
    </row>
    <row r="1559" spans="1:6" x14ac:dyDescent="0.3">
      <c r="A1559" s="4"/>
    </row>
    <row r="1560" spans="1:6" ht="15.6" x14ac:dyDescent="0.3">
      <c r="A1560" s="18" t="s">
        <v>1365</v>
      </c>
      <c r="B1560" s="19"/>
      <c r="C1560" s="19"/>
      <c r="D1560" s="19"/>
      <c r="E1560" s="19"/>
      <c r="F1560" s="19"/>
    </row>
    <row r="1561" spans="1:6" ht="43.2" x14ac:dyDescent="0.3">
      <c r="A1561" s="10" t="s">
        <v>418</v>
      </c>
      <c r="B1561" s="11">
        <v>45729</v>
      </c>
      <c r="C1561" s="12" t="s">
        <v>12</v>
      </c>
      <c r="D1561" s="12" t="s">
        <v>21</v>
      </c>
      <c r="E1561" s="11">
        <v>45750</v>
      </c>
      <c r="F1561" s="12" t="s">
        <v>2037</v>
      </c>
    </row>
    <row r="1562" spans="1:6" ht="28.8" x14ac:dyDescent="0.3">
      <c r="B1562" s="11">
        <v>45750</v>
      </c>
      <c r="C1562" s="12" t="s">
        <v>22</v>
      </c>
      <c r="D1562" s="12" t="s">
        <v>4</v>
      </c>
      <c r="E1562" s="4" t="s">
        <v>1827</v>
      </c>
      <c r="F1562" s="12" t="s">
        <v>1827</v>
      </c>
    </row>
    <row r="1563" spans="1:6" x14ac:dyDescent="0.3">
      <c r="A1563" s="4"/>
    </row>
    <row r="1564" spans="1:6" ht="15.6" x14ac:dyDescent="0.3">
      <c r="A1564" s="18" t="s">
        <v>1368</v>
      </c>
      <c r="B1564" s="19"/>
      <c r="C1564" s="19"/>
      <c r="D1564" s="19"/>
      <c r="E1564" s="19"/>
      <c r="F1564" s="19"/>
    </row>
    <row r="1565" spans="1:6" x14ac:dyDescent="0.3">
      <c r="A1565" s="10" t="s">
        <v>11</v>
      </c>
      <c r="B1565" s="11">
        <v>45729</v>
      </c>
      <c r="C1565" s="12" t="s">
        <v>12</v>
      </c>
      <c r="D1565" s="12" t="s">
        <v>24</v>
      </c>
      <c r="E1565" s="11">
        <v>45750</v>
      </c>
      <c r="F1565" s="12" t="s">
        <v>1785</v>
      </c>
    </row>
    <row r="1566" spans="1:6" x14ac:dyDescent="0.3">
      <c r="A1566" s="4"/>
    </row>
    <row r="1567" spans="1:6" ht="15.6" x14ac:dyDescent="0.3">
      <c r="A1567" s="18" t="s">
        <v>1371</v>
      </c>
      <c r="B1567" s="19"/>
      <c r="C1567" s="19"/>
      <c r="D1567" s="19"/>
      <c r="E1567" s="19"/>
      <c r="F1567" s="19"/>
    </row>
    <row r="1568" spans="1:6" ht="28.8" x14ac:dyDescent="0.3">
      <c r="A1568" s="10" t="s">
        <v>418</v>
      </c>
      <c r="B1568" s="11">
        <v>45729</v>
      </c>
      <c r="C1568" s="12" t="s">
        <v>12</v>
      </c>
      <c r="D1568" s="12" t="s">
        <v>21</v>
      </c>
      <c r="E1568" s="11">
        <v>45750</v>
      </c>
      <c r="F1568" s="12" t="s">
        <v>2038</v>
      </c>
    </row>
    <row r="1569" spans="1:6" ht="28.8" x14ac:dyDescent="0.3">
      <c r="B1569" s="11">
        <v>45750</v>
      </c>
      <c r="C1569" s="12" t="s">
        <v>22</v>
      </c>
      <c r="D1569" s="12" t="s">
        <v>4</v>
      </c>
      <c r="E1569" s="4" t="s">
        <v>1827</v>
      </c>
      <c r="F1569" s="12" t="s">
        <v>1827</v>
      </c>
    </row>
    <row r="1570" spans="1:6" x14ac:dyDescent="0.3">
      <c r="A1570" s="4"/>
    </row>
    <row r="1571" spans="1:6" ht="15.6" x14ac:dyDescent="0.3">
      <c r="A1571" s="18" t="s">
        <v>1374</v>
      </c>
      <c r="B1571" s="19"/>
      <c r="C1571" s="19"/>
      <c r="D1571" s="19"/>
      <c r="E1571" s="19"/>
      <c r="F1571" s="19"/>
    </row>
    <row r="1572" spans="1:6" x14ac:dyDescent="0.3">
      <c r="A1572" s="10" t="s">
        <v>799</v>
      </c>
      <c r="B1572" s="11">
        <v>45729</v>
      </c>
      <c r="C1572" s="12" t="s">
        <v>12</v>
      </c>
      <c r="D1572" s="12" t="s">
        <v>24</v>
      </c>
      <c r="E1572" s="11">
        <v>45750</v>
      </c>
      <c r="F1572" s="12" t="s">
        <v>1785</v>
      </c>
    </row>
    <row r="1573" spans="1:6" x14ac:dyDescent="0.3">
      <c r="A1573" s="4"/>
    </row>
    <row r="1574" spans="1:6" ht="15.6" x14ac:dyDescent="0.3">
      <c r="A1574" s="18" t="s">
        <v>1377</v>
      </c>
      <c r="B1574" s="19"/>
      <c r="C1574" s="19"/>
      <c r="D1574" s="19"/>
      <c r="E1574" s="19"/>
      <c r="F1574" s="19"/>
    </row>
    <row r="1575" spans="1:6" x14ac:dyDescent="0.3">
      <c r="A1575" s="10" t="s">
        <v>799</v>
      </c>
      <c r="B1575" s="11">
        <v>45729</v>
      </c>
      <c r="C1575" s="12" t="s">
        <v>12</v>
      </c>
      <c r="D1575" s="12" t="s">
        <v>24</v>
      </c>
      <c r="E1575" s="11">
        <v>45750</v>
      </c>
      <c r="F1575" s="12" t="s">
        <v>1785</v>
      </c>
    </row>
    <row r="1576" spans="1:6" x14ac:dyDescent="0.3">
      <c r="A1576" s="4"/>
    </row>
    <row r="1577" spans="1:6" ht="15.6" x14ac:dyDescent="0.3">
      <c r="A1577" s="18" t="s">
        <v>1380</v>
      </c>
      <c r="B1577" s="19"/>
      <c r="C1577" s="19"/>
      <c r="D1577" s="19"/>
      <c r="E1577" s="19"/>
      <c r="F1577" s="19"/>
    </row>
    <row r="1578" spans="1:6" x14ac:dyDescent="0.3">
      <c r="A1578" s="10" t="s">
        <v>799</v>
      </c>
      <c r="B1578" s="11">
        <v>45729</v>
      </c>
      <c r="C1578" s="12" t="s">
        <v>12</v>
      </c>
      <c r="D1578" s="12" t="s">
        <v>24</v>
      </c>
      <c r="E1578" s="11">
        <v>45750</v>
      </c>
      <c r="F1578" s="12" t="s">
        <v>1785</v>
      </c>
    </row>
    <row r="1579" spans="1:6" x14ac:dyDescent="0.3">
      <c r="A1579" s="4"/>
    </row>
    <row r="1580" spans="1:6" ht="15.6" x14ac:dyDescent="0.3">
      <c r="A1580" s="18" t="s">
        <v>1383</v>
      </c>
      <c r="B1580" s="19"/>
      <c r="C1580" s="19"/>
      <c r="D1580" s="19"/>
      <c r="E1580" s="19"/>
      <c r="F1580" s="19"/>
    </row>
    <row r="1581" spans="1:6" ht="43.2" x14ac:dyDescent="0.3">
      <c r="A1581" s="10" t="s">
        <v>689</v>
      </c>
      <c r="B1581" s="11">
        <v>45729</v>
      </c>
      <c r="C1581" s="12" t="s">
        <v>12</v>
      </c>
      <c r="D1581" s="12" t="s">
        <v>21</v>
      </c>
      <c r="E1581" s="11">
        <v>45750</v>
      </c>
      <c r="F1581" s="12" t="s">
        <v>2039</v>
      </c>
    </row>
    <row r="1582" spans="1:6" ht="28.8" x14ac:dyDescent="0.3">
      <c r="B1582" s="11">
        <v>45750</v>
      </c>
      <c r="C1582" s="12" t="s">
        <v>22</v>
      </c>
      <c r="D1582" s="12" t="s">
        <v>4</v>
      </c>
      <c r="E1582" s="4" t="s">
        <v>1827</v>
      </c>
      <c r="F1582" s="12" t="s">
        <v>1827</v>
      </c>
    </row>
    <row r="1583" spans="1:6" x14ac:dyDescent="0.3">
      <c r="A1583" s="4"/>
    </row>
    <row r="1584" spans="1:6" ht="15.6" x14ac:dyDescent="0.3">
      <c r="A1584" s="18" t="s">
        <v>1386</v>
      </c>
      <c r="B1584" s="19"/>
      <c r="C1584" s="19"/>
      <c r="D1584" s="19"/>
      <c r="E1584" s="19"/>
      <c r="F1584" s="19"/>
    </row>
    <row r="1585" spans="1:6" ht="43.2" x14ac:dyDescent="0.3">
      <c r="A1585" s="10" t="s">
        <v>689</v>
      </c>
      <c r="B1585" s="11">
        <v>45729</v>
      </c>
      <c r="C1585" s="12" t="s">
        <v>12</v>
      </c>
      <c r="D1585" s="12" t="s">
        <v>21</v>
      </c>
      <c r="E1585" s="11">
        <v>45750</v>
      </c>
      <c r="F1585" s="12" t="s">
        <v>2039</v>
      </c>
    </row>
    <row r="1586" spans="1:6" ht="28.8" x14ac:dyDescent="0.3">
      <c r="B1586" s="11">
        <v>45750</v>
      </c>
      <c r="C1586" s="12" t="s">
        <v>22</v>
      </c>
      <c r="D1586" s="12" t="s">
        <v>4</v>
      </c>
      <c r="E1586" s="4" t="s">
        <v>1827</v>
      </c>
      <c r="F1586" s="12" t="s">
        <v>1827</v>
      </c>
    </row>
    <row r="1587" spans="1:6" x14ac:dyDescent="0.3">
      <c r="A1587" s="4"/>
    </row>
    <row r="1588" spans="1:6" ht="15.6" x14ac:dyDescent="0.3">
      <c r="A1588" s="18" t="s">
        <v>1389</v>
      </c>
      <c r="B1588" s="19"/>
      <c r="C1588" s="19"/>
      <c r="D1588" s="19"/>
      <c r="E1588" s="19"/>
      <c r="F1588" s="19"/>
    </row>
    <row r="1589" spans="1:6" ht="43.2" x14ac:dyDescent="0.3">
      <c r="A1589" s="10" t="s">
        <v>11</v>
      </c>
      <c r="B1589" s="11">
        <v>45729</v>
      </c>
      <c r="C1589" s="12" t="s">
        <v>12</v>
      </c>
      <c r="D1589" s="12" t="s">
        <v>21</v>
      </c>
      <c r="E1589" s="11">
        <v>45750</v>
      </c>
      <c r="F1589" s="12" t="s">
        <v>2040</v>
      </c>
    </row>
    <row r="1590" spans="1:6" ht="28.8" x14ac:dyDescent="0.3">
      <c r="B1590" s="11">
        <v>45750</v>
      </c>
      <c r="C1590" s="12" t="s">
        <v>22</v>
      </c>
      <c r="D1590" s="12" t="s">
        <v>4</v>
      </c>
      <c r="E1590" s="4" t="s">
        <v>1827</v>
      </c>
      <c r="F1590" s="12" t="s">
        <v>1827</v>
      </c>
    </row>
    <row r="1591" spans="1:6" x14ac:dyDescent="0.3">
      <c r="A1591" s="4"/>
    </row>
    <row r="1592" spans="1:6" ht="15.6" x14ac:dyDescent="0.3">
      <c r="A1592" s="18" t="s">
        <v>1392</v>
      </c>
      <c r="B1592" s="19"/>
      <c r="C1592" s="19"/>
      <c r="D1592" s="19"/>
      <c r="E1592" s="19"/>
      <c r="F1592" s="19"/>
    </row>
    <row r="1593" spans="1:6" ht="28.8" x14ac:dyDescent="0.3">
      <c r="A1593" s="10" t="s">
        <v>11</v>
      </c>
      <c r="B1593" s="11">
        <v>45729</v>
      </c>
      <c r="C1593" s="12" t="s">
        <v>12</v>
      </c>
      <c r="D1593" s="12" t="s">
        <v>21</v>
      </c>
      <c r="E1593" s="11">
        <v>45750</v>
      </c>
      <c r="F1593" s="12" t="s">
        <v>2041</v>
      </c>
    </row>
    <row r="1594" spans="1:6" ht="28.8" x14ac:dyDescent="0.3">
      <c r="B1594" s="11">
        <v>45750</v>
      </c>
      <c r="C1594" s="12" t="s">
        <v>22</v>
      </c>
      <c r="D1594" s="12" t="s">
        <v>4</v>
      </c>
      <c r="E1594" s="4" t="s">
        <v>1827</v>
      </c>
      <c r="F1594" s="12" t="s">
        <v>1827</v>
      </c>
    </row>
    <row r="1595" spans="1:6" x14ac:dyDescent="0.3">
      <c r="A1595" s="4"/>
    </row>
    <row r="1596" spans="1:6" ht="15.6" x14ac:dyDescent="0.3">
      <c r="A1596" s="18" t="s">
        <v>1395</v>
      </c>
      <c r="B1596" s="19"/>
      <c r="C1596" s="19"/>
      <c r="D1596" s="19"/>
      <c r="E1596" s="19"/>
      <c r="F1596" s="19"/>
    </row>
    <row r="1597" spans="1:6" ht="43.2" x14ac:dyDescent="0.3">
      <c r="A1597" s="10" t="s">
        <v>11</v>
      </c>
      <c r="B1597" s="11">
        <v>45729</v>
      </c>
      <c r="C1597" s="12" t="s">
        <v>12</v>
      </c>
      <c r="D1597" s="12" t="s">
        <v>21</v>
      </c>
      <c r="E1597" s="11">
        <v>45750</v>
      </c>
      <c r="F1597" s="12" t="s">
        <v>2042</v>
      </c>
    </row>
    <row r="1598" spans="1:6" ht="28.8" x14ac:dyDescent="0.3">
      <c r="B1598" s="11">
        <v>45750</v>
      </c>
      <c r="C1598" s="12" t="s">
        <v>22</v>
      </c>
      <c r="D1598" s="12" t="s">
        <v>4</v>
      </c>
      <c r="E1598" s="4" t="s">
        <v>1827</v>
      </c>
      <c r="F1598" s="12" t="s">
        <v>1827</v>
      </c>
    </row>
    <row r="1599" spans="1:6" x14ac:dyDescent="0.3">
      <c r="A1599" s="4"/>
    </row>
    <row r="1600" spans="1:6" ht="15.6" x14ac:dyDescent="0.3">
      <c r="A1600" s="18" t="s">
        <v>1398</v>
      </c>
      <c r="B1600" s="19"/>
      <c r="C1600" s="19"/>
      <c r="D1600" s="19"/>
      <c r="E1600" s="19"/>
      <c r="F1600" s="19"/>
    </row>
    <row r="1601" spans="1:6" x14ac:dyDescent="0.3">
      <c r="A1601" s="10" t="s">
        <v>10</v>
      </c>
      <c r="B1601" s="11">
        <v>45729</v>
      </c>
      <c r="C1601" s="12" t="s">
        <v>12</v>
      </c>
      <c r="D1601" s="12" t="s">
        <v>4</v>
      </c>
      <c r="E1601" s="4" t="s">
        <v>1827</v>
      </c>
      <c r="F1601" s="12" t="s">
        <v>1827</v>
      </c>
    </row>
    <row r="1602" spans="1:6" x14ac:dyDescent="0.3">
      <c r="A1602" s="4"/>
    </row>
    <row r="1603" spans="1:6" ht="15.6" x14ac:dyDescent="0.3">
      <c r="A1603" s="18" t="s">
        <v>1401</v>
      </c>
      <c r="B1603" s="19"/>
      <c r="C1603" s="19"/>
      <c r="D1603" s="19"/>
      <c r="E1603" s="19"/>
      <c r="F1603" s="19"/>
    </row>
    <row r="1604" spans="1:6" x14ac:dyDescent="0.3">
      <c r="A1604" s="10" t="s">
        <v>11</v>
      </c>
      <c r="B1604" s="11">
        <v>45761</v>
      </c>
      <c r="C1604" s="12" t="s">
        <v>12</v>
      </c>
      <c r="D1604" s="12" t="s">
        <v>24</v>
      </c>
      <c r="E1604" s="11">
        <v>45761</v>
      </c>
      <c r="F1604" s="12" t="s">
        <v>1785</v>
      </c>
    </row>
    <row r="1605" spans="1:6" x14ac:dyDescent="0.3">
      <c r="A1605" s="4"/>
    </row>
    <row r="1606" spans="1:6" ht="15.6" x14ac:dyDescent="0.3">
      <c r="A1606" s="18" t="s">
        <v>1403</v>
      </c>
      <c r="B1606" s="19"/>
      <c r="C1606" s="19"/>
      <c r="D1606" s="19"/>
      <c r="E1606" s="19"/>
      <c r="F1606" s="19"/>
    </row>
    <row r="1607" spans="1:6" x14ac:dyDescent="0.3">
      <c r="A1607" s="10" t="s">
        <v>11</v>
      </c>
      <c r="B1607" s="11">
        <v>45761</v>
      </c>
      <c r="C1607" s="12" t="s">
        <v>12</v>
      </c>
      <c r="D1607" s="12" t="s">
        <v>24</v>
      </c>
      <c r="E1607" s="11">
        <v>45761</v>
      </c>
      <c r="F1607" s="12" t="s">
        <v>1785</v>
      </c>
    </row>
    <row r="1608" spans="1:6" x14ac:dyDescent="0.3">
      <c r="A1608" s="4"/>
    </row>
    <row r="1609" spans="1:6" ht="15.6" x14ac:dyDescent="0.3">
      <c r="A1609" s="18" t="s">
        <v>1405</v>
      </c>
      <c r="B1609" s="19"/>
      <c r="C1609" s="19"/>
      <c r="D1609" s="19"/>
      <c r="E1609" s="19"/>
      <c r="F1609" s="19"/>
    </row>
    <row r="1610" spans="1:6" x14ac:dyDescent="0.3">
      <c r="A1610" s="10" t="s">
        <v>11</v>
      </c>
      <c r="B1610" s="11">
        <v>45761</v>
      </c>
      <c r="C1610" s="12" t="s">
        <v>12</v>
      </c>
      <c r="D1610" s="12" t="s">
        <v>24</v>
      </c>
      <c r="E1610" s="11">
        <v>45761</v>
      </c>
      <c r="F1610" s="12" t="s">
        <v>1785</v>
      </c>
    </row>
    <row r="1611" spans="1:6" x14ac:dyDescent="0.3">
      <c r="A1611" s="4"/>
    </row>
    <row r="1612" spans="1:6" ht="15.6" x14ac:dyDescent="0.3">
      <c r="A1612" s="18" t="s">
        <v>1408</v>
      </c>
      <c r="B1612" s="19"/>
      <c r="C1612" s="19"/>
      <c r="D1612" s="19"/>
      <c r="E1612" s="19"/>
      <c r="F1612" s="19"/>
    </row>
    <row r="1613" spans="1:6" x14ac:dyDescent="0.3">
      <c r="A1613" s="10" t="s">
        <v>10</v>
      </c>
      <c r="B1613" s="11">
        <v>45729</v>
      </c>
      <c r="C1613" s="12" t="s">
        <v>12</v>
      </c>
      <c r="D1613" s="12" t="s">
        <v>4</v>
      </c>
      <c r="E1613" s="4" t="s">
        <v>1827</v>
      </c>
      <c r="F1613" s="12" t="s">
        <v>1827</v>
      </c>
    </row>
    <row r="1614" spans="1:6" x14ac:dyDescent="0.3">
      <c r="A1614" s="4"/>
    </row>
    <row r="1615" spans="1:6" ht="15.6" x14ac:dyDescent="0.3">
      <c r="A1615" s="18" t="s">
        <v>1411</v>
      </c>
      <c r="B1615" s="19"/>
      <c r="C1615" s="19"/>
      <c r="D1615" s="19"/>
      <c r="E1615" s="19"/>
      <c r="F1615" s="19"/>
    </row>
    <row r="1616" spans="1:6" ht="28.8" x14ac:dyDescent="0.3">
      <c r="A1616" s="10" t="s">
        <v>835</v>
      </c>
      <c r="B1616" s="11">
        <v>45729</v>
      </c>
      <c r="C1616" s="12" t="s">
        <v>12</v>
      </c>
      <c r="D1616" s="12" t="s">
        <v>21</v>
      </c>
      <c r="E1616" s="11">
        <v>45747</v>
      </c>
      <c r="F1616" s="12" t="s">
        <v>1836</v>
      </c>
    </row>
    <row r="1617" spans="1:6" ht="28.8" x14ac:dyDescent="0.3">
      <c r="B1617" s="11">
        <v>45747</v>
      </c>
      <c r="C1617" s="12" t="s">
        <v>22</v>
      </c>
      <c r="D1617" s="12" t="s">
        <v>4</v>
      </c>
      <c r="E1617" s="4" t="s">
        <v>1827</v>
      </c>
      <c r="F1617" s="12" t="s">
        <v>1827</v>
      </c>
    </row>
    <row r="1618" spans="1:6" x14ac:dyDescent="0.3">
      <c r="A1618" s="4"/>
    </row>
    <row r="1619" spans="1:6" ht="15.6" x14ac:dyDescent="0.3">
      <c r="A1619" s="18" t="s">
        <v>1414</v>
      </c>
      <c r="B1619" s="19"/>
      <c r="C1619" s="19"/>
      <c r="D1619" s="19"/>
      <c r="E1619" s="19"/>
      <c r="F1619" s="19"/>
    </row>
    <row r="1620" spans="1:6" ht="28.8" x14ac:dyDescent="0.3">
      <c r="A1620" s="10" t="s">
        <v>835</v>
      </c>
      <c r="B1620" s="11">
        <v>45729</v>
      </c>
      <c r="C1620" s="12" t="s">
        <v>12</v>
      </c>
      <c r="D1620" s="12" t="s">
        <v>21</v>
      </c>
      <c r="E1620" s="11">
        <v>45747</v>
      </c>
      <c r="F1620" s="12" t="s">
        <v>1836</v>
      </c>
    </row>
    <row r="1621" spans="1:6" ht="28.8" x14ac:dyDescent="0.3">
      <c r="B1621" s="11">
        <v>45747</v>
      </c>
      <c r="C1621" s="12" t="s">
        <v>22</v>
      </c>
      <c r="D1621" s="12" t="s">
        <v>4</v>
      </c>
      <c r="E1621" s="4" t="s">
        <v>1827</v>
      </c>
      <c r="F1621" s="12" t="s">
        <v>1827</v>
      </c>
    </row>
    <row r="1622" spans="1:6" x14ac:dyDescent="0.3">
      <c r="A1622" s="4"/>
    </row>
    <row r="1623" spans="1:6" ht="15.6" x14ac:dyDescent="0.3">
      <c r="A1623" s="18" t="s">
        <v>1417</v>
      </c>
      <c r="B1623" s="19"/>
      <c r="C1623" s="19"/>
      <c r="D1623" s="19"/>
      <c r="E1623" s="19"/>
      <c r="F1623" s="19"/>
    </row>
    <row r="1624" spans="1:6" x14ac:dyDescent="0.3">
      <c r="A1624" s="10" t="s">
        <v>11</v>
      </c>
      <c r="B1624" s="11">
        <v>45729</v>
      </c>
      <c r="C1624" s="12" t="s">
        <v>12</v>
      </c>
      <c r="D1624" s="12" t="s">
        <v>21</v>
      </c>
      <c r="E1624" s="11">
        <v>45747</v>
      </c>
      <c r="F1624" s="12" t="s">
        <v>1837</v>
      </c>
    </row>
    <row r="1625" spans="1:6" ht="28.8" x14ac:dyDescent="0.3">
      <c r="B1625" s="11">
        <v>45747</v>
      </c>
      <c r="C1625" s="12" t="s">
        <v>22</v>
      </c>
      <c r="D1625" s="12" t="s">
        <v>4</v>
      </c>
      <c r="E1625" s="4" t="s">
        <v>1827</v>
      </c>
      <c r="F1625" s="12" t="s">
        <v>1827</v>
      </c>
    </row>
    <row r="1626" spans="1:6" x14ac:dyDescent="0.3">
      <c r="A1626" s="4"/>
    </row>
    <row r="1627" spans="1:6" ht="15.6" x14ac:dyDescent="0.3">
      <c r="A1627" s="18" t="s">
        <v>1420</v>
      </c>
      <c r="B1627" s="19"/>
      <c r="C1627" s="19"/>
      <c r="D1627" s="19"/>
      <c r="E1627" s="19"/>
      <c r="F1627" s="19"/>
    </row>
    <row r="1628" spans="1:6" ht="72" x14ac:dyDescent="0.3">
      <c r="A1628" s="10" t="s">
        <v>418</v>
      </c>
      <c r="B1628" s="11">
        <v>45729</v>
      </c>
      <c r="C1628" s="12" t="s">
        <v>12</v>
      </c>
      <c r="D1628" s="12" t="s">
        <v>21</v>
      </c>
      <c r="E1628" s="11">
        <v>45747</v>
      </c>
      <c r="F1628" s="12" t="s">
        <v>1838</v>
      </c>
    </row>
    <row r="1629" spans="1:6" ht="28.8" x14ac:dyDescent="0.3">
      <c r="B1629" s="11">
        <v>45747</v>
      </c>
      <c r="C1629" s="12" t="s">
        <v>22</v>
      </c>
      <c r="D1629" s="12" t="s">
        <v>4</v>
      </c>
      <c r="E1629" s="4" t="s">
        <v>1827</v>
      </c>
      <c r="F1629" s="12" t="s">
        <v>1827</v>
      </c>
    </row>
    <row r="1630" spans="1:6" x14ac:dyDescent="0.3">
      <c r="A1630" s="4"/>
    </row>
    <row r="1631" spans="1:6" ht="15.6" x14ac:dyDescent="0.3">
      <c r="A1631" s="18" t="s">
        <v>1423</v>
      </c>
      <c r="B1631" s="19"/>
      <c r="C1631" s="19"/>
      <c r="D1631" s="19"/>
      <c r="E1631" s="19"/>
      <c r="F1631" s="19"/>
    </row>
    <row r="1632" spans="1:6" ht="28.8" x14ac:dyDescent="0.3">
      <c r="A1632" s="10" t="s">
        <v>418</v>
      </c>
      <c r="B1632" s="11">
        <v>45729</v>
      </c>
      <c r="C1632" s="12" t="s">
        <v>12</v>
      </c>
      <c r="D1632" s="12" t="s">
        <v>21</v>
      </c>
      <c r="E1632" s="11">
        <v>45747</v>
      </c>
      <c r="F1632" s="12" t="s">
        <v>1839</v>
      </c>
    </row>
    <row r="1633" spans="1:6" ht="28.8" x14ac:dyDescent="0.3">
      <c r="B1633" s="11">
        <v>45747</v>
      </c>
      <c r="C1633" s="12" t="s">
        <v>22</v>
      </c>
      <c r="D1633" s="12" t="s">
        <v>4</v>
      </c>
      <c r="E1633" s="4" t="s">
        <v>1827</v>
      </c>
      <c r="F1633" s="12" t="s">
        <v>1827</v>
      </c>
    </row>
    <row r="1634" spans="1:6" x14ac:dyDescent="0.3">
      <c r="A1634" s="4"/>
    </row>
    <row r="1635" spans="1:6" ht="15.6" x14ac:dyDescent="0.3">
      <c r="A1635" s="18" t="s">
        <v>1426</v>
      </c>
      <c r="B1635" s="19"/>
      <c r="C1635" s="19"/>
      <c r="D1635" s="19"/>
      <c r="E1635" s="19"/>
      <c r="F1635" s="19"/>
    </row>
    <row r="1636" spans="1:6" ht="57.6" x14ac:dyDescent="0.3">
      <c r="A1636" s="10" t="s">
        <v>835</v>
      </c>
      <c r="B1636" s="11">
        <v>45729</v>
      </c>
      <c r="C1636" s="12" t="s">
        <v>12</v>
      </c>
      <c r="D1636" s="12" t="s">
        <v>21</v>
      </c>
      <c r="E1636" s="11">
        <v>45747</v>
      </c>
      <c r="F1636" s="12" t="s">
        <v>1840</v>
      </c>
    </row>
    <row r="1637" spans="1:6" ht="28.8" x14ac:dyDescent="0.3">
      <c r="B1637" s="11">
        <v>45747</v>
      </c>
      <c r="C1637" s="12" t="s">
        <v>22</v>
      </c>
      <c r="D1637" s="12" t="s">
        <v>4</v>
      </c>
      <c r="E1637" s="4" t="s">
        <v>1827</v>
      </c>
      <c r="F1637" s="12" t="s">
        <v>1827</v>
      </c>
    </row>
    <row r="1638" spans="1:6" x14ac:dyDescent="0.3">
      <c r="A1638" s="4"/>
    </row>
    <row r="1639" spans="1:6" ht="15.6" x14ac:dyDescent="0.3">
      <c r="A1639" s="18" t="s">
        <v>1429</v>
      </c>
      <c r="B1639" s="19"/>
      <c r="C1639" s="19"/>
      <c r="D1639" s="19"/>
      <c r="E1639" s="19"/>
      <c r="F1639" s="19"/>
    </row>
    <row r="1640" spans="1:6" ht="57.6" x14ac:dyDescent="0.3">
      <c r="A1640" s="10" t="s">
        <v>11</v>
      </c>
      <c r="B1640" s="11">
        <v>45729</v>
      </c>
      <c r="C1640" s="12" t="s">
        <v>12</v>
      </c>
      <c r="D1640" s="12" t="s">
        <v>21</v>
      </c>
      <c r="E1640" s="11">
        <v>45747</v>
      </c>
      <c r="F1640" s="12" t="s">
        <v>1841</v>
      </c>
    </row>
    <row r="1641" spans="1:6" ht="28.8" x14ac:dyDescent="0.3">
      <c r="B1641" s="11">
        <v>45747</v>
      </c>
      <c r="C1641" s="12" t="s">
        <v>22</v>
      </c>
      <c r="D1641" s="12" t="s">
        <v>4</v>
      </c>
      <c r="E1641" s="4" t="s">
        <v>1827</v>
      </c>
      <c r="F1641" s="12" t="s">
        <v>1827</v>
      </c>
    </row>
    <row r="1642" spans="1:6" x14ac:dyDescent="0.3">
      <c r="A1642" s="4"/>
    </row>
    <row r="1643" spans="1:6" ht="15.6" x14ac:dyDescent="0.3">
      <c r="A1643" s="18" t="s">
        <v>1432</v>
      </c>
      <c r="B1643" s="19"/>
      <c r="C1643" s="19"/>
      <c r="D1643" s="19"/>
      <c r="E1643" s="19"/>
      <c r="F1643" s="19"/>
    </row>
    <row r="1644" spans="1:6" x14ac:dyDescent="0.3">
      <c r="A1644" s="10" t="s">
        <v>799</v>
      </c>
      <c r="B1644" s="11">
        <v>45729</v>
      </c>
      <c r="C1644" s="12" t="s">
        <v>12</v>
      </c>
      <c r="D1644" s="12" t="s">
        <v>21</v>
      </c>
      <c r="E1644" s="11">
        <v>45747</v>
      </c>
      <c r="F1644" s="12" t="s">
        <v>1842</v>
      </c>
    </row>
    <row r="1645" spans="1:6" ht="28.8" x14ac:dyDescent="0.3">
      <c r="B1645" s="11">
        <v>45747</v>
      </c>
      <c r="C1645" s="12" t="s">
        <v>22</v>
      </c>
      <c r="D1645" s="12" t="s">
        <v>4</v>
      </c>
      <c r="E1645" s="4" t="s">
        <v>1827</v>
      </c>
      <c r="F1645" s="12" t="s">
        <v>1827</v>
      </c>
    </row>
    <row r="1646" spans="1:6" x14ac:dyDescent="0.3">
      <c r="A1646" s="4"/>
    </row>
    <row r="1647" spans="1:6" ht="15.6" x14ac:dyDescent="0.3">
      <c r="A1647" s="18" t="s">
        <v>1435</v>
      </c>
      <c r="B1647" s="19"/>
      <c r="C1647" s="19"/>
      <c r="D1647" s="19"/>
      <c r="E1647" s="19"/>
      <c r="F1647" s="19"/>
    </row>
    <row r="1648" spans="1:6" x14ac:dyDescent="0.3">
      <c r="A1648" s="10" t="s">
        <v>799</v>
      </c>
      <c r="B1648" s="11">
        <v>45729</v>
      </c>
      <c r="C1648" s="12" t="s">
        <v>12</v>
      </c>
      <c r="D1648" s="12" t="s">
        <v>21</v>
      </c>
      <c r="E1648" s="11">
        <v>45747</v>
      </c>
      <c r="F1648" s="12" t="s">
        <v>1843</v>
      </c>
    </row>
    <row r="1649" spans="1:6" ht="28.8" x14ac:dyDescent="0.3">
      <c r="B1649" s="11">
        <v>45747</v>
      </c>
      <c r="C1649" s="12" t="s">
        <v>22</v>
      </c>
      <c r="D1649" s="12" t="s">
        <v>4</v>
      </c>
      <c r="E1649" s="4" t="s">
        <v>1827</v>
      </c>
      <c r="F1649" s="12" t="s">
        <v>1827</v>
      </c>
    </row>
    <row r="1650" spans="1:6" x14ac:dyDescent="0.3">
      <c r="A1650" s="4"/>
    </row>
    <row r="1651" spans="1:6" ht="15.6" x14ac:dyDescent="0.3">
      <c r="A1651" s="18" t="s">
        <v>1438</v>
      </c>
      <c r="B1651" s="19"/>
      <c r="C1651" s="19"/>
      <c r="D1651" s="19"/>
      <c r="E1651" s="19"/>
      <c r="F1651" s="19"/>
    </row>
    <row r="1652" spans="1:6" ht="57.6" x14ac:dyDescent="0.3">
      <c r="A1652" s="10" t="s">
        <v>835</v>
      </c>
      <c r="B1652" s="11">
        <v>45729</v>
      </c>
      <c r="C1652" s="12" t="s">
        <v>12</v>
      </c>
      <c r="D1652" s="12" t="s">
        <v>21</v>
      </c>
      <c r="E1652" s="11">
        <v>45747</v>
      </c>
      <c r="F1652" s="12" t="s">
        <v>1844</v>
      </c>
    </row>
    <row r="1653" spans="1:6" ht="28.8" x14ac:dyDescent="0.3">
      <c r="B1653" s="11">
        <v>45747</v>
      </c>
      <c r="C1653" s="12" t="s">
        <v>22</v>
      </c>
      <c r="D1653" s="12" t="s">
        <v>4</v>
      </c>
      <c r="E1653" s="4" t="s">
        <v>1827</v>
      </c>
      <c r="F1653" s="12" t="s">
        <v>1827</v>
      </c>
    </row>
    <row r="1654" spans="1:6" x14ac:dyDescent="0.3">
      <c r="A1654" s="4"/>
    </row>
    <row r="1655" spans="1:6" ht="15.6" x14ac:dyDescent="0.3">
      <c r="A1655" s="18" t="s">
        <v>1441</v>
      </c>
      <c r="B1655" s="19"/>
      <c r="C1655" s="19"/>
      <c r="D1655" s="19"/>
      <c r="E1655" s="19"/>
      <c r="F1655" s="19"/>
    </row>
    <row r="1656" spans="1:6" ht="57.6" x14ac:dyDescent="0.3">
      <c r="A1656" s="10" t="s">
        <v>799</v>
      </c>
      <c r="B1656" s="11">
        <v>45729</v>
      </c>
      <c r="C1656" s="12" t="s">
        <v>12</v>
      </c>
      <c r="D1656" s="12" t="s">
        <v>21</v>
      </c>
      <c r="E1656" s="11">
        <v>45754</v>
      </c>
      <c r="F1656" s="12" t="s">
        <v>2043</v>
      </c>
    </row>
    <row r="1657" spans="1:6" ht="28.8" x14ac:dyDescent="0.3">
      <c r="B1657" s="11">
        <v>45754</v>
      </c>
      <c r="C1657" s="12" t="s">
        <v>22</v>
      </c>
      <c r="D1657" s="12" t="s">
        <v>4</v>
      </c>
      <c r="E1657" s="4" t="s">
        <v>1827</v>
      </c>
      <c r="F1657" s="12" t="s">
        <v>1827</v>
      </c>
    </row>
    <row r="1658" spans="1:6" x14ac:dyDescent="0.3">
      <c r="A1658" s="4"/>
    </row>
    <row r="1659" spans="1:6" ht="15.6" x14ac:dyDescent="0.3">
      <c r="A1659" s="18" t="s">
        <v>1444</v>
      </c>
      <c r="B1659" s="19"/>
      <c r="C1659" s="19"/>
      <c r="D1659" s="19"/>
      <c r="E1659" s="19"/>
      <c r="F1659" s="19"/>
    </row>
    <row r="1660" spans="1:6" x14ac:dyDescent="0.3">
      <c r="A1660" s="10" t="s">
        <v>418</v>
      </c>
      <c r="B1660" s="11">
        <v>45729</v>
      </c>
      <c r="C1660" s="12" t="s">
        <v>12</v>
      </c>
      <c r="D1660" s="12" t="s">
        <v>21</v>
      </c>
      <c r="E1660" s="11">
        <v>45747</v>
      </c>
      <c r="F1660" s="12" t="s">
        <v>1845</v>
      </c>
    </row>
    <row r="1661" spans="1:6" ht="28.8" x14ac:dyDescent="0.3">
      <c r="B1661" s="11">
        <v>45747</v>
      </c>
      <c r="C1661" s="12" t="s">
        <v>22</v>
      </c>
      <c r="D1661" s="12" t="s">
        <v>4</v>
      </c>
      <c r="E1661" s="4" t="s">
        <v>1827</v>
      </c>
      <c r="F1661" s="12" t="s">
        <v>1827</v>
      </c>
    </row>
    <row r="1662" spans="1:6" x14ac:dyDescent="0.3">
      <c r="A1662" s="4"/>
    </row>
    <row r="1663" spans="1:6" ht="15.6" x14ac:dyDescent="0.3">
      <c r="A1663" s="18" t="s">
        <v>1447</v>
      </c>
      <c r="B1663" s="19"/>
      <c r="C1663" s="19"/>
      <c r="D1663" s="19"/>
      <c r="E1663" s="19"/>
      <c r="F1663" s="19"/>
    </row>
    <row r="1664" spans="1:6" ht="43.2" x14ac:dyDescent="0.3">
      <c r="A1664" s="10" t="s">
        <v>418</v>
      </c>
      <c r="B1664" s="11">
        <v>45729</v>
      </c>
      <c r="C1664" s="12" t="s">
        <v>12</v>
      </c>
      <c r="D1664" s="12" t="s">
        <v>21</v>
      </c>
      <c r="E1664" s="11">
        <v>45754</v>
      </c>
      <c r="F1664" s="12" t="s">
        <v>2044</v>
      </c>
    </row>
    <row r="1665" spans="1:6" ht="28.8" x14ac:dyDescent="0.3">
      <c r="B1665" s="11">
        <v>45754</v>
      </c>
      <c r="C1665" s="12" t="s">
        <v>22</v>
      </c>
      <c r="D1665" s="12" t="s">
        <v>4</v>
      </c>
      <c r="E1665" s="4" t="s">
        <v>1827</v>
      </c>
      <c r="F1665" s="12" t="s">
        <v>1827</v>
      </c>
    </row>
    <row r="1666" spans="1:6" x14ac:dyDescent="0.3">
      <c r="A1666" s="4"/>
    </row>
    <row r="1667" spans="1:6" ht="15.6" x14ac:dyDescent="0.3">
      <c r="A1667" s="18" t="s">
        <v>1450</v>
      </c>
      <c r="B1667" s="19"/>
      <c r="C1667" s="19"/>
      <c r="D1667" s="19"/>
      <c r="E1667" s="19"/>
      <c r="F1667" s="19"/>
    </row>
    <row r="1668" spans="1:6" x14ac:dyDescent="0.3">
      <c r="A1668" s="10" t="s">
        <v>835</v>
      </c>
      <c r="B1668" s="11">
        <v>45729</v>
      </c>
      <c r="C1668" s="12" t="s">
        <v>12</v>
      </c>
      <c r="D1668" s="12" t="s">
        <v>24</v>
      </c>
      <c r="E1668" s="11">
        <v>45747</v>
      </c>
      <c r="F1668" s="12" t="s">
        <v>1785</v>
      </c>
    </row>
    <row r="1669" spans="1:6" x14ac:dyDescent="0.3">
      <c r="A1669" s="4"/>
    </row>
    <row r="1670" spans="1:6" ht="15.6" x14ac:dyDescent="0.3">
      <c r="A1670" s="18" t="s">
        <v>1453</v>
      </c>
      <c r="B1670" s="19"/>
      <c r="C1670" s="19"/>
      <c r="D1670" s="19"/>
      <c r="E1670" s="19"/>
      <c r="F1670" s="19"/>
    </row>
    <row r="1671" spans="1:6" x14ac:dyDescent="0.3">
      <c r="A1671" s="10" t="s">
        <v>11</v>
      </c>
      <c r="B1671" s="11">
        <v>45729</v>
      </c>
      <c r="C1671" s="12" t="s">
        <v>12</v>
      </c>
      <c r="D1671" s="12" t="s">
        <v>21</v>
      </c>
      <c r="E1671" s="11">
        <v>45747</v>
      </c>
      <c r="F1671" s="12" t="s">
        <v>1846</v>
      </c>
    </row>
    <row r="1672" spans="1:6" ht="28.8" x14ac:dyDescent="0.3">
      <c r="B1672" s="11">
        <v>45747</v>
      </c>
      <c r="C1672" s="12" t="s">
        <v>22</v>
      </c>
      <c r="D1672" s="12" t="s">
        <v>4</v>
      </c>
      <c r="E1672" s="4" t="s">
        <v>1827</v>
      </c>
      <c r="F1672" s="12" t="s">
        <v>1827</v>
      </c>
    </row>
    <row r="1673" spans="1:6" x14ac:dyDescent="0.3">
      <c r="A1673" s="4"/>
    </row>
    <row r="1674" spans="1:6" ht="15.6" x14ac:dyDescent="0.3">
      <c r="A1674" s="18" t="s">
        <v>1456</v>
      </c>
      <c r="B1674" s="19"/>
      <c r="C1674" s="19"/>
      <c r="D1674" s="19"/>
      <c r="E1674" s="19"/>
      <c r="F1674" s="19"/>
    </row>
    <row r="1675" spans="1:6" x14ac:dyDescent="0.3">
      <c r="A1675" s="10" t="s">
        <v>10</v>
      </c>
      <c r="B1675" s="11">
        <v>45729</v>
      </c>
      <c r="C1675" s="12" t="s">
        <v>12</v>
      </c>
      <c r="D1675" s="12" t="s">
        <v>21</v>
      </c>
      <c r="E1675" s="11">
        <v>45747</v>
      </c>
      <c r="F1675" s="12" t="s">
        <v>1847</v>
      </c>
    </row>
    <row r="1676" spans="1:6" ht="28.8" x14ac:dyDescent="0.3">
      <c r="B1676" s="11">
        <v>45747</v>
      </c>
      <c r="C1676" s="12" t="s">
        <v>22</v>
      </c>
      <c r="D1676" s="12" t="s">
        <v>4</v>
      </c>
      <c r="E1676" s="4" t="s">
        <v>1827</v>
      </c>
      <c r="F1676" s="12" t="s">
        <v>1827</v>
      </c>
    </row>
    <row r="1677" spans="1:6" x14ac:dyDescent="0.3">
      <c r="A1677" s="4"/>
    </row>
    <row r="1678" spans="1:6" ht="15.6" x14ac:dyDescent="0.3">
      <c r="A1678" s="18" t="s">
        <v>1459</v>
      </c>
      <c r="B1678" s="19"/>
      <c r="C1678" s="19"/>
      <c r="D1678" s="19"/>
      <c r="E1678" s="19"/>
      <c r="F1678" s="19"/>
    </row>
    <row r="1679" spans="1:6" x14ac:dyDescent="0.3">
      <c r="A1679" s="10" t="s">
        <v>10</v>
      </c>
      <c r="B1679" s="11">
        <v>45729</v>
      </c>
      <c r="C1679" s="12" t="s">
        <v>12</v>
      </c>
      <c r="D1679" s="12" t="s">
        <v>24</v>
      </c>
      <c r="E1679" s="11">
        <v>45747</v>
      </c>
      <c r="F1679" s="12" t="s">
        <v>1785</v>
      </c>
    </row>
    <row r="1680" spans="1:6" x14ac:dyDescent="0.3">
      <c r="A1680" s="4"/>
    </row>
    <row r="1681" spans="1:6" ht="15.6" x14ac:dyDescent="0.3">
      <c r="A1681" s="18" t="s">
        <v>1462</v>
      </c>
      <c r="B1681" s="19"/>
      <c r="C1681" s="19"/>
      <c r="D1681" s="19"/>
      <c r="E1681" s="19"/>
      <c r="F1681" s="19"/>
    </row>
    <row r="1682" spans="1:6" x14ac:dyDescent="0.3">
      <c r="A1682" s="10" t="s">
        <v>10</v>
      </c>
      <c r="B1682" s="11">
        <v>45729</v>
      </c>
      <c r="C1682" s="12" t="s">
        <v>12</v>
      </c>
      <c r="D1682" s="12" t="s">
        <v>24</v>
      </c>
      <c r="E1682" s="11">
        <v>45747</v>
      </c>
      <c r="F1682" s="12" t="s">
        <v>1785</v>
      </c>
    </row>
    <row r="1683" spans="1:6" x14ac:dyDescent="0.3">
      <c r="A1683" s="4"/>
    </row>
    <row r="1684" spans="1:6" ht="15.6" x14ac:dyDescent="0.3">
      <c r="A1684" s="18" t="s">
        <v>1465</v>
      </c>
      <c r="B1684" s="19"/>
      <c r="C1684" s="19"/>
      <c r="D1684" s="19"/>
      <c r="E1684" s="19"/>
      <c r="F1684" s="19"/>
    </row>
    <row r="1685" spans="1:6" x14ac:dyDescent="0.3">
      <c r="A1685" s="10" t="s">
        <v>10</v>
      </c>
      <c r="B1685" s="11">
        <v>45729</v>
      </c>
      <c r="C1685" s="12" t="s">
        <v>12</v>
      </c>
      <c r="D1685" s="12" t="s">
        <v>21</v>
      </c>
      <c r="E1685" s="11">
        <v>45747</v>
      </c>
      <c r="F1685" s="12" t="s">
        <v>1848</v>
      </c>
    </row>
    <row r="1686" spans="1:6" ht="28.8" x14ac:dyDescent="0.3">
      <c r="B1686" s="11">
        <v>45747</v>
      </c>
      <c r="C1686" s="12" t="s">
        <v>22</v>
      </c>
      <c r="D1686" s="12" t="s">
        <v>4</v>
      </c>
      <c r="E1686" s="4" t="s">
        <v>1827</v>
      </c>
      <c r="F1686" s="12" t="s">
        <v>1827</v>
      </c>
    </row>
    <row r="1687" spans="1:6" x14ac:dyDescent="0.3">
      <c r="A1687" s="4"/>
    </row>
    <row r="1688" spans="1:6" ht="15.6" x14ac:dyDescent="0.3">
      <c r="A1688" s="18" t="s">
        <v>1468</v>
      </c>
      <c r="B1688" s="19"/>
      <c r="C1688" s="19"/>
      <c r="D1688" s="19"/>
      <c r="E1688" s="19"/>
      <c r="F1688" s="19"/>
    </row>
    <row r="1689" spans="1:6" x14ac:dyDescent="0.3">
      <c r="A1689" s="10" t="s">
        <v>11</v>
      </c>
      <c r="B1689" s="11">
        <v>45729</v>
      </c>
      <c r="C1689" s="12" t="s">
        <v>12</v>
      </c>
      <c r="D1689" s="12" t="s">
        <v>21</v>
      </c>
      <c r="E1689" s="11">
        <v>45747</v>
      </c>
      <c r="F1689" s="12" t="s">
        <v>1849</v>
      </c>
    </row>
    <row r="1690" spans="1:6" ht="28.8" x14ac:dyDescent="0.3">
      <c r="B1690" s="11">
        <v>45747</v>
      </c>
      <c r="C1690" s="12" t="s">
        <v>22</v>
      </c>
      <c r="D1690" s="12" t="s">
        <v>4</v>
      </c>
      <c r="E1690" s="4" t="s">
        <v>1827</v>
      </c>
      <c r="F1690" s="12" t="s">
        <v>1827</v>
      </c>
    </row>
    <row r="1691" spans="1:6" x14ac:dyDescent="0.3">
      <c r="A1691" s="4"/>
    </row>
    <row r="1692" spans="1:6" ht="15.6" x14ac:dyDescent="0.3">
      <c r="A1692" s="18" t="s">
        <v>1471</v>
      </c>
      <c r="B1692" s="19"/>
      <c r="C1692" s="19"/>
      <c r="D1692" s="19"/>
      <c r="E1692" s="19"/>
      <c r="F1692" s="19"/>
    </row>
    <row r="1693" spans="1:6" x14ac:dyDescent="0.3">
      <c r="A1693" s="10" t="s">
        <v>11</v>
      </c>
      <c r="B1693" s="11">
        <v>45729</v>
      </c>
      <c r="C1693" s="12" t="s">
        <v>12</v>
      </c>
      <c r="D1693" s="12" t="s">
        <v>24</v>
      </c>
      <c r="E1693" s="11">
        <v>45747</v>
      </c>
      <c r="F1693" s="12" t="s">
        <v>1785</v>
      </c>
    </row>
    <row r="1694" spans="1:6" x14ac:dyDescent="0.3">
      <c r="A1694" s="4"/>
    </row>
    <row r="1695" spans="1:6" ht="15.6" x14ac:dyDescent="0.3">
      <c r="A1695" s="18" t="s">
        <v>1474</v>
      </c>
      <c r="B1695" s="19"/>
      <c r="C1695" s="19"/>
      <c r="D1695" s="19"/>
      <c r="E1695" s="19"/>
      <c r="F1695" s="19"/>
    </row>
    <row r="1696" spans="1:6" x14ac:dyDescent="0.3">
      <c r="A1696" s="10" t="s">
        <v>10</v>
      </c>
      <c r="B1696" s="11">
        <v>45729</v>
      </c>
      <c r="C1696" s="12" t="s">
        <v>12</v>
      </c>
      <c r="D1696" s="12" t="s">
        <v>21</v>
      </c>
      <c r="E1696" s="11">
        <v>45747</v>
      </c>
      <c r="F1696" s="12" t="s">
        <v>1850</v>
      </c>
    </row>
    <row r="1697" spans="1:6" ht="28.8" x14ac:dyDescent="0.3">
      <c r="B1697" s="11">
        <v>45747</v>
      </c>
      <c r="C1697" s="12" t="s">
        <v>22</v>
      </c>
      <c r="D1697" s="12" t="s">
        <v>4</v>
      </c>
      <c r="E1697" s="4" t="s">
        <v>1827</v>
      </c>
      <c r="F1697" s="12" t="s">
        <v>1827</v>
      </c>
    </row>
    <row r="1698" spans="1:6" x14ac:dyDescent="0.3">
      <c r="A1698" s="4"/>
    </row>
    <row r="1699" spans="1:6" ht="15.6" x14ac:dyDescent="0.3">
      <c r="A1699" s="18" t="s">
        <v>1477</v>
      </c>
      <c r="B1699" s="19"/>
      <c r="C1699" s="19"/>
      <c r="D1699" s="19"/>
      <c r="E1699" s="19"/>
      <c r="F1699" s="19"/>
    </row>
    <row r="1700" spans="1:6" x14ac:dyDescent="0.3">
      <c r="A1700" s="10" t="s">
        <v>10</v>
      </c>
      <c r="B1700" s="11">
        <v>45729</v>
      </c>
      <c r="C1700" s="12" t="s">
        <v>12</v>
      </c>
      <c r="D1700" s="12" t="s">
        <v>24</v>
      </c>
      <c r="E1700" s="11">
        <v>45747</v>
      </c>
      <c r="F1700" s="12" t="s">
        <v>1785</v>
      </c>
    </row>
    <row r="1701" spans="1:6" x14ac:dyDescent="0.3">
      <c r="A1701" s="4"/>
    </row>
    <row r="1702" spans="1:6" ht="15.6" x14ac:dyDescent="0.3">
      <c r="A1702" s="18" t="s">
        <v>1479</v>
      </c>
      <c r="B1702" s="19"/>
      <c r="C1702" s="19"/>
      <c r="D1702" s="19"/>
      <c r="E1702" s="19"/>
      <c r="F1702" s="19"/>
    </row>
    <row r="1703" spans="1:6" x14ac:dyDescent="0.3">
      <c r="A1703" s="10" t="s">
        <v>11</v>
      </c>
      <c r="B1703" s="11">
        <v>45729</v>
      </c>
      <c r="C1703" s="12" t="s">
        <v>12</v>
      </c>
      <c r="D1703" s="12" t="s">
        <v>21</v>
      </c>
      <c r="E1703" s="11">
        <v>45747</v>
      </c>
      <c r="F1703" s="12" t="s">
        <v>1849</v>
      </c>
    </row>
    <row r="1704" spans="1:6" ht="28.8" x14ac:dyDescent="0.3">
      <c r="B1704" s="11">
        <v>45747</v>
      </c>
      <c r="C1704" s="12" t="s">
        <v>22</v>
      </c>
      <c r="D1704" s="12" t="s">
        <v>4</v>
      </c>
      <c r="E1704" s="4" t="s">
        <v>1827</v>
      </c>
      <c r="F1704" s="12" t="s">
        <v>1827</v>
      </c>
    </row>
    <row r="1705" spans="1:6" x14ac:dyDescent="0.3">
      <c r="A1705" s="4"/>
    </row>
    <row r="1706" spans="1:6" ht="15.6" x14ac:dyDescent="0.3">
      <c r="A1706" s="18" t="s">
        <v>1482</v>
      </c>
      <c r="B1706" s="19"/>
      <c r="C1706" s="19"/>
      <c r="D1706" s="19"/>
      <c r="E1706" s="19"/>
      <c r="F1706" s="19"/>
    </row>
    <row r="1707" spans="1:6" x14ac:dyDescent="0.3">
      <c r="A1707" s="10" t="s">
        <v>10</v>
      </c>
      <c r="B1707" s="11">
        <v>45729</v>
      </c>
      <c r="C1707" s="12" t="s">
        <v>12</v>
      </c>
      <c r="D1707" s="12" t="s">
        <v>24</v>
      </c>
      <c r="E1707" s="11">
        <v>45747</v>
      </c>
      <c r="F1707" s="12" t="s">
        <v>1785</v>
      </c>
    </row>
    <row r="1708" spans="1:6" x14ac:dyDescent="0.3">
      <c r="A1708" s="4"/>
    </row>
    <row r="1709" spans="1:6" ht="15.6" x14ac:dyDescent="0.3">
      <c r="A1709" s="18" t="s">
        <v>1485</v>
      </c>
      <c r="B1709" s="19"/>
      <c r="C1709" s="19"/>
      <c r="D1709" s="19"/>
      <c r="E1709" s="19"/>
      <c r="F1709" s="19"/>
    </row>
    <row r="1710" spans="1:6" x14ac:dyDescent="0.3">
      <c r="A1710" s="10" t="s">
        <v>10</v>
      </c>
      <c r="B1710" s="11">
        <v>45729</v>
      </c>
      <c r="C1710" s="12" t="s">
        <v>12</v>
      </c>
      <c r="D1710" s="12" t="s">
        <v>24</v>
      </c>
      <c r="E1710" s="11">
        <v>45747</v>
      </c>
      <c r="F1710" s="12" t="s">
        <v>1785</v>
      </c>
    </row>
    <row r="1711" spans="1:6" x14ac:dyDescent="0.3">
      <c r="A1711" s="4"/>
    </row>
    <row r="1712" spans="1:6" ht="15.6" x14ac:dyDescent="0.3">
      <c r="A1712" s="18" t="s">
        <v>1488</v>
      </c>
      <c r="B1712" s="19"/>
      <c r="C1712" s="19"/>
      <c r="D1712" s="19"/>
      <c r="E1712" s="19"/>
      <c r="F1712" s="19"/>
    </row>
    <row r="1713" spans="1:6" x14ac:dyDescent="0.3">
      <c r="A1713" s="10" t="s">
        <v>11</v>
      </c>
      <c r="B1713" s="11">
        <v>45729</v>
      </c>
      <c r="C1713" s="12" t="s">
        <v>12</v>
      </c>
      <c r="D1713" s="12" t="s">
        <v>24</v>
      </c>
      <c r="E1713" s="11">
        <v>45747</v>
      </c>
      <c r="F1713" s="12" t="s">
        <v>1785</v>
      </c>
    </row>
    <row r="1714" spans="1:6" x14ac:dyDescent="0.3">
      <c r="A1714" s="4"/>
    </row>
    <row r="1715" spans="1:6" ht="15.6" x14ac:dyDescent="0.3">
      <c r="A1715" s="18" t="s">
        <v>1490</v>
      </c>
      <c r="B1715" s="19"/>
      <c r="C1715" s="19"/>
      <c r="D1715" s="19"/>
      <c r="E1715" s="19"/>
      <c r="F1715" s="19"/>
    </row>
    <row r="1716" spans="1:6" x14ac:dyDescent="0.3">
      <c r="A1716" s="10" t="s">
        <v>11</v>
      </c>
      <c r="B1716" s="11">
        <v>45729</v>
      </c>
      <c r="C1716" s="12" t="s">
        <v>12</v>
      </c>
      <c r="D1716" s="12" t="s">
        <v>24</v>
      </c>
      <c r="E1716" s="11">
        <v>45747</v>
      </c>
      <c r="F1716" s="12" t="s">
        <v>1785</v>
      </c>
    </row>
    <row r="1717" spans="1:6" x14ac:dyDescent="0.3">
      <c r="A1717" s="4"/>
    </row>
    <row r="1718" spans="1:6" ht="15.6" x14ac:dyDescent="0.3">
      <c r="A1718" s="18" t="s">
        <v>1493</v>
      </c>
      <c r="B1718" s="19"/>
      <c r="C1718" s="19"/>
      <c r="D1718" s="19"/>
      <c r="E1718" s="19"/>
      <c r="F1718" s="19"/>
    </row>
    <row r="1719" spans="1:6" x14ac:dyDescent="0.3">
      <c r="A1719" s="10" t="s">
        <v>11</v>
      </c>
      <c r="B1719" s="11">
        <v>45729</v>
      </c>
      <c r="C1719" s="12" t="s">
        <v>12</v>
      </c>
      <c r="D1719" s="12" t="s">
        <v>24</v>
      </c>
      <c r="E1719" s="11">
        <v>45747</v>
      </c>
      <c r="F1719" s="12" t="s">
        <v>1785</v>
      </c>
    </row>
    <row r="1720" spans="1:6" x14ac:dyDescent="0.3">
      <c r="A1720" s="4"/>
    </row>
    <row r="1721" spans="1:6" ht="15.6" x14ac:dyDescent="0.3">
      <c r="A1721" s="18" t="s">
        <v>1496</v>
      </c>
      <c r="B1721" s="19"/>
      <c r="C1721" s="19"/>
      <c r="D1721" s="19"/>
      <c r="E1721" s="19"/>
      <c r="F1721" s="19"/>
    </row>
    <row r="1722" spans="1:6" x14ac:dyDescent="0.3">
      <c r="A1722" s="10" t="s">
        <v>10</v>
      </c>
      <c r="B1722" s="11">
        <v>45729</v>
      </c>
      <c r="C1722" s="12" t="s">
        <v>12</v>
      </c>
      <c r="D1722" s="12" t="s">
        <v>24</v>
      </c>
      <c r="E1722" s="11">
        <v>45747</v>
      </c>
      <c r="F1722" s="12" t="s">
        <v>1785</v>
      </c>
    </row>
    <row r="1723" spans="1:6" x14ac:dyDescent="0.3">
      <c r="A1723" s="4"/>
    </row>
    <row r="1724" spans="1:6" ht="15.6" x14ac:dyDescent="0.3">
      <c r="A1724" s="18" t="s">
        <v>1499</v>
      </c>
      <c r="B1724" s="19"/>
      <c r="C1724" s="19"/>
      <c r="D1724" s="19"/>
      <c r="E1724" s="19"/>
      <c r="F1724" s="19"/>
    </row>
    <row r="1725" spans="1:6" x14ac:dyDescent="0.3">
      <c r="A1725" s="10" t="s">
        <v>10</v>
      </c>
      <c r="B1725" s="11">
        <v>45729</v>
      </c>
      <c r="C1725" s="12" t="s">
        <v>12</v>
      </c>
      <c r="D1725" s="12" t="s">
        <v>24</v>
      </c>
      <c r="E1725" s="11">
        <v>45747</v>
      </c>
      <c r="F1725" s="12" t="s">
        <v>1785</v>
      </c>
    </row>
    <row r="1726" spans="1:6" x14ac:dyDescent="0.3">
      <c r="A1726" s="4"/>
    </row>
    <row r="1727" spans="1:6" ht="15.6" x14ac:dyDescent="0.3">
      <c r="A1727" s="18" t="s">
        <v>1502</v>
      </c>
      <c r="B1727" s="19"/>
      <c r="C1727" s="19"/>
      <c r="D1727" s="19"/>
      <c r="E1727" s="19"/>
      <c r="F1727" s="19"/>
    </row>
    <row r="1728" spans="1:6" x14ac:dyDescent="0.3">
      <c r="A1728" s="10" t="s">
        <v>10</v>
      </c>
      <c r="B1728" s="11">
        <v>45729</v>
      </c>
      <c r="C1728" s="12" t="s">
        <v>12</v>
      </c>
      <c r="D1728" s="12" t="s">
        <v>24</v>
      </c>
      <c r="E1728" s="11">
        <v>45747</v>
      </c>
      <c r="F1728" s="12" t="s">
        <v>1785</v>
      </c>
    </row>
    <row r="1729" spans="1:6" x14ac:dyDescent="0.3">
      <c r="A1729" s="4"/>
    </row>
    <row r="1730" spans="1:6" ht="15.6" x14ac:dyDescent="0.3">
      <c r="A1730" s="18" t="s">
        <v>1505</v>
      </c>
      <c r="B1730" s="19"/>
      <c r="C1730" s="19"/>
      <c r="D1730" s="19"/>
      <c r="E1730" s="19"/>
      <c r="F1730" s="19"/>
    </row>
    <row r="1731" spans="1:6" ht="43.2" x14ac:dyDescent="0.3">
      <c r="A1731" s="10" t="s">
        <v>11</v>
      </c>
      <c r="B1731" s="11">
        <v>45729</v>
      </c>
      <c r="C1731" s="12" t="s">
        <v>12</v>
      </c>
      <c r="D1731" s="12" t="s">
        <v>1027</v>
      </c>
      <c r="E1731" s="11">
        <v>45747</v>
      </c>
      <c r="F1731" s="12" t="s">
        <v>1851</v>
      </c>
    </row>
    <row r="1732" spans="1:6" ht="28.8" x14ac:dyDescent="0.3">
      <c r="B1732" s="11">
        <v>45747</v>
      </c>
      <c r="C1732" s="12" t="s">
        <v>22</v>
      </c>
      <c r="D1732" s="12" t="s">
        <v>4</v>
      </c>
      <c r="E1732" s="4" t="s">
        <v>1827</v>
      </c>
      <c r="F1732" s="12" t="s">
        <v>1827</v>
      </c>
    </row>
    <row r="1733" spans="1:6" x14ac:dyDescent="0.3">
      <c r="A1733" s="4"/>
    </row>
    <row r="1734" spans="1:6" ht="15.6" x14ac:dyDescent="0.3">
      <c r="A1734" s="18" t="s">
        <v>1508</v>
      </c>
      <c r="B1734" s="19"/>
      <c r="C1734" s="19"/>
      <c r="D1734" s="19"/>
      <c r="E1734" s="19"/>
      <c r="F1734" s="19"/>
    </row>
    <row r="1735" spans="1:6" ht="28.8" x14ac:dyDescent="0.3">
      <c r="A1735" s="10" t="s">
        <v>11</v>
      </c>
      <c r="B1735" s="11">
        <v>45729</v>
      </c>
      <c r="C1735" s="12" t="s">
        <v>12</v>
      </c>
      <c r="D1735" s="12" t="s">
        <v>1027</v>
      </c>
      <c r="E1735" s="11">
        <v>45747</v>
      </c>
      <c r="F1735" s="12" t="s">
        <v>1852</v>
      </c>
    </row>
    <row r="1736" spans="1:6" ht="28.8" x14ac:dyDescent="0.3">
      <c r="B1736" s="11">
        <v>45747</v>
      </c>
      <c r="C1736" s="12" t="s">
        <v>22</v>
      </c>
      <c r="D1736" s="12" t="s">
        <v>4</v>
      </c>
      <c r="E1736" s="4" t="s">
        <v>1827</v>
      </c>
      <c r="F1736" s="12" t="s">
        <v>1827</v>
      </c>
    </row>
    <row r="1737" spans="1:6" x14ac:dyDescent="0.3">
      <c r="A1737" s="4"/>
    </row>
    <row r="1738" spans="1:6" ht="15.6" x14ac:dyDescent="0.3">
      <c r="A1738" s="18" t="s">
        <v>1510</v>
      </c>
      <c r="B1738" s="19"/>
      <c r="C1738" s="19"/>
      <c r="D1738" s="19"/>
      <c r="E1738" s="19"/>
      <c r="F1738" s="19"/>
    </row>
    <row r="1739" spans="1:6" ht="28.8" x14ac:dyDescent="0.3">
      <c r="A1739" s="10" t="s">
        <v>11</v>
      </c>
      <c r="B1739" s="11">
        <v>45729</v>
      </c>
      <c r="C1739" s="12" t="s">
        <v>12</v>
      </c>
      <c r="D1739" s="12" t="s">
        <v>1027</v>
      </c>
      <c r="E1739" s="11">
        <v>45747</v>
      </c>
      <c r="F1739" s="12" t="s">
        <v>1853</v>
      </c>
    </row>
    <row r="1740" spans="1:6" ht="28.8" x14ac:dyDescent="0.3">
      <c r="B1740" s="11">
        <v>45747</v>
      </c>
      <c r="C1740" s="12" t="s">
        <v>22</v>
      </c>
      <c r="D1740" s="12" t="s">
        <v>4</v>
      </c>
      <c r="E1740" s="4" t="s">
        <v>1827</v>
      </c>
      <c r="F1740" s="12" t="s">
        <v>1827</v>
      </c>
    </row>
    <row r="1741" spans="1:6" x14ac:dyDescent="0.3">
      <c r="A1741" s="4"/>
    </row>
    <row r="1742" spans="1:6" ht="15.6" x14ac:dyDescent="0.3">
      <c r="A1742" s="18" t="s">
        <v>1513</v>
      </c>
      <c r="B1742" s="19"/>
      <c r="C1742" s="19"/>
      <c r="D1742" s="19"/>
      <c r="E1742" s="19"/>
      <c r="F1742" s="19"/>
    </row>
    <row r="1743" spans="1:6" ht="72" x14ac:dyDescent="0.3">
      <c r="A1743" s="10" t="s">
        <v>11</v>
      </c>
      <c r="B1743" s="11">
        <v>45729</v>
      </c>
      <c r="C1743" s="12" t="s">
        <v>12</v>
      </c>
      <c r="D1743" s="12" t="s">
        <v>21</v>
      </c>
      <c r="E1743" s="11">
        <v>45747</v>
      </c>
      <c r="F1743" s="12" t="s">
        <v>1854</v>
      </c>
    </row>
    <row r="1744" spans="1:6" ht="28.8" x14ac:dyDescent="0.3">
      <c r="B1744" s="11">
        <v>45747</v>
      </c>
      <c r="C1744" s="12" t="s">
        <v>22</v>
      </c>
      <c r="D1744" s="12" t="s">
        <v>4</v>
      </c>
      <c r="E1744" s="4" t="s">
        <v>1827</v>
      </c>
      <c r="F1744" s="12" t="s">
        <v>1827</v>
      </c>
    </row>
    <row r="1745" spans="1:6" x14ac:dyDescent="0.3">
      <c r="A1745" s="4"/>
    </row>
    <row r="1746" spans="1:6" ht="15.6" x14ac:dyDescent="0.3">
      <c r="A1746" s="18" t="s">
        <v>1516</v>
      </c>
      <c r="B1746" s="19"/>
      <c r="C1746" s="19"/>
      <c r="D1746" s="19"/>
      <c r="E1746" s="19"/>
      <c r="F1746" s="19"/>
    </row>
    <row r="1747" spans="1:6" x14ac:dyDescent="0.3">
      <c r="A1747" s="10" t="s">
        <v>10</v>
      </c>
      <c r="B1747" s="11">
        <v>45729</v>
      </c>
      <c r="C1747" s="12" t="s">
        <v>12</v>
      </c>
      <c r="D1747" s="12" t="s">
        <v>21</v>
      </c>
      <c r="E1747" s="11">
        <v>45747</v>
      </c>
      <c r="F1747" s="12" t="s">
        <v>1855</v>
      </c>
    </row>
    <row r="1748" spans="1:6" ht="28.8" x14ac:dyDescent="0.3">
      <c r="B1748" s="11">
        <v>45747</v>
      </c>
      <c r="C1748" s="12" t="s">
        <v>22</v>
      </c>
      <c r="D1748" s="12" t="s">
        <v>4</v>
      </c>
      <c r="E1748" s="4" t="s">
        <v>1827</v>
      </c>
      <c r="F1748" s="12" t="s">
        <v>1827</v>
      </c>
    </row>
    <row r="1749" spans="1:6" x14ac:dyDescent="0.3">
      <c r="A1749" s="4"/>
    </row>
    <row r="1750" spans="1:6" ht="15.6" x14ac:dyDescent="0.3">
      <c r="A1750" s="18" t="s">
        <v>1519</v>
      </c>
      <c r="B1750" s="19"/>
      <c r="C1750" s="19"/>
      <c r="D1750" s="19"/>
      <c r="E1750" s="19"/>
      <c r="F1750" s="19"/>
    </row>
    <row r="1751" spans="1:6" x14ac:dyDescent="0.3">
      <c r="A1751" s="10" t="s">
        <v>10</v>
      </c>
      <c r="B1751" s="11">
        <v>45729</v>
      </c>
      <c r="C1751" s="12" t="s">
        <v>12</v>
      </c>
      <c r="D1751" s="12" t="s">
        <v>21</v>
      </c>
      <c r="E1751" s="11">
        <v>45747</v>
      </c>
      <c r="F1751" s="12" t="s">
        <v>1855</v>
      </c>
    </row>
    <row r="1752" spans="1:6" ht="28.8" x14ac:dyDescent="0.3">
      <c r="B1752" s="11">
        <v>45747</v>
      </c>
      <c r="C1752" s="12" t="s">
        <v>22</v>
      </c>
      <c r="D1752" s="12" t="s">
        <v>4</v>
      </c>
      <c r="E1752" s="4" t="s">
        <v>1827</v>
      </c>
      <c r="F1752" s="12" t="s">
        <v>1827</v>
      </c>
    </row>
    <row r="1753" spans="1:6" x14ac:dyDescent="0.3">
      <c r="A1753" s="4"/>
    </row>
    <row r="1754" spans="1:6" ht="15.6" x14ac:dyDescent="0.3">
      <c r="A1754" s="18" t="s">
        <v>1522</v>
      </c>
      <c r="B1754" s="19"/>
      <c r="C1754" s="19"/>
      <c r="D1754" s="19"/>
      <c r="E1754" s="19"/>
      <c r="F1754" s="19"/>
    </row>
    <row r="1755" spans="1:6" ht="43.2" x14ac:dyDescent="0.3">
      <c r="A1755" s="10" t="s">
        <v>10</v>
      </c>
      <c r="B1755" s="11">
        <v>45729</v>
      </c>
      <c r="C1755" s="12" t="s">
        <v>12</v>
      </c>
      <c r="D1755" s="12" t="s">
        <v>21</v>
      </c>
      <c r="E1755" s="11">
        <v>45747</v>
      </c>
      <c r="F1755" s="12" t="s">
        <v>1856</v>
      </c>
    </row>
    <row r="1756" spans="1:6" ht="28.8" x14ac:dyDescent="0.3">
      <c r="B1756" s="11">
        <v>45747</v>
      </c>
      <c r="C1756" s="12" t="s">
        <v>22</v>
      </c>
      <c r="D1756" s="12" t="s">
        <v>4</v>
      </c>
      <c r="E1756" s="4" t="s">
        <v>1827</v>
      </c>
      <c r="F1756" s="12" t="s">
        <v>1827</v>
      </c>
    </row>
    <row r="1757" spans="1:6" x14ac:dyDescent="0.3">
      <c r="A1757" s="4"/>
    </row>
    <row r="1758" spans="1:6" ht="15.6" x14ac:dyDescent="0.3">
      <c r="A1758" s="18" t="s">
        <v>1525</v>
      </c>
      <c r="B1758" s="19"/>
      <c r="C1758" s="19"/>
      <c r="D1758" s="19"/>
      <c r="E1758" s="19"/>
      <c r="F1758" s="19"/>
    </row>
    <row r="1759" spans="1:6" ht="28.8" x14ac:dyDescent="0.3">
      <c r="A1759" s="10" t="s">
        <v>11</v>
      </c>
      <c r="B1759" s="11">
        <v>45729</v>
      </c>
      <c r="C1759" s="12" t="s">
        <v>12</v>
      </c>
      <c r="D1759" s="12" t="s">
        <v>21</v>
      </c>
      <c r="E1759" s="11">
        <v>45747</v>
      </c>
      <c r="F1759" s="12" t="s">
        <v>1857</v>
      </c>
    </row>
    <row r="1760" spans="1:6" ht="28.8" x14ac:dyDescent="0.3">
      <c r="B1760" s="11">
        <v>45747</v>
      </c>
      <c r="C1760" s="12" t="s">
        <v>22</v>
      </c>
      <c r="D1760" s="12" t="s">
        <v>4</v>
      </c>
      <c r="E1760" s="4" t="s">
        <v>1827</v>
      </c>
      <c r="F1760" s="12" t="s">
        <v>1827</v>
      </c>
    </row>
    <row r="1761" spans="1:6" x14ac:dyDescent="0.3">
      <c r="A1761" s="4"/>
    </row>
    <row r="1762" spans="1:6" ht="15.6" x14ac:dyDescent="0.3">
      <c r="A1762" s="18" t="s">
        <v>1528</v>
      </c>
      <c r="B1762" s="19"/>
      <c r="C1762" s="19"/>
      <c r="D1762" s="19"/>
      <c r="E1762" s="19"/>
      <c r="F1762" s="19"/>
    </row>
    <row r="1763" spans="1:6" ht="57.6" x14ac:dyDescent="0.3">
      <c r="A1763" s="10" t="s">
        <v>10</v>
      </c>
      <c r="B1763" s="11">
        <v>45729</v>
      </c>
      <c r="C1763" s="12" t="s">
        <v>12</v>
      </c>
      <c r="D1763" s="12" t="s">
        <v>21</v>
      </c>
      <c r="E1763" s="11">
        <v>45747</v>
      </c>
      <c r="F1763" s="12" t="s">
        <v>1858</v>
      </c>
    </row>
    <row r="1764" spans="1:6" ht="28.8" x14ac:dyDescent="0.3">
      <c r="B1764" s="11">
        <v>45747</v>
      </c>
      <c r="C1764" s="12" t="s">
        <v>22</v>
      </c>
      <c r="D1764" s="12" t="s">
        <v>4</v>
      </c>
      <c r="E1764" s="4" t="s">
        <v>1827</v>
      </c>
      <c r="F1764" s="12" t="s">
        <v>1827</v>
      </c>
    </row>
    <row r="1765" spans="1:6" x14ac:dyDescent="0.3">
      <c r="A1765" s="4"/>
    </row>
    <row r="1766" spans="1:6" ht="15.6" x14ac:dyDescent="0.3">
      <c r="A1766" s="18" t="s">
        <v>1531</v>
      </c>
      <c r="B1766" s="19"/>
      <c r="C1766" s="19"/>
      <c r="D1766" s="19"/>
      <c r="E1766" s="19"/>
      <c r="F1766" s="19"/>
    </row>
    <row r="1767" spans="1:6" ht="72" x14ac:dyDescent="0.3">
      <c r="A1767" s="10" t="s">
        <v>418</v>
      </c>
      <c r="B1767" s="11">
        <v>45729</v>
      </c>
      <c r="C1767" s="12" t="s">
        <v>12</v>
      </c>
      <c r="D1767" s="12" t="s">
        <v>21</v>
      </c>
      <c r="E1767" s="11">
        <v>45747</v>
      </c>
      <c r="F1767" s="12" t="s">
        <v>1859</v>
      </c>
    </row>
    <row r="1768" spans="1:6" ht="28.8" x14ac:dyDescent="0.3">
      <c r="B1768" s="11">
        <v>45747</v>
      </c>
      <c r="C1768" s="12" t="s">
        <v>22</v>
      </c>
      <c r="D1768" s="12" t="s">
        <v>4</v>
      </c>
      <c r="E1768" s="4" t="s">
        <v>1827</v>
      </c>
      <c r="F1768" s="12" t="s">
        <v>1827</v>
      </c>
    </row>
    <row r="1769" spans="1:6" x14ac:dyDescent="0.3">
      <c r="A1769" s="4"/>
    </row>
    <row r="1770" spans="1:6" ht="15.6" x14ac:dyDescent="0.3">
      <c r="A1770" s="18" t="s">
        <v>1534</v>
      </c>
      <c r="B1770" s="19"/>
      <c r="C1770" s="19"/>
      <c r="D1770" s="19"/>
      <c r="E1770" s="19"/>
      <c r="F1770" s="19"/>
    </row>
    <row r="1771" spans="1:6" ht="72" x14ac:dyDescent="0.3">
      <c r="A1771" s="10" t="s">
        <v>11</v>
      </c>
      <c r="B1771" s="11">
        <v>45729</v>
      </c>
      <c r="C1771" s="12" t="s">
        <v>12</v>
      </c>
      <c r="D1771" s="12" t="s">
        <v>21</v>
      </c>
      <c r="E1771" s="11">
        <v>45747</v>
      </c>
      <c r="F1771" s="12" t="s">
        <v>1859</v>
      </c>
    </row>
    <row r="1772" spans="1:6" ht="28.8" x14ac:dyDescent="0.3">
      <c r="B1772" s="11">
        <v>45747</v>
      </c>
      <c r="C1772" s="12" t="s">
        <v>22</v>
      </c>
      <c r="D1772" s="12" t="s">
        <v>4</v>
      </c>
      <c r="E1772" s="4" t="s">
        <v>1827</v>
      </c>
      <c r="F1772" s="12" t="s">
        <v>1827</v>
      </c>
    </row>
    <row r="1773" spans="1:6" x14ac:dyDescent="0.3">
      <c r="A1773" s="4"/>
    </row>
    <row r="1774" spans="1:6" ht="15.6" x14ac:dyDescent="0.3">
      <c r="A1774" s="18" t="s">
        <v>1537</v>
      </c>
      <c r="B1774" s="19"/>
      <c r="C1774" s="19"/>
      <c r="D1774" s="19"/>
      <c r="E1774" s="19"/>
      <c r="F1774" s="19"/>
    </row>
    <row r="1775" spans="1:6" x14ac:dyDescent="0.3">
      <c r="A1775" s="10" t="s">
        <v>418</v>
      </c>
      <c r="B1775" s="11">
        <v>45729</v>
      </c>
      <c r="C1775" s="12" t="s">
        <v>12</v>
      </c>
      <c r="D1775" s="12" t="s">
        <v>24</v>
      </c>
      <c r="E1775" s="11">
        <v>45747</v>
      </c>
      <c r="F1775" s="12" t="s">
        <v>1785</v>
      </c>
    </row>
    <row r="1776" spans="1:6" x14ac:dyDescent="0.3">
      <c r="A1776" s="4"/>
    </row>
    <row r="1777" spans="1:6" ht="15.6" x14ac:dyDescent="0.3">
      <c r="A1777" s="18" t="s">
        <v>1540</v>
      </c>
      <c r="B1777" s="19"/>
      <c r="C1777" s="19"/>
      <c r="D1777" s="19"/>
      <c r="E1777" s="19"/>
      <c r="F1777" s="19"/>
    </row>
    <row r="1778" spans="1:6" x14ac:dyDescent="0.3">
      <c r="A1778" s="10" t="s">
        <v>10</v>
      </c>
      <c r="B1778" s="11">
        <v>45729</v>
      </c>
      <c r="C1778" s="12" t="s">
        <v>12</v>
      </c>
      <c r="D1778" s="12" t="s">
        <v>24</v>
      </c>
      <c r="E1778" s="11">
        <v>45747</v>
      </c>
      <c r="F1778" s="12" t="s">
        <v>1785</v>
      </c>
    </row>
    <row r="1779" spans="1:6" x14ac:dyDescent="0.3">
      <c r="A1779" s="4"/>
    </row>
    <row r="1780" spans="1:6" ht="15.6" x14ac:dyDescent="0.3">
      <c r="A1780" s="18" t="s">
        <v>1543</v>
      </c>
      <c r="B1780" s="19"/>
      <c r="C1780" s="19"/>
      <c r="D1780" s="19"/>
      <c r="E1780" s="19"/>
      <c r="F1780" s="19"/>
    </row>
    <row r="1781" spans="1:6" x14ac:dyDescent="0.3">
      <c r="A1781" s="10" t="s">
        <v>10</v>
      </c>
      <c r="B1781" s="11">
        <v>45729</v>
      </c>
      <c r="C1781" s="12" t="s">
        <v>12</v>
      </c>
      <c r="D1781" s="12" t="s">
        <v>24</v>
      </c>
      <c r="E1781" s="11">
        <v>45747</v>
      </c>
      <c r="F1781" s="12" t="s">
        <v>1785</v>
      </c>
    </row>
    <row r="1782" spans="1:6" x14ac:dyDescent="0.3">
      <c r="A1782" s="4"/>
    </row>
    <row r="1783" spans="1:6" ht="15.6" x14ac:dyDescent="0.3">
      <c r="A1783" s="18" t="s">
        <v>1546</v>
      </c>
      <c r="B1783" s="19"/>
      <c r="C1783" s="19"/>
      <c r="D1783" s="19"/>
      <c r="E1783" s="19"/>
      <c r="F1783" s="19"/>
    </row>
    <row r="1784" spans="1:6" ht="43.2" x14ac:dyDescent="0.3">
      <c r="A1784" s="10" t="s">
        <v>10</v>
      </c>
      <c r="B1784" s="11">
        <v>45729</v>
      </c>
      <c r="C1784" s="12" t="s">
        <v>12</v>
      </c>
      <c r="D1784" s="12" t="s">
        <v>1027</v>
      </c>
      <c r="E1784" s="11">
        <v>45747</v>
      </c>
      <c r="F1784" s="12" t="s">
        <v>1851</v>
      </c>
    </row>
    <row r="1785" spans="1:6" ht="28.8" x14ac:dyDescent="0.3">
      <c r="B1785" s="11">
        <v>45747</v>
      </c>
      <c r="C1785" s="12" t="s">
        <v>22</v>
      </c>
      <c r="D1785" s="12" t="s">
        <v>4</v>
      </c>
      <c r="E1785" s="4" t="s">
        <v>1827</v>
      </c>
      <c r="F1785" s="12" t="s">
        <v>1827</v>
      </c>
    </row>
    <row r="1786" spans="1:6" x14ac:dyDescent="0.3">
      <c r="A1786" s="4"/>
    </row>
    <row r="1787" spans="1:6" ht="15.6" x14ac:dyDescent="0.3">
      <c r="A1787" s="18" t="s">
        <v>1549</v>
      </c>
      <c r="B1787" s="19"/>
      <c r="C1787" s="19"/>
      <c r="D1787" s="19"/>
      <c r="E1787" s="19"/>
      <c r="F1787" s="19"/>
    </row>
    <row r="1788" spans="1:6" x14ac:dyDescent="0.3">
      <c r="A1788" s="10" t="s">
        <v>418</v>
      </c>
      <c r="B1788" s="11">
        <v>45729</v>
      </c>
      <c r="C1788" s="12" t="s">
        <v>12</v>
      </c>
      <c r="D1788" s="12" t="s">
        <v>21</v>
      </c>
      <c r="E1788" s="11">
        <v>45747</v>
      </c>
      <c r="F1788" s="12" t="s">
        <v>1860</v>
      </c>
    </row>
    <row r="1789" spans="1:6" ht="28.8" x14ac:dyDescent="0.3">
      <c r="B1789" s="11">
        <v>45747</v>
      </c>
      <c r="C1789" s="12" t="s">
        <v>22</v>
      </c>
      <c r="D1789" s="12" t="s">
        <v>4</v>
      </c>
      <c r="E1789" s="4" t="s">
        <v>1827</v>
      </c>
      <c r="F1789" s="12" t="s">
        <v>1827</v>
      </c>
    </row>
    <row r="1790" spans="1:6" x14ac:dyDescent="0.3">
      <c r="A1790" s="4"/>
    </row>
    <row r="1791" spans="1:6" ht="15.6" x14ac:dyDescent="0.3">
      <c r="A1791" s="18" t="s">
        <v>1552</v>
      </c>
      <c r="B1791" s="19"/>
      <c r="C1791" s="19"/>
      <c r="D1791" s="19"/>
      <c r="E1791" s="19"/>
      <c r="F1791" s="19"/>
    </row>
    <row r="1792" spans="1:6" ht="43.2" x14ac:dyDescent="0.3">
      <c r="A1792" s="10" t="s">
        <v>418</v>
      </c>
      <c r="B1792" s="11">
        <v>45729</v>
      </c>
      <c r="C1792" s="12" t="s">
        <v>12</v>
      </c>
      <c r="D1792" s="12" t="s">
        <v>21</v>
      </c>
      <c r="E1792" s="11">
        <v>45747</v>
      </c>
      <c r="F1792" s="12" t="s">
        <v>1861</v>
      </c>
    </row>
    <row r="1793" spans="1:6" ht="28.8" x14ac:dyDescent="0.3">
      <c r="B1793" s="11">
        <v>45747</v>
      </c>
      <c r="C1793" s="12" t="s">
        <v>22</v>
      </c>
      <c r="D1793" s="12" t="s">
        <v>4</v>
      </c>
      <c r="E1793" s="4" t="s">
        <v>1827</v>
      </c>
      <c r="F1793" s="12" t="s">
        <v>1827</v>
      </c>
    </row>
    <row r="1794" spans="1:6" x14ac:dyDescent="0.3">
      <c r="A1794" s="4"/>
    </row>
    <row r="1795" spans="1:6" ht="15.6" x14ac:dyDescent="0.3">
      <c r="A1795" s="18" t="s">
        <v>1555</v>
      </c>
      <c r="B1795" s="19"/>
      <c r="C1795" s="19"/>
      <c r="D1795" s="19"/>
      <c r="E1795" s="19"/>
      <c r="F1795" s="19"/>
    </row>
    <row r="1796" spans="1:6" x14ac:dyDescent="0.3">
      <c r="A1796" s="10" t="s">
        <v>11</v>
      </c>
      <c r="B1796" s="11">
        <v>45729</v>
      </c>
      <c r="C1796" s="12" t="s">
        <v>12</v>
      </c>
      <c r="D1796" s="12" t="s">
        <v>21</v>
      </c>
      <c r="E1796" s="11">
        <v>45749</v>
      </c>
      <c r="F1796" s="12" t="s">
        <v>1933</v>
      </c>
    </row>
    <row r="1797" spans="1:6" ht="28.8" x14ac:dyDescent="0.3">
      <c r="B1797" s="11">
        <v>45749</v>
      </c>
      <c r="C1797" s="12" t="s">
        <v>22</v>
      </c>
      <c r="D1797" s="12" t="s">
        <v>4</v>
      </c>
      <c r="E1797" s="4" t="s">
        <v>1827</v>
      </c>
      <c r="F1797" s="12" t="s">
        <v>1827</v>
      </c>
    </row>
    <row r="1798" spans="1:6" x14ac:dyDescent="0.3">
      <c r="A1798" s="4"/>
    </row>
    <row r="1799" spans="1:6" ht="15.6" x14ac:dyDescent="0.3">
      <c r="A1799" s="18" t="s">
        <v>1558</v>
      </c>
      <c r="B1799" s="19"/>
      <c r="C1799" s="19"/>
      <c r="D1799" s="19"/>
      <c r="E1799" s="19"/>
      <c r="F1799" s="19"/>
    </row>
    <row r="1800" spans="1:6" x14ac:dyDescent="0.3">
      <c r="A1800" s="10" t="s">
        <v>11</v>
      </c>
      <c r="B1800" s="11">
        <v>45729</v>
      </c>
      <c r="C1800" s="12" t="s">
        <v>12</v>
      </c>
      <c r="D1800" s="12" t="s">
        <v>21</v>
      </c>
      <c r="E1800" s="11">
        <v>45749</v>
      </c>
      <c r="F1800" s="12" t="s">
        <v>1933</v>
      </c>
    </row>
    <row r="1801" spans="1:6" ht="28.8" x14ac:dyDescent="0.3">
      <c r="B1801" s="11">
        <v>45749</v>
      </c>
      <c r="C1801" s="12" t="s">
        <v>22</v>
      </c>
      <c r="D1801" s="12" t="s">
        <v>4</v>
      </c>
      <c r="E1801" s="4" t="s">
        <v>1827</v>
      </c>
      <c r="F1801" s="12" t="s">
        <v>1827</v>
      </c>
    </row>
    <row r="1802" spans="1:6" x14ac:dyDescent="0.3">
      <c r="A1802" s="4"/>
    </row>
    <row r="1803" spans="1:6" ht="15.6" x14ac:dyDescent="0.3">
      <c r="A1803" s="18" t="s">
        <v>1561</v>
      </c>
      <c r="B1803" s="19"/>
      <c r="C1803" s="19"/>
      <c r="D1803" s="19"/>
      <c r="E1803" s="19"/>
      <c r="F1803" s="19"/>
    </row>
    <row r="1804" spans="1:6" ht="115.2" x14ac:dyDescent="0.3">
      <c r="A1804" s="10" t="s">
        <v>11</v>
      </c>
      <c r="B1804" s="11">
        <v>45729</v>
      </c>
      <c r="C1804" s="12" t="s">
        <v>12</v>
      </c>
      <c r="D1804" s="12" t="s">
        <v>21</v>
      </c>
      <c r="E1804" s="11">
        <v>45749</v>
      </c>
      <c r="F1804" s="12" t="s">
        <v>1934</v>
      </c>
    </row>
    <row r="1805" spans="1:6" ht="28.8" x14ac:dyDescent="0.3">
      <c r="B1805" s="11">
        <v>45749</v>
      </c>
      <c r="C1805" s="12" t="s">
        <v>22</v>
      </c>
      <c r="D1805" s="12" t="s">
        <v>4</v>
      </c>
      <c r="E1805" s="4" t="s">
        <v>1827</v>
      </c>
      <c r="F1805" s="12" t="s">
        <v>1827</v>
      </c>
    </row>
    <row r="1806" spans="1:6" x14ac:dyDescent="0.3">
      <c r="A1806" s="4"/>
    </row>
    <row r="1807" spans="1:6" ht="15.6" x14ac:dyDescent="0.3">
      <c r="A1807" s="18" t="s">
        <v>1564</v>
      </c>
      <c r="B1807" s="19"/>
      <c r="C1807" s="19"/>
      <c r="D1807" s="19"/>
      <c r="E1807" s="19"/>
      <c r="F1807" s="19"/>
    </row>
    <row r="1808" spans="1:6" ht="100.8" x14ac:dyDescent="0.3">
      <c r="A1808" s="10" t="s">
        <v>11</v>
      </c>
      <c r="B1808" s="11">
        <v>45729</v>
      </c>
      <c r="C1808" s="12" t="s">
        <v>12</v>
      </c>
      <c r="D1808" s="12" t="s">
        <v>21</v>
      </c>
      <c r="E1808" s="11">
        <v>45749</v>
      </c>
      <c r="F1808" s="12" t="s">
        <v>1935</v>
      </c>
    </row>
    <row r="1809" spans="1:6" ht="28.8" x14ac:dyDescent="0.3">
      <c r="B1809" s="11">
        <v>45749</v>
      </c>
      <c r="C1809" s="12" t="s">
        <v>22</v>
      </c>
      <c r="D1809" s="12" t="s">
        <v>4</v>
      </c>
      <c r="E1809" s="4" t="s">
        <v>1827</v>
      </c>
      <c r="F1809" s="12" t="s">
        <v>1827</v>
      </c>
    </row>
    <row r="1810" spans="1:6" x14ac:dyDescent="0.3">
      <c r="A1810" s="4"/>
    </row>
    <row r="1811" spans="1:6" ht="15.6" x14ac:dyDescent="0.3">
      <c r="A1811" s="18" t="s">
        <v>1567</v>
      </c>
      <c r="B1811" s="19"/>
      <c r="C1811" s="19"/>
      <c r="D1811" s="19"/>
      <c r="E1811" s="19"/>
      <c r="F1811" s="19"/>
    </row>
    <row r="1812" spans="1:6" ht="43.2" x14ac:dyDescent="0.3">
      <c r="A1812" s="10" t="s">
        <v>11</v>
      </c>
      <c r="B1812" s="11">
        <v>45729</v>
      </c>
      <c r="C1812" s="12" t="s">
        <v>12</v>
      </c>
      <c r="D1812" s="12" t="s">
        <v>21</v>
      </c>
      <c r="E1812" s="11">
        <v>45749</v>
      </c>
      <c r="F1812" s="12" t="s">
        <v>1936</v>
      </c>
    </row>
    <row r="1813" spans="1:6" ht="28.8" x14ac:dyDescent="0.3">
      <c r="B1813" s="11">
        <v>45749</v>
      </c>
      <c r="C1813" s="12" t="s">
        <v>22</v>
      </c>
      <c r="D1813" s="12" t="s">
        <v>4</v>
      </c>
      <c r="E1813" s="4" t="s">
        <v>1827</v>
      </c>
      <c r="F1813" s="12" t="s">
        <v>1827</v>
      </c>
    </row>
    <row r="1814" spans="1:6" x14ac:dyDescent="0.3">
      <c r="A1814" s="4"/>
    </row>
    <row r="1815" spans="1:6" ht="15.6" x14ac:dyDescent="0.3">
      <c r="A1815" s="18" t="s">
        <v>1570</v>
      </c>
      <c r="B1815" s="19"/>
      <c r="C1815" s="19"/>
      <c r="D1815" s="19"/>
      <c r="E1815" s="19"/>
      <c r="F1815" s="19"/>
    </row>
    <row r="1816" spans="1:6" x14ac:dyDescent="0.3">
      <c r="A1816" s="10" t="s">
        <v>418</v>
      </c>
      <c r="B1816" s="11">
        <v>45729</v>
      </c>
      <c r="C1816" s="12" t="s">
        <v>12</v>
      </c>
      <c r="D1816" s="12" t="s">
        <v>24</v>
      </c>
      <c r="E1816" s="11">
        <v>45747</v>
      </c>
      <c r="F1816" s="12" t="s">
        <v>1785</v>
      </c>
    </row>
    <row r="1817" spans="1:6" x14ac:dyDescent="0.3">
      <c r="A1817" s="4"/>
    </row>
    <row r="1818" spans="1:6" ht="15.6" x14ac:dyDescent="0.3">
      <c r="A1818" s="18" t="s">
        <v>1573</v>
      </c>
      <c r="B1818" s="19"/>
      <c r="C1818" s="19"/>
      <c r="D1818" s="19"/>
      <c r="E1818" s="19"/>
      <c r="F1818" s="19"/>
    </row>
    <row r="1819" spans="1:6" x14ac:dyDescent="0.3">
      <c r="A1819" s="10" t="s">
        <v>418</v>
      </c>
      <c r="B1819" s="11">
        <v>45729</v>
      </c>
      <c r="C1819" s="12" t="s">
        <v>12</v>
      </c>
      <c r="D1819" s="12" t="s">
        <v>24</v>
      </c>
      <c r="E1819" s="11">
        <v>45747</v>
      </c>
      <c r="F1819" s="12" t="s">
        <v>1785</v>
      </c>
    </row>
    <row r="1820" spans="1:6" x14ac:dyDescent="0.3">
      <c r="A1820" s="4"/>
    </row>
    <row r="1821" spans="1:6" ht="15.6" x14ac:dyDescent="0.3">
      <c r="A1821" s="18" t="s">
        <v>1576</v>
      </c>
      <c r="B1821" s="19"/>
      <c r="C1821" s="19"/>
      <c r="D1821" s="19"/>
      <c r="E1821" s="19"/>
      <c r="F1821" s="19"/>
    </row>
    <row r="1822" spans="1:6" ht="28.8" x14ac:dyDescent="0.3">
      <c r="A1822" s="10" t="s">
        <v>11</v>
      </c>
      <c r="B1822" s="11">
        <v>45729</v>
      </c>
      <c r="C1822" s="12" t="s">
        <v>12</v>
      </c>
      <c r="D1822" s="12" t="s">
        <v>21</v>
      </c>
      <c r="E1822" s="11">
        <v>45747</v>
      </c>
      <c r="F1822" s="12" t="s">
        <v>1862</v>
      </c>
    </row>
    <row r="1823" spans="1:6" ht="28.8" x14ac:dyDescent="0.3">
      <c r="B1823" s="11">
        <v>45747</v>
      </c>
      <c r="C1823" s="12" t="s">
        <v>22</v>
      </c>
      <c r="D1823" s="12" t="s">
        <v>4</v>
      </c>
      <c r="E1823" s="4" t="s">
        <v>1827</v>
      </c>
      <c r="F1823" s="12" t="s">
        <v>1827</v>
      </c>
    </row>
    <row r="1824" spans="1:6" x14ac:dyDescent="0.3">
      <c r="A1824" s="4"/>
    </row>
    <row r="1825" spans="1:6" ht="15.6" x14ac:dyDescent="0.3">
      <c r="A1825" s="18" t="s">
        <v>1579</v>
      </c>
      <c r="B1825" s="19"/>
      <c r="C1825" s="19"/>
      <c r="D1825" s="19"/>
      <c r="E1825" s="19"/>
      <c r="F1825" s="19"/>
    </row>
    <row r="1826" spans="1:6" x14ac:dyDescent="0.3">
      <c r="A1826" s="10" t="s">
        <v>11</v>
      </c>
      <c r="B1826" s="11">
        <v>45729</v>
      </c>
      <c r="C1826" s="12" t="s">
        <v>12</v>
      </c>
      <c r="D1826" s="12" t="s">
        <v>24</v>
      </c>
      <c r="E1826" s="11">
        <v>45747</v>
      </c>
      <c r="F1826" s="12" t="s">
        <v>1785</v>
      </c>
    </row>
    <row r="1827" spans="1:6" x14ac:dyDescent="0.3">
      <c r="A1827" s="4"/>
    </row>
    <row r="1828" spans="1:6" ht="15.6" x14ac:dyDescent="0.3">
      <c r="A1828" s="18" t="s">
        <v>1582</v>
      </c>
      <c r="B1828" s="19"/>
      <c r="C1828" s="19"/>
      <c r="D1828" s="19"/>
      <c r="E1828" s="19"/>
      <c r="F1828" s="19"/>
    </row>
    <row r="1829" spans="1:6" x14ac:dyDescent="0.3">
      <c r="A1829" s="10" t="s">
        <v>835</v>
      </c>
      <c r="B1829" s="11">
        <v>45729</v>
      </c>
      <c r="C1829" s="12" t="s">
        <v>12</v>
      </c>
      <c r="D1829" s="12" t="s">
        <v>21</v>
      </c>
      <c r="E1829" s="11">
        <v>45747</v>
      </c>
      <c r="F1829" s="12" t="s">
        <v>1785</v>
      </c>
    </row>
    <row r="1830" spans="1:6" ht="28.8" x14ac:dyDescent="0.3">
      <c r="B1830" s="11">
        <v>45747</v>
      </c>
      <c r="C1830" s="12" t="s">
        <v>22</v>
      </c>
      <c r="D1830" s="12" t="s">
        <v>4</v>
      </c>
      <c r="E1830" s="4" t="s">
        <v>1827</v>
      </c>
      <c r="F1830" s="12" t="s">
        <v>1827</v>
      </c>
    </row>
    <row r="1831" spans="1:6" x14ac:dyDescent="0.3">
      <c r="A1831" s="4"/>
    </row>
    <row r="1832" spans="1:6" ht="15.6" x14ac:dyDescent="0.3">
      <c r="A1832" s="18" t="s">
        <v>1585</v>
      </c>
      <c r="B1832" s="19"/>
      <c r="C1832" s="19"/>
      <c r="D1832" s="19"/>
      <c r="E1832" s="19"/>
      <c r="F1832" s="19"/>
    </row>
    <row r="1833" spans="1:6" ht="28.8" x14ac:dyDescent="0.3">
      <c r="A1833" s="10" t="s">
        <v>835</v>
      </c>
      <c r="B1833" s="11">
        <v>45729</v>
      </c>
      <c r="C1833" s="12" t="s">
        <v>12</v>
      </c>
      <c r="D1833" s="12" t="s">
        <v>21</v>
      </c>
      <c r="E1833" s="11">
        <v>45747</v>
      </c>
      <c r="F1833" s="12" t="s">
        <v>1863</v>
      </c>
    </row>
    <row r="1834" spans="1:6" ht="28.8" x14ac:dyDescent="0.3">
      <c r="B1834" s="11">
        <v>45747</v>
      </c>
      <c r="C1834" s="12" t="s">
        <v>22</v>
      </c>
      <c r="D1834" s="12" t="s">
        <v>4</v>
      </c>
      <c r="E1834" s="4" t="s">
        <v>1827</v>
      </c>
      <c r="F1834" s="12" t="s">
        <v>1827</v>
      </c>
    </row>
    <row r="1835" spans="1:6" x14ac:dyDescent="0.3">
      <c r="A1835" s="4"/>
    </row>
    <row r="1836" spans="1:6" ht="15.6" x14ac:dyDescent="0.3">
      <c r="A1836" s="18" t="s">
        <v>1588</v>
      </c>
      <c r="B1836" s="19"/>
      <c r="C1836" s="19"/>
      <c r="D1836" s="19"/>
      <c r="E1836" s="19"/>
      <c r="F1836" s="19"/>
    </row>
    <row r="1837" spans="1:6" ht="28.8" x14ac:dyDescent="0.3">
      <c r="A1837" s="10" t="s">
        <v>418</v>
      </c>
      <c r="B1837" s="11">
        <v>45729</v>
      </c>
      <c r="C1837" s="12" t="s">
        <v>12</v>
      </c>
      <c r="D1837" s="12" t="s">
        <v>21</v>
      </c>
      <c r="E1837" s="11">
        <v>45747</v>
      </c>
      <c r="F1837" s="12" t="s">
        <v>1864</v>
      </c>
    </row>
    <row r="1838" spans="1:6" ht="28.8" x14ac:dyDescent="0.3">
      <c r="B1838" s="11">
        <v>45747</v>
      </c>
      <c r="C1838" s="12" t="s">
        <v>22</v>
      </c>
      <c r="D1838" s="12" t="s">
        <v>4</v>
      </c>
      <c r="E1838" s="4" t="s">
        <v>1827</v>
      </c>
      <c r="F1838" s="12" t="s">
        <v>1827</v>
      </c>
    </row>
    <row r="1839" spans="1:6" x14ac:dyDescent="0.3">
      <c r="A1839" s="4"/>
    </row>
    <row r="1840" spans="1:6" ht="15.6" x14ac:dyDescent="0.3">
      <c r="A1840" s="18" t="s">
        <v>1591</v>
      </c>
      <c r="B1840" s="19"/>
      <c r="C1840" s="19"/>
      <c r="D1840" s="19"/>
      <c r="E1840" s="19"/>
      <c r="F1840" s="19"/>
    </row>
    <row r="1841" spans="1:6" ht="28.8" x14ac:dyDescent="0.3">
      <c r="A1841" s="10" t="s">
        <v>11</v>
      </c>
      <c r="B1841" s="11">
        <v>45729</v>
      </c>
      <c r="C1841" s="12" t="s">
        <v>12</v>
      </c>
      <c r="D1841" s="12" t="s">
        <v>21</v>
      </c>
      <c r="E1841" s="11">
        <v>45747</v>
      </c>
      <c r="F1841" s="12" t="s">
        <v>1864</v>
      </c>
    </row>
    <row r="1842" spans="1:6" ht="28.8" x14ac:dyDescent="0.3">
      <c r="B1842" s="11">
        <v>45747</v>
      </c>
      <c r="C1842" s="12" t="s">
        <v>22</v>
      </c>
      <c r="D1842" s="12" t="s">
        <v>4</v>
      </c>
      <c r="E1842" s="4" t="s">
        <v>1827</v>
      </c>
      <c r="F1842" s="12" t="s">
        <v>1827</v>
      </c>
    </row>
    <row r="1843" spans="1:6" x14ac:dyDescent="0.3">
      <c r="A1843" s="4"/>
    </row>
    <row r="1844" spans="1:6" ht="15.6" x14ac:dyDescent="0.3">
      <c r="A1844" s="18" t="s">
        <v>1594</v>
      </c>
      <c r="B1844" s="19"/>
      <c r="C1844" s="19"/>
      <c r="D1844" s="19"/>
      <c r="E1844" s="19"/>
      <c r="F1844" s="19"/>
    </row>
    <row r="1845" spans="1:6" ht="28.8" x14ac:dyDescent="0.3">
      <c r="A1845" s="10" t="s">
        <v>11</v>
      </c>
      <c r="B1845" s="11">
        <v>45729</v>
      </c>
      <c r="C1845" s="12" t="s">
        <v>12</v>
      </c>
      <c r="D1845" s="12" t="s">
        <v>21</v>
      </c>
      <c r="E1845" s="11">
        <v>45747</v>
      </c>
      <c r="F1845" s="12" t="s">
        <v>1865</v>
      </c>
    </row>
    <row r="1846" spans="1:6" ht="28.8" x14ac:dyDescent="0.3">
      <c r="B1846" s="11">
        <v>45747</v>
      </c>
      <c r="C1846" s="12" t="s">
        <v>22</v>
      </c>
      <c r="D1846" s="12" t="s">
        <v>4</v>
      </c>
      <c r="E1846" s="4" t="s">
        <v>1827</v>
      </c>
      <c r="F1846" s="12" t="s">
        <v>1827</v>
      </c>
    </row>
    <row r="1847" spans="1:6" x14ac:dyDescent="0.3">
      <c r="A1847" s="4"/>
    </row>
    <row r="1848" spans="1:6" ht="15.6" x14ac:dyDescent="0.3">
      <c r="A1848" s="18" t="s">
        <v>1597</v>
      </c>
      <c r="B1848" s="19"/>
      <c r="C1848" s="19"/>
      <c r="D1848" s="19"/>
      <c r="E1848" s="19"/>
      <c r="F1848" s="19"/>
    </row>
    <row r="1849" spans="1:6" ht="28.8" x14ac:dyDescent="0.3">
      <c r="A1849" s="10" t="s">
        <v>11</v>
      </c>
      <c r="B1849" s="11">
        <v>45729</v>
      </c>
      <c r="C1849" s="12" t="s">
        <v>12</v>
      </c>
      <c r="D1849" s="12" t="s">
        <v>21</v>
      </c>
      <c r="E1849" s="11">
        <v>45747</v>
      </c>
      <c r="F1849" s="12" t="s">
        <v>1864</v>
      </c>
    </row>
    <row r="1850" spans="1:6" ht="28.8" x14ac:dyDescent="0.3">
      <c r="B1850" s="11">
        <v>45747</v>
      </c>
      <c r="C1850" s="12" t="s">
        <v>22</v>
      </c>
      <c r="D1850" s="12" t="s">
        <v>4</v>
      </c>
      <c r="E1850" s="4" t="s">
        <v>1827</v>
      </c>
      <c r="F1850" s="12" t="s">
        <v>1827</v>
      </c>
    </row>
    <row r="1851" spans="1:6" x14ac:dyDescent="0.3">
      <c r="A1851" s="4"/>
    </row>
    <row r="1852" spans="1:6" ht="15.6" x14ac:dyDescent="0.3">
      <c r="A1852" s="18" t="s">
        <v>1600</v>
      </c>
      <c r="B1852" s="19"/>
      <c r="C1852" s="19"/>
      <c r="D1852" s="19"/>
      <c r="E1852" s="19"/>
      <c r="F1852" s="19"/>
    </row>
    <row r="1853" spans="1:6" ht="28.8" x14ac:dyDescent="0.3">
      <c r="A1853" s="10" t="s">
        <v>11</v>
      </c>
      <c r="B1853" s="11">
        <v>45729</v>
      </c>
      <c r="C1853" s="12" t="s">
        <v>12</v>
      </c>
      <c r="D1853" s="12" t="s">
        <v>21</v>
      </c>
      <c r="E1853" s="11">
        <v>45747</v>
      </c>
      <c r="F1853" s="12" t="s">
        <v>1864</v>
      </c>
    </row>
    <row r="1854" spans="1:6" ht="28.8" x14ac:dyDescent="0.3">
      <c r="B1854" s="11">
        <v>45747</v>
      </c>
      <c r="C1854" s="12" t="s">
        <v>22</v>
      </c>
      <c r="D1854" s="12" t="s">
        <v>4</v>
      </c>
      <c r="E1854" s="4" t="s">
        <v>1827</v>
      </c>
      <c r="F1854" s="12" t="s">
        <v>1827</v>
      </c>
    </row>
    <row r="1855" spans="1:6" x14ac:dyDescent="0.3">
      <c r="A1855" s="4"/>
    </row>
    <row r="1856" spans="1:6" ht="15.6" x14ac:dyDescent="0.3">
      <c r="A1856" s="18" t="s">
        <v>1603</v>
      </c>
      <c r="B1856" s="19"/>
      <c r="C1856" s="19"/>
      <c r="D1856" s="19"/>
      <c r="E1856" s="19"/>
      <c r="F1856" s="19"/>
    </row>
    <row r="1857" spans="1:6" ht="28.8" x14ac:dyDescent="0.3">
      <c r="A1857" s="10" t="s">
        <v>835</v>
      </c>
      <c r="B1857" s="11">
        <v>45729</v>
      </c>
      <c r="C1857" s="12" t="s">
        <v>12</v>
      </c>
      <c r="D1857" s="12" t="s">
        <v>21</v>
      </c>
      <c r="E1857" s="11">
        <v>45747</v>
      </c>
      <c r="F1857" s="12" t="s">
        <v>1865</v>
      </c>
    </row>
    <row r="1858" spans="1:6" ht="28.8" x14ac:dyDescent="0.3">
      <c r="B1858" s="11">
        <v>45747</v>
      </c>
      <c r="C1858" s="12" t="s">
        <v>22</v>
      </c>
      <c r="D1858" s="12" t="s">
        <v>4</v>
      </c>
      <c r="E1858" s="4" t="s">
        <v>1827</v>
      </c>
      <c r="F1858" s="12" t="s">
        <v>1827</v>
      </c>
    </row>
    <row r="1859" spans="1:6" x14ac:dyDescent="0.3">
      <c r="A1859" s="4"/>
    </row>
    <row r="1860" spans="1:6" ht="15.6" x14ac:dyDescent="0.3">
      <c r="A1860" s="18" t="s">
        <v>1606</v>
      </c>
      <c r="B1860" s="19"/>
      <c r="C1860" s="19"/>
      <c r="D1860" s="19"/>
      <c r="E1860" s="19"/>
      <c r="F1860" s="19"/>
    </row>
    <row r="1861" spans="1:6" ht="43.2" x14ac:dyDescent="0.3">
      <c r="A1861" s="10" t="s">
        <v>418</v>
      </c>
      <c r="B1861" s="11">
        <v>45729</v>
      </c>
      <c r="C1861" s="12" t="s">
        <v>12</v>
      </c>
      <c r="D1861" s="12" t="s">
        <v>21</v>
      </c>
      <c r="E1861" s="11">
        <v>45747</v>
      </c>
      <c r="F1861" s="12" t="s">
        <v>1866</v>
      </c>
    </row>
    <row r="1862" spans="1:6" ht="28.8" x14ac:dyDescent="0.3">
      <c r="B1862" s="11">
        <v>45747</v>
      </c>
      <c r="C1862" s="12" t="s">
        <v>22</v>
      </c>
      <c r="D1862" s="12" t="s">
        <v>4</v>
      </c>
      <c r="E1862" s="4" t="s">
        <v>1827</v>
      </c>
      <c r="F1862" s="12" t="s">
        <v>1827</v>
      </c>
    </row>
    <row r="1863" spans="1:6" x14ac:dyDescent="0.3">
      <c r="A1863" s="4"/>
    </row>
    <row r="1864" spans="1:6" ht="15.6" x14ac:dyDescent="0.3">
      <c r="A1864" s="18" t="s">
        <v>1609</v>
      </c>
      <c r="B1864" s="19"/>
      <c r="C1864" s="19"/>
      <c r="D1864" s="19"/>
      <c r="E1864" s="19"/>
      <c r="F1864" s="19"/>
    </row>
    <row r="1865" spans="1:6" ht="43.2" x14ac:dyDescent="0.3">
      <c r="A1865" s="10" t="s">
        <v>11</v>
      </c>
      <c r="B1865" s="11">
        <v>45729</v>
      </c>
      <c r="C1865" s="12" t="s">
        <v>12</v>
      </c>
      <c r="D1865" s="12" t="s">
        <v>21</v>
      </c>
      <c r="E1865" s="11">
        <v>45747</v>
      </c>
      <c r="F1865" s="12" t="s">
        <v>1867</v>
      </c>
    </row>
    <row r="1866" spans="1:6" ht="28.8" x14ac:dyDescent="0.3">
      <c r="B1866" s="11">
        <v>45747</v>
      </c>
      <c r="C1866" s="12" t="s">
        <v>22</v>
      </c>
      <c r="D1866" s="12" t="s">
        <v>4</v>
      </c>
      <c r="E1866" s="4" t="s">
        <v>1827</v>
      </c>
      <c r="F1866" s="12" t="s">
        <v>1827</v>
      </c>
    </row>
    <row r="1867" spans="1:6" x14ac:dyDescent="0.3">
      <c r="A1867" s="4"/>
    </row>
    <row r="1868" spans="1:6" ht="15.6" x14ac:dyDescent="0.3">
      <c r="A1868" s="18" t="s">
        <v>1612</v>
      </c>
      <c r="B1868" s="19"/>
      <c r="C1868" s="19"/>
      <c r="D1868" s="19"/>
      <c r="E1868" s="19"/>
      <c r="F1868" s="19"/>
    </row>
    <row r="1869" spans="1:6" ht="28.8" x14ac:dyDescent="0.3">
      <c r="A1869" s="10" t="s">
        <v>835</v>
      </c>
      <c r="B1869" s="11">
        <v>45729</v>
      </c>
      <c r="C1869" s="12" t="s">
        <v>12</v>
      </c>
      <c r="D1869" s="12" t="s">
        <v>21</v>
      </c>
      <c r="E1869" s="11">
        <v>45747</v>
      </c>
      <c r="F1869" s="12" t="s">
        <v>1865</v>
      </c>
    </row>
    <row r="1870" spans="1:6" ht="28.8" x14ac:dyDescent="0.3">
      <c r="B1870" s="11">
        <v>45747</v>
      </c>
      <c r="C1870" s="12" t="s">
        <v>22</v>
      </c>
      <c r="D1870" s="12" t="s">
        <v>4</v>
      </c>
      <c r="E1870" s="4" t="s">
        <v>1827</v>
      </c>
      <c r="F1870" s="12" t="s">
        <v>1827</v>
      </c>
    </row>
    <row r="1871" spans="1:6" x14ac:dyDescent="0.3">
      <c r="A1871" s="4"/>
    </row>
    <row r="1872" spans="1:6" ht="15.6" x14ac:dyDescent="0.3">
      <c r="A1872" s="18" t="s">
        <v>1615</v>
      </c>
      <c r="B1872" s="19"/>
      <c r="C1872" s="19"/>
      <c r="D1872" s="19"/>
      <c r="E1872" s="19"/>
      <c r="F1872" s="19"/>
    </row>
    <row r="1873" spans="1:6" ht="28.8" x14ac:dyDescent="0.3">
      <c r="A1873" s="10" t="s">
        <v>689</v>
      </c>
      <c r="B1873" s="11">
        <v>45729</v>
      </c>
      <c r="C1873" s="12" t="s">
        <v>12</v>
      </c>
      <c r="D1873" s="12" t="s">
        <v>21</v>
      </c>
      <c r="E1873" s="11">
        <v>45747</v>
      </c>
      <c r="F1873" s="12" t="s">
        <v>1868</v>
      </c>
    </row>
    <row r="1874" spans="1:6" ht="28.8" x14ac:dyDescent="0.3">
      <c r="B1874" s="11">
        <v>45747</v>
      </c>
      <c r="C1874" s="12" t="s">
        <v>22</v>
      </c>
      <c r="D1874" s="12" t="s">
        <v>4</v>
      </c>
      <c r="E1874" s="4" t="s">
        <v>1827</v>
      </c>
      <c r="F1874" s="12" t="s">
        <v>1827</v>
      </c>
    </row>
    <row r="1875" spans="1:6" x14ac:dyDescent="0.3">
      <c r="A1875" s="4"/>
    </row>
    <row r="1876" spans="1:6" ht="15.6" x14ac:dyDescent="0.3">
      <c r="A1876" s="18" t="s">
        <v>1618</v>
      </c>
      <c r="B1876" s="19"/>
      <c r="C1876" s="19"/>
      <c r="D1876" s="19"/>
      <c r="E1876" s="19"/>
      <c r="F1876" s="19"/>
    </row>
    <row r="1877" spans="1:6" ht="28.8" x14ac:dyDescent="0.3">
      <c r="A1877" s="10" t="s">
        <v>418</v>
      </c>
      <c r="B1877" s="11">
        <v>45729</v>
      </c>
      <c r="C1877" s="12" t="s">
        <v>12</v>
      </c>
      <c r="D1877" s="12" t="s">
        <v>21</v>
      </c>
      <c r="E1877" s="11">
        <v>45747</v>
      </c>
      <c r="F1877" s="12" t="s">
        <v>1869</v>
      </c>
    </row>
    <row r="1878" spans="1:6" ht="28.8" x14ac:dyDescent="0.3">
      <c r="B1878" s="11">
        <v>45747</v>
      </c>
      <c r="C1878" s="12" t="s">
        <v>22</v>
      </c>
      <c r="D1878" s="12" t="s">
        <v>4</v>
      </c>
      <c r="E1878" s="4" t="s">
        <v>1827</v>
      </c>
      <c r="F1878" s="12" t="s">
        <v>1827</v>
      </c>
    </row>
    <row r="1879" spans="1:6" x14ac:dyDescent="0.3">
      <c r="A1879" s="4"/>
    </row>
    <row r="1880" spans="1:6" ht="15.6" x14ac:dyDescent="0.3">
      <c r="A1880" s="18" t="s">
        <v>1621</v>
      </c>
      <c r="B1880" s="19"/>
      <c r="C1880" s="19"/>
      <c r="D1880" s="19"/>
      <c r="E1880" s="19"/>
      <c r="F1880" s="19"/>
    </row>
    <row r="1881" spans="1:6" x14ac:dyDescent="0.3">
      <c r="A1881" s="10" t="s">
        <v>835</v>
      </c>
      <c r="B1881" s="11">
        <v>45729</v>
      </c>
      <c r="C1881" s="12" t="s">
        <v>12</v>
      </c>
      <c r="D1881" s="12" t="s">
        <v>24</v>
      </c>
      <c r="E1881" s="11">
        <v>45747</v>
      </c>
      <c r="F1881" s="12" t="s">
        <v>1785</v>
      </c>
    </row>
    <row r="1882" spans="1:6" x14ac:dyDescent="0.3">
      <c r="A1882" s="4"/>
    </row>
    <row r="1883" spans="1:6" ht="15.6" x14ac:dyDescent="0.3">
      <c r="A1883" s="18" t="s">
        <v>1624</v>
      </c>
      <c r="B1883" s="19"/>
      <c r="C1883" s="19"/>
      <c r="D1883" s="19"/>
      <c r="E1883" s="19"/>
      <c r="F1883" s="19"/>
    </row>
    <row r="1884" spans="1:6" x14ac:dyDescent="0.3">
      <c r="A1884" s="10" t="s">
        <v>418</v>
      </c>
      <c r="B1884" s="11">
        <v>45729</v>
      </c>
      <c r="C1884" s="12" t="s">
        <v>12</v>
      </c>
      <c r="D1884" s="12" t="s">
        <v>21</v>
      </c>
      <c r="E1884" s="11">
        <v>45747</v>
      </c>
      <c r="F1884" s="12" t="s">
        <v>1870</v>
      </c>
    </row>
    <row r="1885" spans="1:6" ht="28.8" x14ac:dyDescent="0.3">
      <c r="B1885" s="11">
        <v>45747</v>
      </c>
      <c r="C1885" s="12" t="s">
        <v>22</v>
      </c>
      <c r="D1885" s="12" t="s">
        <v>4</v>
      </c>
      <c r="E1885" s="4" t="s">
        <v>1827</v>
      </c>
      <c r="F1885" s="12" t="s">
        <v>1827</v>
      </c>
    </row>
    <row r="1886" spans="1:6" x14ac:dyDescent="0.3">
      <c r="A1886" s="4"/>
    </row>
    <row r="1887" spans="1:6" ht="15.6" x14ac:dyDescent="0.3">
      <c r="A1887" s="18" t="s">
        <v>1627</v>
      </c>
      <c r="B1887" s="19"/>
      <c r="C1887" s="19"/>
      <c r="D1887" s="19"/>
      <c r="E1887" s="19"/>
      <c r="F1887" s="19"/>
    </row>
    <row r="1888" spans="1:6" ht="28.8" x14ac:dyDescent="0.3">
      <c r="A1888" s="10" t="s">
        <v>11</v>
      </c>
      <c r="B1888" s="11">
        <v>45729</v>
      </c>
      <c r="C1888" s="12" t="s">
        <v>12</v>
      </c>
      <c r="D1888" s="12" t="s">
        <v>21</v>
      </c>
      <c r="E1888" s="11">
        <v>45747</v>
      </c>
      <c r="F1888" s="12" t="s">
        <v>1871</v>
      </c>
    </row>
    <row r="1889" spans="1:6" ht="28.8" x14ac:dyDescent="0.3">
      <c r="B1889" s="11">
        <v>45747</v>
      </c>
      <c r="C1889" s="12" t="s">
        <v>22</v>
      </c>
      <c r="D1889" s="12" t="s">
        <v>4</v>
      </c>
      <c r="E1889" s="4" t="s">
        <v>1827</v>
      </c>
      <c r="F1889" s="12" t="s">
        <v>1827</v>
      </c>
    </row>
    <row r="1890" spans="1:6" x14ac:dyDescent="0.3">
      <c r="A1890" s="4"/>
    </row>
    <row r="1891" spans="1:6" ht="15.6" x14ac:dyDescent="0.3">
      <c r="A1891" s="18" t="s">
        <v>1630</v>
      </c>
      <c r="B1891" s="19"/>
      <c r="C1891" s="19"/>
      <c r="D1891" s="19"/>
      <c r="E1891" s="19"/>
      <c r="F1891" s="19"/>
    </row>
    <row r="1892" spans="1:6" x14ac:dyDescent="0.3">
      <c r="A1892" s="10" t="s">
        <v>11</v>
      </c>
      <c r="B1892" s="11">
        <v>45729</v>
      </c>
      <c r="C1892" s="12" t="s">
        <v>12</v>
      </c>
      <c r="D1892" s="12" t="s">
        <v>21</v>
      </c>
      <c r="E1892" s="11">
        <v>45747</v>
      </c>
      <c r="F1892" s="12" t="s">
        <v>1872</v>
      </c>
    </row>
    <row r="1893" spans="1:6" ht="28.8" x14ac:dyDescent="0.3">
      <c r="B1893" s="11">
        <v>45747</v>
      </c>
      <c r="C1893" s="12" t="s">
        <v>22</v>
      </c>
      <c r="D1893" s="12" t="s">
        <v>4</v>
      </c>
      <c r="E1893" s="4" t="s">
        <v>1827</v>
      </c>
      <c r="F1893" s="12" t="s">
        <v>1827</v>
      </c>
    </row>
    <row r="1894" spans="1:6" x14ac:dyDescent="0.3">
      <c r="A1894" s="4"/>
    </row>
    <row r="1895" spans="1:6" ht="15.6" x14ac:dyDescent="0.3">
      <c r="A1895" s="18" t="s">
        <v>1633</v>
      </c>
      <c r="B1895" s="19"/>
      <c r="C1895" s="19"/>
      <c r="D1895" s="19"/>
      <c r="E1895" s="19"/>
      <c r="F1895" s="19"/>
    </row>
    <row r="1896" spans="1:6" ht="28.8" x14ac:dyDescent="0.3">
      <c r="A1896" s="10" t="s">
        <v>11</v>
      </c>
      <c r="B1896" s="11">
        <v>45729</v>
      </c>
      <c r="C1896" s="12" t="s">
        <v>12</v>
      </c>
      <c r="D1896" s="12" t="s">
        <v>21</v>
      </c>
      <c r="E1896" s="11">
        <v>45747</v>
      </c>
      <c r="F1896" s="12" t="s">
        <v>1873</v>
      </c>
    </row>
    <row r="1897" spans="1:6" ht="28.8" x14ac:dyDescent="0.3">
      <c r="B1897" s="11">
        <v>45747</v>
      </c>
      <c r="C1897" s="12" t="s">
        <v>22</v>
      </c>
      <c r="D1897" s="12" t="s">
        <v>4</v>
      </c>
      <c r="E1897" s="4" t="s">
        <v>1827</v>
      </c>
      <c r="F1897" s="12" t="s">
        <v>1827</v>
      </c>
    </row>
    <row r="1898" spans="1:6" x14ac:dyDescent="0.3">
      <c r="A1898" s="4"/>
    </row>
    <row r="1899" spans="1:6" ht="15.6" x14ac:dyDescent="0.3">
      <c r="A1899" s="18" t="s">
        <v>1636</v>
      </c>
      <c r="B1899" s="19"/>
      <c r="C1899" s="19"/>
      <c r="D1899" s="19"/>
      <c r="E1899" s="19"/>
      <c r="F1899" s="19"/>
    </row>
    <row r="1900" spans="1:6" x14ac:dyDescent="0.3">
      <c r="A1900" s="10" t="s">
        <v>418</v>
      </c>
      <c r="B1900" s="11">
        <v>45729</v>
      </c>
      <c r="C1900" s="12" t="s">
        <v>12</v>
      </c>
      <c r="D1900" s="12" t="s">
        <v>24</v>
      </c>
      <c r="E1900" s="11">
        <v>45747</v>
      </c>
      <c r="F1900" s="12" t="s">
        <v>1785</v>
      </c>
    </row>
    <row r="1901" spans="1:6" x14ac:dyDescent="0.3">
      <c r="A1901" s="4"/>
    </row>
    <row r="1902" spans="1:6" ht="15.6" x14ac:dyDescent="0.3">
      <c r="A1902" s="18" t="s">
        <v>1639</v>
      </c>
      <c r="B1902" s="19"/>
      <c r="C1902" s="19"/>
      <c r="D1902" s="19"/>
      <c r="E1902" s="19"/>
      <c r="F1902" s="19"/>
    </row>
    <row r="1903" spans="1:6" x14ac:dyDescent="0.3">
      <c r="A1903" s="10" t="s">
        <v>418</v>
      </c>
      <c r="B1903" s="11">
        <v>45729</v>
      </c>
      <c r="C1903" s="12" t="s">
        <v>12</v>
      </c>
      <c r="D1903" s="12" t="s">
        <v>24</v>
      </c>
      <c r="E1903" s="11">
        <v>45747</v>
      </c>
      <c r="F1903" s="12" t="s">
        <v>1785</v>
      </c>
    </row>
    <row r="1904" spans="1:6" x14ac:dyDescent="0.3">
      <c r="A1904" s="4"/>
    </row>
    <row r="1905" spans="1:6" ht="15.6" x14ac:dyDescent="0.3">
      <c r="A1905" s="18" t="s">
        <v>1642</v>
      </c>
      <c r="B1905" s="19"/>
      <c r="C1905" s="19"/>
      <c r="D1905" s="19"/>
      <c r="E1905" s="19"/>
      <c r="F1905" s="19"/>
    </row>
    <row r="1906" spans="1:6" ht="28.8" x14ac:dyDescent="0.3">
      <c r="A1906" s="10" t="s">
        <v>11</v>
      </c>
      <c r="B1906" s="11">
        <v>45729</v>
      </c>
      <c r="C1906" s="12" t="s">
        <v>12</v>
      </c>
      <c r="D1906" s="12" t="s">
        <v>21</v>
      </c>
      <c r="E1906" s="11">
        <v>45747</v>
      </c>
      <c r="F1906" s="12" t="s">
        <v>1874</v>
      </c>
    </row>
    <row r="1907" spans="1:6" ht="28.8" x14ac:dyDescent="0.3">
      <c r="B1907" s="11">
        <v>45747</v>
      </c>
      <c r="C1907" s="12" t="s">
        <v>22</v>
      </c>
      <c r="D1907" s="12" t="s">
        <v>4</v>
      </c>
      <c r="E1907" s="4" t="s">
        <v>1827</v>
      </c>
      <c r="F1907" s="12" t="s">
        <v>1827</v>
      </c>
    </row>
    <row r="1908" spans="1:6" x14ac:dyDescent="0.3">
      <c r="A1908" s="4"/>
    </row>
    <row r="1909" spans="1:6" ht="15.6" x14ac:dyDescent="0.3">
      <c r="A1909" s="18" t="s">
        <v>1645</v>
      </c>
      <c r="B1909" s="19"/>
      <c r="C1909" s="19"/>
      <c r="D1909" s="19"/>
      <c r="E1909" s="19"/>
      <c r="F1909" s="19"/>
    </row>
    <row r="1910" spans="1:6" ht="28.8" x14ac:dyDescent="0.3">
      <c r="A1910" s="10" t="s">
        <v>10</v>
      </c>
      <c r="B1910" s="11">
        <v>45729</v>
      </c>
      <c r="C1910" s="12" t="s">
        <v>12</v>
      </c>
      <c r="D1910" s="12" t="s">
        <v>21</v>
      </c>
      <c r="E1910" s="11">
        <v>45747</v>
      </c>
      <c r="F1910" s="12" t="s">
        <v>1875</v>
      </c>
    </row>
    <row r="1911" spans="1:6" ht="28.8" x14ac:dyDescent="0.3">
      <c r="B1911" s="11">
        <v>45747</v>
      </c>
      <c r="C1911" s="12" t="s">
        <v>22</v>
      </c>
      <c r="D1911" s="12" t="s">
        <v>4</v>
      </c>
      <c r="E1911" s="4" t="s">
        <v>1827</v>
      </c>
      <c r="F1911" s="12" t="s">
        <v>1827</v>
      </c>
    </row>
    <row r="1912" spans="1:6" x14ac:dyDescent="0.3">
      <c r="A1912" s="4"/>
    </row>
    <row r="1913" spans="1:6" ht="15.6" x14ac:dyDescent="0.3">
      <c r="A1913" s="18" t="s">
        <v>1648</v>
      </c>
      <c r="B1913" s="19"/>
      <c r="C1913" s="19"/>
      <c r="D1913" s="19"/>
      <c r="E1913" s="19"/>
      <c r="F1913" s="19"/>
    </row>
    <row r="1914" spans="1:6" x14ac:dyDescent="0.3">
      <c r="A1914" s="10" t="s">
        <v>10</v>
      </c>
      <c r="B1914" s="11">
        <v>45729</v>
      </c>
      <c r="C1914" s="12" t="s">
        <v>12</v>
      </c>
      <c r="D1914" s="12" t="s">
        <v>24</v>
      </c>
      <c r="E1914" s="11">
        <v>45747</v>
      </c>
      <c r="F1914" s="12" t="s">
        <v>1785</v>
      </c>
    </row>
    <row r="1915" spans="1:6" x14ac:dyDescent="0.3">
      <c r="A1915" s="4"/>
    </row>
    <row r="1916" spans="1:6" ht="15.6" x14ac:dyDescent="0.3">
      <c r="A1916" s="18" t="s">
        <v>1650</v>
      </c>
      <c r="B1916" s="19"/>
      <c r="C1916" s="19"/>
      <c r="D1916" s="19"/>
      <c r="E1916" s="19"/>
      <c r="F1916" s="19"/>
    </row>
    <row r="1917" spans="1:6" ht="28.8" x14ac:dyDescent="0.3">
      <c r="A1917" s="10" t="s">
        <v>11</v>
      </c>
      <c r="B1917" s="11">
        <v>45729</v>
      </c>
      <c r="C1917" s="12" t="s">
        <v>12</v>
      </c>
      <c r="D1917" s="12" t="s">
        <v>21</v>
      </c>
      <c r="E1917" s="11">
        <v>45747</v>
      </c>
      <c r="F1917" s="12" t="s">
        <v>1876</v>
      </c>
    </row>
    <row r="1918" spans="1:6" ht="28.8" x14ac:dyDescent="0.3">
      <c r="B1918" s="11">
        <v>45747</v>
      </c>
      <c r="C1918" s="12" t="s">
        <v>22</v>
      </c>
      <c r="D1918" s="12" t="s">
        <v>4</v>
      </c>
      <c r="E1918" s="4" t="s">
        <v>1827</v>
      </c>
      <c r="F1918" s="12" t="s">
        <v>1827</v>
      </c>
    </row>
    <row r="1919" spans="1:6" x14ac:dyDescent="0.3">
      <c r="A1919" s="4"/>
    </row>
    <row r="1920" spans="1:6" ht="15.6" x14ac:dyDescent="0.3">
      <c r="A1920" s="18" t="s">
        <v>1653</v>
      </c>
      <c r="B1920" s="19"/>
      <c r="C1920" s="19"/>
      <c r="D1920" s="19"/>
      <c r="E1920" s="19"/>
      <c r="F1920" s="19"/>
    </row>
    <row r="1921" spans="1:6" x14ac:dyDescent="0.3">
      <c r="A1921" s="10" t="s">
        <v>11</v>
      </c>
      <c r="B1921" s="11">
        <v>45729</v>
      </c>
      <c r="C1921" s="12" t="s">
        <v>12</v>
      </c>
      <c r="D1921" s="12" t="s">
        <v>24</v>
      </c>
      <c r="E1921" s="11">
        <v>45747</v>
      </c>
      <c r="F1921" s="12" t="s">
        <v>1785</v>
      </c>
    </row>
    <row r="1922" spans="1:6" x14ac:dyDescent="0.3">
      <c r="A1922" s="4"/>
    </row>
    <row r="1923" spans="1:6" ht="15.6" x14ac:dyDescent="0.3">
      <c r="A1923" s="18" t="s">
        <v>1656</v>
      </c>
      <c r="B1923" s="19"/>
      <c r="C1923" s="19"/>
      <c r="D1923" s="19"/>
      <c r="E1923" s="19"/>
      <c r="F1923" s="19"/>
    </row>
    <row r="1924" spans="1:6" ht="43.2" x14ac:dyDescent="0.3">
      <c r="A1924" s="10" t="s">
        <v>11</v>
      </c>
      <c r="B1924" s="11">
        <v>45729</v>
      </c>
      <c r="C1924" s="12" t="s">
        <v>12</v>
      </c>
      <c r="D1924" s="12" t="s">
        <v>1027</v>
      </c>
      <c r="E1924" s="11">
        <v>45747</v>
      </c>
      <c r="F1924" s="12" t="s">
        <v>1851</v>
      </c>
    </row>
    <row r="1925" spans="1:6" ht="28.8" x14ac:dyDescent="0.3">
      <c r="B1925" s="11">
        <v>45747</v>
      </c>
      <c r="C1925" s="12" t="s">
        <v>22</v>
      </c>
      <c r="D1925" s="12" t="s">
        <v>4</v>
      </c>
      <c r="E1925" s="4" t="s">
        <v>1827</v>
      </c>
      <c r="F1925" s="12" t="s">
        <v>1827</v>
      </c>
    </row>
    <row r="1926" spans="1:6" x14ac:dyDescent="0.3">
      <c r="A1926" s="4"/>
    </row>
    <row r="1927" spans="1:6" ht="15.6" x14ac:dyDescent="0.3">
      <c r="A1927" s="18" t="s">
        <v>1659</v>
      </c>
      <c r="B1927" s="19"/>
      <c r="C1927" s="19"/>
      <c r="D1927" s="19"/>
      <c r="E1927" s="19"/>
      <c r="F1927" s="19"/>
    </row>
    <row r="1928" spans="1:6" ht="43.2" x14ac:dyDescent="0.3">
      <c r="A1928" s="10" t="s">
        <v>11</v>
      </c>
      <c r="B1928" s="11">
        <v>45729</v>
      </c>
      <c r="C1928" s="12" t="s">
        <v>12</v>
      </c>
      <c r="D1928" s="12" t="s">
        <v>1027</v>
      </c>
      <c r="E1928" s="11">
        <v>45747</v>
      </c>
      <c r="F1928" s="12" t="s">
        <v>1851</v>
      </c>
    </row>
    <row r="1929" spans="1:6" ht="28.8" x14ac:dyDescent="0.3">
      <c r="B1929" s="11">
        <v>45747</v>
      </c>
      <c r="C1929" s="12" t="s">
        <v>22</v>
      </c>
      <c r="D1929" s="12" t="s">
        <v>4</v>
      </c>
      <c r="E1929" s="4" t="s">
        <v>1827</v>
      </c>
      <c r="F1929" s="12" t="s">
        <v>1827</v>
      </c>
    </row>
    <row r="1930" spans="1:6" x14ac:dyDescent="0.3">
      <c r="A1930" s="4"/>
    </row>
    <row r="1931" spans="1:6" ht="15.6" x14ac:dyDescent="0.3">
      <c r="A1931" s="18" t="s">
        <v>1662</v>
      </c>
      <c r="B1931" s="19"/>
      <c r="C1931" s="19"/>
      <c r="D1931" s="19"/>
      <c r="E1931" s="19"/>
      <c r="F1931" s="19"/>
    </row>
    <row r="1932" spans="1:6" ht="43.2" x14ac:dyDescent="0.3">
      <c r="A1932" s="10" t="s">
        <v>11</v>
      </c>
      <c r="B1932" s="11">
        <v>45729</v>
      </c>
      <c r="C1932" s="12" t="s">
        <v>12</v>
      </c>
      <c r="D1932" s="12" t="s">
        <v>1027</v>
      </c>
      <c r="E1932" s="11">
        <v>45747</v>
      </c>
      <c r="F1932" s="12" t="s">
        <v>1851</v>
      </c>
    </row>
    <row r="1933" spans="1:6" ht="28.8" x14ac:dyDescent="0.3">
      <c r="B1933" s="11">
        <v>45747</v>
      </c>
      <c r="C1933" s="12" t="s">
        <v>22</v>
      </c>
      <c r="D1933" s="12" t="s">
        <v>4</v>
      </c>
      <c r="E1933" s="4" t="s">
        <v>1827</v>
      </c>
      <c r="F1933" s="12" t="s">
        <v>1827</v>
      </c>
    </row>
    <row r="1934" spans="1:6" x14ac:dyDescent="0.3">
      <c r="A1934" s="4"/>
    </row>
    <row r="1935" spans="1:6" ht="15.6" x14ac:dyDescent="0.3">
      <c r="A1935" s="18" t="s">
        <v>1665</v>
      </c>
      <c r="B1935" s="19"/>
      <c r="C1935" s="19"/>
      <c r="D1935" s="19"/>
      <c r="E1935" s="19"/>
      <c r="F1935" s="19"/>
    </row>
    <row r="1936" spans="1:6" ht="43.2" x14ac:dyDescent="0.3">
      <c r="A1936" s="10" t="s">
        <v>11</v>
      </c>
      <c r="B1936" s="11">
        <v>45729</v>
      </c>
      <c r="C1936" s="12" t="s">
        <v>12</v>
      </c>
      <c r="D1936" s="12" t="s">
        <v>1027</v>
      </c>
      <c r="E1936" s="11">
        <v>45747</v>
      </c>
      <c r="F1936" s="12" t="s">
        <v>1851</v>
      </c>
    </row>
    <row r="1937" spans="1:6" ht="28.8" x14ac:dyDescent="0.3">
      <c r="B1937" s="11">
        <v>45747</v>
      </c>
      <c r="C1937" s="12" t="s">
        <v>22</v>
      </c>
      <c r="D1937" s="12" t="s">
        <v>4</v>
      </c>
      <c r="E1937" s="4" t="s">
        <v>1827</v>
      </c>
      <c r="F1937" s="12" t="s">
        <v>1827</v>
      </c>
    </row>
    <row r="1938" spans="1:6" x14ac:dyDescent="0.3">
      <c r="A1938" s="4"/>
    </row>
    <row r="1939" spans="1:6" ht="15.6" x14ac:dyDescent="0.3">
      <c r="A1939" s="18" t="s">
        <v>1668</v>
      </c>
      <c r="B1939" s="19"/>
      <c r="C1939" s="19"/>
      <c r="D1939" s="19"/>
      <c r="E1939" s="19"/>
      <c r="F1939" s="19"/>
    </row>
    <row r="1940" spans="1:6" x14ac:dyDescent="0.3">
      <c r="A1940" s="10" t="s">
        <v>10</v>
      </c>
      <c r="B1940" s="11">
        <v>45729</v>
      </c>
      <c r="C1940" s="12" t="s">
        <v>12</v>
      </c>
      <c r="D1940" s="12" t="s">
        <v>24</v>
      </c>
      <c r="E1940" s="11">
        <v>45747</v>
      </c>
      <c r="F1940" s="12" t="s">
        <v>1785</v>
      </c>
    </row>
    <row r="1941" spans="1:6" x14ac:dyDescent="0.3">
      <c r="A1941" s="4"/>
    </row>
    <row r="1942" spans="1:6" ht="15.6" x14ac:dyDescent="0.3">
      <c r="A1942" s="18" t="s">
        <v>1671</v>
      </c>
      <c r="B1942" s="19"/>
      <c r="C1942" s="19"/>
      <c r="D1942" s="19"/>
      <c r="E1942" s="19"/>
      <c r="F1942" s="19"/>
    </row>
    <row r="1943" spans="1:6" ht="28.8" x14ac:dyDescent="0.3">
      <c r="A1943" s="10" t="s">
        <v>11</v>
      </c>
      <c r="B1943" s="11">
        <v>45729</v>
      </c>
      <c r="C1943" s="12" t="s">
        <v>12</v>
      </c>
      <c r="D1943" s="12" t="s">
        <v>21</v>
      </c>
      <c r="E1943" s="11">
        <v>45747</v>
      </c>
      <c r="F1943" s="12" t="s">
        <v>1865</v>
      </c>
    </row>
    <row r="1944" spans="1:6" ht="28.8" x14ac:dyDescent="0.3">
      <c r="B1944" s="11">
        <v>45747</v>
      </c>
      <c r="C1944" s="12" t="s">
        <v>22</v>
      </c>
      <c r="D1944" s="12" t="s">
        <v>4</v>
      </c>
      <c r="E1944" s="4" t="s">
        <v>1827</v>
      </c>
      <c r="F1944" s="12" t="s">
        <v>1827</v>
      </c>
    </row>
    <row r="1945" spans="1:6" x14ac:dyDescent="0.3">
      <c r="A1945" s="4"/>
    </row>
    <row r="1946" spans="1:6" ht="15.6" x14ac:dyDescent="0.3">
      <c r="A1946" s="18" t="s">
        <v>1674</v>
      </c>
      <c r="B1946" s="19"/>
      <c r="C1946" s="19"/>
      <c r="D1946" s="19"/>
      <c r="E1946" s="19"/>
      <c r="F1946" s="19"/>
    </row>
    <row r="1947" spans="1:6" ht="28.8" x14ac:dyDescent="0.3">
      <c r="A1947" s="10" t="s">
        <v>11</v>
      </c>
      <c r="B1947" s="11">
        <v>45729</v>
      </c>
      <c r="C1947" s="12" t="s">
        <v>12</v>
      </c>
      <c r="D1947" s="12" t="s">
        <v>21</v>
      </c>
      <c r="E1947" s="11">
        <v>45747</v>
      </c>
      <c r="F1947" s="12" t="s">
        <v>1864</v>
      </c>
    </row>
    <row r="1948" spans="1:6" ht="28.8" x14ac:dyDescent="0.3">
      <c r="B1948" s="11">
        <v>45747</v>
      </c>
      <c r="C1948" s="12" t="s">
        <v>22</v>
      </c>
      <c r="D1948" s="12" t="s">
        <v>4</v>
      </c>
      <c r="E1948" s="4" t="s">
        <v>1827</v>
      </c>
      <c r="F1948" s="12" t="s">
        <v>1827</v>
      </c>
    </row>
    <row r="1949" spans="1:6" x14ac:dyDescent="0.3">
      <c r="A1949" s="4"/>
    </row>
    <row r="1950" spans="1:6" ht="15.6" x14ac:dyDescent="0.3">
      <c r="A1950" s="18" t="s">
        <v>1677</v>
      </c>
      <c r="B1950" s="19"/>
      <c r="C1950" s="19"/>
      <c r="D1950" s="19"/>
      <c r="E1950" s="19"/>
      <c r="F1950" s="19"/>
    </row>
    <row r="1951" spans="1:6" ht="28.8" x14ac:dyDescent="0.3">
      <c r="A1951" s="10" t="s">
        <v>11</v>
      </c>
      <c r="B1951" s="11">
        <v>45729</v>
      </c>
      <c r="C1951" s="12" t="s">
        <v>12</v>
      </c>
      <c r="D1951" s="12" t="s">
        <v>21</v>
      </c>
      <c r="E1951" s="11">
        <v>45747</v>
      </c>
      <c r="F1951" s="12" t="s">
        <v>1864</v>
      </c>
    </row>
    <row r="1952" spans="1:6" ht="28.8" x14ac:dyDescent="0.3">
      <c r="B1952" s="11">
        <v>45747</v>
      </c>
      <c r="C1952" s="12" t="s">
        <v>22</v>
      </c>
      <c r="D1952" s="12" t="s">
        <v>4</v>
      </c>
      <c r="E1952" s="4" t="s">
        <v>1827</v>
      </c>
      <c r="F1952" s="12" t="s">
        <v>1827</v>
      </c>
    </row>
    <row r="1953" spans="1:6" x14ac:dyDescent="0.3">
      <c r="A1953" s="4"/>
    </row>
    <row r="1954" spans="1:6" ht="15.6" x14ac:dyDescent="0.3">
      <c r="A1954" s="18" t="s">
        <v>1680</v>
      </c>
      <c r="B1954" s="19"/>
      <c r="C1954" s="19"/>
      <c r="D1954" s="19"/>
      <c r="E1954" s="19"/>
      <c r="F1954" s="19"/>
    </row>
    <row r="1955" spans="1:6" ht="28.8" x14ac:dyDescent="0.3">
      <c r="A1955" s="10" t="s">
        <v>418</v>
      </c>
      <c r="B1955" s="11">
        <v>45729</v>
      </c>
      <c r="C1955" s="12" t="s">
        <v>12</v>
      </c>
      <c r="D1955" s="12" t="s">
        <v>21</v>
      </c>
      <c r="E1955" s="11">
        <v>45747</v>
      </c>
      <c r="F1955" s="12" t="s">
        <v>1864</v>
      </c>
    </row>
    <row r="1956" spans="1:6" ht="28.8" x14ac:dyDescent="0.3">
      <c r="B1956" s="11">
        <v>45747</v>
      </c>
      <c r="C1956" s="12" t="s">
        <v>22</v>
      </c>
      <c r="D1956" s="12" t="s">
        <v>4</v>
      </c>
      <c r="E1956" s="4" t="s">
        <v>1827</v>
      </c>
      <c r="F1956" s="12" t="s">
        <v>1827</v>
      </c>
    </row>
    <row r="1957" spans="1:6" x14ac:dyDescent="0.3">
      <c r="A1957" s="4"/>
    </row>
    <row r="1958" spans="1:6" ht="15.6" x14ac:dyDescent="0.3">
      <c r="A1958" s="18" t="s">
        <v>1683</v>
      </c>
      <c r="B1958" s="19"/>
      <c r="C1958" s="19"/>
      <c r="D1958" s="19"/>
      <c r="E1958" s="19"/>
      <c r="F1958" s="19"/>
    </row>
    <row r="1959" spans="1:6" ht="28.8" x14ac:dyDescent="0.3">
      <c r="A1959" s="10" t="s">
        <v>11</v>
      </c>
      <c r="B1959" s="11">
        <v>45729</v>
      </c>
      <c r="C1959" s="12" t="s">
        <v>12</v>
      </c>
      <c r="D1959" s="12" t="s">
        <v>21</v>
      </c>
      <c r="E1959" s="11">
        <v>45747</v>
      </c>
      <c r="F1959" s="12" t="s">
        <v>1865</v>
      </c>
    </row>
    <row r="1960" spans="1:6" ht="28.8" x14ac:dyDescent="0.3">
      <c r="B1960" s="11">
        <v>45747</v>
      </c>
      <c r="C1960" s="12" t="s">
        <v>22</v>
      </c>
      <c r="D1960" s="12" t="s">
        <v>4</v>
      </c>
      <c r="E1960" s="4" t="s">
        <v>1827</v>
      </c>
      <c r="F1960" s="12" t="s">
        <v>1827</v>
      </c>
    </row>
    <row r="1961" spans="1:6" x14ac:dyDescent="0.3">
      <c r="A1961" s="4"/>
    </row>
    <row r="1962" spans="1:6" ht="15.6" x14ac:dyDescent="0.3">
      <c r="A1962" s="18" t="s">
        <v>1686</v>
      </c>
      <c r="B1962" s="19"/>
      <c r="C1962" s="19"/>
      <c r="D1962" s="19"/>
      <c r="E1962" s="19"/>
      <c r="F1962" s="19"/>
    </row>
    <row r="1963" spans="1:6" ht="28.8" x14ac:dyDescent="0.3">
      <c r="A1963" s="10" t="s">
        <v>11</v>
      </c>
      <c r="B1963" s="11">
        <v>45729</v>
      </c>
      <c r="C1963" s="12" t="s">
        <v>12</v>
      </c>
      <c r="D1963" s="12" t="s">
        <v>21</v>
      </c>
      <c r="E1963" s="11">
        <v>45747</v>
      </c>
      <c r="F1963" s="12" t="s">
        <v>1864</v>
      </c>
    </row>
    <row r="1964" spans="1:6" ht="28.8" x14ac:dyDescent="0.3">
      <c r="B1964" s="11">
        <v>45747</v>
      </c>
      <c r="C1964" s="12" t="s">
        <v>22</v>
      </c>
      <c r="D1964" s="12" t="s">
        <v>4</v>
      </c>
      <c r="E1964" s="4" t="s">
        <v>1827</v>
      </c>
      <c r="F1964" s="12" t="s">
        <v>1827</v>
      </c>
    </row>
    <row r="1965" spans="1:6" x14ac:dyDescent="0.3">
      <c r="A1965" s="4"/>
    </row>
    <row r="1966" spans="1:6" ht="15.6" x14ac:dyDescent="0.3">
      <c r="A1966" s="18" t="s">
        <v>1689</v>
      </c>
      <c r="B1966" s="19"/>
      <c r="C1966" s="19"/>
      <c r="D1966" s="19"/>
      <c r="E1966" s="19"/>
      <c r="F1966" s="19"/>
    </row>
    <row r="1967" spans="1:6" ht="28.8" x14ac:dyDescent="0.3">
      <c r="A1967" s="10" t="s">
        <v>418</v>
      </c>
      <c r="B1967" s="11">
        <v>45729</v>
      </c>
      <c r="C1967" s="12" t="s">
        <v>12</v>
      </c>
      <c r="D1967" s="12" t="s">
        <v>21</v>
      </c>
      <c r="E1967" s="11">
        <v>45747</v>
      </c>
      <c r="F1967" s="12" t="s">
        <v>1865</v>
      </c>
    </row>
    <row r="1968" spans="1:6" ht="28.8" x14ac:dyDescent="0.3">
      <c r="B1968" s="11">
        <v>45747</v>
      </c>
      <c r="C1968" s="12" t="s">
        <v>22</v>
      </c>
      <c r="D1968" s="12" t="s">
        <v>4</v>
      </c>
      <c r="E1968" s="4" t="s">
        <v>1827</v>
      </c>
      <c r="F1968" s="12" t="s">
        <v>1827</v>
      </c>
    </row>
    <row r="1969" spans="1:6" x14ac:dyDescent="0.3">
      <c r="A1969" s="4"/>
    </row>
    <row r="1970" spans="1:6" ht="15.6" x14ac:dyDescent="0.3">
      <c r="A1970" s="18" t="s">
        <v>1692</v>
      </c>
      <c r="B1970" s="19"/>
      <c r="C1970" s="19"/>
      <c r="D1970" s="19"/>
      <c r="E1970" s="19"/>
      <c r="F1970" s="19"/>
    </row>
    <row r="1971" spans="1:6" ht="57.6" x14ac:dyDescent="0.3">
      <c r="A1971" s="10" t="s">
        <v>11</v>
      </c>
      <c r="B1971" s="11">
        <v>45729</v>
      </c>
      <c r="C1971" s="12" t="s">
        <v>12</v>
      </c>
      <c r="D1971" s="12" t="s">
        <v>1027</v>
      </c>
      <c r="E1971" s="11">
        <v>45747</v>
      </c>
      <c r="F1971" s="12" t="s">
        <v>1877</v>
      </c>
    </row>
    <row r="1972" spans="1:6" ht="28.8" x14ac:dyDescent="0.3">
      <c r="B1972" s="11">
        <v>45747</v>
      </c>
      <c r="C1972" s="12" t="s">
        <v>22</v>
      </c>
      <c r="D1972" s="12" t="s">
        <v>4</v>
      </c>
      <c r="E1972" s="4" t="s">
        <v>1827</v>
      </c>
      <c r="F1972" s="12" t="s">
        <v>1827</v>
      </c>
    </row>
    <row r="1973" spans="1:6" x14ac:dyDescent="0.3">
      <c r="A1973" s="4"/>
    </row>
    <row r="1974" spans="1:6" ht="15.6" x14ac:dyDescent="0.3">
      <c r="A1974" s="18" t="s">
        <v>1695</v>
      </c>
      <c r="B1974" s="19"/>
      <c r="C1974" s="19"/>
      <c r="D1974" s="19"/>
      <c r="E1974" s="19"/>
      <c r="F1974" s="19"/>
    </row>
    <row r="1975" spans="1:6" ht="28.8" x14ac:dyDescent="0.3">
      <c r="A1975" s="10" t="s">
        <v>835</v>
      </c>
      <c r="B1975" s="11">
        <v>45729</v>
      </c>
      <c r="C1975" s="12" t="s">
        <v>12</v>
      </c>
      <c r="D1975" s="12" t="s">
        <v>21</v>
      </c>
      <c r="E1975" s="11">
        <v>45747</v>
      </c>
      <c r="F1975" s="12" t="s">
        <v>1864</v>
      </c>
    </row>
    <row r="1976" spans="1:6" ht="28.8" x14ac:dyDescent="0.3">
      <c r="B1976" s="11">
        <v>45747</v>
      </c>
      <c r="C1976" s="12" t="s">
        <v>22</v>
      </c>
      <c r="D1976" s="12" t="s">
        <v>4</v>
      </c>
      <c r="E1976" s="4" t="s">
        <v>1827</v>
      </c>
      <c r="F1976" s="12" t="s">
        <v>1827</v>
      </c>
    </row>
    <row r="1977" spans="1:6" x14ac:dyDescent="0.3">
      <c r="A1977" s="4"/>
    </row>
    <row r="1978" spans="1:6" ht="15.6" x14ac:dyDescent="0.3">
      <c r="A1978" s="18" t="s">
        <v>1698</v>
      </c>
      <c r="B1978" s="19"/>
      <c r="C1978" s="19"/>
      <c r="D1978" s="19"/>
      <c r="E1978" s="19"/>
      <c r="F1978" s="19"/>
    </row>
    <row r="1979" spans="1:6" ht="28.8" x14ac:dyDescent="0.3">
      <c r="A1979" s="10" t="s">
        <v>11</v>
      </c>
      <c r="B1979" s="11">
        <v>45729</v>
      </c>
      <c r="C1979" s="12" t="s">
        <v>12</v>
      </c>
      <c r="D1979" s="12" t="s">
        <v>21</v>
      </c>
      <c r="E1979" s="11">
        <v>45747</v>
      </c>
      <c r="F1979" s="12" t="s">
        <v>1864</v>
      </c>
    </row>
    <row r="1980" spans="1:6" ht="28.8" x14ac:dyDescent="0.3">
      <c r="B1980" s="11">
        <v>45747</v>
      </c>
      <c r="C1980" s="12" t="s">
        <v>22</v>
      </c>
      <c r="D1980" s="12" t="s">
        <v>4</v>
      </c>
      <c r="E1980" s="4" t="s">
        <v>1827</v>
      </c>
      <c r="F1980" s="12" t="s">
        <v>1827</v>
      </c>
    </row>
    <row r="1981" spans="1:6" x14ac:dyDescent="0.3">
      <c r="A1981" s="4"/>
    </row>
    <row r="1982" spans="1:6" ht="15.6" x14ac:dyDescent="0.3">
      <c r="A1982" s="18" t="s">
        <v>1701</v>
      </c>
      <c r="B1982" s="19"/>
      <c r="C1982" s="19"/>
      <c r="D1982" s="19"/>
      <c r="E1982" s="19"/>
      <c r="F1982" s="19"/>
    </row>
    <row r="1983" spans="1:6" ht="28.8" x14ac:dyDescent="0.3">
      <c r="A1983" s="10" t="s">
        <v>11</v>
      </c>
      <c r="B1983" s="11">
        <v>45729</v>
      </c>
      <c r="C1983" s="12" t="s">
        <v>12</v>
      </c>
      <c r="D1983" s="12" t="s">
        <v>21</v>
      </c>
      <c r="E1983" s="11">
        <v>45747</v>
      </c>
      <c r="F1983" s="12" t="s">
        <v>1878</v>
      </c>
    </row>
    <row r="1984" spans="1:6" ht="28.8" x14ac:dyDescent="0.3">
      <c r="B1984" s="11">
        <v>45747</v>
      </c>
      <c r="C1984" s="12" t="s">
        <v>22</v>
      </c>
      <c r="D1984" s="12" t="s">
        <v>4</v>
      </c>
      <c r="E1984" s="4" t="s">
        <v>1827</v>
      </c>
      <c r="F1984" s="12" t="s">
        <v>1827</v>
      </c>
    </row>
    <row r="1985" spans="1:6" x14ac:dyDescent="0.3">
      <c r="A1985" s="4"/>
    </row>
    <row r="1986" spans="1:6" ht="15.6" x14ac:dyDescent="0.3">
      <c r="A1986" s="18" t="s">
        <v>1704</v>
      </c>
      <c r="B1986" s="19"/>
      <c r="C1986" s="19"/>
      <c r="D1986" s="19"/>
      <c r="E1986" s="19"/>
      <c r="F1986" s="19"/>
    </row>
    <row r="1987" spans="1:6" ht="28.8" x14ac:dyDescent="0.3">
      <c r="A1987" s="10" t="s">
        <v>418</v>
      </c>
      <c r="B1987" s="11">
        <v>45729</v>
      </c>
      <c r="C1987" s="12" t="s">
        <v>12</v>
      </c>
      <c r="D1987" s="12" t="s">
        <v>21</v>
      </c>
      <c r="E1987" s="11">
        <v>45747</v>
      </c>
      <c r="F1987" s="12" t="s">
        <v>1865</v>
      </c>
    </row>
    <row r="1988" spans="1:6" ht="28.8" x14ac:dyDescent="0.3">
      <c r="B1988" s="11">
        <v>45747</v>
      </c>
      <c r="C1988" s="12" t="s">
        <v>22</v>
      </c>
      <c r="D1988" s="12" t="s">
        <v>4</v>
      </c>
      <c r="E1988" s="4" t="s">
        <v>1827</v>
      </c>
      <c r="F1988" s="12" t="s">
        <v>1827</v>
      </c>
    </row>
    <row r="1989" spans="1:6" x14ac:dyDescent="0.3">
      <c r="A1989" s="4"/>
    </row>
    <row r="1990" spans="1:6" ht="15.6" x14ac:dyDescent="0.3">
      <c r="A1990" s="18" t="s">
        <v>1707</v>
      </c>
      <c r="B1990" s="19"/>
      <c r="C1990" s="19"/>
      <c r="D1990" s="19"/>
      <c r="E1990" s="19"/>
      <c r="F1990" s="19"/>
    </row>
    <row r="1991" spans="1:6" ht="28.8" x14ac:dyDescent="0.3">
      <c r="A1991" s="10" t="s">
        <v>11</v>
      </c>
      <c r="B1991" s="11">
        <v>45729</v>
      </c>
      <c r="C1991" s="12" t="s">
        <v>12</v>
      </c>
      <c r="D1991" s="12" t="s">
        <v>21</v>
      </c>
      <c r="E1991" s="11">
        <v>45747</v>
      </c>
      <c r="F1991" s="12" t="s">
        <v>1878</v>
      </c>
    </row>
    <row r="1992" spans="1:6" ht="28.8" x14ac:dyDescent="0.3">
      <c r="B1992" s="11">
        <v>45747</v>
      </c>
      <c r="C1992" s="12" t="s">
        <v>22</v>
      </c>
      <c r="D1992" s="12" t="s">
        <v>4</v>
      </c>
      <c r="E1992" s="4" t="s">
        <v>1827</v>
      </c>
      <c r="F1992" s="12" t="s">
        <v>1827</v>
      </c>
    </row>
    <row r="1993" spans="1:6" x14ac:dyDescent="0.3">
      <c r="A1993" s="4"/>
    </row>
    <row r="1994" spans="1:6" ht="15.6" x14ac:dyDescent="0.3">
      <c r="A1994" s="18" t="s">
        <v>1710</v>
      </c>
      <c r="B1994" s="19"/>
      <c r="C1994" s="19"/>
      <c r="D1994" s="19"/>
      <c r="E1994" s="19"/>
      <c r="F1994" s="19"/>
    </row>
    <row r="1995" spans="1:6" ht="28.8" x14ac:dyDescent="0.3">
      <c r="A1995" s="10" t="s">
        <v>835</v>
      </c>
      <c r="B1995" s="11">
        <v>45729</v>
      </c>
      <c r="C1995" s="12" t="s">
        <v>12</v>
      </c>
      <c r="D1995" s="12" t="s">
        <v>21</v>
      </c>
      <c r="E1995" s="11">
        <v>45747</v>
      </c>
      <c r="F1995" s="12" t="s">
        <v>1879</v>
      </c>
    </row>
    <row r="1996" spans="1:6" ht="28.8" x14ac:dyDescent="0.3">
      <c r="B1996" s="11">
        <v>45747</v>
      </c>
      <c r="C1996" s="12" t="s">
        <v>22</v>
      </c>
      <c r="D1996" s="12" t="s">
        <v>4</v>
      </c>
      <c r="E1996" s="4" t="s">
        <v>1827</v>
      </c>
      <c r="F1996" s="12" t="s">
        <v>1827</v>
      </c>
    </row>
    <row r="1997" spans="1:6" x14ac:dyDescent="0.3">
      <c r="A1997" s="4"/>
    </row>
    <row r="1998" spans="1:6" ht="15.6" x14ac:dyDescent="0.3">
      <c r="A1998" s="18" t="s">
        <v>1713</v>
      </c>
      <c r="B1998" s="19"/>
      <c r="C1998" s="19"/>
      <c r="D1998" s="19"/>
      <c r="E1998" s="19"/>
      <c r="F1998" s="19"/>
    </row>
    <row r="1999" spans="1:6" ht="43.2" x14ac:dyDescent="0.3">
      <c r="A1999" s="10" t="s">
        <v>11</v>
      </c>
      <c r="B1999" s="11">
        <v>45729</v>
      </c>
      <c r="C1999" s="12" t="s">
        <v>12</v>
      </c>
      <c r="D1999" s="12" t="s">
        <v>1027</v>
      </c>
      <c r="E1999" s="11">
        <v>45747</v>
      </c>
      <c r="F1999" s="12" t="s">
        <v>1851</v>
      </c>
    </row>
    <row r="2000" spans="1:6" ht="28.8" x14ac:dyDescent="0.3">
      <c r="B2000" s="11">
        <v>45747</v>
      </c>
      <c r="C2000" s="12" t="s">
        <v>22</v>
      </c>
      <c r="D2000" s="12" t="s">
        <v>4</v>
      </c>
      <c r="E2000" s="4" t="s">
        <v>1827</v>
      </c>
      <c r="F2000" s="12" t="s">
        <v>1827</v>
      </c>
    </row>
    <row r="2001" spans="1:6" x14ac:dyDescent="0.3">
      <c r="A2001" s="4"/>
    </row>
    <row r="2002" spans="1:6" ht="15.6" x14ac:dyDescent="0.3">
      <c r="A2002" s="18" t="s">
        <v>1716</v>
      </c>
      <c r="B2002" s="19"/>
      <c r="C2002" s="19"/>
      <c r="D2002" s="19"/>
      <c r="E2002" s="19"/>
      <c r="F2002" s="19"/>
    </row>
    <row r="2003" spans="1:6" ht="43.2" x14ac:dyDescent="0.3">
      <c r="A2003" s="10" t="s">
        <v>10</v>
      </c>
      <c r="B2003" s="11">
        <v>45729</v>
      </c>
      <c r="C2003" s="12" t="s">
        <v>12</v>
      </c>
      <c r="D2003" s="12" t="s">
        <v>21</v>
      </c>
      <c r="E2003" s="11">
        <v>45747</v>
      </c>
      <c r="F2003" s="12" t="s">
        <v>1880</v>
      </c>
    </row>
    <row r="2004" spans="1:6" ht="28.8" x14ac:dyDescent="0.3">
      <c r="B2004" s="11">
        <v>45747</v>
      </c>
      <c r="C2004" s="12" t="s">
        <v>22</v>
      </c>
      <c r="D2004" s="12" t="s">
        <v>4</v>
      </c>
      <c r="E2004" s="4" t="s">
        <v>1827</v>
      </c>
      <c r="F2004" s="12" t="s">
        <v>1827</v>
      </c>
    </row>
    <row r="2005" spans="1:6" x14ac:dyDescent="0.3">
      <c r="A2005" s="4"/>
    </row>
    <row r="2006" spans="1:6" ht="15.6" x14ac:dyDescent="0.3">
      <c r="A2006" s="18" t="s">
        <v>1719</v>
      </c>
      <c r="B2006" s="19"/>
      <c r="C2006" s="19"/>
      <c r="D2006" s="19"/>
      <c r="E2006" s="19"/>
      <c r="F2006" s="19"/>
    </row>
    <row r="2007" spans="1:6" ht="43.2" x14ac:dyDescent="0.3">
      <c r="A2007" s="10" t="s">
        <v>11</v>
      </c>
      <c r="B2007" s="11">
        <v>45729</v>
      </c>
      <c r="C2007" s="12" t="s">
        <v>12</v>
      </c>
      <c r="D2007" s="12" t="s">
        <v>1027</v>
      </c>
      <c r="E2007" s="11">
        <v>45747</v>
      </c>
      <c r="F2007" s="12" t="s">
        <v>1851</v>
      </c>
    </row>
    <row r="2008" spans="1:6" ht="28.8" x14ac:dyDescent="0.3">
      <c r="B2008" s="11">
        <v>45747</v>
      </c>
      <c r="C2008" s="12" t="s">
        <v>22</v>
      </c>
      <c r="D2008" s="12" t="s">
        <v>4</v>
      </c>
      <c r="E2008" s="4" t="s">
        <v>1827</v>
      </c>
      <c r="F2008" s="12" t="s">
        <v>1827</v>
      </c>
    </row>
    <row r="2009" spans="1:6" x14ac:dyDescent="0.3">
      <c r="A2009" s="4"/>
    </row>
    <row r="2010" spans="1:6" ht="15.6" x14ac:dyDescent="0.3">
      <c r="A2010" s="18" t="s">
        <v>1722</v>
      </c>
      <c r="B2010" s="19"/>
      <c r="C2010" s="19"/>
      <c r="D2010" s="19"/>
      <c r="E2010" s="19"/>
      <c r="F2010" s="19"/>
    </row>
    <row r="2011" spans="1:6" ht="43.2" x14ac:dyDescent="0.3">
      <c r="A2011" s="10" t="s">
        <v>835</v>
      </c>
      <c r="B2011" s="11">
        <v>45729</v>
      </c>
      <c r="C2011" s="12" t="s">
        <v>12</v>
      </c>
      <c r="D2011" s="12" t="s">
        <v>21</v>
      </c>
      <c r="E2011" s="11">
        <v>45747</v>
      </c>
      <c r="F2011" s="12" t="s">
        <v>1881</v>
      </c>
    </row>
    <row r="2012" spans="1:6" ht="28.8" x14ac:dyDescent="0.3">
      <c r="B2012" s="11">
        <v>45747</v>
      </c>
      <c r="C2012" s="12" t="s">
        <v>22</v>
      </c>
      <c r="D2012" s="12" t="s">
        <v>4</v>
      </c>
      <c r="E2012" s="4" t="s">
        <v>1827</v>
      </c>
      <c r="F2012" s="12" t="s">
        <v>1827</v>
      </c>
    </row>
    <row r="2013" spans="1:6" x14ac:dyDescent="0.3">
      <c r="A2013" s="4"/>
    </row>
    <row r="2014" spans="1:6" ht="15.6" x14ac:dyDescent="0.3">
      <c r="A2014" s="18" t="s">
        <v>1725</v>
      </c>
      <c r="B2014" s="19"/>
      <c r="C2014" s="19"/>
      <c r="D2014" s="19"/>
      <c r="E2014" s="19"/>
      <c r="F2014" s="19"/>
    </row>
    <row r="2015" spans="1:6" ht="28.8" x14ac:dyDescent="0.3">
      <c r="A2015" s="10" t="s">
        <v>10</v>
      </c>
      <c r="B2015" s="11">
        <v>45729</v>
      </c>
      <c r="C2015" s="12" t="s">
        <v>12</v>
      </c>
      <c r="D2015" s="12" t="s">
        <v>21</v>
      </c>
      <c r="E2015" s="11">
        <v>45747</v>
      </c>
      <c r="F2015" s="12" t="s">
        <v>1865</v>
      </c>
    </row>
    <row r="2016" spans="1:6" ht="28.8" x14ac:dyDescent="0.3">
      <c r="B2016" s="11">
        <v>45747</v>
      </c>
      <c r="C2016" s="12" t="s">
        <v>22</v>
      </c>
      <c r="D2016" s="12" t="s">
        <v>4</v>
      </c>
      <c r="E2016" s="4" t="s">
        <v>1827</v>
      </c>
      <c r="F2016" s="12" t="s">
        <v>1827</v>
      </c>
    </row>
    <row r="2017" spans="1:6" x14ac:dyDescent="0.3">
      <c r="A2017" s="4"/>
    </row>
    <row r="2018" spans="1:6" ht="15.6" x14ac:dyDescent="0.3">
      <c r="A2018" s="18" t="s">
        <v>1728</v>
      </c>
      <c r="B2018" s="19"/>
      <c r="C2018" s="19"/>
      <c r="D2018" s="19"/>
      <c r="E2018" s="19"/>
      <c r="F2018" s="19"/>
    </row>
    <row r="2019" spans="1:6" ht="28.8" x14ac:dyDescent="0.3">
      <c r="A2019" s="10" t="s">
        <v>11</v>
      </c>
      <c r="B2019" s="11">
        <v>45729</v>
      </c>
      <c r="C2019" s="12" t="s">
        <v>12</v>
      </c>
      <c r="D2019" s="12" t="s">
        <v>21</v>
      </c>
      <c r="E2019" s="11">
        <v>45747</v>
      </c>
      <c r="F2019" s="12" t="s">
        <v>1882</v>
      </c>
    </row>
    <row r="2020" spans="1:6" ht="28.8" x14ac:dyDescent="0.3">
      <c r="B2020" s="11">
        <v>45747</v>
      </c>
      <c r="C2020" s="12" t="s">
        <v>22</v>
      </c>
      <c r="D2020" s="12" t="s">
        <v>4</v>
      </c>
      <c r="E2020" s="4" t="s">
        <v>1827</v>
      </c>
      <c r="F2020" s="12" t="s">
        <v>1827</v>
      </c>
    </row>
    <row r="2021" spans="1:6" x14ac:dyDescent="0.3">
      <c r="A2021" s="4"/>
    </row>
    <row r="2022" spans="1:6" ht="15.6" x14ac:dyDescent="0.3">
      <c r="A2022" s="18" t="s">
        <v>1731</v>
      </c>
      <c r="B2022" s="19"/>
      <c r="C2022" s="19"/>
      <c r="D2022" s="19"/>
      <c r="E2022" s="19"/>
      <c r="F2022" s="19"/>
    </row>
    <row r="2023" spans="1:6" x14ac:dyDescent="0.3">
      <c r="A2023" s="10" t="s">
        <v>10</v>
      </c>
      <c r="B2023" s="11">
        <v>45729</v>
      </c>
      <c r="C2023" s="12" t="s">
        <v>12</v>
      </c>
      <c r="D2023" s="12" t="s">
        <v>24</v>
      </c>
      <c r="E2023" s="11">
        <v>45747</v>
      </c>
      <c r="F2023" s="12" t="s">
        <v>1785</v>
      </c>
    </row>
    <row r="2024" spans="1:6" x14ac:dyDescent="0.3">
      <c r="A2024" s="4"/>
    </row>
    <row r="2025" spans="1:6" ht="15.6" x14ac:dyDescent="0.3">
      <c r="A2025" s="18" t="s">
        <v>1734</v>
      </c>
      <c r="B2025" s="19"/>
      <c r="C2025" s="19"/>
      <c r="D2025" s="19"/>
      <c r="E2025" s="19"/>
      <c r="F2025" s="19"/>
    </row>
    <row r="2026" spans="1:6" ht="28.8" x14ac:dyDescent="0.3">
      <c r="A2026" s="10" t="s">
        <v>11</v>
      </c>
      <c r="B2026" s="11">
        <v>45729</v>
      </c>
      <c r="C2026" s="12" t="s">
        <v>12</v>
      </c>
      <c r="D2026" s="12" t="s">
        <v>21</v>
      </c>
      <c r="E2026" s="11">
        <v>45747</v>
      </c>
      <c r="F2026" s="12" t="s">
        <v>1883</v>
      </c>
    </row>
    <row r="2027" spans="1:6" ht="28.8" x14ac:dyDescent="0.3">
      <c r="B2027" s="11">
        <v>45747</v>
      </c>
      <c r="C2027" s="12" t="s">
        <v>22</v>
      </c>
      <c r="D2027" s="12" t="s">
        <v>4</v>
      </c>
      <c r="E2027" s="4" t="s">
        <v>1827</v>
      </c>
      <c r="F2027" s="12" t="s">
        <v>1827</v>
      </c>
    </row>
    <row r="2028" spans="1:6" x14ac:dyDescent="0.3">
      <c r="A2028" s="4"/>
    </row>
    <row r="2029" spans="1:6" ht="15.6" x14ac:dyDescent="0.3">
      <c r="A2029" s="18" t="s">
        <v>1737</v>
      </c>
      <c r="B2029" s="19"/>
      <c r="C2029" s="19"/>
      <c r="D2029" s="19"/>
      <c r="E2029" s="19"/>
      <c r="F2029" s="19"/>
    </row>
    <row r="2030" spans="1:6" x14ac:dyDescent="0.3">
      <c r="A2030" s="10" t="s">
        <v>10</v>
      </c>
      <c r="B2030" s="11">
        <v>45729</v>
      </c>
      <c r="C2030" s="12" t="s">
        <v>12</v>
      </c>
      <c r="D2030" s="12" t="s">
        <v>24</v>
      </c>
      <c r="E2030" s="11">
        <v>45747</v>
      </c>
      <c r="F2030" s="12" t="s">
        <v>1785</v>
      </c>
    </row>
    <row r="2031" spans="1:6" x14ac:dyDescent="0.3">
      <c r="A2031" s="4"/>
    </row>
    <row r="2032" spans="1:6" ht="15.6" x14ac:dyDescent="0.3">
      <c r="A2032" s="18" t="s">
        <v>1740</v>
      </c>
      <c r="B2032" s="19"/>
      <c r="C2032" s="19"/>
      <c r="D2032" s="19"/>
      <c r="E2032" s="19"/>
      <c r="F2032" s="19"/>
    </row>
    <row r="2033" spans="1:6" ht="28.8" x14ac:dyDescent="0.3">
      <c r="A2033" s="10" t="s">
        <v>10</v>
      </c>
      <c r="B2033" s="11">
        <v>45729</v>
      </c>
      <c r="C2033" s="12" t="s">
        <v>12</v>
      </c>
      <c r="D2033" s="12" t="s">
        <v>21</v>
      </c>
      <c r="E2033" s="11">
        <v>45747</v>
      </c>
      <c r="F2033" s="12" t="s">
        <v>1884</v>
      </c>
    </row>
    <row r="2034" spans="1:6" ht="28.8" x14ac:dyDescent="0.3">
      <c r="B2034" s="11">
        <v>45747</v>
      </c>
      <c r="C2034" s="12" t="s">
        <v>22</v>
      </c>
      <c r="D2034" s="12" t="s">
        <v>4</v>
      </c>
      <c r="E2034" s="4" t="s">
        <v>1827</v>
      </c>
      <c r="F2034" s="12" t="s">
        <v>1827</v>
      </c>
    </row>
    <row r="2035" spans="1:6" x14ac:dyDescent="0.3">
      <c r="A2035" s="4"/>
    </row>
    <row r="2036" spans="1:6" ht="15.6" x14ac:dyDescent="0.3">
      <c r="A2036" s="18" t="s">
        <v>1743</v>
      </c>
      <c r="B2036" s="19"/>
      <c r="C2036" s="19"/>
      <c r="D2036" s="19"/>
      <c r="E2036" s="19"/>
      <c r="F2036" s="19"/>
    </row>
    <row r="2037" spans="1:6" ht="43.2" x14ac:dyDescent="0.3">
      <c r="A2037" s="10" t="s">
        <v>10</v>
      </c>
      <c r="B2037" s="11">
        <v>45729</v>
      </c>
      <c r="C2037" s="12" t="s">
        <v>12</v>
      </c>
      <c r="D2037" s="12" t="s">
        <v>1027</v>
      </c>
      <c r="E2037" s="11">
        <v>45747</v>
      </c>
      <c r="F2037" s="12" t="s">
        <v>1851</v>
      </c>
    </row>
    <row r="2038" spans="1:6" ht="28.8" x14ac:dyDescent="0.3">
      <c r="B2038" s="11">
        <v>45747</v>
      </c>
      <c r="C2038" s="12" t="s">
        <v>22</v>
      </c>
      <c r="D2038" s="12" t="s">
        <v>4</v>
      </c>
      <c r="E2038" s="4" t="s">
        <v>1827</v>
      </c>
      <c r="F2038" s="12" t="s">
        <v>1827</v>
      </c>
    </row>
    <row r="2039" spans="1:6" x14ac:dyDescent="0.3">
      <c r="A2039" s="4"/>
    </row>
    <row r="2040" spans="1:6" ht="15.6" x14ac:dyDescent="0.3">
      <c r="A2040" s="18" t="s">
        <v>1745</v>
      </c>
      <c r="B2040" s="19"/>
      <c r="C2040" s="19"/>
      <c r="D2040" s="19"/>
      <c r="E2040" s="19"/>
      <c r="F2040" s="19"/>
    </row>
    <row r="2041" spans="1:6" ht="43.2" x14ac:dyDescent="0.3">
      <c r="A2041" s="10" t="s">
        <v>10</v>
      </c>
      <c r="B2041" s="11">
        <v>45729</v>
      </c>
      <c r="C2041" s="12" t="s">
        <v>12</v>
      </c>
      <c r="D2041" s="12" t="s">
        <v>1027</v>
      </c>
      <c r="E2041" s="11">
        <v>45747</v>
      </c>
      <c r="F2041" s="12" t="s">
        <v>1851</v>
      </c>
    </row>
    <row r="2042" spans="1:6" ht="28.8" x14ac:dyDescent="0.3">
      <c r="B2042" s="11">
        <v>45747</v>
      </c>
      <c r="C2042" s="12" t="s">
        <v>22</v>
      </c>
      <c r="D2042" s="12" t="s">
        <v>4</v>
      </c>
      <c r="E2042" s="4" t="s">
        <v>1827</v>
      </c>
      <c r="F2042" s="12" t="s">
        <v>1827</v>
      </c>
    </row>
    <row r="2043" spans="1:6" x14ac:dyDescent="0.3">
      <c r="A2043" s="4"/>
    </row>
    <row r="2044" spans="1:6" ht="15.6" x14ac:dyDescent="0.3">
      <c r="A2044" s="18" t="s">
        <v>1747</v>
      </c>
      <c r="B2044" s="19"/>
      <c r="C2044" s="19"/>
      <c r="D2044" s="19"/>
      <c r="E2044" s="19"/>
      <c r="F2044" s="19"/>
    </row>
    <row r="2045" spans="1:6" ht="43.2" x14ac:dyDescent="0.3">
      <c r="A2045" s="10" t="s">
        <v>10</v>
      </c>
      <c r="B2045" s="11">
        <v>45729</v>
      </c>
      <c r="C2045" s="12" t="s">
        <v>12</v>
      </c>
      <c r="D2045" s="12" t="s">
        <v>1027</v>
      </c>
      <c r="E2045" s="11">
        <v>45747</v>
      </c>
      <c r="F2045" s="12" t="s">
        <v>1851</v>
      </c>
    </row>
    <row r="2046" spans="1:6" ht="28.8" x14ac:dyDescent="0.3">
      <c r="B2046" s="11">
        <v>45747</v>
      </c>
      <c r="C2046" s="12" t="s">
        <v>22</v>
      </c>
      <c r="D2046" s="12" t="s">
        <v>4</v>
      </c>
      <c r="E2046" s="4" t="s">
        <v>1827</v>
      </c>
      <c r="F2046" s="12" t="s">
        <v>1827</v>
      </c>
    </row>
    <row r="2047" spans="1:6" x14ac:dyDescent="0.3">
      <c r="A2047" s="4"/>
    </row>
    <row r="2048" spans="1:6" ht="15.6" x14ac:dyDescent="0.3">
      <c r="A2048" s="18" t="s">
        <v>1749</v>
      </c>
      <c r="B2048" s="19"/>
      <c r="C2048" s="19"/>
      <c r="D2048" s="19"/>
      <c r="E2048" s="19"/>
      <c r="F2048" s="19"/>
    </row>
    <row r="2049" spans="1:6" ht="43.2" x14ac:dyDescent="0.3">
      <c r="A2049" s="10" t="s">
        <v>10</v>
      </c>
      <c r="B2049" s="11">
        <v>45729</v>
      </c>
      <c r="C2049" s="12" t="s">
        <v>12</v>
      </c>
      <c r="D2049" s="12" t="s">
        <v>1027</v>
      </c>
      <c r="E2049" s="11">
        <v>45747</v>
      </c>
      <c r="F2049" s="12" t="s">
        <v>1851</v>
      </c>
    </row>
    <row r="2050" spans="1:6" ht="28.8" x14ac:dyDescent="0.3">
      <c r="B2050" s="11">
        <v>45747</v>
      </c>
      <c r="C2050" s="12" t="s">
        <v>22</v>
      </c>
      <c r="D2050" s="12" t="s">
        <v>4</v>
      </c>
      <c r="E2050" s="4" t="s">
        <v>1827</v>
      </c>
      <c r="F2050" s="12" t="s">
        <v>1827</v>
      </c>
    </row>
    <row r="2051" spans="1:6" x14ac:dyDescent="0.3">
      <c r="A2051" s="4"/>
    </row>
    <row r="2052" spans="1:6" ht="15.6" x14ac:dyDescent="0.3">
      <c r="A2052" s="18" t="s">
        <v>1752</v>
      </c>
      <c r="B2052" s="19"/>
      <c r="C2052" s="19"/>
      <c r="D2052" s="19"/>
      <c r="E2052" s="19"/>
      <c r="F2052" s="19"/>
    </row>
    <row r="2053" spans="1:6" x14ac:dyDescent="0.3">
      <c r="A2053" s="10" t="s">
        <v>10</v>
      </c>
      <c r="B2053" s="11">
        <v>45729</v>
      </c>
      <c r="C2053" s="12" t="s">
        <v>12</v>
      </c>
      <c r="D2053" s="12" t="s">
        <v>21</v>
      </c>
      <c r="E2053" s="11">
        <v>45747</v>
      </c>
      <c r="F2053" s="12" t="s">
        <v>1885</v>
      </c>
    </row>
    <row r="2054" spans="1:6" ht="28.8" x14ac:dyDescent="0.3">
      <c r="B2054" s="11">
        <v>45747</v>
      </c>
      <c r="C2054" s="12" t="s">
        <v>22</v>
      </c>
      <c r="D2054" s="12" t="s">
        <v>4</v>
      </c>
      <c r="E2054" s="4" t="s">
        <v>1827</v>
      </c>
      <c r="F2054" s="12" t="s">
        <v>1827</v>
      </c>
    </row>
    <row r="2055" spans="1:6" x14ac:dyDescent="0.3">
      <c r="A2055" s="4"/>
    </row>
    <row r="2056" spans="1:6" ht="15.6" x14ac:dyDescent="0.3">
      <c r="A2056" s="18" t="s">
        <v>1755</v>
      </c>
      <c r="B2056" s="19"/>
      <c r="C2056" s="19"/>
      <c r="D2056" s="19"/>
      <c r="E2056" s="19"/>
      <c r="F2056" s="19"/>
    </row>
    <row r="2057" spans="1:6" x14ac:dyDescent="0.3">
      <c r="A2057" s="10" t="s">
        <v>13</v>
      </c>
      <c r="B2057" s="11">
        <v>45729</v>
      </c>
      <c r="C2057" s="12" t="s">
        <v>12</v>
      </c>
      <c r="D2057" s="12" t="s">
        <v>21</v>
      </c>
      <c r="E2057" s="11">
        <v>45747</v>
      </c>
      <c r="F2057" s="12" t="s">
        <v>1885</v>
      </c>
    </row>
    <row r="2058" spans="1:6" ht="28.8" x14ac:dyDescent="0.3">
      <c r="B2058" s="11">
        <v>45747</v>
      </c>
      <c r="C2058" s="12" t="s">
        <v>22</v>
      </c>
      <c r="D2058" s="12" t="s">
        <v>4</v>
      </c>
      <c r="E2058" s="4" t="s">
        <v>1827</v>
      </c>
      <c r="F2058" s="12" t="s">
        <v>1827</v>
      </c>
    </row>
    <row r="2059" spans="1:6" x14ac:dyDescent="0.3">
      <c r="A2059" s="4"/>
    </row>
    <row r="2060" spans="1:6" ht="15.6" x14ac:dyDescent="0.3">
      <c r="A2060" s="18" t="s">
        <v>1758</v>
      </c>
      <c r="B2060" s="19"/>
      <c r="C2060" s="19"/>
      <c r="D2060" s="19"/>
      <c r="E2060" s="19"/>
      <c r="F2060" s="19"/>
    </row>
    <row r="2061" spans="1:6" x14ac:dyDescent="0.3">
      <c r="A2061" s="10" t="s">
        <v>13</v>
      </c>
      <c r="B2061" s="11">
        <v>45729</v>
      </c>
      <c r="C2061" s="12" t="s">
        <v>12</v>
      </c>
      <c r="D2061" s="12" t="s">
        <v>21</v>
      </c>
      <c r="E2061" s="11">
        <v>45747</v>
      </c>
      <c r="F2061" s="12" t="s">
        <v>1885</v>
      </c>
    </row>
    <row r="2062" spans="1:6" ht="28.8" x14ac:dyDescent="0.3">
      <c r="B2062" s="11">
        <v>45747</v>
      </c>
      <c r="C2062" s="12" t="s">
        <v>22</v>
      </c>
      <c r="D2062" s="12" t="s">
        <v>4</v>
      </c>
      <c r="E2062" s="4" t="s">
        <v>1827</v>
      </c>
      <c r="F2062" s="12" t="s">
        <v>1827</v>
      </c>
    </row>
    <row r="2063" spans="1:6" x14ac:dyDescent="0.3">
      <c r="A2063" s="4"/>
    </row>
    <row r="2064" spans="1:6" ht="15.6" x14ac:dyDescent="0.3">
      <c r="A2064" s="18" t="s">
        <v>1761</v>
      </c>
      <c r="B2064" s="19"/>
      <c r="C2064" s="19"/>
      <c r="D2064" s="19"/>
      <c r="E2064" s="19"/>
      <c r="F2064" s="19"/>
    </row>
    <row r="2065" spans="1:6" ht="28.8" x14ac:dyDescent="0.3">
      <c r="A2065" s="10" t="s">
        <v>763</v>
      </c>
      <c r="B2065" s="11">
        <v>45764</v>
      </c>
      <c r="C2065" s="12" t="s">
        <v>12</v>
      </c>
      <c r="D2065" s="12" t="s">
        <v>21</v>
      </c>
      <c r="E2065" s="11">
        <v>45764</v>
      </c>
      <c r="F2065" s="12" t="s">
        <v>2051</v>
      </c>
    </row>
    <row r="2066" spans="1:6" ht="28.8" x14ac:dyDescent="0.3">
      <c r="C2066" s="12" t="s">
        <v>22</v>
      </c>
      <c r="D2066" s="12" t="s">
        <v>4</v>
      </c>
      <c r="E2066" s="4" t="s">
        <v>1827</v>
      </c>
      <c r="F2066" s="12" t="s">
        <v>1827</v>
      </c>
    </row>
    <row r="2067" spans="1:6" x14ac:dyDescent="0.3">
      <c r="A2067" s="4"/>
    </row>
    <row r="2068" spans="1:6" ht="15.6" x14ac:dyDescent="0.3">
      <c r="A2068" s="18" t="s">
        <v>1764</v>
      </c>
      <c r="B2068" s="19"/>
      <c r="C2068" s="19"/>
      <c r="D2068" s="19"/>
      <c r="E2068" s="19"/>
      <c r="F2068" s="19"/>
    </row>
    <row r="2069" spans="1:6" x14ac:dyDescent="0.3">
      <c r="A2069" s="10" t="s">
        <v>695</v>
      </c>
      <c r="B2069" s="11">
        <v>45756</v>
      </c>
      <c r="C2069" s="12" t="s">
        <v>12</v>
      </c>
      <c r="D2069" s="12" t="s">
        <v>24</v>
      </c>
      <c r="E2069" s="11">
        <v>45763</v>
      </c>
      <c r="F2069" s="12" t="s">
        <v>1785</v>
      </c>
    </row>
    <row r="2070" spans="1:6" ht="28.8" x14ac:dyDescent="0.3">
      <c r="B2070" s="11">
        <v>45764</v>
      </c>
      <c r="C2070" s="12" t="s">
        <v>12</v>
      </c>
      <c r="D2070" s="12" t="s">
        <v>21</v>
      </c>
      <c r="E2070" s="11">
        <v>45764</v>
      </c>
      <c r="F2070" s="12" t="s">
        <v>2052</v>
      </c>
    </row>
    <row r="2071" spans="1:6" ht="28.8" x14ac:dyDescent="0.3">
      <c r="C2071" s="12" t="s">
        <v>22</v>
      </c>
      <c r="D2071" s="12" t="s">
        <v>4</v>
      </c>
      <c r="E2071" s="4" t="s">
        <v>1827</v>
      </c>
      <c r="F2071" s="12" t="s">
        <v>1827</v>
      </c>
    </row>
    <row r="2072" spans="1:6" x14ac:dyDescent="0.3">
      <c r="A2072" s="4"/>
    </row>
    <row r="2073" spans="1:6" ht="15.6" x14ac:dyDescent="0.3">
      <c r="A2073" s="18" t="s">
        <v>1767</v>
      </c>
      <c r="B2073" s="19"/>
      <c r="C2073" s="19"/>
      <c r="D2073" s="19"/>
      <c r="E2073" s="19"/>
      <c r="F2073" s="19"/>
    </row>
    <row r="2074" spans="1:6" x14ac:dyDescent="0.3">
      <c r="A2074" s="10" t="s">
        <v>799</v>
      </c>
      <c r="B2074" s="11">
        <v>45756</v>
      </c>
      <c r="C2074" s="12" t="s">
        <v>12</v>
      </c>
      <c r="D2074" s="12" t="s">
        <v>24</v>
      </c>
      <c r="E2074" s="11">
        <v>45763</v>
      </c>
      <c r="F2074" s="12" t="s">
        <v>1785</v>
      </c>
    </row>
    <row r="2075" spans="1:6" x14ac:dyDescent="0.3">
      <c r="B2075" s="11">
        <v>45764</v>
      </c>
      <c r="C2075" s="12" t="s">
        <v>12</v>
      </c>
      <c r="D2075" s="12" t="s">
        <v>24</v>
      </c>
      <c r="E2075" s="11">
        <v>45764</v>
      </c>
      <c r="F2075" s="12" t="s">
        <v>1785</v>
      </c>
    </row>
    <row r="2076" spans="1:6" x14ac:dyDescent="0.3">
      <c r="A2076" s="4"/>
    </row>
    <row r="2077" spans="1:6" ht="15.6" x14ac:dyDescent="0.3">
      <c r="A2077" s="18" t="s">
        <v>1770</v>
      </c>
      <c r="B2077" s="19"/>
      <c r="C2077" s="19"/>
      <c r="D2077" s="19"/>
      <c r="E2077" s="19"/>
      <c r="F2077" s="19"/>
    </row>
    <row r="2078" spans="1:6" x14ac:dyDescent="0.3">
      <c r="A2078" s="10" t="s">
        <v>11</v>
      </c>
      <c r="B2078" s="11">
        <v>45756</v>
      </c>
      <c r="C2078" s="12" t="s">
        <v>12</v>
      </c>
      <c r="D2078" s="12" t="s">
        <v>24</v>
      </c>
      <c r="E2078" s="11">
        <v>45763</v>
      </c>
      <c r="F2078" s="12" t="s">
        <v>1785</v>
      </c>
    </row>
    <row r="2079" spans="1:6" x14ac:dyDescent="0.3">
      <c r="A2079" s="4"/>
    </row>
    <row r="2080" spans="1:6" ht="15.6" x14ac:dyDescent="0.3">
      <c r="A2080" s="18" t="s">
        <v>1773</v>
      </c>
      <c r="B2080" s="19"/>
      <c r="C2080" s="19"/>
      <c r="D2080" s="19"/>
      <c r="E2080" s="19"/>
      <c r="F2080" s="19"/>
    </row>
    <row r="2081" spans="1:6" ht="28.8" x14ac:dyDescent="0.3">
      <c r="A2081" s="10" t="s">
        <v>11</v>
      </c>
      <c r="B2081" s="11">
        <v>45763</v>
      </c>
      <c r="C2081" s="12" t="s">
        <v>22</v>
      </c>
      <c r="D2081" s="12" t="s">
        <v>4</v>
      </c>
      <c r="E2081" s="4" t="s">
        <v>1827</v>
      </c>
      <c r="F2081" s="12" t="s">
        <v>1827</v>
      </c>
    </row>
    <row r="2082" spans="1:6" ht="29.4" thickBot="1" x14ac:dyDescent="0.35">
      <c r="B2082" s="11">
        <v>45756</v>
      </c>
      <c r="C2082" s="12" t="s">
        <v>12</v>
      </c>
      <c r="D2082" s="12" t="s">
        <v>21</v>
      </c>
      <c r="E2082" s="11">
        <v>45763</v>
      </c>
      <c r="F2082" s="12" t="s">
        <v>2053</v>
      </c>
    </row>
    <row r="2083" spans="1:6" x14ac:dyDescent="0.3">
      <c r="A2083" s="4"/>
    </row>
    <row r="2084" spans="1:6" ht="15.6" x14ac:dyDescent="0.3">
      <c r="A2084" s="18" t="s">
        <v>1776</v>
      </c>
      <c r="B2084" s="19"/>
      <c r="C2084" s="19"/>
      <c r="D2084" s="19"/>
      <c r="E2084" s="19"/>
      <c r="F2084" s="19"/>
    </row>
    <row r="2085" spans="1:6" x14ac:dyDescent="0.3">
      <c r="A2085" s="10" t="s">
        <v>10</v>
      </c>
      <c r="B2085" s="11">
        <v>45756</v>
      </c>
      <c r="C2085" s="12" t="s">
        <v>12</v>
      </c>
      <c r="D2085" s="12" t="s">
        <v>24</v>
      </c>
      <c r="E2085" s="11">
        <v>45763</v>
      </c>
      <c r="F2085" s="12" t="s">
        <v>1785</v>
      </c>
    </row>
    <row r="2086" spans="1:6" x14ac:dyDescent="0.3">
      <c r="A2086" s="4"/>
    </row>
    <row r="2088" spans="1:6" ht="15" thickBot="1" x14ac:dyDescent="0.35"/>
    <row r="2093" spans="1:6" ht="15" thickBot="1" x14ac:dyDescent="0.35"/>
    <row r="2098" ht="15" thickBot="1" x14ac:dyDescent="0.35"/>
    <row r="2101" ht="15" thickBot="1" x14ac:dyDescent="0.35"/>
    <row r="2105" ht="15" thickBot="1" x14ac:dyDescent="0.35"/>
    <row r="2109" ht="15" thickBot="1" x14ac:dyDescent="0.35"/>
    <row r="2112" ht="15" thickBot="1" x14ac:dyDescent="0.35"/>
    <row r="2116" ht="15" thickBot="1" x14ac:dyDescent="0.35"/>
    <row r="2119" ht="15" thickBot="1" x14ac:dyDescent="0.35"/>
    <row r="2123" ht="15" thickBot="1" x14ac:dyDescent="0.35"/>
    <row r="2127" ht="15" thickBot="1" x14ac:dyDescent="0.35"/>
    <row r="2130" ht="15" thickBot="1" x14ac:dyDescent="0.35"/>
    <row r="2134" ht="15" thickBot="1" x14ac:dyDescent="0.35"/>
    <row r="2137" ht="15" thickBot="1" x14ac:dyDescent="0.35"/>
    <row r="2140" ht="15" thickBot="1" x14ac:dyDescent="0.35"/>
    <row r="2143" ht="15" thickBot="1" x14ac:dyDescent="0.35"/>
    <row r="2147" ht="15" thickBot="1" x14ac:dyDescent="0.35"/>
    <row r="2150" ht="15" thickBot="1" x14ac:dyDescent="0.35"/>
    <row r="2153" ht="15" thickBot="1" x14ac:dyDescent="0.35"/>
    <row r="2156" ht="15" thickBot="1" x14ac:dyDescent="0.35"/>
    <row r="2159" ht="15" thickBot="1" x14ac:dyDescent="0.35"/>
    <row r="2162" ht="15" thickBot="1" x14ac:dyDescent="0.35"/>
    <row r="2165" ht="15" thickBot="1" x14ac:dyDescent="0.35"/>
    <row r="2168" ht="15" thickBot="1" x14ac:dyDescent="0.35"/>
    <row r="2172" ht="15" thickBot="1" x14ac:dyDescent="0.35"/>
    <row r="2175" ht="15" thickBot="1" x14ac:dyDescent="0.35"/>
    <row r="2178" ht="15" thickBot="1" x14ac:dyDescent="0.35"/>
    <row r="2181" ht="15" thickBot="1" x14ac:dyDescent="0.35"/>
    <row r="2184" ht="15" thickBot="1" x14ac:dyDescent="0.35"/>
    <row r="2187" ht="15" thickBot="1" x14ac:dyDescent="0.35"/>
    <row r="2190" ht="15" thickBot="1" x14ac:dyDescent="0.35"/>
    <row r="2193" ht="15" thickBot="1" x14ac:dyDescent="0.35"/>
    <row r="2196" ht="15" thickBot="1" x14ac:dyDescent="0.35"/>
    <row r="2199" ht="15" thickBot="1" x14ac:dyDescent="0.35"/>
    <row r="2202" ht="15" thickBot="1" x14ac:dyDescent="0.35"/>
    <row r="2205" ht="15" thickBot="1" x14ac:dyDescent="0.35"/>
    <row r="2208" ht="15" thickBot="1" x14ac:dyDescent="0.35"/>
    <row r="2211" ht="15" thickBot="1" x14ac:dyDescent="0.35"/>
    <row r="2215" ht="15" thickBot="1" x14ac:dyDescent="0.35"/>
    <row r="2219" ht="15" thickBot="1" x14ac:dyDescent="0.35"/>
    <row r="2222" ht="15" thickBot="1" x14ac:dyDescent="0.35"/>
    <row r="2225" ht="15" thickBot="1" x14ac:dyDescent="0.35"/>
    <row r="2228" ht="15" thickBot="1" x14ac:dyDescent="0.35"/>
    <row r="2231" ht="15" thickBot="1" x14ac:dyDescent="0.35"/>
    <row r="2234" ht="15" thickBot="1" x14ac:dyDescent="0.35"/>
    <row r="2237" ht="15" thickBot="1" x14ac:dyDescent="0.35"/>
    <row r="2240" ht="15" thickBot="1" x14ac:dyDescent="0.35"/>
    <row r="2243" ht="15" thickBot="1" x14ac:dyDescent="0.35"/>
    <row r="2247" ht="15" thickBot="1" x14ac:dyDescent="0.35"/>
    <row r="2250" ht="15" thickBot="1" x14ac:dyDescent="0.35"/>
    <row r="2254" ht="15" thickBot="1" x14ac:dyDescent="0.35"/>
    <row r="2257" ht="15" thickBot="1" x14ac:dyDescent="0.35"/>
    <row r="2260" ht="15" thickBot="1" x14ac:dyDescent="0.35"/>
    <row r="2263" ht="15" thickBot="1" x14ac:dyDescent="0.35"/>
    <row r="2266" ht="15" thickBot="1" x14ac:dyDescent="0.35"/>
    <row r="2271" ht="15" thickBot="1" x14ac:dyDescent="0.35"/>
    <row r="2275" ht="15" thickBot="1" x14ac:dyDescent="0.35"/>
    <row r="2278" ht="15" thickBot="1" x14ac:dyDescent="0.35"/>
    <row r="2281" ht="15" thickBot="1" x14ac:dyDescent="0.35"/>
    <row r="2285" ht="15" thickBot="1" x14ac:dyDescent="0.35"/>
    <row r="2288" ht="15" thickBot="1" x14ac:dyDescent="0.35"/>
    <row r="2291" ht="15" thickBot="1" x14ac:dyDescent="0.35"/>
    <row r="2294" ht="15" thickBot="1" x14ac:dyDescent="0.35"/>
    <row r="2297" ht="15" thickBot="1" x14ac:dyDescent="0.35"/>
    <row r="2300" ht="15" thickBot="1" x14ac:dyDescent="0.35"/>
    <row r="2303" ht="15" thickBot="1" x14ac:dyDescent="0.35"/>
    <row r="2306" ht="15" thickBot="1" x14ac:dyDescent="0.35"/>
    <row r="2309" ht="15" thickBot="1" x14ac:dyDescent="0.35"/>
    <row r="2313" ht="15" thickBot="1" x14ac:dyDescent="0.35"/>
    <row r="2316" ht="15" thickBot="1" x14ac:dyDescent="0.35"/>
    <row r="2319" ht="15" thickBot="1" x14ac:dyDescent="0.35"/>
    <row r="2322" ht="15" thickBot="1" x14ac:dyDescent="0.35"/>
    <row r="2325" ht="15" thickBot="1" x14ac:dyDescent="0.35"/>
    <row r="2328" ht="15" thickBot="1" x14ac:dyDescent="0.35"/>
    <row r="2333" ht="15" thickBot="1" x14ac:dyDescent="0.35"/>
    <row r="2337" ht="15" thickBot="1" x14ac:dyDescent="0.35"/>
    <row r="2340" ht="15" thickBot="1" x14ac:dyDescent="0.35"/>
    <row r="2343" ht="15" thickBot="1" x14ac:dyDescent="0.35"/>
    <row r="2346" ht="15" thickBot="1" x14ac:dyDescent="0.35"/>
    <row r="2349" ht="15" thickBot="1" x14ac:dyDescent="0.35"/>
    <row r="2352" ht="15" thickBot="1" x14ac:dyDescent="0.35"/>
    <row r="2356" ht="15" thickBot="1" x14ac:dyDescent="0.35"/>
    <row r="2359" ht="15" thickBot="1" x14ac:dyDescent="0.35"/>
    <row r="2362" ht="15" thickBot="1" x14ac:dyDescent="0.35"/>
    <row r="2365" ht="15" thickBot="1" x14ac:dyDescent="0.35"/>
    <row r="2368" ht="15" thickBot="1" x14ac:dyDescent="0.35"/>
    <row r="2371" ht="15" thickBot="1" x14ac:dyDescent="0.35"/>
    <row r="2374" ht="15" thickBot="1" x14ac:dyDescent="0.35"/>
    <row r="2378" ht="15" thickBot="1" x14ac:dyDescent="0.35"/>
    <row r="2381" ht="15" thickBot="1" x14ac:dyDescent="0.35"/>
    <row r="2385" ht="15" thickBot="1" x14ac:dyDescent="0.35"/>
    <row r="2388" ht="15" thickBot="1" x14ac:dyDescent="0.35"/>
    <row r="2391" ht="15" thickBot="1" x14ac:dyDescent="0.35"/>
    <row r="2394" ht="15" thickBot="1" x14ac:dyDescent="0.35"/>
    <row r="2397" ht="15" thickBot="1" x14ac:dyDescent="0.35"/>
    <row r="2400" ht="15" thickBot="1" x14ac:dyDescent="0.35"/>
    <row r="2403" ht="15" thickBot="1" x14ac:dyDescent="0.35"/>
    <row r="2406" ht="15" thickBot="1" x14ac:dyDescent="0.35"/>
    <row r="2409" ht="15" thickBot="1" x14ac:dyDescent="0.35"/>
    <row r="2412" ht="15" thickBot="1" x14ac:dyDescent="0.35"/>
    <row r="2415" ht="15" thickBot="1" x14ac:dyDescent="0.35"/>
    <row r="2418" ht="15" thickBot="1" x14ac:dyDescent="0.35"/>
    <row r="2421" ht="15" thickBot="1" x14ac:dyDescent="0.35"/>
    <row r="2424" ht="15" thickBot="1" x14ac:dyDescent="0.35"/>
    <row r="2427" ht="15" thickBot="1" x14ac:dyDescent="0.35"/>
    <row r="2430" ht="15" thickBot="1" x14ac:dyDescent="0.35"/>
    <row r="2433" ht="15" thickBot="1" x14ac:dyDescent="0.35"/>
    <row r="2436" ht="15" thickBot="1" x14ac:dyDescent="0.35"/>
    <row r="2439" ht="15" thickBot="1" x14ac:dyDescent="0.35"/>
    <row r="2442" ht="15" thickBot="1" x14ac:dyDescent="0.35"/>
    <row r="2445" ht="15" thickBot="1" x14ac:dyDescent="0.35"/>
    <row r="2450" ht="15" thickBot="1" x14ac:dyDescent="0.35"/>
    <row r="2455" ht="15" thickBot="1" x14ac:dyDescent="0.35"/>
    <row r="2459" ht="15" thickBot="1" x14ac:dyDescent="0.35"/>
    <row r="2462" ht="15" thickBot="1" x14ac:dyDescent="0.35"/>
    <row r="2465" ht="15" thickBot="1" x14ac:dyDescent="0.35"/>
    <row r="2468" ht="15" thickBot="1" x14ac:dyDescent="0.35"/>
    <row r="2471" ht="15" thickBot="1" x14ac:dyDescent="0.35"/>
    <row r="2474" ht="15" thickBot="1" x14ac:dyDescent="0.35"/>
    <row r="2477" ht="15" thickBot="1" x14ac:dyDescent="0.35"/>
    <row r="2480" ht="15" thickBot="1" x14ac:dyDescent="0.35"/>
    <row r="2483" ht="15" thickBot="1" x14ac:dyDescent="0.35"/>
    <row r="2486" ht="15" thickBot="1" x14ac:dyDescent="0.35"/>
    <row r="2489" ht="15" thickBot="1" x14ac:dyDescent="0.35"/>
    <row r="2492" ht="15" thickBot="1" x14ac:dyDescent="0.35"/>
    <row r="2495" ht="15" thickBot="1" x14ac:dyDescent="0.35"/>
    <row r="2498" ht="15" thickBot="1" x14ac:dyDescent="0.35"/>
    <row r="2501" ht="15" thickBot="1" x14ac:dyDescent="0.35"/>
    <row r="2504" ht="15" thickBot="1" x14ac:dyDescent="0.35"/>
    <row r="2507" ht="15" thickBot="1" x14ac:dyDescent="0.35"/>
    <row r="2510" ht="15" thickBot="1" x14ac:dyDescent="0.35"/>
    <row r="2513" ht="15" thickBot="1" x14ac:dyDescent="0.35"/>
    <row r="2516" ht="15" thickBot="1" x14ac:dyDescent="0.35"/>
    <row r="2519" ht="15" thickBot="1" x14ac:dyDescent="0.35"/>
    <row r="2522" ht="15" thickBot="1" x14ac:dyDescent="0.35"/>
    <row r="2525" ht="15" thickBot="1" x14ac:dyDescent="0.35"/>
    <row r="2529" ht="15" thickBot="1" x14ac:dyDescent="0.35"/>
    <row r="2532" ht="15" thickBot="1" x14ac:dyDescent="0.35"/>
    <row r="2535" ht="15" thickBot="1" x14ac:dyDescent="0.35"/>
    <row r="2538" ht="15" thickBot="1" x14ac:dyDescent="0.35"/>
    <row r="2541" ht="15" thickBot="1" x14ac:dyDescent="0.35"/>
    <row r="2544" ht="15" thickBot="1" x14ac:dyDescent="0.35"/>
    <row r="2547" ht="15" thickBot="1" x14ac:dyDescent="0.35"/>
    <row r="2550" ht="15" thickBot="1" x14ac:dyDescent="0.35"/>
    <row r="2553" ht="15" thickBot="1" x14ac:dyDescent="0.35"/>
    <row r="2556" ht="15" thickBot="1" x14ac:dyDescent="0.35"/>
    <row r="2559" ht="15" thickBot="1" x14ac:dyDescent="0.35"/>
    <row r="2562" ht="15" thickBot="1" x14ac:dyDescent="0.35"/>
    <row r="2565" ht="15" thickBot="1" x14ac:dyDescent="0.35"/>
    <row r="2568" ht="15" thickBot="1" x14ac:dyDescent="0.35"/>
    <row r="2571" ht="15" thickBot="1" x14ac:dyDescent="0.35"/>
    <row r="2574" ht="15" thickBot="1" x14ac:dyDescent="0.35"/>
    <row r="2577" ht="15" thickBot="1" x14ac:dyDescent="0.35"/>
    <row r="2580" ht="15" thickBot="1" x14ac:dyDescent="0.35"/>
    <row r="2583" ht="15" thickBot="1" x14ac:dyDescent="0.35"/>
    <row r="2586" ht="15" thickBot="1" x14ac:dyDescent="0.35"/>
    <row r="2589" ht="15" thickBot="1" x14ac:dyDescent="0.35"/>
    <row r="2592" ht="15" thickBot="1" x14ac:dyDescent="0.35"/>
    <row r="2595" ht="15" thickBot="1" x14ac:dyDescent="0.35"/>
    <row r="2598" ht="15" thickBot="1" x14ac:dyDescent="0.35"/>
    <row r="2601" ht="15" thickBot="1" x14ac:dyDescent="0.35"/>
    <row r="2604" ht="15" thickBot="1" x14ac:dyDescent="0.35"/>
    <row r="2607" ht="15" thickBot="1" x14ac:dyDescent="0.35"/>
    <row r="2610" ht="15" thickBot="1" x14ac:dyDescent="0.35"/>
    <row r="2613" ht="15" thickBot="1" x14ac:dyDescent="0.35"/>
    <row r="2616" ht="15" thickBot="1" x14ac:dyDescent="0.35"/>
    <row r="2619" ht="15" thickBot="1" x14ac:dyDescent="0.35"/>
    <row r="2622" ht="15" thickBot="1" x14ac:dyDescent="0.35"/>
    <row r="2625" ht="15" thickBot="1" x14ac:dyDescent="0.35"/>
    <row r="2628" ht="15" thickBot="1" x14ac:dyDescent="0.35"/>
    <row r="2631" ht="15" thickBot="1" x14ac:dyDescent="0.35"/>
    <row r="2634" ht="15" thickBot="1" x14ac:dyDescent="0.35"/>
    <row r="2637" ht="15" thickBot="1" x14ac:dyDescent="0.35"/>
    <row r="2640" ht="15" thickBot="1" x14ac:dyDescent="0.35"/>
    <row r="2643" ht="15" thickBot="1" x14ac:dyDescent="0.35"/>
    <row r="2646" ht="15" thickBot="1" x14ac:dyDescent="0.35"/>
    <row r="2651" ht="15" thickBot="1" x14ac:dyDescent="0.35"/>
    <row r="2654" ht="15" thickBot="1" x14ac:dyDescent="0.35"/>
    <row r="2657" ht="15" thickBot="1" x14ac:dyDescent="0.35"/>
    <row r="2660" ht="15" thickBot="1" x14ac:dyDescent="0.35"/>
    <row r="2663" ht="15" thickBot="1" x14ac:dyDescent="0.35"/>
    <row r="2666" ht="15" thickBot="1" x14ac:dyDescent="0.35"/>
    <row r="2669" ht="15" thickBot="1" x14ac:dyDescent="0.35"/>
    <row r="2672" ht="15" thickBot="1" x14ac:dyDescent="0.35"/>
    <row r="2675" ht="15" thickBot="1" x14ac:dyDescent="0.35"/>
    <row r="2678" ht="15" thickBot="1" x14ac:dyDescent="0.35"/>
    <row r="2681" ht="15" thickBot="1" x14ac:dyDescent="0.35"/>
    <row r="2684" ht="15" thickBot="1" x14ac:dyDescent="0.35"/>
    <row r="2687" ht="15" thickBot="1" x14ac:dyDescent="0.35"/>
    <row r="2690" ht="15" thickBot="1" x14ac:dyDescent="0.35"/>
    <row r="2694" ht="15" thickBot="1" x14ac:dyDescent="0.35"/>
    <row r="2698" ht="15" thickBot="1" x14ac:dyDescent="0.35"/>
    <row r="2701" ht="15" thickBot="1" x14ac:dyDescent="0.35"/>
    <row r="2704" ht="15" thickBot="1" x14ac:dyDescent="0.35"/>
    <row r="2707" ht="15" thickBot="1" x14ac:dyDescent="0.35"/>
    <row r="2710" ht="15" thickBot="1" x14ac:dyDescent="0.35"/>
    <row r="2713" ht="15" thickBot="1" x14ac:dyDescent="0.35"/>
    <row r="2716" ht="15" thickBot="1" x14ac:dyDescent="0.35"/>
    <row r="2719" ht="15" thickBot="1" x14ac:dyDescent="0.35"/>
    <row r="2722" ht="15" thickBot="1" x14ac:dyDescent="0.35"/>
    <row r="2725" ht="15" thickBot="1" x14ac:dyDescent="0.35"/>
    <row r="2728" ht="15" thickBot="1" x14ac:dyDescent="0.35"/>
    <row r="2731" ht="15" thickBot="1" x14ac:dyDescent="0.35"/>
    <row r="2734" ht="15" thickBot="1" x14ac:dyDescent="0.35"/>
    <row r="2737" ht="15" thickBot="1" x14ac:dyDescent="0.35"/>
    <row r="2740" ht="15" thickBot="1" x14ac:dyDescent="0.35"/>
    <row r="2743" ht="15" thickBot="1" x14ac:dyDescent="0.35"/>
    <row r="2746" ht="15" thickBot="1" x14ac:dyDescent="0.35"/>
    <row r="2749" ht="15" thickBot="1" x14ac:dyDescent="0.35"/>
    <row r="2754" ht="15" thickBot="1" x14ac:dyDescent="0.35"/>
    <row r="2759" ht="15" thickBot="1" x14ac:dyDescent="0.35"/>
    <row r="2764" ht="15" thickBot="1" x14ac:dyDescent="0.35"/>
    <row r="2769" ht="15" thickBot="1" x14ac:dyDescent="0.35"/>
    <row r="2774" ht="15" thickBot="1" x14ac:dyDescent="0.35"/>
  </sheetData>
  <conditionalFormatting sqref="D1:D1048576">
    <cfRule type="containsText" dxfId="12" priority="1" operator="containsText" text="Pending">
      <formula>NOT(ISERROR(SEARCH("Pending",D1)))</formula>
    </cfRule>
    <cfRule type="containsText" dxfId="11" priority="2" operator="containsText" text="C - ">
      <formula>NOT(ISERROR(SEARCH("C - ",D1)))</formula>
    </cfRule>
    <cfRule type="containsText" dxfId="10" priority="3" operator="containsText" text="A - ">
      <formula>NOT(ISERROR(SEARCH("A - ",D1)))</formula>
    </cfRule>
    <cfRule type="containsText" dxfId="9" priority="4" operator="containsText" text="B - ">
      <formula>NOT(ISERROR(SEARCH("B - ",D1)))</formula>
    </cfRule>
  </conditionalFormatting>
  <pageMargins left="0.70866141732283472" right="0.70866141732283472" top="0.74803149606299213" bottom="0.74803149606299213" header="0.31496062992125978" footer="0.31496062992125978"/>
  <pageSetup paperSize="8" scale="87" firstPageNumber="2" fitToHeight="0" orientation="landscape" r:id="rId2"/>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F82E-1E27-4D68-A829-C897DEAE7BD0}">
  <dimension ref="A1:L908"/>
  <sheetViews>
    <sheetView zoomScaleNormal="100" workbookViewId="0">
      <selection activeCell="B14" sqref="B14"/>
    </sheetView>
  </sheetViews>
  <sheetFormatPr defaultRowHeight="14.4" x14ac:dyDescent="0.3"/>
  <cols>
    <col min="1" max="1" width="28.6640625" bestFit="1" customWidth="1"/>
    <col min="2" max="2" width="17.21875" bestFit="1" customWidth="1"/>
    <col min="3" max="3" width="10.33203125" customWidth="1"/>
    <col min="4" max="4" width="16.77734375" bestFit="1" customWidth="1"/>
    <col min="5" max="5" width="12.109375" customWidth="1"/>
    <col min="6" max="6" width="16.109375" style="1" customWidth="1"/>
    <col min="7" max="7" width="18.44140625" style="1" customWidth="1"/>
    <col min="8" max="8" width="19.6640625" customWidth="1"/>
    <col min="9" max="9" width="53" style="1" customWidth="1"/>
    <col min="10" max="10" width="15.77734375" customWidth="1"/>
    <col min="11" max="11" width="15.77734375" hidden="1" customWidth="1"/>
    <col min="12" max="12" width="25.6640625" customWidth="1"/>
    <col min="13" max="13" width="26.5546875" customWidth="1"/>
  </cols>
  <sheetData>
    <row r="1" spans="1:12" x14ac:dyDescent="0.3">
      <c r="A1" t="s">
        <v>25</v>
      </c>
      <c r="B1" t="s">
        <v>26</v>
      </c>
    </row>
    <row r="2" spans="1:12" x14ac:dyDescent="0.3">
      <c r="A2" t="s">
        <v>1777</v>
      </c>
      <c r="B2" s="8">
        <v>45771</v>
      </c>
    </row>
    <row r="4" spans="1:12" ht="30" customHeight="1" x14ac:dyDescent="0.3">
      <c r="A4" t="s">
        <v>14</v>
      </c>
      <c r="B4" t="s">
        <v>15</v>
      </c>
      <c r="C4" t="s">
        <v>16</v>
      </c>
      <c r="D4" t="s">
        <v>17</v>
      </c>
      <c r="E4" t="s">
        <v>6</v>
      </c>
      <c r="F4" s="1" t="s">
        <v>7</v>
      </c>
      <c r="G4" s="3" t="s">
        <v>2</v>
      </c>
      <c r="H4" t="s">
        <v>8</v>
      </c>
      <c r="I4" s="1" t="s">
        <v>9</v>
      </c>
      <c r="J4" t="s">
        <v>1</v>
      </c>
      <c r="K4" t="s">
        <v>18</v>
      </c>
      <c r="L4" t="s">
        <v>29</v>
      </c>
    </row>
    <row r="5" spans="1:12" ht="72" x14ac:dyDescent="0.3">
      <c r="A5" t="s">
        <v>30</v>
      </c>
      <c r="B5" t="s">
        <v>31</v>
      </c>
      <c r="C5" t="s">
        <v>10</v>
      </c>
      <c r="D5" t="s">
        <v>20</v>
      </c>
      <c r="E5" s="8">
        <v>45729</v>
      </c>
      <c r="F5" s="1" t="s">
        <v>12</v>
      </c>
      <c r="G5" s="15" t="s">
        <v>21</v>
      </c>
      <c r="H5" s="8">
        <v>45748</v>
      </c>
      <c r="I5" s="1" t="s">
        <v>1886</v>
      </c>
      <c r="J5" t="b">
        <v>1</v>
      </c>
      <c r="K5" t="s">
        <v>32</v>
      </c>
      <c r="L5" s="13" t="str">
        <f>HYPERLINK("https://uk1.aconex.co.uk/hub/index.html?mainTarget=%2FSearchControlledDoc%3FSEARCH_ACTION%3D15%26tab%3D0%26searchMode%3D1%26searchQuery%3Ddocno:%22"&amp;RawData[[#This Row],[Document Number]]&amp;"%22%20%2Bcversion%253A1",RawData[[#This Row],[Document Number]])</f>
        <v>FS1018-ADT-ZZ-00-D-J-0001</v>
      </c>
    </row>
    <row r="6" spans="1:12" ht="28.8" x14ac:dyDescent="0.3">
      <c r="A6" t="s">
        <v>30</v>
      </c>
      <c r="B6" t="s">
        <v>31</v>
      </c>
      <c r="C6" t="s">
        <v>10</v>
      </c>
      <c r="D6" t="s">
        <v>20</v>
      </c>
      <c r="E6" s="8">
        <v>45748</v>
      </c>
      <c r="F6" s="1" t="s">
        <v>22</v>
      </c>
      <c r="G6" s="15" t="s">
        <v>4</v>
      </c>
      <c r="H6" s="8"/>
      <c r="J6" t="b">
        <v>1</v>
      </c>
      <c r="K6" t="s">
        <v>32</v>
      </c>
      <c r="L6" s="13" t="str">
        <f>HYPERLINK("https://uk1.aconex.co.uk/hub/index.html?mainTarget=%2FSearchControlledDoc%3FSEARCH_ACTION%3D15%26tab%3D0%26searchMode%3D1%26searchQuery%3Ddocno:%22"&amp;RawData[[#This Row],[Document Number]]&amp;"%22%20%2Bcversion%253A1",RawData[[#This Row],[Document Number]])</f>
        <v>FS1018-ADT-ZZ-00-D-J-0001</v>
      </c>
    </row>
    <row r="7" spans="1:12" x14ac:dyDescent="0.3">
      <c r="A7" t="s">
        <v>33</v>
      </c>
      <c r="B7" t="s">
        <v>34</v>
      </c>
      <c r="C7" t="s">
        <v>10</v>
      </c>
      <c r="D7" t="s">
        <v>19</v>
      </c>
      <c r="E7" s="8">
        <v>45729</v>
      </c>
      <c r="F7" s="1" t="s">
        <v>12</v>
      </c>
      <c r="G7" s="1" t="s">
        <v>24</v>
      </c>
      <c r="H7" s="8">
        <v>45748</v>
      </c>
      <c r="I7" s="1" t="s">
        <v>1785</v>
      </c>
      <c r="J7" t="b">
        <v>1</v>
      </c>
      <c r="K7" t="s">
        <v>35</v>
      </c>
      <c r="L7" s="13" t="str">
        <f>HYPERLINK("https://uk1.aconex.co.uk/hub/index.html?mainTarget=%2FSearchControlledDoc%3FSEARCH_ACTION%3D15%26tab%3D0%26searchMode%3D1%26searchQuery%3Ddocno:%22"&amp;RawData[[#This Row],[Document Number]]&amp;"%22%20%2Bcversion%253A1",RawData[[#This Row],[Document Number]])</f>
        <v>FS1018-ADT-ZZ-00-D-J-0004</v>
      </c>
    </row>
    <row r="8" spans="1:12" x14ac:dyDescent="0.3">
      <c r="A8" t="s">
        <v>36</v>
      </c>
      <c r="B8" t="s">
        <v>37</v>
      </c>
      <c r="C8" t="s">
        <v>10</v>
      </c>
      <c r="D8" t="s">
        <v>19</v>
      </c>
      <c r="E8" s="8">
        <v>45729</v>
      </c>
      <c r="F8" s="1" t="s">
        <v>12</v>
      </c>
      <c r="G8" s="1" t="s">
        <v>24</v>
      </c>
      <c r="H8" s="8">
        <v>45748</v>
      </c>
      <c r="I8" s="1" t="s">
        <v>1785</v>
      </c>
      <c r="J8" t="b">
        <v>1</v>
      </c>
      <c r="K8" t="s">
        <v>38</v>
      </c>
      <c r="L8" s="13" t="str">
        <f>HYPERLINK("https://uk1.aconex.co.uk/hub/index.html?mainTarget=%2FSearchControlledDoc%3FSEARCH_ACTION%3D15%26tab%3D0%26searchMode%3D1%26searchQuery%3Ddocno:%22"&amp;RawData[[#This Row],[Document Number]]&amp;"%22%20%2Bcversion%253A1",RawData[[#This Row],[Document Number]])</f>
        <v>FS1018-ADT-ZZ-01-D-J-0002</v>
      </c>
    </row>
    <row r="9" spans="1:12" x14ac:dyDescent="0.3">
      <c r="A9" t="s">
        <v>39</v>
      </c>
      <c r="B9" t="s">
        <v>40</v>
      </c>
      <c r="C9" t="s">
        <v>10</v>
      </c>
      <c r="D9" t="s">
        <v>19</v>
      </c>
      <c r="E9" s="8">
        <v>45729</v>
      </c>
      <c r="F9" s="1" t="s">
        <v>12</v>
      </c>
      <c r="G9" s="1" t="s">
        <v>24</v>
      </c>
      <c r="H9" s="8">
        <v>45748</v>
      </c>
      <c r="I9" s="1" t="s">
        <v>1785</v>
      </c>
      <c r="J9" t="b">
        <v>1</v>
      </c>
      <c r="K9" t="s">
        <v>41</v>
      </c>
      <c r="L9" s="13" t="str">
        <f>HYPERLINK("https://uk1.aconex.co.uk/hub/index.html?mainTarget=%2FSearchControlledDoc%3FSEARCH_ACTION%3D15%26tab%3D0%26searchMode%3D1%26searchQuery%3Ddocno:%22"&amp;RawData[[#This Row],[Document Number]]&amp;"%22%20%2Bcversion%253A1",RawData[[#This Row],[Document Number]])</f>
        <v>FS1018-ADT-ZZ-01-D-J-0005</v>
      </c>
    </row>
    <row r="10" spans="1:12" x14ac:dyDescent="0.3">
      <c r="A10" t="s">
        <v>42</v>
      </c>
      <c r="B10" t="s">
        <v>43</v>
      </c>
      <c r="C10" t="s">
        <v>10</v>
      </c>
      <c r="D10" t="s">
        <v>19</v>
      </c>
      <c r="E10" s="8">
        <v>45729</v>
      </c>
      <c r="F10" s="1" t="s">
        <v>12</v>
      </c>
      <c r="G10" s="1" t="s">
        <v>24</v>
      </c>
      <c r="H10" s="8">
        <v>45748</v>
      </c>
      <c r="I10" s="1" t="s">
        <v>1785</v>
      </c>
      <c r="J10" t="b">
        <v>1</v>
      </c>
      <c r="K10" t="s">
        <v>44</v>
      </c>
      <c r="L10" s="13" t="str">
        <f>HYPERLINK("https://uk1.aconex.co.uk/hub/index.html?mainTarget=%2FSearchControlledDoc%3FSEARCH_ACTION%3D15%26tab%3D0%26searchMode%3D1%26searchQuery%3Ddocno:%22"&amp;RawData[[#This Row],[Document Number]]&amp;"%22%20%2Bcversion%253A1",RawData[[#This Row],[Document Number]])</f>
        <v>FS1018-ADT-ZZ-02-D-J-0003</v>
      </c>
    </row>
    <row r="11" spans="1:12" x14ac:dyDescent="0.3">
      <c r="A11" t="s">
        <v>45</v>
      </c>
      <c r="B11" t="s">
        <v>46</v>
      </c>
      <c r="C11" t="s">
        <v>10</v>
      </c>
      <c r="D11" t="s">
        <v>19</v>
      </c>
      <c r="E11" s="8">
        <v>45729</v>
      </c>
      <c r="F11" s="1" t="s">
        <v>12</v>
      </c>
      <c r="G11" s="1" t="s">
        <v>24</v>
      </c>
      <c r="H11" s="8">
        <v>45748</v>
      </c>
      <c r="I11" s="1" t="s">
        <v>1785</v>
      </c>
      <c r="J11" t="b">
        <v>1</v>
      </c>
      <c r="K11" t="s">
        <v>47</v>
      </c>
      <c r="L11" s="13" t="str">
        <f>HYPERLINK("https://uk1.aconex.co.uk/hub/index.html?mainTarget=%2FSearchControlledDoc%3FSEARCH_ACTION%3D15%26tab%3D0%26searchMode%3D1%26searchQuery%3Ddocno:%22"&amp;RawData[[#This Row],[Document Number]]&amp;"%22%20%2Bcversion%253A1",RawData[[#This Row],[Document Number]])</f>
        <v>FS1018-ADT-ZZ-02-D-J-0006</v>
      </c>
    </row>
    <row r="12" spans="1:12" ht="57.6" x14ac:dyDescent="0.3">
      <c r="A12" t="s">
        <v>48</v>
      </c>
      <c r="B12" t="s">
        <v>49</v>
      </c>
      <c r="C12" t="s">
        <v>10</v>
      </c>
      <c r="D12" t="s">
        <v>20</v>
      </c>
      <c r="E12" s="8">
        <v>45729</v>
      </c>
      <c r="F12" s="1" t="s">
        <v>12</v>
      </c>
      <c r="G12" s="1" t="s">
        <v>21</v>
      </c>
      <c r="H12" s="8">
        <v>45748</v>
      </c>
      <c r="I12" s="1" t="s">
        <v>1887</v>
      </c>
      <c r="J12" t="b">
        <v>1</v>
      </c>
      <c r="K12" t="s">
        <v>50</v>
      </c>
      <c r="L12" s="13" t="str">
        <f>HYPERLINK("https://uk1.aconex.co.uk/hub/index.html?mainTarget=%2FSearchControlledDoc%3FSEARCH_ACTION%3D15%26tab%3D0%26searchMode%3D1%26searchQuery%3Ddocno:%22"&amp;RawData[[#This Row],[Document Number]]&amp;"%22%20%2Bcversion%253A1",RawData[[#This Row],[Document Number]])</f>
        <v>FS1018-ADT-ZZ-ZZ-T-J-0001</v>
      </c>
    </row>
    <row r="13" spans="1:12" ht="28.8" x14ac:dyDescent="0.3">
      <c r="A13" t="s">
        <v>48</v>
      </c>
      <c r="B13" t="s">
        <v>49</v>
      </c>
      <c r="C13" t="s">
        <v>10</v>
      </c>
      <c r="D13" t="s">
        <v>20</v>
      </c>
      <c r="E13" s="8">
        <v>45748</v>
      </c>
      <c r="F13" s="1" t="s">
        <v>22</v>
      </c>
      <c r="G13" s="1" t="s">
        <v>4</v>
      </c>
      <c r="H13" s="8"/>
      <c r="J13" t="b">
        <v>1</v>
      </c>
      <c r="K13" t="s">
        <v>50</v>
      </c>
      <c r="L13" s="13" t="str">
        <f>HYPERLINK("https://uk1.aconex.co.uk/hub/index.html?mainTarget=%2FSearchControlledDoc%3FSEARCH_ACTION%3D15%26tab%3D0%26searchMode%3D1%26searchQuery%3Ddocno:%22"&amp;RawData[[#This Row],[Document Number]]&amp;"%22%20%2Bcversion%253A1",RawData[[#This Row],[Document Number]])</f>
        <v>FS1018-ADT-ZZ-ZZ-T-J-0001</v>
      </c>
    </row>
    <row r="14" spans="1:12" x14ac:dyDescent="0.3">
      <c r="A14" t="s">
        <v>51</v>
      </c>
      <c r="B14" t="s">
        <v>52</v>
      </c>
      <c r="C14" t="s">
        <v>10</v>
      </c>
      <c r="D14" t="s">
        <v>19</v>
      </c>
      <c r="E14" s="8">
        <v>45729</v>
      </c>
      <c r="F14" s="1" t="s">
        <v>12</v>
      </c>
      <c r="G14" s="1" t="s">
        <v>24</v>
      </c>
      <c r="H14" s="8">
        <v>45748</v>
      </c>
      <c r="I14" s="1" t="s">
        <v>1828</v>
      </c>
      <c r="J14" t="b">
        <v>1</v>
      </c>
      <c r="K14" t="s">
        <v>53</v>
      </c>
      <c r="L14" s="13" t="str">
        <f>HYPERLINK("https://uk1.aconex.co.uk/hub/index.html?mainTarget=%2FSearchControlledDoc%3FSEARCH_ACTION%3D15%26tab%3D0%26searchMode%3D1%26searchQuery%3Ddocno:%22"&amp;RawData[[#This Row],[Document Number]]&amp;"%22%20%2Bcversion%253A1",RawData[[#This Row],[Document Number]])</f>
        <v>FS1018-ADT-ZZ-ZZ-T-Y-0002</v>
      </c>
    </row>
    <row r="15" spans="1:12" x14ac:dyDescent="0.3">
      <c r="A15" t="s">
        <v>55</v>
      </c>
      <c r="B15" t="s">
        <v>56</v>
      </c>
      <c r="C15" t="s">
        <v>13</v>
      </c>
      <c r="D15" t="s">
        <v>19</v>
      </c>
      <c r="E15" s="8">
        <v>45730</v>
      </c>
      <c r="F15" s="1" t="s">
        <v>12</v>
      </c>
      <c r="G15" s="1" t="s">
        <v>24</v>
      </c>
      <c r="H15" s="8">
        <v>45749</v>
      </c>
      <c r="I15" s="1" t="s">
        <v>1785</v>
      </c>
      <c r="J15" t="b">
        <v>1</v>
      </c>
      <c r="K15" t="s">
        <v>57</v>
      </c>
      <c r="L15" s="13" t="str">
        <f>HYPERLINK("https://uk1.aconex.co.uk/hub/index.html?mainTarget=%2FSearchControlledDoc%3FSEARCH_ACTION%3D15%26tab%3D0%26searchMode%3D1%26searchQuery%3Ddocno:%22"&amp;RawData[[#This Row],[Document Number]]&amp;"%22%20%2Bcversion%253A1",RawData[[#This Row],[Document Number]])</f>
        <v>FS1018-AGL-ZZ-00-D-E-6110</v>
      </c>
    </row>
    <row r="16" spans="1:12" x14ac:dyDescent="0.3">
      <c r="A16" t="s">
        <v>58</v>
      </c>
      <c r="B16" t="s">
        <v>59</v>
      </c>
      <c r="C16" t="s">
        <v>13</v>
      </c>
      <c r="D16" t="s">
        <v>19</v>
      </c>
      <c r="E16" s="8">
        <v>45730</v>
      </c>
      <c r="F16" s="1" t="s">
        <v>12</v>
      </c>
      <c r="G16" s="1" t="s">
        <v>24</v>
      </c>
      <c r="H16" s="8">
        <v>45749</v>
      </c>
      <c r="I16" s="1" t="s">
        <v>1785</v>
      </c>
      <c r="J16" t="b">
        <v>1</v>
      </c>
      <c r="K16" t="s">
        <v>60</v>
      </c>
      <c r="L16" s="13" t="str">
        <f>HYPERLINK("https://uk1.aconex.co.uk/hub/index.html?mainTarget=%2FSearchControlledDoc%3FSEARCH_ACTION%3D15%26tab%3D0%26searchMode%3D1%26searchQuery%3Ddocno:%22"&amp;RawData[[#This Row],[Document Number]]&amp;"%22%20%2Bcversion%253A1",RawData[[#This Row],[Document Number]])</f>
        <v>FS1018-AGL-ZZ-00-D-E-6111</v>
      </c>
    </row>
    <row r="17" spans="1:12" ht="43.2" x14ac:dyDescent="0.3">
      <c r="A17" t="s">
        <v>61</v>
      </c>
      <c r="B17" t="s">
        <v>62</v>
      </c>
      <c r="C17" t="s">
        <v>13</v>
      </c>
      <c r="D17" t="s">
        <v>20</v>
      </c>
      <c r="E17" s="8">
        <v>45730</v>
      </c>
      <c r="F17" s="1" t="s">
        <v>12</v>
      </c>
      <c r="G17" s="1" t="s">
        <v>21</v>
      </c>
      <c r="H17" s="8">
        <v>45749</v>
      </c>
      <c r="I17" s="1" t="s">
        <v>1888</v>
      </c>
      <c r="J17" t="b">
        <v>1</v>
      </c>
      <c r="K17" t="s">
        <v>63</v>
      </c>
      <c r="L17" s="13" t="str">
        <f>HYPERLINK("https://uk1.aconex.co.uk/hub/index.html?mainTarget=%2FSearchControlledDoc%3FSEARCH_ACTION%3D15%26tab%3D0%26searchMode%3D1%26searchQuery%3Ddocno:%22"&amp;RawData[[#This Row],[Document Number]]&amp;"%22%20%2Bcversion%253A1",RawData[[#This Row],[Document Number]])</f>
        <v>FS1018-AGL-ZZ-00-D-E-6112</v>
      </c>
    </row>
    <row r="18" spans="1:12" ht="28.8" x14ac:dyDescent="0.3">
      <c r="A18" t="s">
        <v>61</v>
      </c>
      <c r="B18" t="s">
        <v>62</v>
      </c>
      <c r="C18" t="s">
        <v>13</v>
      </c>
      <c r="D18" t="s">
        <v>20</v>
      </c>
      <c r="E18" s="8">
        <v>45749</v>
      </c>
      <c r="F18" s="1" t="s">
        <v>22</v>
      </c>
      <c r="G18" s="1" t="s">
        <v>4</v>
      </c>
      <c r="H18" s="8"/>
      <c r="J18" t="b">
        <v>1</v>
      </c>
      <c r="K18" t="s">
        <v>63</v>
      </c>
      <c r="L18" s="13" t="str">
        <f>HYPERLINK("https://uk1.aconex.co.uk/hub/index.html?mainTarget=%2FSearchControlledDoc%3FSEARCH_ACTION%3D15%26tab%3D0%26searchMode%3D1%26searchQuery%3Ddocno:%22"&amp;RawData[[#This Row],[Document Number]]&amp;"%22%20%2Bcversion%253A1",RawData[[#This Row],[Document Number]])</f>
        <v>FS1018-AGL-ZZ-00-D-E-6112</v>
      </c>
    </row>
    <row r="19" spans="1:12" x14ac:dyDescent="0.3">
      <c r="A19" t="s">
        <v>64</v>
      </c>
      <c r="B19" t="s">
        <v>65</v>
      </c>
      <c r="C19" t="s">
        <v>13</v>
      </c>
      <c r="D19" t="s">
        <v>19</v>
      </c>
      <c r="E19" s="8">
        <v>45730</v>
      </c>
      <c r="F19" s="1" t="s">
        <v>12</v>
      </c>
      <c r="G19" s="1" t="s">
        <v>24</v>
      </c>
      <c r="H19" s="8">
        <v>45749</v>
      </c>
      <c r="I19" s="1" t="s">
        <v>1785</v>
      </c>
      <c r="J19" t="b">
        <v>1</v>
      </c>
      <c r="K19" t="s">
        <v>66</v>
      </c>
      <c r="L19" s="13" t="str">
        <f>HYPERLINK("https://uk1.aconex.co.uk/hub/index.html?mainTarget=%2FSearchControlledDoc%3FSEARCH_ACTION%3D15%26tab%3D0%26searchMode%3D1%26searchQuery%3Ddocno:%22"&amp;RawData[[#This Row],[Document Number]]&amp;"%22%20%2Bcversion%253A1",RawData[[#This Row],[Document Number]])</f>
        <v>FS1018-AGL-ZZ-00-D-E-6114</v>
      </c>
    </row>
    <row r="20" spans="1:12" x14ac:dyDescent="0.3">
      <c r="A20" t="s">
        <v>67</v>
      </c>
      <c r="B20" t="s">
        <v>68</v>
      </c>
      <c r="C20" t="s">
        <v>13</v>
      </c>
      <c r="D20" t="s">
        <v>19</v>
      </c>
      <c r="E20" s="8">
        <v>45730</v>
      </c>
      <c r="F20" s="1" t="s">
        <v>12</v>
      </c>
      <c r="G20" s="1" t="s">
        <v>24</v>
      </c>
      <c r="H20" s="8">
        <v>45749</v>
      </c>
      <c r="I20" s="1" t="s">
        <v>1785</v>
      </c>
      <c r="J20" t="b">
        <v>1</v>
      </c>
      <c r="K20" t="s">
        <v>69</v>
      </c>
      <c r="L20" s="13" t="str">
        <f>HYPERLINK("https://uk1.aconex.co.uk/hub/index.html?mainTarget=%2FSearchControlledDoc%3FSEARCH_ACTION%3D15%26tab%3D0%26searchMode%3D1%26searchQuery%3Ddocno:%22"&amp;RawData[[#This Row],[Document Number]]&amp;"%22%20%2Bcversion%253A1",RawData[[#This Row],[Document Number]])</f>
        <v>FS1018-AGL-ZZ-00-D-E-6210</v>
      </c>
    </row>
    <row r="21" spans="1:12" x14ac:dyDescent="0.3">
      <c r="A21" t="s">
        <v>70</v>
      </c>
      <c r="B21" t="s">
        <v>71</v>
      </c>
      <c r="C21" t="s">
        <v>13</v>
      </c>
      <c r="D21" t="s">
        <v>19</v>
      </c>
      <c r="E21" s="8">
        <v>45730</v>
      </c>
      <c r="F21" s="1" t="s">
        <v>12</v>
      </c>
      <c r="G21" s="1" t="s">
        <v>24</v>
      </c>
      <c r="H21" s="8">
        <v>45749</v>
      </c>
      <c r="I21" s="1" t="s">
        <v>1785</v>
      </c>
      <c r="J21" t="b">
        <v>1</v>
      </c>
      <c r="K21" t="s">
        <v>72</v>
      </c>
      <c r="L21" s="13" t="str">
        <f>HYPERLINK("https://uk1.aconex.co.uk/hub/index.html?mainTarget=%2FSearchControlledDoc%3FSEARCH_ACTION%3D15%26tab%3D0%26searchMode%3D1%26searchQuery%3Ddocno:%22"&amp;RawData[[#This Row],[Document Number]]&amp;"%22%20%2Bcversion%253A1",RawData[[#This Row],[Document Number]])</f>
        <v>FS1018-AGL-ZZ-00-D-E-6211</v>
      </c>
    </row>
    <row r="22" spans="1:12" ht="43.2" x14ac:dyDescent="0.3">
      <c r="A22" t="s">
        <v>73</v>
      </c>
      <c r="B22" t="s">
        <v>74</v>
      </c>
      <c r="C22" t="s">
        <v>13</v>
      </c>
      <c r="D22" t="s">
        <v>20</v>
      </c>
      <c r="E22" s="8">
        <v>45730</v>
      </c>
      <c r="F22" s="1" t="s">
        <v>12</v>
      </c>
      <c r="G22" s="1" t="s">
        <v>1027</v>
      </c>
      <c r="H22" s="8">
        <v>45749</v>
      </c>
      <c r="I22" s="1" t="s">
        <v>1889</v>
      </c>
      <c r="J22" t="b">
        <v>1</v>
      </c>
      <c r="K22" t="s">
        <v>75</v>
      </c>
      <c r="L22" s="13" t="str">
        <f>HYPERLINK("https://uk1.aconex.co.uk/hub/index.html?mainTarget=%2FSearchControlledDoc%3FSEARCH_ACTION%3D15%26tab%3D0%26searchMode%3D1%26searchQuery%3Ddocno:%22"&amp;RawData[[#This Row],[Document Number]]&amp;"%22%20%2Bcversion%253A1",RawData[[#This Row],[Document Number]])</f>
        <v>FS1018-AGL-ZZ-00-D-E-6212</v>
      </c>
    </row>
    <row r="23" spans="1:12" ht="28.8" x14ac:dyDescent="0.3">
      <c r="A23" t="s">
        <v>73</v>
      </c>
      <c r="B23" t="s">
        <v>74</v>
      </c>
      <c r="C23" t="s">
        <v>13</v>
      </c>
      <c r="D23" t="s">
        <v>20</v>
      </c>
      <c r="E23" s="8">
        <v>45749</v>
      </c>
      <c r="F23" s="1" t="s">
        <v>22</v>
      </c>
      <c r="G23" s="1" t="s">
        <v>4</v>
      </c>
      <c r="H23" s="8"/>
      <c r="J23" t="b">
        <v>1</v>
      </c>
      <c r="K23" t="s">
        <v>75</v>
      </c>
      <c r="L23" s="13" t="str">
        <f>HYPERLINK("https://uk1.aconex.co.uk/hub/index.html?mainTarget=%2FSearchControlledDoc%3FSEARCH_ACTION%3D15%26tab%3D0%26searchMode%3D1%26searchQuery%3Ddocno:%22"&amp;RawData[[#This Row],[Document Number]]&amp;"%22%20%2Bcversion%253A1",RawData[[#This Row],[Document Number]])</f>
        <v>FS1018-AGL-ZZ-00-D-E-6212</v>
      </c>
    </row>
    <row r="24" spans="1:12" x14ac:dyDescent="0.3">
      <c r="A24" t="s">
        <v>76</v>
      </c>
      <c r="B24" t="s">
        <v>77</v>
      </c>
      <c r="C24" t="s">
        <v>13</v>
      </c>
      <c r="D24" t="s">
        <v>19</v>
      </c>
      <c r="E24" s="8">
        <v>45730</v>
      </c>
      <c r="F24" s="1" t="s">
        <v>12</v>
      </c>
      <c r="G24" s="1" t="s">
        <v>24</v>
      </c>
      <c r="H24" s="8">
        <v>45749</v>
      </c>
      <c r="I24" s="1" t="s">
        <v>1785</v>
      </c>
      <c r="J24" t="b">
        <v>1</v>
      </c>
      <c r="K24" t="s">
        <v>78</v>
      </c>
      <c r="L24" s="13" t="str">
        <f>HYPERLINK("https://uk1.aconex.co.uk/hub/index.html?mainTarget=%2FSearchControlledDoc%3FSEARCH_ACTION%3D15%26tab%3D0%26searchMode%3D1%26searchQuery%3Ddocno:%22"&amp;RawData[[#This Row],[Document Number]]&amp;"%22%20%2Bcversion%253A1",RawData[[#This Row],[Document Number]])</f>
        <v>FS1018-AGL-ZZ-00-D-E-6213</v>
      </c>
    </row>
    <row r="25" spans="1:12" x14ac:dyDescent="0.3">
      <c r="A25" t="s">
        <v>79</v>
      </c>
      <c r="B25" t="s">
        <v>80</v>
      </c>
      <c r="C25" t="s">
        <v>13</v>
      </c>
      <c r="D25" t="s">
        <v>19</v>
      </c>
      <c r="E25" s="8">
        <v>45730</v>
      </c>
      <c r="F25" s="1" t="s">
        <v>12</v>
      </c>
      <c r="G25" s="1" t="s">
        <v>24</v>
      </c>
      <c r="H25" s="8">
        <v>45749</v>
      </c>
      <c r="I25" s="1" t="s">
        <v>1785</v>
      </c>
      <c r="J25" t="b">
        <v>1</v>
      </c>
      <c r="K25" t="s">
        <v>81</v>
      </c>
      <c r="L25" s="13" t="str">
        <f>HYPERLINK("https://uk1.aconex.co.uk/hub/index.html?mainTarget=%2FSearchControlledDoc%3FSEARCH_ACTION%3D15%26tab%3D0%26searchMode%3D1%26searchQuery%3Ddocno:%22"&amp;RawData[[#This Row],[Document Number]]&amp;"%22%20%2Bcversion%253A1",RawData[[#This Row],[Document Number]])</f>
        <v>FS1018-AGL-ZZ-00-D-E-6214</v>
      </c>
    </row>
    <row r="26" spans="1:12" x14ac:dyDescent="0.3">
      <c r="A26" t="s">
        <v>82</v>
      </c>
      <c r="B26" t="s">
        <v>83</v>
      </c>
      <c r="C26" t="s">
        <v>13</v>
      </c>
      <c r="D26" t="s">
        <v>19</v>
      </c>
      <c r="E26" s="8">
        <v>45730</v>
      </c>
      <c r="F26" s="1" t="s">
        <v>12</v>
      </c>
      <c r="G26" s="1" t="s">
        <v>24</v>
      </c>
      <c r="H26" s="8">
        <v>45749</v>
      </c>
      <c r="I26" s="1" t="s">
        <v>1785</v>
      </c>
      <c r="J26" t="b">
        <v>1</v>
      </c>
      <c r="K26" t="s">
        <v>84</v>
      </c>
      <c r="L26" s="13" t="str">
        <f>HYPERLINK("https://uk1.aconex.co.uk/hub/index.html?mainTarget=%2FSearchControlledDoc%3FSEARCH_ACTION%3D15%26tab%3D0%26searchMode%3D1%26searchQuery%3Ddocno:%22"&amp;RawData[[#This Row],[Document Number]]&amp;"%22%20%2Bcversion%253A1",RawData[[#This Row],[Document Number]])</f>
        <v>FS1018-AGL-ZZ-00-D-E-6215</v>
      </c>
    </row>
    <row r="27" spans="1:12" ht="100.8" x14ac:dyDescent="0.3">
      <c r="A27" t="s">
        <v>85</v>
      </c>
      <c r="B27" t="s">
        <v>86</v>
      </c>
      <c r="C27" t="s">
        <v>13</v>
      </c>
      <c r="D27" t="s">
        <v>20</v>
      </c>
      <c r="E27" s="8">
        <v>45730</v>
      </c>
      <c r="F27" s="1" t="s">
        <v>12</v>
      </c>
      <c r="G27" s="1" t="s">
        <v>21</v>
      </c>
      <c r="H27" s="8">
        <v>45749</v>
      </c>
      <c r="I27" s="1" t="s">
        <v>1890</v>
      </c>
      <c r="J27" t="b">
        <v>1</v>
      </c>
      <c r="K27" t="s">
        <v>87</v>
      </c>
      <c r="L27" s="13" t="str">
        <f>HYPERLINK("https://uk1.aconex.co.uk/hub/index.html?mainTarget=%2FSearchControlledDoc%3FSEARCH_ACTION%3D15%26tab%3D0%26searchMode%3D1%26searchQuery%3Ddocno:%22"&amp;RawData[[#This Row],[Document Number]]&amp;"%22%20%2Bcversion%253A1",RawData[[#This Row],[Document Number]])</f>
        <v>FS1018-AGL-ZZ-00-D-E-6310</v>
      </c>
    </row>
    <row r="28" spans="1:12" ht="28.8" x14ac:dyDescent="0.3">
      <c r="A28" t="s">
        <v>85</v>
      </c>
      <c r="B28" t="s">
        <v>86</v>
      </c>
      <c r="C28" t="s">
        <v>13</v>
      </c>
      <c r="D28" t="s">
        <v>20</v>
      </c>
      <c r="E28" s="8">
        <v>45749</v>
      </c>
      <c r="F28" s="1" t="s">
        <v>22</v>
      </c>
      <c r="G28" s="1" t="s">
        <v>4</v>
      </c>
      <c r="H28" s="8"/>
      <c r="J28" t="b">
        <v>1</v>
      </c>
      <c r="K28" t="s">
        <v>87</v>
      </c>
      <c r="L28" s="13" t="str">
        <f>HYPERLINK("https://uk1.aconex.co.uk/hub/index.html?mainTarget=%2FSearchControlledDoc%3FSEARCH_ACTION%3D15%26tab%3D0%26searchMode%3D1%26searchQuery%3Ddocno:%22"&amp;RawData[[#This Row],[Document Number]]&amp;"%22%20%2Bcversion%253A1",RawData[[#This Row],[Document Number]])</f>
        <v>FS1018-AGL-ZZ-00-D-E-6310</v>
      </c>
    </row>
    <row r="29" spans="1:12" ht="115.2" x14ac:dyDescent="0.3">
      <c r="A29" t="s">
        <v>88</v>
      </c>
      <c r="B29" t="s">
        <v>89</v>
      </c>
      <c r="C29" t="s">
        <v>13</v>
      </c>
      <c r="D29" t="s">
        <v>20</v>
      </c>
      <c r="E29" s="8">
        <v>45730</v>
      </c>
      <c r="F29" s="1" t="s">
        <v>12</v>
      </c>
      <c r="G29" s="1" t="s">
        <v>21</v>
      </c>
      <c r="H29" s="8">
        <v>45749</v>
      </c>
      <c r="I29" s="1" t="s">
        <v>1891</v>
      </c>
      <c r="J29" t="b">
        <v>1</v>
      </c>
      <c r="K29" t="s">
        <v>90</v>
      </c>
      <c r="L29" s="13" t="str">
        <f>HYPERLINK("https://uk1.aconex.co.uk/hub/index.html?mainTarget=%2FSearchControlledDoc%3FSEARCH_ACTION%3D15%26tab%3D0%26searchMode%3D1%26searchQuery%3Ddocno:%22"&amp;RawData[[#This Row],[Document Number]]&amp;"%22%20%2Bcversion%253A1",RawData[[#This Row],[Document Number]])</f>
        <v>FS1018-AGL-ZZ-00-D-E-6311</v>
      </c>
    </row>
    <row r="30" spans="1:12" ht="28.8" x14ac:dyDescent="0.3">
      <c r="A30" t="s">
        <v>88</v>
      </c>
      <c r="B30" t="s">
        <v>89</v>
      </c>
      <c r="C30" t="s">
        <v>13</v>
      </c>
      <c r="D30" t="s">
        <v>20</v>
      </c>
      <c r="E30" s="8">
        <v>45749</v>
      </c>
      <c r="F30" s="1" t="s">
        <v>22</v>
      </c>
      <c r="G30" s="1" t="s">
        <v>4</v>
      </c>
      <c r="H30" s="8"/>
      <c r="J30" t="b">
        <v>1</v>
      </c>
      <c r="K30" t="s">
        <v>90</v>
      </c>
      <c r="L30" s="13" t="str">
        <f>HYPERLINK("https://uk1.aconex.co.uk/hub/index.html?mainTarget=%2FSearchControlledDoc%3FSEARCH_ACTION%3D15%26tab%3D0%26searchMode%3D1%26searchQuery%3Ddocno:%22"&amp;RawData[[#This Row],[Document Number]]&amp;"%22%20%2Bcversion%253A1",RawData[[#This Row],[Document Number]])</f>
        <v>FS1018-AGL-ZZ-00-D-E-6311</v>
      </c>
    </row>
    <row r="31" spans="1:12" ht="72" x14ac:dyDescent="0.3">
      <c r="A31" t="s">
        <v>91</v>
      </c>
      <c r="B31" t="s">
        <v>92</v>
      </c>
      <c r="C31" t="s">
        <v>13</v>
      </c>
      <c r="D31" t="s">
        <v>20</v>
      </c>
      <c r="E31" s="8">
        <v>45730</v>
      </c>
      <c r="F31" s="1" t="s">
        <v>12</v>
      </c>
      <c r="G31" s="1" t="s">
        <v>21</v>
      </c>
      <c r="H31" s="8">
        <v>45749</v>
      </c>
      <c r="I31" s="1" t="s">
        <v>1892</v>
      </c>
      <c r="J31" t="b">
        <v>1</v>
      </c>
      <c r="K31" t="s">
        <v>93</v>
      </c>
      <c r="L31" s="13" t="str">
        <f>HYPERLINK("https://uk1.aconex.co.uk/hub/index.html?mainTarget=%2FSearchControlledDoc%3FSEARCH_ACTION%3D15%26tab%3D0%26searchMode%3D1%26searchQuery%3Ddocno:%22"&amp;RawData[[#This Row],[Document Number]]&amp;"%22%20%2Bcversion%253A1",RawData[[#This Row],[Document Number]])</f>
        <v>FS1018-AGL-ZZ-00-D-E-6312</v>
      </c>
    </row>
    <row r="32" spans="1:12" ht="28.8" x14ac:dyDescent="0.3">
      <c r="A32" t="s">
        <v>91</v>
      </c>
      <c r="B32" t="s">
        <v>92</v>
      </c>
      <c r="C32" t="s">
        <v>13</v>
      </c>
      <c r="D32" t="s">
        <v>20</v>
      </c>
      <c r="E32" s="8">
        <v>45749</v>
      </c>
      <c r="F32" s="1" t="s">
        <v>22</v>
      </c>
      <c r="G32" s="1" t="s">
        <v>4</v>
      </c>
      <c r="H32" s="8"/>
      <c r="J32" t="b">
        <v>1</v>
      </c>
      <c r="K32" t="s">
        <v>93</v>
      </c>
      <c r="L32" s="13" t="str">
        <f>HYPERLINK("https://uk1.aconex.co.uk/hub/index.html?mainTarget=%2FSearchControlledDoc%3FSEARCH_ACTION%3D15%26tab%3D0%26searchMode%3D1%26searchQuery%3Ddocno:%22"&amp;RawData[[#This Row],[Document Number]]&amp;"%22%20%2Bcversion%253A1",RawData[[#This Row],[Document Number]])</f>
        <v>FS1018-AGL-ZZ-00-D-E-6312</v>
      </c>
    </row>
    <row r="33" spans="1:12" x14ac:dyDescent="0.3">
      <c r="A33" t="s">
        <v>94</v>
      </c>
      <c r="B33" t="s">
        <v>95</v>
      </c>
      <c r="C33" t="s">
        <v>13</v>
      </c>
      <c r="D33" t="s">
        <v>19</v>
      </c>
      <c r="E33" s="8">
        <v>45730</v>
      </c>
      <c r="F33" s="1" t="s">
        <v>12</v>
      </c>
      <c r="G33" s="1" t="s">
        <v>24</v>
      </c>
      <c r="H33" s="8">
        <v>45749</v>
      </c>
      <c r="I33" s="1" t="s">
        <v>1785</v>
      </c>
      <c r="J33" t="b">
        <v>1</v>
      </c>
      <c r="K33" t="s">
        <v>96</v>
      </c>
      <c r="L33" s="13" t="str">
        <f>HYPERLINK("https://uk1.aconex.co.uk/hub/index.html?mainTarget=%2FSearchControlledDoc%3FSEARCH_ACTION%3D15%26tab%3D0%26searchMode%3D1%26searchQuery%3Ddocno:%22"&amp;RawData[[#This Row],[Document Number]]&amp;"%22%20%2Bcversion%253A1",RawData[[#This Row],[Document Number]])</f>
        <v>FS1018-AGL-ZZ-00-D-E-6810</v>
      </c>
    </row>
    <row r="34" spans="1:12" x14ac:dyDescent="0.3">
      <c r="A34" t="s">
        <v>97</v>
      </c>
      <c r="B34" t="s">
        <v>98</v>
      </c>
      <c r="C34" t="s">
        <v>13</v>
      </c>
      <c r="D34" t="s">
        <v>19</v>
      </c>
      <c r="E34" s="8">
        <v>45730</v>
      </c>
      <c r="F34" s="1" t="s">
        <v>12</v>
      </c>
      <c r="G34" s="1" t="s">
        <v>24</v>
      </c>
      <c r="H34" s="8">
        <v>45749</v>
      </c>
      <c r="I34" s="1" t="s">
        <v>1785</v>
      </c>
      <c r="J34" t="b">
        <v>1</v>
      </c>
      <c r="K34" t="s">
        <v>99</v>
      </c>
      <c r="L34" s="13" t="str">
        <f>HYPERLINK("https://uk1.aconex.co.uk/hub/index.html?mainTarget=%2FSearchControlledDoc%3FSEARCH_ACTION%3D15%26tab%3D0%26searchMode%3D1%26searchQuery%3Ddocno:%22"&amp;RawData[[#This Row],[Document Number]]&amp;"%22%20%2Bcversion%253A1",RawData[[#This Row],[Document Number]])</f>
        <v>FS1018-AGL-ZZ-00-D-E-6811</v>
      </c>
    </row>
    <row r="35" spans="1:12" ht="100.8" x14ac:dyDescent="0.3">
      <c r="A35" t="s">
        <v>100</v>
      </c>
      <c r="B35" t="s">
        <v>101</v>
      </c>
      <c r="C35" t="s">
        <v>13</v>
      </c>
      <c r="D35" t="s">
        <v>20</v>
      </c>
      <c r="E35" s="8">
        <v>45730</v>
      </c>
      <c r="F35" s="1" t="s">
        <v>12</v>
      </c>
      <c r="G35" s="1" t="s">
        <v>1027</v>
      </c>
      <c r="H35" s="8">
        <v>45749</v>
      </c>
      <c r="I35" s="1" t="s">
        <v>1893</v>
      </c>
      <c r="J35" t="b">
        <v>1</v>
      </c>
      <c r="K35" t="s">
        <v>102</v>
      </c>
      <c r="L35" s="13" t="str">
        <f>HYPERLINK("https://uk1.aconex.co.uk/hub/index.html?mainTarget=%2FSearchControlledDoc%3FSEARCH_ACTION%3D15%26tab%3D0%26searchMode%3D1%26searchQuery%3Ddocno:%22"&amp;RawData[[#This Row],[Document Number]]&amp;"%22%20%2Bcversion%253A1",RawData[[#This Row],[Document Number]])</f>
        <v>FS1018-AGL-ZZ-00-D-E-6812</v>
      </c>
    </row>
    <row r="36" spans="1:12" ht="28.8" x14ac:dyDescent="0.3">
      <c r="A36" t="s">
        <v>100</v>
      </c>
      <c r="B36" t="s">
        <v>101</v>
      </c>
      <c r="C36" t="s">
        <v>13</v>
      </c>
      <c r="D36" t="s">
        <v>20</v>
      </c>
      <c r="E36" s="8">
        <v>45749</v>
      </c>
      <c r="F36" s="1" t="s">
        <v>22</v>
      </c>
      <c r="G36" s="1" t="s">
        <v>4</v>
      </c>
      <c r="H36" s="8"/>
      <c r="J36" t="b">
        <v>1</v>
      </c>
      <c r="K36" t="s">
        <v>102</v>
      </c>
      <c r="L36" s="13" t="str">
        <f>HYPERLINK("https://uk1.aconex.co.uk/hub/index.html?mainTarget=%2FSearchControlledDoc%3FSEARCH_ACTION%3D15%26tab%3D0%26searchMode%3D1%26searchQuery%3Ddocno:%22"&amp;RawData[[#This Row],[Document Number]]&amp;"%22%20%2Bcversion%253A1",RawData[[#This Row],[Document Number]])</f>
        <v>FS1018-AGL-ZZ-00-D-E-6812</v>
      </c>
    </row>
    <row r="37" spans="1:12" x14ac:dyDescent="0.3">
      <c r="A37" t="s">
        <v>103</v>
      </c>
      <c r="B37" t="s">
        <v>104</v>
      </c>
      <c r="C37" t="s">
        <v>13</v>
      </c>
      <c r="D37" t="s">
        <v>19</v>
      </c>
      <c r="E37" s="8">
        <v>45730</v>
      </c>
      <c r="F37" s="1" t="s">
        <v>12</v>
      </c>
      <c r="G37" s="1" t="s">
        <v>24</v>
      </c>
      <c r="H37" s="8">
        <v>45749</v>
      </c>
      <c r="I37" s="1" t="s">
        <v>1785</v>
      </c>
      <c r="J37" t="b">
        <v>1</v>
      </c>
      <c r="K37" t="s">
        <v>105</v>
      </c>
      <c r="L37" s="13" t="str">
        <f>HYPERLINK("https://uk1.aconex.co.uk/hub/index.html?mainTarget=%2FSearchControlledDoc%3FSEARCH_ACTION%3D15%26tab%3D0%26searchMode%3D1%26searchQuery%3Ddocno:%22"&amp;RawData[[#This Row],[Document Number]]&amp;"%22%20%2Bcversion%253A1",RawData[[#This Row],[Document Number]])</f>
        <v>FS1018-AGL-ZZ-00-D-E-6820</v>
      </c>
    </row>
    <row r="38" spans="1:12" x14ac:dyDescent="0.3">
      <c r="A38" t="s">
        <v>106</v>
      </c>
      <c r="B38" t="s">
        <v>107</v>
      </c>
      <c r="C38" t="s">
        <v>13</v>
      </c>
      <c r="D38" t="s">
        <v>19</v>
      </c>
      <c r="E38" s="8">
        <v>45730</v>
      </c>
      <c r="F38" s="1" t="s">
        <v>12</v>
      </c>
      <c r="G38" s="1" t="s">
        <v>24</v>
      </c>
      <c r="H38" s="8">
        <v>45749</v>
      </c>
      <c r="I38" s="1" t="s">
        <v>1785</v>
      </c>
      <c r="J38" t="b">
        <v>1</v>
      </c>
      <c r="K38" t="s">
        <v>108</v>
      </c>
      <c r="L38" s="13" t="str">
        <f>HYPERLINK("https://uk1.aconex.co.uk/hub/index.html?mainTarget=%2FSearchControlledDoc%3FSEARCH_ACTION%3D15%26tab%3D0%26searchMode%3D1%26searchQuery%3Ddocno:%22"&amp;RawData[[#This Row],[Document Number]]&amp;"%22%20%2Bcversion%253A1",RawData[[#This Row],[Document Number]])</f>
        <v>FS1018-AGL-ZZ-00-D-E-6821</v>
      </c>
    </row>
    <row r="39" spans="1:12" x14ac:dyDescent="0.3">
      <c r="A39" t="s">
        <v>109</v>
      </c>
      <c r="B39" t="s">
        <v>110</v>
      </c>
      <c r="C39" t="s">
        <v>13</v>
      </c>
      <c r="D39" t="s">
        <v>19</v>
      </c>
      <c r="E39" s="8">
        <v>45730</v>
      </c>
      <c r="F39" s="1" t="s">
        <v>12</v>
      </c>
      <c r="G39" s="1" t="s">
        <v>24</v>
      </c>
      <c r="H39" s="8">
        <v>45749</v>
      </c>
      <c r="I39" s="1" t="s">
        <v>1785</v>
      </c>
      <c r="J39" t="b">
        <v>1</v>
      </c>
      <c r="K39" t="s">
        <v>111</v>
      </c>
      <c r="L39" s="13" t="str">
        <f>HYPERLINK("https://uk1.aconex.co.uk/hub/index.html?mainTarget=%2FSearchControlledDoc%3FSEARCH_ACTION%3D15%26tab%3D0%26searchMode%3D1%26searchQuery%3Ddocno:%22"&amp;RawData[[#This Row],[Document Number]]&amp;"%22%20%2Bcversion%253A1",RawData[[#This Row],[Document Number]])</f>
        <v>FS1018-AGL-ZZ-00-D-E-6822</v>
      </c>
    </row>
    <row r="40" spans="1:12" ht="72" x14ac:dyDescent="0.3">
      <c r="A40" t="s">
        <v>112</v>
      </c>
      <c r="B40" t="s">
        <v>113</v>
      </c>
      <c r="C40" t="s">
        <v>13</v>
      </c>
      <c r="D40" t="s">
        <v>20</v>
      </c>
      <c r="E40" s="8">
        <v>45730</v>
      </c>
      <c r="F40" s="1" t="s">
        <v>12</v>
      </c>
      <c r="G40" s="1" t="s">
        <v>1027</v>
      </c>
      <c r="H40" s="8">
        <v>45749</v>
      </c>
      <c r="I40" s="1" t="s">
        <v>1894</v>
      </c>
      <c r="J40" t="b">
        <v>1</v>
      </c>
      <c r="K40" t="s">
        <v>114</v>
      </c>
      <c r="L40" s="13" t="str">
        <f>HYPERLINK("https://uk1.aconex.co.uk/hub/index.html?mainTarget=%2FSearchControlledDoc%3FSEARCH_ACTION%3D15%26tab%3D0%26searchMode%3D1%26searchQuery%3Ddocno:%22"&amp;RawData[[#This Row],[Document Number]]&amp;"%22%20%2Bcversion%253A1",RawData[[#This Row],[Document Number]])</f>
        <v>FS1018-AGL-ZZ-00-D-E-6840</v>
      </c>
    </row>
    <row r="41" spans="1:12" ht="28.8" x14ac:dyDescent="0.3">
      <c r="A41" t="s">
        <v>112</v>
      </c>
      <c r="B41" t="s">
        <v>113</v>
      </c>
      <c r="C41" t="s">
        <v>13</v>
      </c>
      <c r="D41" t="s">
        <v>20</v>
      </c>
      <c r="E41" s="8">
        <v>45749</v>
      </c>
      <c r="F41" s="1" t="s">
        <v>22</v>
      </c>
      <c r="G41" s="1" t="s">
        <v>4</v>
      </c>
      <c r="H41" s="8"/>
      <c r="J41" t="b">
        <v>1</v>
      </c>
      <c r="K41" t="s">
        <v>114</v>
      </c>
      <c r="L41" s="13" t="str">
        <f>HYPERLINK("https://uk1.aconex.co.uk/hub/index.html?mainTarget=%2FSearchControlledDoc%3FSEARCH_ACTION%3D15%26tab%3D0%26searchMode%3D1%26searchQuery%3Ddocno:%22"&amp;RawData[[#This Row],[Document Number]]&amp;"%22%20%2Bcversion%253A1",RawData[[#This Row],[Document Number]])</f>
        <v>FS1018-AGL-ZZ-00-D-E-6840</v>
      </c>
    </row>
    <row r="42" spans="1:12" x14ac:dyDescent="0.3">
      <c r="A42" t="s">
        <v>115</v>
      </c>
      <c r="B42" t="s">
        <v>116</v>
      </c>
      <c r="C42" t="s">
        <v>13</v>
      </c>
      <c r="D42" t="s">
        <v>19</v>
      </c>
      <c r="E42" s="8">
        <v>45730</v>
      </c>
      <c r="F42" s="1" t="s">
        <v>12</v>
      </c>
      <c r="G42" s="1" t="s">
        <v>24</v>
      </c>
      <c r="H42" s="8">
        <v>45749</v>
      </c>
      <c r="I42" s="1" t="s">
        <v>1785</v>
      </c>
      <c r="J42" t="b">
        <v>1</v>
      </c>
      <c r="K42" t="s">
        <v>117</v>
      </c>
      <c r="L42" s="13" t="str">
        <f>HYPERLINK("https://uk1.aconex.co.uk/hub/index.html?mainTarget=%2FSearchControlledDoc%3FSEARCH_ACTION%3D15%26tab%3D0%26searchMode%3D1%26searchQuery%3Ddocno:%22"&amp;RawData[[#This Row],[Document Number]]&amp;"%22%20%2Bcversion%253A1",RawData[[#This Row],[Document Number]])</f>
        <v>FS1018-AGL-ZZ-00-D-E-6841</v>
      </c>
    </row>
    <row r="43" spans="1:12" x14ac:dyDescent="0.3">
      <c r="A43" t="s">
        <v>118</v>
      </c>
      <c r="B43" t="s">
        <v>119</v>
      </c>
      <c r="C43" t="s">
        <v>13</v>
      </c>
      <c r="D43" t="s">
        <v>19</v>
      </c>
      <c r="E43" s="8">
        <v>45730</v>
      </c>
      <c r="F43" s="1" t="s">
        <v>12</v>
      </c>
      <c r="G43" s="1" t="s">
        <v>24</v>
      </c>
      <c r="H43" s="8">
        <v>45749</v>
      </c>
      <c r="I43" s="1" t="s">
        <v>1785</v>
      </c>
      <c r="J43" t="b">
        <v>1</v>
      </c>
      <c r="K43" t="s">
        <v>120</v>
      </c>
      <c r="L43" s="13" t="str">
        <f>HYPERLINK("https://uk1.aconex.co.uk/hub/index.html?mainTarget=%2FSearchControlledDoc%3FSEARCH_ACTION%3D15%26tab%3D0%26searchMode%3D1%26searchQuery%3Ddocno:%22"&amp;RawData[[#This Row],[Document Number]]&amp;"%22%20%2Bcversion%253A1",RawData[[#This Row],[Document Number]])</f>
        <v>FS1018-AGL-ZZ-00-D-E-6842</v>
      </c>
    </row>
    <row r="44" spans="1:12" ht="28.8" x14ac:dyDescent="0.3">
      <c r="A44" t="s">
        <v>121</v>
      </c>
      <c r="B44" t="s">
        <v>122</v>
      </c>
      <c r="C44" t="s">
        <v>13</v>
      </c>
      <c r="D44" t="s">
        <v>20</v>
      </c>
      <c r="E44" s="8">
        <v>45730</v>
      </c>
      <c r="F44" s="1" t="s">
        <v>12</v>
      </c>
      <c r="G44" s="1" t="s">
        <v>21</v>
      </c>
      <c r="H44" s="8">
        <v>45748</v>
      </c>
      <c r="I44" s="1" t="s">
        <v>1829</v>
      </c>
      <c r="J44" t="b">
        <v>1</v>
      </c>
      <c r="K44" t="s">
        <v>123</v>
      </c>
      <c r="L44" s="13" t="str">
        <f>HYPERLINK("https://uk1.aconex.co.uk/hub/index.html?mainTarget=%2FSearchControlledDoc%3FSEARCH_ACTION%3D15%26tab%3D0%26searchMode%3D1%26searchQuery%3Ddocno:%22"&amp;RawData[[#This Row],[Document Number]]&amp;"%22%20%2Bcversion%253A1",RawData[[#This Row],[Document Number]])</f>
        <v>FS1018-AGL-ZZ-00-D-E-9001</v>
      </c>
    </row>
    <row r="45" spans="1:12" ht="28.8" x14ac:dyDescent="0.3">
      <c r="A45" t="s">
        <v>121</v>
      </c>
      <c r="B45" t="s">
        <v>122</v>
      </c>
      <c r="C45" t="s">
        <v>13</v>
      </c>
      <c r="D45" t="s">
        <v>20</v>
      </c>
      <c r="E45" s="8">
        <v>45748</v>
      </c>
      <c r="F45" s="1" t="s">
        <v>22</v>
      </c>
      <c r="G45" s="1" t="s">
        <v>4</v>
      </c>
      <c r="H45" s="8"/>
      <c r="J45" t="b">
        <v>1</v>
      </c>
      <c r="K45" t="s">
        <v>123</v>
      </c>
      <c r="L45" s="13" t="str">
        <f>HYPERLINK("https://uk1.aconex.co.uk/hub/index.html?mainTarget=%2FSearchControlledDoc%3FSEARCH_ACTION%3D15%26tab%3D0%26searchMode%3D1%26searchQuery%3Ddocno:%22"&amp;RawData[[#This Row],[Document Number]]&amp;"%22%20%2Bcversion%253A1",RawData[[#This Row],[Document Number]])</f>
        <v>FS1018-AGL-ZZ-00-D-E-9001</v>
      </c>
    </row>
    <row r="46" spans="1:12" ht="100.8" x14ac:dyDescent="0.3">
      <c r="A46" t="s">
        <v>124</v>
      </c>
      <c r="B46" t="s">
        <v>125</v>
      </c>
      <c r="C46" t="s">
        <v>10</v>
      </c>
      <c r="D46" t="s">
        <v>20</v>
      </c>
      <c r="E46" s="8">
        <v>45730</v>
      </c>
      <c r="F46" s="1" t="s">
        <v>12</v>
      </c>
      <c r="G46" s="1" t="s">
        <v>1027</v>
      </c>
      <c r="H46" s="8">
        <v>45754</v>
      </c>
      <c r="I46" s="1" t="s">
        <v>1937</v>
      </c>
      <c r="J46" t="b">
        <v>1</v>
      </c>
      <c r="K46" t="s">
        <v>126</v>
      </c>
      <c r="L46" s="13" t="str">
        <f>HYPERLINK("https://uk1.aconex.co.uk/hub/index.html?mainTarget=%2FSearchControlledDoc%3FSEARCH_ACTION%3D15%26tab%3D0%26searchMode%3D1%26searchQuery%3Ddocno:%22"&amp;RawData[[#This Row],[Document Number]]&amp;"%22%20%2Bcversion%253A1",RawData[[#This Row],[Document Number]])</f>
        <v>FS1018-AGL-ZZ-00-D-M-5210</v>
      </c>
    </row>
    <row r="47" spans="1:12" ht="28.8" x14ac:dyDescent="0.3">
      <c r="A47" t="s">
        <v>124</v>
      </c>
      <c r="B47" t="s">
        <v>125</v>
      </c>
      <c r="C47" t="s">
        <v>10</v>
      </c>
      <c r="D47" t="s">
        <v>20</v>
      </c>
      <c r="E47" s="8">
        <v>45754</v>
      </c>
      <c r="F47" s="1" t="s">
        <v>22</v>
      </c>
      <c r="G47" s="1" t="s">
        <v>4</v>
      </c>
      <c r="H47" s="8"/>
      <c r="J47" t="b">
        <v>1</v>
      </c>
      <c r="K47" t="s">
        <v>126</v>
      </c>
      <c r="L47" s="13" t="str">
        <f>HYPERLINK("https://uk1.aconex.co.uk/hub/index.html?mainTarget=%2FSearchControlledDoc%3FSEARCH_ACTION%3D15%26tab%3D0%26searchMode%3D1%26searchQuery%3Ddocno:%22"&amp;RawData[[#This Row],[Document Number]]&amp;"%22%20%2Bcversion%253A1",RawData[[#This Row],[Document Number]])</f>
        <v>FS1018-AGL-ZZ-00-D-M-5210</v>
      </c>
    </row>
    <row r="48" spans="1:12" ht="100.8" x14ac:dyDescent="0.3">
      <c r="A48" t="s">
        <v>127</v>
      </c>
      <c r="B48" t="s">
        <v>128</v>
      </c>
      <c r="C48" t="s">
        <v>10</v>
      </c>
      <c r="D48" t="s">
        <v>20</v>
      </c>
      <c r="E48" s="8">
        <v>45730</v>
      </c>
      <c r="F48" s="1" t="s">
        <v>12</v>
      </c>
      <c r="G48" s="1" t="s">
        <v>1027</v>
      </c>
      <c r="H48" s="8">
        <v>45754</v>
      </c>
      <c r="I48" s="1" t="s">
        <v>1938</v>
      </c>
      <c r="J48" t="b">
        <v>1</v>
      </c>
      <c r="K48" t="s">
        <v>129</v>
      </c>
      <c r="L48" s="13" t="str">
        <f>HYPERLINK("https://uk1.aconex.co.uk/hub/index.html?mainTarget=%2FSearchControlledDoc%3FSEARCH_ACTION%3D15%26tab%3D0%26searchMode%3D1%26searchQuery%3Ddocno:%22"&amp;RawData[[#This Row],[Document Number]]&amp;"%22%20%2Bcversion%253A1",RawData[[#This Row],[Document Number]])</f>
        <v>FS1018-AGL-ZZ-00-D-M-5211</v>
      </c>
    </row>
    <row r="49" spans="1:12" ht="28.8" x14ac:dyDescent="0.3">
      <c r="A49" t="s">
        <v>127</v>
      </c>
      <c r="B49" t="s">
        <v>128</v>
      </c>
      <c r="C49" t="s">
        <v>10</v>
      </c>
      <c r="D49" t="s">
        <v>20</v>
      </c>
      <c r="E49" s="8">
        <v>45754</v>
      </c>
      <c r="F49" s="1" t="s">
        <v>22</v>
      </c>
      <c r="G49" s="1" t="s">
        <v>4</v>
      </c>
      <c r="H49" s="8"/>
      <c r="J49" t="b">
        <v>1</v>
      </c>
      <c r="K49" t="s">
        <v>129</v>
      </c>
      <c r="L49" s="13" t="str">
        <f>HYPERLINK("https://uk1.aconex.co.uk/hub/index.html?mainTarget=%2FSearchControlledDoc%3FSEARCH_ACTION%3D15%26tab%3D0%26searchMode%3D1%26searchQuery%3Ddocno:%22"&amp;RawData[[#This Row],[Document Number]]&amp;"%22%20%2Bcversion%253A1",RawData[[#This Row],[Document Number]])</f>
        <v>FS1018-AGL-ZZ-00-D-M-5211</v>
      </c>
    </row>
    <row r="50" spans="1:12" ht="28.8" x14ac:dyDescent="0.3">
      <c r="A50" t="s">
        <v>130</v>
      </c>
      <c r="B50" t="s">
        <v>131</v>
      </c>
      <c r="C50" t="s">
        <v>10</v>
      </c>
      <c r="D50" t="s">
        <v>20</v>
      </c>
      <c r="E50" s="8">
        <v>45730</v>
      </c>
      <c r="F50" s="1" t="s">
        <v>12</v>
      </c>
      <c r="G50" s="1" t="s">
        <v>1027</v>
      </c>
      <c r="H50" s="8">
        <v>45754</v>
      </c>
      <c r="I50" s="1" t="s">
        <v>1939</v>
      </c>
      <c r="J50" t="b">
        <v>1</v>
      </c>
      <c r="K50" t="s">
        <v>132</v>
      </c>
      <c r="L50" s="13" t="str">
        <f>HYPERLINK("https://uk1.aconex.co.uk/hub/index.html?mainTarget=%2FSearchControlledDoc%3FSEARCH_ACTION%3D15%26tab%3D0%26searchMode%3D1%26searchQuery%3Ddocno:%22"&amp;RawData[[#This Row],[Document Number]]&amp;"%22%20%2Bcversion%253A1",RawData[[#This Row],[Document Number]])</f>
        <v>FS1018-AGL-ZZ-00-D-M-5212</v>
      </c>
    </row>
    <row r="51" spans="1:12" ht="28.8" x14ac:dyDescent="0.3">
      <c r="A51" t="s">
        <v>130</v>
      </c>
      <c r="B51" t="s">
        <v>131</v>
      </c>
      <c r="C51" t="s">
        <v>10</v>
      </c>
      <c r="D51" t="s">
        <v>20</v>
      </c>
      <c r="E51" s="8">
        <v>45754</v>
      </c>
      <c r="F51" s="1" t="s">
        <v>22</v>
      </c>
      <c r="G51" s="1" t="s">
        <v>4</v>
      </c>
      <c r="H51" s="8"/>
      <c r="J51" t="b">
        <v>1</v>
      </c>
      <c r="K51" t="s">
        <v>132</v>
      </c>
      <c r="L51" s="13" t="str">
        <f>HYPERLINK("https://uk1.aconex.co.uk/hub/index.html?mainTarget=%2FSearchControlledDoc%3FSEARCH_ACTION%3D15%26tab%3D0%26searchMode%3D1%26searchQuery%3Ddocno:%22"&amp;RawData[[#This Row],[Document Number]]&amp;"%22%20%2Bcversion%253A1",RawData[[#This Row],[Document Number]])</f>
        <v>FS1018-AGL-ZZ-00-D-M-5212</v>
      </c>
    </row>
    <row r="52" spans="1:12" ht="28.8" x14ac:dyDescent="0.3">
      <c r="A52" t="s">
        <v>133</v>
      </c>
      <c r="B52" t="s">
        <v>134</v>
      </c>
      <c r="C52" t="s">
        <v>10</v>
      </c>
      <c r="D52" t="s">
        <v>20</v>
      </c>
      <c r="E52" s="8">
        <v>45730</v>
      </c>
      <c r="F52" s="1" t="s">
        <v>12</v>
      </c>
      <c r="G52" s="1" t="s">
        <v>1027</v>
      </c>
      <c r="H52" s="8">
        <v>45754</v>
      </c>
      <c r="I52" s="1" t="s">
        <v>1940</v>
      </c>
      <c r="J52" t="b">
        <v>1</v>
      </c>
      <c r="K52" t="s">
        <v>135</v>
      </c>
      <c r="L52" s="13" t="str">
        <f>HYPERLINK("https://uk1.aconex.co.uk/hub/index.html?mainTarget=%2FSearchControlledDoc%3FSEARCH_ACTION%3D15%26tab%3D0%26searchMode%3D1%26searchQuery%3Ddocno:%22"&amp;RawData[[#This Row],[Document Number]]&amp;"%22%20%2Bcversion%253A1",RawData[[#This Row],[Document Number]])</f>
        <v>FS1018-AGL-ZZ-00-D-M-5310</v>
      </c>
    </row>
    <row r="53" spans="1:12" ht="28.8" x14ac:dyDescent="0.3">
      <c r="A53" t="s">
        <v>133</v>
      </c>
      <c r="B53" t="s">
        <v>134</v>
      </c>
      <c r="C53" t="s">
        <v>10</v>
      </c>
      <c r="D53" t="s">
        <v>20</v>
      </c>
      <c r="E53" s="8">
        <v>45754</v>
      </c>
      <c r="F53" s="1" t="s">
        <v>22</v>
      </c>
      <c r="G53" s="1" t="s">
        <v>4</v>
      </c>
      <c r="H53" s="8"/>
      <c r="J53" t="b">
        <v>1</v>
      </c>
      <c r="K53" t="s">
        <v>135</v>
      </c>
      <c r="L53" s="13" t="str">
        <f>HYPERLINK("https://uk1.aconex.co.uk/hub/index.html?mainTarget=%2FSearchControlledDoc%3FSEARCH_ACTION%3D15%26tab%3D0%26searchMode%3D1%26searchQuery%3Ddocno:%22"&amp;RawData[[#This Row],[Document Number]]&amp;"%22%20%2Bcversion%253A1",RawData[[#This Row],[Document Number]])</f>
        <v>FS1018-AGL-ZZ-00-D-M-5310</v>
      </c>
    </row>
    <row r="54" spans="1:12" x14ac:dyDescent="0.3">
      <c r="A54" t="s">
        <v>136</v>
      </c>
      <c r="B54" t="s">
        <v>137</v>
      </c>
      <c r="C54" t="s">
        <v>10</v>
      </c>
      <c r="D54" t="s">
        <v>19</v>
      </c>
      <c r="E54" s="8">
        <v>45730</v>
      </c>
      <c r="F54" s="1" t="s">
        <v>12</v>
      </c>
      <c r="G54" s="1" t="s">
        <v>24</v>
      </c>
      <c r="H54" s="8">
        <v>45754</v>
      </c>
      <c r="J54" t="b">
        <v>1</v>
      </c>
      <c r="K54" t="s">
        <v>138</v>
      </c>
      <c r="L54" s="13" t="str">
        <f>HYPERLINK("https://uk1.aconex.co.uk/hub/index.html?mainTarget=%2FSearchControlledDoc%3FSEARCH_ACTION%3D15%26tab%3D0%26searchMode%3D1%26searchQuery%3Ddocno:%22"&amp;RawData[[#This Row],[Document Number]]&amp;"%22%20%2Bcversion%253A1",RawData[[#This Row],[Document Number]])</f>
        <v>FS1018-AGL-ZZ-00-D-M-5311</v>
      </c>
    </row>
    <row r="55" spans="1:12" x14ac:dyDescent="0.3">
      <c r="A55" t="s">
        <v>139</v>
      </c>
      <c r="B55" t="s">
        <v>140</v>
      </c>
      <c r="C55" t="s">
        <v>10</v>
      </c>
      <c r="D55" t="s">
        <v>19</v>
      </c>
      <c r="E55" s="8">
        <v>45730</v>
      </c>
      <c r="F55" s="1" t="s">
        <v>12</v>
      </c>
      <c r="G55" s="1" t="s">
        <v>24</v>
      </c>
      <c r="H55" s="8">
        <v>45754</v>
      </c>
      <c r="J55" t="b">
        <v>1</v>
      </c>
      <c r="K55" t="s">
        <v>141</v>
      </c>
      <c r="L55" s="13" t="str">
        <f>HYPERLINK("https://uk1.aconex.co.uk/hub/index.html?mainTarget=%2FSearchControlledDoc%3FSEARCH_ACTION%3D15%26tab%3D0%26searchMode%3D1%26searchQuery%3Ddocno:%22"&amp;RawData[[#This Row],[Document Number]]&amp;"%22%20%2Bcversion%253A1",RawData[[#This Row],[Document Number]])</f>
        <v>FS1018-AGL-ZZ-00-D-M-5312</v>
      </c>
    </row>
    <row r="56" spans="1:12" x14ac:dyDescent="0.3">
      <c r="A56" t="s">
        <v>142</v>
      </c>
      <c r="B56" t="s">
        <v>143</v>
      </c>
      <c r="C56" t="s">
        <v>10</v>
      </c>
      <c r="D56" t="s">
        <v>19</v>
      </c>
      <c r="E56" s="8">
        <v>45730</v>
      </c>
      <c r="F56" s="1" t="s">
        <v>12</v>
      </c>
      <c r="G56" s="1" t="s">
        <v>24</v>
      </c>
      <c r="H56" s="8">
        <v>45754</v>
      </c>
      <c r="J56" t="b">
        <v>1</v>
      </c>
      <c r="K56" t="s">
        <v>144</v>
      </c>
      <c r="L56" s="13" t="str">
        <f>HYPERLINK("https://uk1.aconex.co.uk/hub/index.html?mainTarget=%2FSearchControlledDoc%3FSEARCH_ACTION%3D15%26tab%3D0%26searchMode%3D1%26searchQuery%3Ddocno:%22"&amp;RawData[[#This Row],[Document Number]]&amp;"%22%20%2Bcversion%253A1",RawData[[#This Row],[Document Number]])</f>
        <v>FS1018-AGL-ZZ-00-D-M-5410</v>
      </c>
    </row>
    <row r="57" spans="1:12" ht="72" x14ac:dyDescent="0.3">
      <c r="A57" t="s">
        <v>145</v>
      </c>
      <c r="B57" t="s">
        <v>146</v>
      </c>
      <c r="C57" t="s">
        <v>13</v>
      </c>
      <c r="D57" t="s">
        <v>20</v>
      </c>
      <c r="E57" s="8">
        <v>45730</v>
      </c>
      <c r="F57" s="1" t="s">
        <v>12</v>
      </c>
      <c r="G57" s="1" t="s">
        <v>21</v>
      </c>
      <c r="H57" s="8">
        <v>45743</v>
      </c>
      <c r="I57" s="1" t="s">
        <v>1779</v>
      </c>
      <c r="J57" t="b">
        <v>1</v>
      </c>
      <c r="K57" t="s">
        <v>147</v>
      </c>
      <c r="L57" s="13" t="str">
        <f>HYPERLINK("https://uk1.aconex.co.uk/hub/index.html?mainTarget=%2FSearchControlledDoc%3FSEARCH_ACTION%3D15%26tab%3D0%26searchMode%3D1%26searchQuery%3Ddocno:%22"&amp;RawData[[#This Row],[Document Number]]&amp;"%22%20%2Bcversion%253A1",RawData[[#This Row],[Document Number]])</f>
        <v>FS1018-AGL-ZZ-00-D-M-5610</v>
      </c>
    </row>
    <row r="58" spans="1:12" ht="28.8" x14ac:dyDescent="0.3">
      <c r="A58" t="s">
        <v>145</v>
      </c>
      <c r="B58" t="s">
        <v>146</v>
      </c>
      <c r="C58" t="s">
        <v>13</v>
      </c>
      <c r="D58" t="s">
        <v>20</v>
      </c>
      <c r="E58" s="8">
        <v>45743</v>
      </c>
      <c r="F58" s="1" t="s">
        <v>22</v>
      </c>
      <c r="G58" s="1" t="s">
        <v>4</v>
      </c>
      <c r="H58" s="8"/>
      <c r="J58" t="b">
        <v>1</v>
      </c>
      <c r="K58" t="s">
        <v>147</v>
      </c>
      <c r="L58" s="13" t="str">
        <f>HYPERLINK("https://uk1.aconex.co.uk/hub/index.html?mainTarget=%2FSearchControlledDoc%3FSEARCH_ACTION%3D15%26tab%3D0%26searchMode%3D1%26searchQuery%3Ddocno:%22"&amp;RawData[[#This Row],[Document Number]]&amp;"%22%20%2Bcversion%253A1",RawData[[#This Row],[Document Number]])</f>
        <v>FS1018-AGL-ZZ-00-D-M-5610</v>
      </c>
    </row>
    <row r="59" spans="1:12" ht="43.2" x14ac:dyDescent="0.3">
      <c r="A59" t="s">
        <v>148</v>
      </c>
      <c r="B59" t="s">
        <v>149</v>
      </c>
      <c r="C59" t="s">
        <v>13</v>
      </c>
      <c r="D59" t="s">
        <v>20</v>
      </c>
      <c r="E59" s="8">
        <v>45730</v>
      </c>
      <c r="F59" s="1" t="s">
        <v>12</v>
      </c>
      <c r="G59" s="1" t="s">
        <v>21</v>
      </c>
      <c r="H59" s="8">
        <v>45743</v>
      </c>
      <c r="I59" s="1" t="s">
        <v>1780</v>
      </c>
      <c r="J59" t="b">
        <v>1</v>
      </c>
      <c r="K59" t="s">
        <v>150</v>
      </c>
      <c r="L59" s="13" t="str">
        <f>HYPERLINK("https://uk1.aconex.co.uk/hub/index.html?mainTarget=%2FSearchControlledDoc%3FSEARCH_ACTION%3D15%26tab%3D0%26searchMode%3D1%26searchQuery%3Ddocno:%22"&amp;RawData[[#This Row],[Document Number]]&amp;"%22%20%2Bcversion%253A1",RawData[[#This Row],[Document Number]])</f>
        <v>FS1018-AGL-ZZ-00-D-M-5611</v>
      </c>
    </row>
    <row r="60" spans="1:12" ht="28.8" x14ac:dyDescent="0.3">
      <c r="A60" t="s">
        <v>148</v>
      </c>
      <c r="B60" t="s">
        <v>149</v>
      </c>
      <c r="C60" t="s">
        <v>13</v>
      </c>
      <c r="D60" t="s">
        <v>20</v>
      </c>
      <c r="E60" s="8">
        <v>45743</v>
      </c>
      <c r="F60" s="1" t="s">
        <v>22</v>
      </c>
      <c r="G60" s="1" t="s">
        <v>4</v>
      </c>
      <c r="H60" s="8"/>
      <c r="J60" t="b">
        <v>1</v>
      </c>
      <c r="K60" t="s">
        <v>150</v>
      </c>
      <c r="L60" s="13" t="str">
        <f>HYPERLINK("https://uk1.aconex.co.uk/hub/index.html?mainTarget=%2FSearchControlledDoc%3FSEARCH_ACTION%3D15%26tab%3D0%26searchMode%3D1%26searchQuery%3Ddocno:%22"&amp;RawData[[#This Row],[Document Number]]&amp;"%22%20%2Bcversion%253A1",RawData[[#This Row],[Document Number]])</f>
        <v>FS1018-AGL-ZZ-00-D-M-5611</v>
      </c>
    </row>
    <row r="61" spans="1:12" ht="43.2" x14ac:dyDescent="0.3">
      <c r="A61" t="s">
        <v>151</v>
      </c>
      <c r="B61" t="s">
        <v>152</v>
      </c>
      <c r="C61" t="s">
        <v>13</v>
      </c>
      <c r="D61" t="s">
        <v>20</v>
      </c>
      <c r="E61" s="8">
        <v>45730</v>
      </c>
      <c r="F61" s="1" t="s">
        <v>12</v>
      </c>
      <c r="G61" s="1" t="s">
        <v>21</v>
      </c>
      <c r="H61" s="8">
        <v>45743</v>
      </c>
      <c r="I61" s="1" t="s">
        <v>1780</v>
      </c>
      <c r="J61" t="b">
        <v>1</v>
      </c>
      <c r="K61" t="s">
        <v>153</v>
      </c>
      <c r="L61" s="13" t="str">
        <f>HYPERLINK("https://uk1.aconex.co.uk/hub/index.html?mainTarget=%2FSearchControlledDoc%3FSEARCH_ACTION%3D15%26tab%3D0%26searchMode%3D1%26searchQuery%3Ddocno:%22"&amp;RawData[[#This Row],[Document Number]]&amp;"%22%20%2Bcversion%253A1",RawData[[#This Row],[Document Number]])</f>
        <v>FS1018-AGL-ZZ-00-D-M-5612</v>
      </c>
    </row>
    <row r="62" spans="1:12" ht="28.8" x14ac:dyDescent="0.3">
      <c r="A62" t="s">
        <v>151</v>
      </c>
      <c r="B62" t="s">
        <v>152</v>
      </c>
      <c r="C62" t="s">
        <v>13</v>
      </c>
      <c r="D62" t="s">
        <v>20</v>
      </c>
      <c r="E62" s="8">
        <v>45743</v>
      </c>
      <c r="F62" s="1" t="s">
        <v>22</v>
      </c>
      <c r="G62" s="1" t="s">
        <v>4</v>
      </c>
      <c r="H62" s="8"/>
      <c r="J62" t="b">
        <v>1</v>
      </c>
      <c r="K62" t="s">
        <v>153</v>
      </c>
      <c r="L62" s="13" t="str">
        <f>HYPERLINK("https://uk1.aconex.co.uk/hub/index.html?mainTarget=%2FSearchControlledDoc%3FSEARCH_ACTION%3D15%26tab%3D0%26searchMode%3D1%26searchQuery%3Ddocno:%22"&amp;RawData[[#This Row],[Document Number]]&amp;"%22%20%2Bcversion%253A1",RawData[[#This Row],[Document Number]])</f>
        <v>FS1018-AGL-ZZ-00-D-M-5612</v>
      </c>
    </row>
    <row r="63" spans="1:12" ht="115.2" x14ac:dyDescent="0.3">
      <c r="A63" t="s">
        <v>154</v>
      </c>
      <c r="B63" t="s">
        <v>155</v>
      </c>
      <c r="C63" t="s">
        <v>10</v>
      </c>
      <c r="D63" t="s">
        <v>20</v>
      </c>
      <c r="E63" s="8">
        <v>45730</v>
      </c>
      <c r="F63" s="1" t="s">
        <v>12</v>
      </c>
      <c r="G63" s="1" t="s">
        <v>21</v>
      </c>
      <c r="H63" s="8">
        <v>45743</v>
      </c>
      <c r="I63" s="1" t="s">
        <v>1781</v>
      </c>
      <c r="J63" t="b">
        <v>1</v>
      </c>
      <c r="K63" t="s">
        <v>156</v>
      </c>
      <c r="L63" s="13" t="str">
        <f>HYPERLINK("https://uk1.aconex.co.uk/hub/index.html?mainTarget=%2FSearchControlledDoc%3FSEARCH_ACTION%3D15%26tab%3D0%26searchMode%3D1%26searchQuery%3Ddocno:%22"&amp;RawData[[#This Row],[Document Number]]&amp;"%22%20%2Bcversion%253A1",RawData[[#This Row],[Document Number]])</f>
        <v>FS1018-AGL-ZZ-00-D-M-5710</v>
      </c>
    </row>
    <row r="64" spans="1:12" ht="28.8" x14ac:dyDescent="0.3">
      <c r="A64" t="s">
        <v>154</v>
      </c>
      <c r="B64" t="s">
        <v>155</v>
      </c>
      <c r="C64" t="s">
        <v>10</v>
      </c>
      <c r="D64" t="s">
        <v>20</v>
      </c>
      <c r="E64" s="8">
        <v>45743</v>
      </c>
      <c r="F64" s="1" t="s">
        <v>22</v>
      </c>
      <c r="G64" s="1" t="s">
        <v>4</v>
      </c>
      <c r="H64" s="8"/>
      <c r="J64" t="b">
        <v>1</v>
      </c>
      <c r="K64" t="s">
        <v>156</v>
      </c>
      <c r="L64" s="13" t="str">
        <f>HYPERLINK("https://uk1.aconex.co.uk/hub/index.html?mainTarget=%2FSearchControlledDoc%3FSEARCH_ACTION%3D15%26tab%3D0%26searchMode%3D1%26searchQuery%3Ddocno:%22"&amp;RawData[[#This Row],[Document Number]]&amp;"%22%20%2Bcversion%253A1",RawData[[#This Row],[Document Number]])</f>
        <v>FS1018-AGL-ZZ-00-D-M-5710</v>
      </c>
    </row>
    <row r="65" spans="1:12" ht="115.2" x14ac:dyDescent="0.3">
      <c r="A65" t="s">
        <v>157</v>
      </c>
      <c r="B65" t="s">
        <v>158</v>
      </c>
      <c r="C65" t="s">
        <v>10</v>
      </c>
      <c r="D65" t="s">
        <v>20</v>
      </c>
      <c r="E65" s="8">
        <v>45730</v>
      </c>
      <c r="F65" s="1" t="s">
        <v>12</v>
      </c>
      <c r="G65" s="1" t="s">
        <v>21</v>
      </c>
      <c r="H65" s="8">
        <v>45743</v>
      </c>
      <c r="I65" s="1" t="s">
        <v>1782</v>
      </c>
      <c r="J65" t="b">
        <v>1</v>
      </c>
      <c r="K65" t="s">
        <v>159</v>
      </c>
      <c r="L65" s="13" t="str">
        <f>HYPERLINK("https://uk1.aconex.co.uk/hub/index.html?mainTarget=%2FSearchControlledDoc%3FSEARCH_ACTION%3D15%26tab%3D0%26searchMode%3D1%26searchQuery%3Ddocno:%22"&amp;RawData[[#This Row],[Document Number]]&amp;"%22%20%2Bcversion%253A1",RawData[[#This Row],[Document Number]])</f>
        <v>FS1018-AGL-ZZ-00-D-M-5711</v>
      </c>
    </row>
    <row r="66" spans="1:12" ht="28.8" x14ac:dyDescent="0.3">
      <c r="A66" t="s">
        <v>157</v>
      </c>
      <c r="B66" t="s">
        <v>158</v>
      </c>
      <c r="C66" t="s">
        <v>10</v>
      </c>
      <c r="D66" t="s">
        <v>20</v>
      </c>
      <c r="E66" s="8">
        <v>45743</v>
      </c>
      <c r="F66" s="1" t="s">
        <v>22</v>
      </c>
      <c r="G66" s="1" t="s">
        <v>4</v>
      </c>
      <c r="H66" s="8"/>
      <c r="J66" t="b">
        <v>1</v>
      </c>
      <c r="K66" t="s">
        <v>159</v>
      </c>
      <c r="L66" s="13" t="str">
        <f>HYPERLINK("https://uk1.aconex.co.uk/hub/index.html?mainTarget=%2FSearchControlledDoc%3FSEARCH_ACTION%3D15%26tab%3D0%26searchMode%3D1%26searchQuery%3Ddocno:%22"&amp;RawData[[#This Row],[Document Number]]&amp;"%22%20%2Bcversion%253A1",RawData[[#This Row],[Document Number]])</f>
        <v>FS1018-AGL-ZZ-00-D-M-5711</v>
      </c>
    </row>
    <row r="67" spans="1:12" ht="57.6" x14ac:dyDescent="0.3">
      <c r="A67" t="s">
        <v>160</v>
      </c>
      <c r="B67" t="s">
        <v>161</v>
      </c>
      <c r="C67" t="s">
        <v>10</v>
      </c>
      <c r="D67" t="s">
        <v>20</v>
      </c>
      <c r="E67" s="8">
        <v>45730</v>
      </c>
      <c r="F67" s="1" t="s">
        <v>12</v>
      </c>
      <c r="G67" s="1" t="s">
        <v>21</v>
      </c>
      <c r="H67" s="8">
        <v>45743</v>
      </c>
      <c r="I67" s="1" t="s">
        <v>1783</v>
      </c>
      <c r="J67" t="b">
        <v>1</v>
      </c>
      <c r="K67" t="s">
        <v>162</v>
      </c>
      <c r="L67" s="13" t="str">
        <f>HYPERLINK("https://uk1.aconex.co.uk/hub/index.html?mainTarget=%2FSearchControlledDoc%3FSEARCH_ACTION%3D15%26tab%3D0%26searchMode%3D1%26searchQuery%3Ddocno:%22"&amp;RawData[[#This Row],[Document Number]]&amp;"%22%20%2Bcversion%253A1",RawData[[#This Row],[Document Number]])</f>
        <v>FS1018-AGL-ZZ-00-D-M-5712</v>
      </c>
    </row>
    <row r="68" spans="1:12" ht="28.8" x14ac:dyDescent="0.3">
      <c r="A68" t="s">
        <v>160</v>
      </c>
      <c r="B68" t="s">
        <v>161</v>
      </c>
      <c r="C68" t="s">
        <v>10</v>
      </c>
      <c r="D68" t="s">
        <v>20</v>
      </c>
      <c r="E68" s="8">
        <v>45743</v>
      </c>
      <c r="F68" s="1" t="s">
        <v>22</v>
      </c>
      <c r="G68" s="1" t="s">
        <v>4</v>
      </c>
      <c r="H68" s="8"/>
      <c r="J68" t="b">
        <v>1</v>
      </c>
      <c r="K68" t="s">
        <v>162</v>
      </c>
      <c r="L68" s="13" t="str">
        <f>HYPERLINK("https://uk1.aconex.co.uk/hub/index.html?mainTarget=%2FSearchControlledDoc%3FSEARCH_ACTION%3D15%26tab%3D0%26searchMode%3D1%26searchQuery%3Ddocno:%22"&amp;RawData[[#This Row],[Document Number]]&amp;"%22%20%2Bcversion%253A1",RawData[[#This Row],[Document Number]])</f>
        <v>FS1018-AGL-ZZ-00-D-M-5712</v>
      </c>
    </row>
    <row r="69" spans="1:12" ht="28.8" x14ac:dyDescent="0.3">
      <c r="A69" t="s">
        <v>163</v>
      </c>
      <c r="B69" t="s">
        <v>164</v>
      </c>
      <c r="C69" t="s">
        <v>13</v>
      </c>
      <c r="D69" t="s">
        <v>20</v>
      </c>
      <c r="E69" s="8">
        <v>45730</v>
      </c>
      <c r="F69" s="1" t="s">
        <v>12</v>
      </c>
      <c r="G69" s="1" t="s">
        <v>1027</v>
      </c>
      <c r="H69" s="8">
        <v>45743</v>
      </c>
      <c r="I69" s="1" t="s">
        <v>1784</v>
      </c>
      <c r="J69" t="b">
        <v>1</v>
      </c>
      <c r="K69" t="s">
        <v>165</v>
      </c>
      <c r="L69" s="13" t="str">
        <f>HYPERLINK("https://uk1.aconex.co.uk/hub/index.html?mainTarget=%2FSearchControlledDoc%3FSEARCH_ACTION%3D15%26tab%3D0%26searchMode%3D1%26searchQuery%3Ddocno:%22"&amp;RawData[[#This Row],[Document Number]]&amp;"%22%20%2Bcversion%253A1",RawData[[#This Row],[Document Number]])</f>
        <v>FS1018-AGL-ZZ-00-D-M-5810</v>
      </c>
    </row>
    <row r="70" spans="1:12" ht="28.8" x14ac:dyDescent="0.3">
      <c r="A70" t="s">
        <v>163</v>
      </c>
      <c r="B70" t="s">
        <v>164</v>
      </c>
      <c r="C70" t="s">
        <v>13</v>
      </c>
      <c r="D70" t="s">
        <v>20</v>
      </c>
      <c r="E70" s="8">
        <v>45743</v>
      </c>
      <c r="F70" s="1" t="s">
        <v>22</v>
      </c>
      <c r="G70" s="1" t="s">
        <v>4</v>
      </c>
      <c r="H70" s="8"/>
      <c r="J70" t="b">
        <v>1</v>
      </c>
      <c r="K70" t="s">
        <v>165</v>
      </c>
      <c r="L70" s="13" t="str">
        <f>HYPERLINK("https://uk1.aconex.co.uk/hub/index.html?mainTarget=%2FSearchControlledDoc%3FSEARCH_ACTION%3D15%26tab%3D0%26searchMode%3D1%26searchQuery%3Ddocno:%22"&amp;RawData[[#This Row],[Document Number]]&amp;"%22%20%2Bcversion%253A1",RawData[[#This Row],[Document Number]])</f>
        <v>FS1018-AGL-ZZ-00-D-M-5810</v>
      </c>
    </row>
    <row r="71" spans="1:12" x14ac:dyDescent="0.3">
      <c r="A71" t="s">
        <v>166</v>
      </c>
      <c r="B71" t="s">
        <v>167</v>
      </c>
      <c r="C71" t="s">
        <v>13</v>
      </c>
      <c r="D71" t="s">
        <v>19</v>
      </c>
      <c r="E71" s="8">
        <v>45730</v>
      </c>
      <c r="F71" s="1" t="s">
        <v>12</v>
      </c>
      <c r="G71" s="1" t="s">
        <v>24</v>
      </c>
      <c r="H71" s="8">
        <v>45743</v>
      </c>
      <c r="I71" s="1" t="s">
        <v>1785</v>
      </c>
      <c r="J71" t="b">
        <v>1</v>
      </c>
      <c r="K71" t="s">
        <v>168</v>
      </c>
      <c r="L71" s="13" t="str">
        <f>HYPERLINK("https://uk1.aconex.co.uk/hub/index.html?mainTarget=%2FSearchControlledDoc%3FSEARCH_ACTION%3D15%26tab%3D0%26searchMode%3D1%26searchQuery%3Ddocno:%22"&amp;RawData[[#This Row],[Document Number]]&amp;"%22%20%2Bcversion%253A1",RawData[[#This Row],[Document Number]])</f>
        <v>FS1018-AGL-ZZ-00-D-M-5811</v>
      </c>
    </row>
    <row r="72" spans="1:12" x14ac:dyDescent="0.3">
      <c r="A72" t="s">
        <v>169</v>
      </c>
      <c r="B72" t="s">
        <v>170</v>
      </c>
      <c r="C72" t="s">
        <v>13</v>
      </c>
      <c r="D72" t="s">
        <v>19</v>
      </c>
      <c r="E72" s="8">
        <v>45730</v>
      </c>
      <c r="F72" s="1" t="s">
        <v>12</v>
      </c>
      <c r="G72" s="1" t="s">
        <v>24</v>
      </c>
      <c r="H72" s="8">
        <v>45743</v>
      </c>
      <c r="I72" s="1" t="s">
        <v>1785</v>
      </c>
      <c r="J72" t="b">
        <v>1</v>
      </c>
      <c r="K72" t="s">
        <v>171</v>
      </c>
      <c r="L72" s="13" t="str">
        <f>HYPERLINK("https://uk1.aconex.co.uk/hub/index.html?mainTarget=%2FSearchControlledDoc%3FSEARCH_ACTION%3D15%26tab%3D0%26searchMode%3D1%26searchQuery%3Ddocno:%22"&amp;RawData[[#This Row],[Document Number]]&amp;"%22%20%2Bcversion%253A1",RawData[[#This Row],[Document Number]])</f>
        <v>FS1018-AGL-ZZ-00-D-Z-6010</v>
      </c>
    </row>
    <row r="73" spans="1:12" x14ac:dyDescent="0.3">
      <c r="A73" t="s">
        <v>172</v>
      </c>
      <c r="B73" t="s">
        <v>173</v>
      </c>
      <c r="C73" t="s">
        <v>13</v>
      </c>
      <c r="D73" t="s">
        <v>19</v>
      </c>
      <c r="E73" s="8">
        <v>45730</v>
      </c>
      <c r="F73" s="1" t="s">
        <v>12</v>
      </c>
      <c r="G73" s="1" t="s">
        <v>24</v>
      </c>
      <c r="H73" s="8">
        <v>45743</v>
      </c>
      <c r="I73" s="1" t="s">
        <v>1785</v>
      </c>
      <c r="J73" t="b">
        <v>1</v>
      </c>
      <c r="K73" t="s">
        <v>174</v>
      </c>
      <c r="L73" s="13" t="str">
        <f>HYPERLINK("https://uk1.aconex.co.uk/hub/index.html?mainTarget=%2FSearchControlledDoc%3FSEARCH_ACTION%3D15%26tab%3D0%26searchMode%3D1%26searchQuery%3Ddocno:%22"&amp;RawData[[#This Row],[Document Number]]&amp;"%22%20%2Bcversion%253A1",RawData[[#This Row],[Document Number]])</f>
        <v>FS1018-AGL-ZZ-00-D-Z-6011</v>
      </c>
    </row>
    <row r="74" spans="1:12" x14ac:dyDescent="0.3">
      <c r="A74" t="s">
        <v>175</v>
      </c>
      <c r="B74" t="s">
        <v>176</v>
      </c>
      <c r="C74" t="s">
        <v>13</v>
      </c>
      <c r="D74" t="s">
        <v>19</v>
      </c>
      <c r="E74" s="8">
        <v>45730</v>
      </c>
      <c r="F74" s="1" t="s">
        <v>12</v>
      </c>
      <c r="G74" s="1" t="s">
        <v>24</v>
      </c>
      <c r="H74" s="8">
        <v>45743</v>
      </c>
      <c r="I74" s="1" t="s">
        <v>1785</v>
      </c>
      <c r="J74" t="b">
        <v>1</v>
      </c>
      <c r="K74" t="s">
        <v>177</v>
      </c>
      <c r="L74" s="13" t="str">
        <f>HYPERLINK("https://uk1.aconex.co.uk/hub/index.html?mainTarget=%2FSearchControlledDoc%3FSEARCH_ACTION%3D15%26tab%3D0%26searchMode%3D1%26searchQuery%3Ddocno:%22"&amp;RawData[[#This Row],[Document Number]]&amp;"%22%20%2Bcversion%253A1",RawData[[#This Row],[Document Number]])</f>
        <v>FS1018-AGL-ZZ-00-D-Z-6012</v>
      </c>
    </row>
    <row r="75" spans="1:12" x14ac:dyDescent="0.3">
      <c r="A75" t="s">
        <v>178</v>
      </c>
      <c r="B75" t="s">
        <v>179</v>
      </c>
      <c r="C75" t="s">
        <v>13</v>
      </c>
      <c r="D75" t="s">
        <v>19</v>
      </c>
      <c r="E75" s="8">
        <v>45730</v>
      </c>
      <c r="F75" s="1" t="s">
        <v>12</v>
      </c>
      <c r="G75" s="1" t="s">
        <v>24</v>
      </c>
      <c r="H75" s="8">
        <v>45743</v>
      </c>
      <c r="I75" s="1" t="s">
        <v>1785</v>
      </c>
      <c r="J75" t="b">
        <v>1</v>
      </c>
      <c r="K75" t="s">
        <v>180</v>
      </c>
      <c r="L75" s="13" t="str">
        <f>HYPERLINK("https://uk1.aconex.co.uk/hub/index.html?mainTarget=%2FSearchControlledDoc%3FSEARCH_ACTION%3D15%26tab%3D0%26searchMode%3D1%26searchQuery%3Ddocno:%22"&amp;RawData[[#This Row],[Document Number]]&amp;"%22%20%2Bcversion%253A1",RawData[[#This Row],[Document Number]])</f>
        <v>FS1018-AGL-ZZ-00-D-Z-9610</v>
      </c>
    </row>
    <row r="76" spans="1:12" x14ac:dyDescent="0.3">
      <c r="A76" t="s">
        <v>181</v>
      </c>
      <c r="B76" t="s">
        <v>182</v>
      </c>
      <c r="C76" t="s">
        <v>13</v>
      </c>
      <c r="D76" t="s">
        <v>19</v>
      </c>
      <c r="E76" s="8">
        <v>45730</v>
      </c>
      <c r="F76" s="1" t="s">
        <v>12</v>
      </c>
      <c r="G76" s="1" t="s">
        <v>24</v>
      </c>
      <c r="H76" s="8">
        <v>45743</v>
      </c>
      <c r="I76" s="1" t="s">
        <v>1785</v>
      </c>
      <c r="J76" t="b">
        <v>1</v>
      </c>
      <c r="K76" t="s">
        <v>183</v>
      </c>
      <c r="L76" s="13" t="str">
        <f>HYPERLINK("https://uk1.aconex.co.uk/hub/index.html?mainTarget=%2FSearchControlledDoc%3FSEARCH_ACTION%3D15%26tab%3D0%26searchMode%3D1%26searchQuery%3Ddocno:%22"&amp;RawData[[#This Row],[Document Number]]&amp;"%22%20%2Bcversion%253A1",RawData[[#This Row],[Document Number]])</f>
        <v>FS1018-AGL-ZZ-00-D-Z-9611</v>
      </c>
    </row>
    <row r="77" spans="1:12" x14ac:dyDescent="0.3">
      <c r="A77" t="s">
        <v>184</v>
      </c>
      <c r="B77" t="s">
        <v>185</v>
      </c>
      <c r="C77" t="s">
        <v>13</v>
      </c>
      <c r="D77" t="s">
        <v>19</v>
      </c>
      <c r="E77" s="8">
        <v>45730</v>
      </c>
      <c r="F77" s="1" t="s">
        <v>12</v>
      </c>
      <c r="G77" s="1" t="s">
        <v>24</v>
      </c>
      <c r="H77" s="8">
        <v>45743</v>
      </c>
      <c r="I77" s="1" t="s">
        <v>1785</v>
      </c>
      <c r="J77" t="b">
        <v>1</v>
      </c>
      <c r="K77" t="s">
        <v>186</v>
      </c>
      <c r="L77" s="13" t="str">
        <f>HYPERLINK("https://uk1.aconex.co.uk/hub/index.html?mainTarget=%2FSearchControlledDoc%3FSEARCH_ACTION%3D15%26tab%3D0%26searchMode%3D1%26searchQuery%3Ddocno:%22"&amp;RawData[[#This Row],[Document Number]]&amp;"%22%20%2Bcversion%253A1",RawData[[#This Row],[Document Number]])</f>
        <v>FS1018-AGL-ZZ-00-D-Z-9612</v>
      </c>
    </row>
    <row r="78" spans="1:12" ht="28.8" x14ac:dyDescent="0.3">
      <c r="A78" t="s">
        <v>187</v>
      </c>
      <c r="B78" t="s">
        <v>188</v>
      </c>
      <c r="C78" t="s">
        <v>13</v>
      </c>
      <c r="D78" t="s">
        <v>20</v>
      </c>
      <c r="E78" s="8">
        <v>45730</v>
      </c>
      <c r="F78" s="1" t="s">
        <v>12</v>
      </c>
      <c r="G78" s="1" t="s">
        <v>1027</v>
      </c>
      <c r="H78" s="8">
        <v>45749</v>
      </c>
      <c r="I78" s="1" t="s">
        <v>1895</v>
      </c>
      <c r="J78" t="b">
        <v>1</v>
      </c>
      <c r="K78" t="s">
        <v>189</v>
      </c>
      <c r="L78" s="13" t="str">
        <f>HYPERLINK("https://uk1.aconex.co.uk/hub/index.html?mainTarget=%2FSearchControlledDoc%3FSEARCH_ACTION%3D15%26tab%3D0%26searchMode%3D1%26searchQuery%3Ddocno:%22"&amp;RawData[[#This Row],[Document Number]]&amp;"%22%20%2Bcversion%253A1",RawData[[#This Row],[Document Number]])</f>
        <v>FS1018-AGL-ZZ-01-D-E-6110</v>
      </c>
    </row>
    <row r="79" spans="1:12" ht="28.8" x14ac:dyDescent="0.3">
      <c r="A79" t="s">
        <v>187</v>
      </c>
      <c r="B79" t="s">
        <v>188</v>
      </c>
      <c r="C79" t="s">
        <v>13</v>
      </c>
      <c r="D79" t="s">
        <v>20</v>
      </c>
      <c r="E79" s="8">
        <v>45749</v>
      </c>
      <c r="F79" s="1" t="s">
        <v>22</v>
      </c>
      <c r="G79" s="1" t="s">
        <v>4</v>
      </c>
      <c r="H79" s="8"/>
      <c r="J79" t="b">
        <v>1</v>
      </c>
      <c r="K79" t="s">
        <v>189</v>
      </c>
      <c r="L79" s="13" t="str">
        <f>HYPERLINK("https://uk1.aconex.co.uk/hub/index.html?mainTarget=%2FSearchControlledDoc%3FSEARCH_ACTION%3D15%26tab%3D0%26searchMode%3D1%26searchQuery%3Ddocno:%22"&amp;RawData[[#This Row],[Document Number]]&amp;"%22%20%2Bcversion%253A1",RawData[[#This Row],[Document Number]])</f>
        <v>FS1018-AGL-ZZ-01-D-E-6110</v>
      </c>
    </row>
    <row r="80" spans="1:12" x14ac:dyDescent="0.3">
      <c r="A80" t="s">
        <v>190</v>
      </c>
      <c r="B80" t="s">
        <v>191</v>
      </c>
      <c r="C80" t="s">
        <v>13</v>
      </c>
      <c r="D80" t="s">
        <v>19</v>
      </c>
      <c r="E80" s="8">
        <v>45730</v>
      </c>
      <c r="F80" s="1" t="s">
        <v>12</v>
      </c>
      <c r="G80" s="1" t="s">
        <v>24</v>
      </c>
      <c r="H80" s="8">
        <v>45749</v>
      </c>
      <c r="I80" s="1" t="s">
        <v>1785</v>
      </c>
      <c r="J80" t="b">
        <v>1</v>
      </c>
      <c r="K80" t="s">
        <v>192</v>
      </c>
      <c r="L80" s="13" t="str">
        <f>HYPERLINK("https://uk1.aconex.co.uk/hub/index.html?mainTarget=%2FSearchControlledDoc%3FSEARCH_ACTION%3D15%26tab%3D0%26searchMode%3D1%26searchQuery%3Ddocno:%22"&amp;RawData[[#This Row],[Document Number]]&amp;"%22%20%2Bcversion%253A1",RawData[[#This Row],[Document Number]])</f>
        <v>FS1018-AGL-ZZ-01-D-E-6111</v>
      </c>
    </row>
    <row r="81" spans="1:12" ht="57.6" x14ac:dyDescent="0.3">
      <c r="A81" t="s">
        <v>193</v>
      </c>
      <c r="B81" t="s">
        <v>194</v>
      </c>
      <c r="C81" t="s">
        <v>13</v>
      </c>
      <c r="D81" t="s">
        <v>20</v>
      </c>
      <c r="E81" s="8">
        <v>45730</v>
      </c>
      <c r="F81" s="1" t="s">
        <v>12</v>
      </c>
      <c r="G81" s="1" t="s">
        <v>1027</v>
      </c>
      <c r="H81" s="8">
        <v>45749</v>
      </c>
      <c r="I81" s="1" t="s">
        <v>1896</v>
      </c>
      <c r="J81" t="b">
        <v>1</v>
      </c>
      <c r="K81" t="s">
        <v>195</v>
      </c>
      <c r="L81" s="13" t="str">
        <f>HYPERLINK("https://uk1.aconex.co.uk/hub/index.html?mainTarget=%2FSearchControlledDoc%3FSEARCH_ACTION%3D15%26tab%3D0%26searchMode%3D1%26searchQuery%3Ddocno:%22"&amp;RawData[[#This Row],[Document Number]]&amp;"%22%20%2Bcversion%253A1",RawData[[#This Row],[Document Number]])</f>
        <v>FS1018-AGL-ZZ-01-D-E-6210</v>
      </c>
    </row>
    <row r="82" spans="1:12" ht="28.8" x14ac:dyDescent="0.3">
      <c r="A82" t="s">
        <v>193</v>
      </c>
      <c r="B82" t="s">
        <v>194</v>
      </c>
      <c r="C82" t="s">
        <v>13</v>
      </c>
      <c r="D82" t="s">
        <v>20</v>
      </c>
      <c r="E82" s="8">
        <v>45749</v>
      </c>
      <c r="F82" s="1" t="s">
        <v>22</v>
      </c>
      <c r="G82" s="1" t="s">
        <v>4</v>
      </c>
      <c r="H82" s="8"/>
      <c r="J82" t="b">
        <v>1</v>
      </c>
      <c r="K82" t="s">
        <v>195</v>
      </c>
      <c r="L82" s="13" t="str">
        <f>HYPERLINK("https://uk1.aconex.co.uk/hub/index.html?mainTarget=%2FSearchControlledDoc%3FSEARCH_ACTION%3D15%26tab%3D0%26searchMode%3D1%26searchQuery%3Ddocno:%22"&amp;RawData[[#This Row],[Document Number]]&amp;"%22%20%2Bcversion%253A1",RawData[[#This Row],[Document Number]])</f>
        <v>FS1018-AGL-ZZ-01-D-E-6210</v>
      </c>
    </row>
    <row r="83" spans="1:12" ht="72" x14ac:dyDescent="0.3">
      <c r="A83" t="s">
        <v>196</v>
      </c>
      <c r="B83" t="s">
        <v>197</v>
      </c>
      <c r="C83" t="s">
        <v>13</v>
      </c>
      <c r="D83" t="s">
        <v>20</v>
      </c>
      <c r="E83" s="8">
        <v>45730</v>
      </c>
      <c r="F83" s="1" t="s">
        <v>12</v>
      </c>
      <c r="G83" s="1" t="s">
        <v>1027</v>
      </c>
      <c r="H83" s="8">
        <v>45749</v>
      </c>
      <c r="I83" s="1" t="s">
        <v>1897</v>
      </c>
      <c r="J83" t="b">
        <v>1</v>
      </c>
      <c r="K83" t="s">
        <v>198</v>
      </c>
      <c r="L83" s="13" t="str">
        <f>HYPERLINK("https://uk1.aconex.co.uk/hub/index.html?mainTarget=%2FSearchControlledDoc%3FSEARCH_ACTION%3D15%26tab%3D0%26searchMode%3D1%26searchQuery%3Ddocno:%22"&amp;RawData[[#This Row],[Document Number]]&amp;"%22%20%2Bcversion%253A1",RawData[[#This Row],[Document Number]])</f>
        <v>FS1018-AGL-ZZ-01-D-E-6211</v>
      </c>
    </row>
    <row r="84" spans="1:12" ht="28.8" x14ac:dyDescent="0.3">
      <c r="A84" t="s">
        <v>196</v>
      </c>
      <c r="B84" t="s">
        <v>197</v>
      </c>
      <c r="C84" t="s">
        <v>13</v>
      </c>
      <c r="D84" t="s">
        <v>20</v>
      </c>
      <c r="E84" s="8">
        <v>45749</v>
      </c>
      <c r="F84" s="1" t="s">
        <v>22</v>
      </c>
      <c r="G84" s="1" t="s">
        <v>4</v>
      </c>
      <c r="H84" s="8"/>
      <c r="J84" t="b">
        <v>1</v>
      </c>
      <c r="K84" t="s">
        <v>198</v>
      </c>
      <c r="L84" s="13" t="str">
        <f>HYPERLINK("https://uk1.aconex.co.uk/hub/index.html?mainTarget=%2FSearchControlledDoc%3FSEARCH_ACTION%3D15%26tab%3D0%26searchMode%3D1%26searchQuery%3Ddocno:%22"&amp;RawData[[#This Row],[Document Number]]&amp;"%22%20%2Bcversion%253A1",RawData[[#This Row],[Document Number]])</f>
        <v>FS1018-AGL-ZZ-01-D-E-6211</v>
      </c>
    </row>
    <row r="85" spans="1:12" x14ac:dyDescent="0.3">
      <c r="A85" t="s">
        <v>199</v>
      </c>
      <c r="B85" t="s">
        <v>200</v>
      </c>
      <c r="C85" t="s">
        <v>13</v>
      </c>
      <c r="D85" t="s">
        <v>19</v>
      </c>
      <c r="E85" s="8">
        <v>45730</v>
      </c>
      <c r="F85" s="1" t="s">
        <v>12</v>
      </c>
      <c r="G85" s="1" t="s">
        <v>24</v>
      </c>
      <c r="H85" s="8">
        <v>45749</v>
      </c>
      <c r="I85" s="1" t="s">
        <v>1785</v>
      </c>
      <c r="J85" t="b">
        <v>1</v>
      </c>
      <c r="K85" t="s">
        <v>201</v>
      </c>
      <c r="L85" s="13" t="str">
        <f>HYPERLINK("https://uk1.aconex.co.uk/hub/index.html?mainTarget=%2FSearchControlledDoc%3FSEARCH_ACTION%3D15%26tab%3D0%26searchMode%3D1%26searchQuery%3Ddocno:%22"&amp;RawData[[#This Row],[Document Number]]&amp;"%22%20%2Bcversion%253A1",RawData[[#This Row],[Document Number]])</f>
        <v>FS1018-AGL-ZZ-01-D-E-6212</v>
      </c>
    </row>
    <row r="86" spans="1:12" x14ac:dyDescent="0.3">
      <c r="A86" t="s">
        <v>202</v>
      </c>
      <c r="B86" t="s">
        <v>203</v>
      </c>
      <c r="C86" t="s">
        <v>13</v>
      </c>
      <c r="D86" t="s">
        <v>19</v>
      </c>
      <c r="E86" s="8">
        <v>45730</v>
      </c>
      <c r="F86" s="1" t="s">
        <v>12</v>
      </c>
      <c r="G86" s="1" t="s">
        <v>24</v>
      </c>
      <c r="H86" s="8">
        <v>45749</v>
      </c>
      <c r="I86" s="1" t="s">
        <v>1785</v>
      </c>
      <c r="J86" t="b">
        <v>1</v>
      </c>
      <c r="K86" t="s">
        <v>204</v>
      </c>
      <c r="L86" s="13" t="str">
        <f>HYPERLINK("https://uk1.aconex.co.uk/hub/index.html?mainTarget=%2FSearchControlledDoc%3FSEARCH_ACTION%3D15%26tab%3D0%26searchMode%3D1%26searchQuery%3Ddocno:%22"&amp;RawData[[#This Row],[Document Number]]&amp;"%22%20%2Bcversion%253A1",RawData[[#This Row],[Document Number]])</f>
        <v>FS1018-AGL-ZZ-01-D-E-6213</v>
      </c>
    </row>
    <row r="87" spans="1:12" x14ac:dyDescent="0.3">
      <c r="A87" t="s">
        <v>205</v>
      </c>
      <c r="B87" t="s">
        <v>206</v>
      </c>
      <c r="C87" t="s">
        <v>13</v>
      </c>
      <c r="D87" t="s">
        <v>19</v>
      </c>
      <c r="E87" s="8">
        <v>45730</v>
      </c>
      <c r="F87" s="1" t="s">
        <v>12</v>
      </c>
      <c r="G87" s="1" t="s">
        <v>24</v>
      </c>
      <c r="H87" s="8">
        <v>45749</v>
      </c>
      <c r="I87" s="1" t="s">
        <v>1785</v>
      </c>
      <c r="J87" t="b">
        <v>1</v>
      </c>
      <c r="K87" t="s">
        <v>207</v>
      </c>
      <c r="L87" s="13" t="str">
        <f>HYPERLINK("https://uk1.aconex.co.uk/hub/index.html?mainTarget=%2FSearchControlledDoc%3FSEARCH_ACTION%3D15%26tab%3D0%26searchMode%3D1%26searchQuery%3Ddocno:%22"&amp;RawData[[#This Row],[Document Number]]&amp;"%22%20%2Bcversion%253A1",RawData[[#This Row],[Document Number]])</f>
        <v>FS1018-AGL-ZZ-01-D-E-6310</v>
      </c>
    </row>
    <row r="88" spans="1:12" x14ac:dyDescent="0.3">
      <c r="A88" t="s">
        <v>208</v>
      </c>
      <c r="B88" t="s">
        <v>209</v>
      </c>
      <c r="C88" t="s">
        <v>13</v>
      </c>
      <c r="D88" t="s">
        <v>19</v>
      </c>
      <c r="E88" s="8">
        <v>45730</v>
      </c>
      <c r="F88" s="1" t="s">
        <v>12</v>
      </c>
      <c r="G88" s="1" t="s">
        <v>24</v>
      </c>
      <c r="H88" s="8">
        <v>45749</v>
      </c>
      <c r="I88" s="1" t="s">
        <v>1785</v>
      </c>
      <c r="J88" t="b">
        <v>1</v>
      </c>
      <c r="K88" t="s">
        <v>210</v>
      </c>
      <c r="L88" s="13" t="str">
        <f>HYPERLINK("https://uk1.aconex.co.uk/hub/index.html?mainTarget=%2FSearchControlledDoc%3FSEARCH_ACTION%3D15%26tab%3D0%26searchMode%3D1%26searchQuery%3Ddocno:%22"&amp;RawData[[#This Row],[Document Number]]&amp;"%22%20%2Bcversion%253A1",RawData[[#This Row],[Document Number]])</f>
        <v>FS1018-AGL-ZZ-01-D-E-6311</v>
      </c>
    </row>
    <row r="89" spans="1:12" x14ac:dyDescent="0.3">
      <c r="A89" t="s">
        <v>211</v>
      </c>
      <c r="B89" t="s">
        <v>212</v>
      </c>
      <c r="C89" t="s">
        <v>13</v>
      </c>
      <c r="D89" t="s">
        <v>19</v>
      </c>
      <c r="E89" s="8">
        <v>45730</v>
      </c>
      <c r="F89" s="1" t="s">
        <v>12</v>
      </c>
      <c r="G89" s="1" t="s">
        <v>24</v>
      </c>
      <c r="H89" s="8">
        <v>45749</v>
      </c>
      <c r="I89" s="1" t="s">
        <v>1785</v>
      </c>
      <c r="J89" t="b">
        <v>1</v>
      </c>
      <c r="K89" t="s">
        <v>213</v>
      </c>
      <c r="L89" s="13" t="str">
        <f>HYPERLINK("https://uk1.aconex.co.uk/hub/index.html?mainTarget=%2FSearchControlledDoc%3FSEARCH_ACTION%3D15%26tab%3D0%26searchMode%3D1%26searchQuery%3Ddocno:%22"&amp;RawData[[#This Row],[Document Number]]&amp;"%22%20%2Bcversion%253A1",RawData[[#This Row],[Document Number]])</f>
        <v>FS1018-AGL-ZZ-01-D-E-6810</v>
      </c>
    </row>
    <row r="90" spans="1:12" x14ac:dyDescent="0.3">
      <c r="A90" t="s">
        <v>214</v>
      </c>
      <c r="B90" t="s">
        <v>215</v>
      </c>
      <c r="C90" t="s">
        <v>13</v>
      </c>
      <c r="D90" t="s">
        <v>19</v>
      </c>
      <c r="E90" s="8">
        <v>45730</v>
      </c>
      <c r="F90" s="1" t="s">
        <v>12</v>
      </c>
      <c r="G90" s="1" t="s">
        <v>24</v>
      </c>
      <c r="H90" s="8">
        <v>45749</v>
      </c>
      <c r="I90" s="1" t="s">
        <v>1785</v>
      </c>
      <c r="J90" t="b">
        <v>1</v>
      </c>
      <c r="K90" t="s">
        <v>216</v>
      </c>
      <c r="L90" s="13" t="str">
        <f>HYPERLINK("https://uk1.aconex.co.uk/hub/index.html?mainTarget=%2FSearchControlledDoc%3FSEARCH_ACTION%3D15%26tab%3D0%26searchMode%3D1%26searchQuery%3Ddocno:%22"&amp;RawData[[#This Row],[Document Number]]&amp;"%22%20%2Bcversion%253A1",RawData[[#This Row],[Document Number]])</f>
        <v>FS1018-AGL-ZZ-01-D-E-6811</v>
      </c>
    </row>
    <row r="91" spans="1:12" x14ac:dyDescent="0.3">
      <c r="A91" t="s">
        <v>217</v>
      </c>
      <c r="B91" t="s">
        <v>218</v>
      </c>
      <c r="C91" t="s">
        <v>13</v>
      </c>
      <c r="D91" t="s">
        <v>20</v>
      </c>
      <c r="E91" s="8">
        <v>45730</v>
      </c>
      <c r="F91" s="1" t="s">
        <v>12</v>
      </c>
      <c r="G91" s="1" t="s">
        <v>21</v>
      </c>
      <c r="H91" s="8">
        <v>45749</v>
      </c>
      <c r="I91" s="1" t="s">
        <v>1898</v>
      </c>
      <c r="J91" t="b">
        <v>1</v>
      </c>
      <c r="K91" t="s">
        <v>219</v>
      </c>
      <c r="L91" s="13" t="str">
        <f>HYPERLINK("https://uk1.aconex.co.uk/hub/index.html?mainTarget=%2FSearchControlledDoc%3FSEARCH_ACTION%3D15%26tab%3D0%26searchMode%3D1%26searchQuery%3Ddocno:%22"&amp;RawData[[#This Row],[Document Number]]&amp;"%22%20%2Bcversion%253A1",RawData[[#This Row],[Document Number]])</f>
        <v>FS1018-AGL-ZZ-01-D-E-6820</v>
      </c>
    </row>
    <row r="92" spans="1:12" ht="28.8" x14ac:dyDescent="0.3">
      <c r="A92" t="s">
        <v>217</v>
      </c>
      <c r="B92" t="s">
        <v>218</v>
      </c>
      <c r="C92" t="s">
        <v>13</v>
      </c>
      <c r="D92" t="s">
        <v>20</v>
      </c>
      <c r="E92" s="8">
        <v>45749</v>
      </c>
      <c r="F92" s="1" t="s">
        <v>22</v>
      </c>
      <c r="G92" s="1" t="s">
        <v>4</v>
      </c>
      <c r="H92" s="8"/>
      <c r="J92" t="b">
        <v>1</v>
      </c>
      <c r="K92" t="s">
        <v>219</v>
      </c>
      <c r="L92" s="13" t="str">
        <f>HYPERLINK("https://uk1.aconex.co.uk/hub/index.html?mainTarget=%2FSearchControlledDoc%3FSEARCH_ACTION%3D15%26tab%3D0%26searchMode%3D1%26searchQuery%3Ddocno:%22"&amp;RawData[[#This Row],[Document Number]]&amp;"%22%20%2Bcversion%253A1",RawData[[#This Row],[Document Number]])</f>
        <v>FS1018-AGL-ZZ-01-D-E-6820</v>
      </c>
    </row>
    <row r="93" spans="1:12" x14ac:dyDescent="0.3">
      <c r="A93" t="s">
        <v>220</v>
      </c>
      <c r="B93" t="s">
        <v>221</v>
      </c>
      <c r="C93" t="s">
        <v>13</v>
      </c>
      <c r="D93" t="s">
        <v>20</v>
      </c>
      <c r="E93" s="8">
        <v>45730</v>
      </c>
      <c r="F93" s="1" t="s">
        <v>12</v>
      </c>
      <c r="G93" s="1" t="s">
        <v>21</v>
      </c>
      <c r="H93" s="8">
        <v>45749</v>
      </c>
      <c r="I93" s="1" t="s">
        <v>1898</v>
      </c>
      <c r="J93" t="b">
        <v>1</v>
      </c>
      <c r="K93" t="s">
        <v>222</v>
      </c>
      <c r="L93" s="13" t="str">
        <f>HYPERLINK("https://uk1.aconex.co.uk/hub/index.html?mainTarget=%2FSearchControlledDoc%3FSEARCH_ACTION%3D15%26tab%3D0%26searchMode%3D1%26searchQuery%3Ddocno:%22"&amp;RawData[[#This Row],[Document Number]]&amp;"%22%20%2Bcversion%253A1",RawData[[#This Row],[Document Number]])</f>
        <v>FS1018-AGL-ZZ-01-D-E-6821</v>
      </c>
    </row>
    <row r="94" spans="1:12" ht="28.8" x14ac:dyDescent="0.3">
      <c r="A94" t="s">
        <v>220</v>
      </c>
      <c r="B94" t="s">
        <v>221</v>
      </c>
      <c r="C94" t="s">
        <v>13</v>
      </c>
      <c r="D94" t="s">
        <v>20</v>
      </c>
      <c r="E94" s="8">
        <v>45749</v>
      </c>
      <c r="F94" s="1" t="s">
        <v>22</v>
      </c>
      <c r="G94" s="1" t="s">
        <v>4</v>
      </c>
      <c r="H94" s="8"/>
      <c r="J94" t="b">
        <v>1</v>
      </c>
      <c r="K94" t="s">
        <v>222</v>
      </c>
      <c r="L94" s="13" t="str">
        <f>HYPERLINK("https://uk1.aconex.co.uk/hub/index.html?mainTarget=%2FSearchControlledDoc%3FSEARCH_ACTION%3D15%26tab%3D0%26searchMode%3D1%26searchQuery%3Ddocno:%22"&amp;RawData[[#This Row],[Document Number]]&amp;"%22%20%2Bcversion%253A1",RawData[[#This Row],[Document Number]])</f>
        <v>FS1018-AGL-ZZ-01-D-E-6821</v>
      </c>
    </row>
    <row r="95" spans="1:12" x14ac:dyDescent="0.3">
      <c r="A95" t="s">
        <v>223</v>
      </c>
      <c r="B95" t="s">
        <v>224</v>
      </c>
      <c r="C95" t="s">
        <v>13</v>
      </c>
      <c r="D95" t="s">
        <v>19</v>
      </c>
      <c r="E95" s="8">
        <v>45730</v>
      </c>
      <c r="F95" s="1" t="s">
        <v>12</v>
      </c>
      <c r="G95" s="1" t="s">
        <v>24</v>
      </c>
      <c r="H95" s="8">
        <v>45749</v>
      </c>
      <c r="I95" s="1" t="s">
        <v>1785</v>
      </c>
      <c r="J95" t="b">
        <v>1</v>
      </c>
      <c r="K95" t="s">
        <v>225</v>
      </c>
      <c r="L95" s="13" t="str">
        <f>HYPERLINK("https://uk1.aconex.co.uk/hub/index.html?mainTarget=%2FSearchControlledDoc%3FSEARCH_ACTION%3D15%26tab%3D0%26searchMode%3D1%26searchQuery%3Ddocno:%22"&amp;RawData[[#This Row],[Document Number]]&amp;"%22%20%2Bcversion%253A1",RawData[[#This Row],[Document Number]])</f>
        <v>FS1018-AGL-ZZ-01-D-E-6840</v>
      </c>
    </row>
    <row r="96" spans="1:12" x14ac:dyDescent="0.3">
      <c r="A96" t="s">
        <v>226</v>
      </c>
      <c r="B96" t="s">
        <v>227</v>
      </c>
      <c r="C96" t="s">
        <v>13</v>
      </c>
      <c r="D96" t="s">
        <v>19</v>
      </c>
      <c r="E96" s="8">
        <v>45730</v>
      </c>
      <c r="F96" s="1" t="s">
        <v>12</v>
      </c>
      <c r="G96" s="1" t="s">
        <v>24</v>
      </c>
      <c r="H96" s="8">
        <v>45749</v>
      </c>
      <c r="I96" s="1" t="s">
        <v>1785</v>
      </c>
      <c r="J96" t="b">
        <v>1</v>
      </c>
      <c r="K96" t="s">
        <v>228</v>
      </c>
      <c r="L96" s="13" t="str">
        <f>HYPERLINK("https://uk1.aconex.co.uk/hub/index.html?mainTarget=%2FSearchControlledDoc%3FSEARCH_ACTION%3D15%26tab%3D0%26searchMode%3D1%26searchQuery%3Ddocno:%22"&amp;RawData[[#This Row],[Document Number]]&amp;"%22%20%2Bcversion%253A1",RawData[[#This Row],[Document Number]])</f>
        <v>FS1018-AGL-ZZ-01-D-E-6841</v>
      </c>
    </row>
    <row r="97" spans="1:12" ht="72" x14ac:dyDescent="0.3">
      <c r="A97" t="s">
        <v>229</v>
      </c>
      <c r="B97" t="s">
        <v>230</v>
      </c>
      <c r="C97" t="s">
        <v>10</v>
      </c>
      <c r="D97" t="s">
        <v>20</v>
      </c>
      <c r="E97" s="8">
        <v>45730</v>
      </c>
      <c r="F97" s="1" t="s">
        <v>12</v>
      </c>
      <c r="G97" s="1" t="s">
        <v>1027</v>
      </c>
      <c r="H97" s="8">
        <v>45754</v>
      </c>
      <c r="I97" s="1" t="s">
        <v>1941</v>
      </c>
      <c r="J97" t="b">
        <v>1</v>
      </c>
      <c r="K97" t="s">
        <v>231</v>
      </c>
      <c r="L97" s="13" t="str">
        <f>HYPERLINK("https://uk1.aconex.co.uk/hub/index.html?mainTarget=%2FSearchControlledDoc%3FSEARCH_ACTION%3D15%26tab%3D0%26searchMode%3D1%26searchQuery%3Ddocno:%22"&amp;RawData[[#This Row],[Document Number]]&amp;"%22%20%2Bcversion%253A1",RawData[[#This Row],[Document Number]])</f>
        <v>FS1018-AGL-ZZ-01-D-M-5210</v>
      </c>
    </row>
    <row r="98" spans="1:12" ht="28.8" x14ac:dyDescent="0.3">
      <c r="A98" t="s">
        <v>229</v>
      </c>
      <c r="B98" t="s">
        <v>230</v>
      </c>
      <c r="C98" t="s">
        <v>10</v>
      </c>
      <c r="D98" t="s">
        <v>20</v>
      </c>
      <c r="E98" s="8">
        <v>45754</v>
      </c>
      <c r="F98" s="1" t="s">
        <v>22</v>
      </c>
      <c r="G98" s="1" t="s">
        <v>4</v>
      </c>
      <c r="H98" s="8"/>
      <c r="J98" t="b">
        <v>1</v>
      </c>
      <c r="K98" t="s">
        <v>231</v>
      </c>
      <c r="L98" s="13" t="str">
        <f>HYPERLINK("https://uk1.aconex.co.uk/hub/index.html?mainTarget=%2FSearchControlledDoc%3FSEARCH_ACTION%3D15%26tab%3D0%26searchMode%3D1%26searchQuery%3Ddocno:%22"&amp;RawData[[#This Row],[Document Number]]&amp;"%22%20%2Bcversion%253A1",RawData[[#This Row],[Document Number]])</f>
        <v>FS1018-AGL-ZZ-01-D-M-5210</v>
      </c>
    </row>
    <row r="99" spans="1:12" ht="43.2" x14ac:dyDescent="0.3">
      <c r="A99" t="s">
        <v>232</v>
      </c>
      <c r="B99" t="s">
        <v>233</v>
      </c>
      <c r="C99" t="s">
        <v>10</v>
      </c>
      <c r="D99" t="s">
        <v>20</v>
      </c>
      <c r="E99" s="8">
        <v>45730</v>
      </c>
      <c r="F99" s="1" t="s">
        <v>12</v>
      </c>
      <c r="G99" s="1" t="s">
        <v>1027</v>
      </c>
      <c r="H99" s="8">
        <v>45754</v>
      </c>
      <c r="I99" s="1" t="s">
        <v>1942</v>
      </c>
      <c r="J99" t="b">
        <v>1</v>
      </c>
      <c r="K99" t="s">
        <v>234</v>
      </c>
      <c r="L99" s="13" t="str">
        <f>HYPERLINK("https://uk1.aconex.co.uk/hub/index.html?mainTarget=%2FSearchControlledDoc%3FSEARCH_ACTION%3D15%26tab%3D0%26searchMode%3D1%26searchQuery%3Ddocno:%22"&amp;RawData[[#This Row],[Document Number]]&amp;"%22%20%2Bcversion%253A1",RawData[[#This Row],[Document Number]])</f>
        <v>FS1018-AGL-ZZ-01-D-M-5211</v>
      </c>
    </row>
    <row r="100" spans="1:12" ht="28.8" x14ac:dyDescent="0.3">
      <c r="A100" t="s">
        <v>232</v>
      </c>
      <c r="B100" t="s">
        <v>233</v>
      </c>
      <c r="C100" t="s">
        <v>10</v>
      </c>
      <c r="D100" t="s">
        <v>20</v>
      </c>
      <c r="E100" s="8">
        <v>45754</v>
      </c>
      <c r="F100" s="1" t="s">
        <v>22</v>
      </c>
      <c r="G100" s="1" t="s">
        <v>4</v>
      </c>
      <c r="H100" s="8"/>
      <c r="J100" t="b">
        <v>1</v>
      </c>
      <c r="K100" t="s">
        <v>234</v>
      </c>
      <c r="L100" s="13" t="str">
        <f>HYPERLINK("https://uk1.aconex.co.uk/hub/index.html?mainTarget=%2FSearchControlledDoc%3FSEARCH_ACTION%3D15%26tab%3D0%26searchMode%3D1%26searchQuery%3Ddocno:%22"&amp;RawData[[#This Row],[Document Number]]&amp;"%22%20%2Bcversion%253A1",RawData[[#This Row],[Document Number]])</f>
        <v>FS1018-AGL-ZZ-01-D-M-5211</v>
      </c>
    </row>
    <row r="101" spans="1:12" x14ac:dyDescent="0.3">
      <c r="A101" t="s">
        <v>235</v>
      </c>
      <c r="B101" t="s">
        <v>236</v>
      </c>
      <c r="C101" t="s">
        <v>10</v>
      </c>
      <c r="D101" t="s">
        <v>19</v>
      </c>
      <c r="E101" s="8">
        <v>45730</v>
      </c>
      <c r="F101" s="1" t="s">
        <v>12</v>
      </c>
      <c r="G101" s="1" t="s">
        <v>24</v>
      </c>
      <c r="H101" s="8">
        <v>45754</v>
      </c>
      <c r="J101" t="b">
        <v>1</v>
      </c>
      <c r="K101" t="s">
        <v>237</v>
      </c>
      <c r="L101" s="13" t="str">
        <f>HYPERLINK("https://uk1.aconex.co.uk/hub/index.html?mainTarget=%2FSearchControlledDoc%3FSEARCH_ACTION%3D15%26tab%3D0%26searchMode%3D1%26searchQuery%3Ddocno:%22"&amp;RawData[[#This Row],[Document Number]]&amp;"%22%20%2Bcversion%253A1",RawData[[#This Row],[Document Number]])</f>
        <v>FS1018-AGL-ZZ-01-D-M-5310</v>
      </c>
    </row>
    <row r="102" spans="1:12" x14ac:dyDescent="0.3">
      <c r="A102" t="s">
        <v>238</v>
      </c>
      <c r="B102" t="s">
        <v>239</v>
      </c>
      <c r="C102" t="s">
        <v>10</v>
      </c>
      <c r="D102" t="s">
        <v>19</v>
      </c>
      <c r="E102" s="8">
        <v>45730</v>
      </c>
      <c r="F102" s="1" t="s">
        <v>12</v>
      </c>
      <c r="G102" s="1" t="s">
        <v>24</v>
      </c>
      <c r="H102" s="8">
        <v>45754</v>
      </c>
      <c r="J102" t="b">
        <v>1</v>
      </c>
      <c r="K102" t="s">
        <v>240</v>
      </c>
      <c r="L102" s="13" t="str">
        <f>HYPERLINK("https://uk1.aconex.co.uk/hub/index.html?mainTarget=%2FSearchControlledDoc%3FSEARCH_ACTION%3D15%26tab%3D0%26searchMode%3D1%26searchQuery%3Ddocno:%22"&amp;RawData[[#This Row],[Document Number]]&amp;"%22%20%2Bcversion%253A1",RawData[[#This Row],[Document Number]])</f>
        <v>FS1018-AGL-ZZ-01-D-M-5311</v>
      </c>
    </row>
    <row r="103" spans="1:12" ht="57.6" x14ac:dyDescent="0.3">
      <c r="A103" t="s">
        <v>241</v>
      </c>
      <c r="B103" t="s">
        <v>242</v>
      </c>
      <c r="C103" t="s">
        <v>10</v>
      </c>
      <c r="D103" t="s">
        <v>20</v>
      </c>
      <c r="E103" s="8">
        <v>45730</v>
      </c>
      <c r="F103" s="1" t="s">
        <v>12</v>
      </c>
      <c r="G103" s="1" t="s">
        <v>1027</v>
      </c>
      <c r="H103" s="8">
        <v>45754</v>
      </c>
      <c r="I103" s="1" t="s">
        <v>1943</v>
      </c>
      <c r="J103" t="b">
        <v>1</v>
      </c>
      <c r="K103" t="s">
        <v>243</v>
      </c>
      <c r="L103" s="13" t="str">
        <f>HYPERLINK("https://uk1.aconex.co.uk/hub/index.html?mainTarget=%2FSearchControlledDoc%3FSEARCH_ACTION%3D15%26tab%3D0%26searchMode%3D1%26searchQuery%3Ddocno:%22"&amp;RawData[[#This Row],[Document Number]]&amp;"%22%20%2Bcversion%253A1",RawData[[#This Row],[Document Number]])</f>
        <v>FS1018-AGL-ZZ-01-D-M-5410</v>
      </c>
    </row>
    <row r="104" spans="1:12" ht="28.8" x14ac:dyDescent="0.3">
      <c r="A104" t="s">
        <v>241</v>
      </c>
      <c r="B104" t="s">
        <v>242</v>
      </c>
      <c r="C104" t="s">
        <v>10</v>
      </c>
      <c r="D104" t="s">
        <v>20</v>
      </c>
      <c r="E104" s="8">
        <v>45754</v>
      </c>
      <c r="F104" s="1" t="s">
        <v>22</v>
      </c>
      <c r="G104" s="1" t="s">
        <v>4</v>
      </c>
      <c r="H104" s="8"/>
      <c r="J104" t="b">
        <v>1</v>
      </c>
      <c r="K104" t="s">
        <v>243</v>
      </c>
      <c r="L104" s="13" t="str">
        <f>HYPERLINK("https://uk1.aconex.co.uk/hub/index.html?mainTarget=%2FSearchControlledDoc%3FSEARCH_ACTION%3D15%26tab%3D0%26searchMode%3D1%26searchQuery%3Ddocno:%22"&amp;RawData[[#This Row],[Document Number]]&amp;"%22%20%2Bcversion%253A1",RawData[[#This Row],[Document Number]])</f>
        <v>FS1018-AGL-ZZ-01-D-M-5410</v>
      </c>
    </row>
    <row r="105" spans="1:12" ht="43.2" x14ac:dyDescent="0.3">
      <c r="A105" t="s">
        <v>244</v>
      </c>
      <c r="B105" t="s">
        <v>245</v>
      </c>
      <c r="C105" t="s">
        <v>13</v>
      </c>
      <c r="D105" t="s">
        <v>20</v>
      </c>
      <c r="E105" s="8">
        <v>45730</v>
      </c>
      <c r="F105" s="1" t="s">
        <v>12</v>
      </c>
      <c r="G105" s="1" t="s">
        <v>21</v>
      </c>
      <c r="H105" s="8">
        <v>45743</v>
      </c>
      <c r="I105" s="1" t="s">
        <v>1786</v>
      </c>
      <c r="J105" t="b">
        <v>1</v>
      </c>
      <c r="K105" t="s">
        <v>246</v>
      </c>
      <c r="L105" s="13" t="str">
        <f>HYPERLINK("https://uk1.aconex.co.uk/hub/index.html?mainTarget=%2FSearchControlledDoc%3FSEARCH_ACTION%3D15%26tab%3D0%26searchMode%3D1%26searchQuery%3Ddocno:%22"&amp;RawData[[#This Row],[Document Number]]&amp;"%22%20%2Bcversion%253A1",RawData[[#This Row],[Document Number]])</f>
        <v>FS1018-AGL-ZZ-01-D-M-5610</v>
      </c>
    </row>
    <row r="106" spans="1:12" ht="28.8" x14ac:dyDescent="0.3">
      <c r="A106" t="s">
        <v>244</v>
      </c>
      <c r="B106" t="s">
        <v>245</v>
      </c>
      <c r="C106" t="s">
        <v>13</v>
      </c>
      <c r="D106" t="s">
        <v>20</v>
      </c>
      <c r="E106" s="8">
        <v>45743</v>
      </c>
      <c r="F106" s="1" t="s">
        <v>22</v>
      </c>
      <c r="G106" s="1" t="s">
        <v>4</v>
      </c>
      <c r="H106" s="8"/>
      <c r="J106" t="b">
        <v>1</v>
      </c>
      <c r="K106" t="s">
        <v>246</v>
      </c>
      <c r="L106" s="13" t="str">
        <f>HYPERLINK("https://uk1.aconex.co.uk/hub/index.html?mainTarget=%2FSearchControlledDoc%3FSEARCH_ACTION%3D15%26tab%3D0%26searchMode%3D1%26searchQuery%3Ddocno:%22"&amp;RawData[[#This Row],[Document Number]]&amp;"%22%20%2Bcversion%253A1",RawData[[#This Row],[Document Number]])</f>
        <v>FS1018-AGL-ZZ-01-D-M-5610</v>
      </c>
    </row>
    <row r="107" spans="1:12" ht="43.2" x14ac:dyDescent="0.3">
      <c r="A107" t="s">
        <v>247</v>
      </c>
      <c r="B107" t="s">
        <v>248</v>
      </c>
      <c r="C107" t="s">
        <v>13</v>
      </c>
      <c r="D107" t="s">
        <v>20</v>
      </c>
      <c r="E107" s="8">
        <v>45730</v>
      </c>
      <c r="F107" s="1" t="s">
        <v>12</v>
      </c>
      <c r="G107" s="1" t="s">
        <v>21</v>
      </c>
      <c r="H107" s="8">
        <v>45743</v>
      </c>
      <c r="I107" s="1" t="s">
        <v>1786</v>
      </c>
      <c r="J107" t="b">
        <v>1</v>
      </c>
      <c r="K107" t="s">
        <v>249</v>
      </c>
      <c r="L107" s="13" t="str">
        <f>HYPERLINK("https://uk1.aconex.co.uk/hub/index.html?mainTarget=%2FSearchControlledDoc%3FSEARCH_ACTION%3D15%26tab%3D0%26searchMode%3D1%26searchQuery%3Ddocno:%22"&amp;RawData[[#This Row],[Document Number]]&amp;"%22%20%2Bcversion%253A1",RawData[[#This Row],[Document Number]])</f>
        <v>FS1018-AGL-ZZ-01-D-M-5611</v>
      </c>
    </row>
    <row r="108" spans="1:12" ht="28.8" x14ac:dyDescent="0.3">
      <c r="A108" t="s">
        <v>247</v>
      </c>
      <c r="B108" t="s">
        <v>248</v>
      </c>
      <c r="C108" t="s">
        <v>13</v>
      </c>
      <c r="D108" t="s">
        <v>20</v>
      </c>
      <c r="E108" s="8">
        <v>45743</v>
      </c>
      <c r="F108" s="1" t="s">
        <v>22</v>
      </c>
      <c r="G108" s="1" t="s">
        <v>4</v>
      </c>
      <c r="H108" s="8"/>
      <c r="J108" t="b">
        <v>1</v>
      </c>
      <c r="K108" t="s">
        <v>249</v>
      </c>
      <c r="L108" s="13" t="str">
        <f>HYPERLINK("https://uk1.aconex.co.uk/hub/index.html?mainTarget=%2FSearchControlledDoc%3FSEARCH_ACTION%3D15%26tab%3D0%26searchMode%3D1%26searchQuery%3Ddocno:%22"&amp;RawData[[#This Row],[Document Number]]&amp;"%22%20%2Bcversion%253A1",RawData[[#This Row],[Document Number]])</f>
        <v>FS1018-AGL-ZZ-01-D-M-5611</v>
      </c>
    </row>
    <row r="109" spans="1:12" ht="72" x14ac:dyDescent="0.3">
      <c r="A109" t="s">
        <v>250</v>
      </c>
      <c r="B109" t="s">
        <v>251</v>
      </c>
      <c r="C109" t="s">
        <v>10</v>
      </c>
      <c r="D109" t="s">
        <v>20</v>
      </c>
      <c r="E109" s="8">
        <v>45730</v>
      </c>
      <c r="F109" s="1" t="s">
        <v>12</v>
      </c>
      <c r="G109" s="1" t="s">
        <v>21</v>
      </c>
      <c r="H109" s="8">
        <v>45743</v>
      </c>
      <c r="I109" s="1" t="s">
        <v>1787</v>
      </c>
      <c r="J109" t="b">
        <v>1</v>
      </c>
      <c r="K109" t="s">
        <v>252</v>
      </c>
      <c r="L109" s="13" t="str">
        <f>HYPERLINK("https://uk1.aconex.co.uk/hub/index.html?mainTarget=%2FSearchControlledDoc%3FSEARCH_ACTION%3D15%26tab%3D0%26searchMode%3D1%26searchQuery%3Ddocno:%22"&amp;RawData[[#This Row],[Document Number]]&amp;"%22%20%2Bcversion%253A1",RawData[[#This Row],[Document Number]])</f>
        <v>FS1018-AGL-ZZ-01-D-M-5710</v>
      </c>
    </row>
    <row r="110" spans="1:12" ht="28.8" x14ac:dyDescent="0.3">
      <c r="A110" t="s">
        <v>250</v>
      </c>
      <c r="B110" t="s">
        <v>251</v>
      </c>
      <c r="C110" t="s">
        <v>10</v>
      </c>
      <c r="D110" t="s">
        <v>20</v>
      </c>
      <c r="E110" s="8">
        <v>45743</v>
      </c>
      <c r="F110" s="1" t="s">
        <v>22</v>
      </c>
      <c r="G110" s="1" t="s">
        <v>4</v>
      </c>
      <c r="H110" s="8"/>
      <c r="J110" t="b">
        <v>1</v>
      </c>
      <c r="K110" t="s">
        <v>252</v>
      </c>
      <c r="L110" s="13" t="str">
        <f>HYPERLINK("https://uk1.aconex.co.uk/hub/index.html?mainTarget=%2FSearchControlledDoc%3FSEARCH_ACTION%3D15%26tab%3D0%26searchMode%3D1%26searchQuery%3Ddocno:%22"&amp;RawData[[#This Row],[Document Number]]&amp;"%22%20%2Bcversion%253A1",RawData[[#This Row],[Document Number]])</f>
        <v>FS1018-AGL-ZZ-01-D-M-5710</v>
      </c>
    </row>
    <row r="111" spans="1:12" ht="57.6" x14ac:dyDescent="0.3">
      <c r="A111" t="s">
        <v>253</v>
      </c>
      <c r="B111" t="s">
        <v>254</v>
      </c>
      <c r="C111" t="s">
        <v>10</v>
      </c>
      <c r="D111" t="s">
        <v>20</v>
      </c>
      <c r="E111" s="8">
        <v>45730</v>
      </c>
      <c r="F111" s="1" t="s">
        <v>12</v>
      </c>
      <c r="G111" s="1" t="s">
        <v>21</v>
      </c>
      <c r="H111" s="8">
        <v>45743</v>
      </c>
      <c r="I111" s="1" t="s">
        <v>1788</v>
      </c>
      <c r="J111" t="b">
        <v>1</v>
      </c>
      <c r="K111" t="s">
        <v>255</v>
      </c>
      <c r="L111" s="13" t="str">
        <f>HYPERLINK("https://uk1.aconex.co.uk/hub/index.html?mainTarget=%2FSearchControlledDoc%3FSEARCH_ACTION%3D15%26tab%3D0%26searchMode%3D1%26searchQuery%3Ddocno:%22"&amp;RawData[[#This Row],[Document Number]]&amp;"%22%20%2Bcversion%253A1",RawData[[#This Row],[Document Number]])</f>
        <v>FS1018-AGL-ZZ-01-D-M-5711</v>
      </c>
    </row>
    <row r="112" spans="1:12" ht="28.8" x14ac:dyDescent="0.3">
      <c r="A112" t="s">
        <v>253</v>
      </c>
      <c r="B112" t="s">
        <v>254</v>
      </c>
      <c r="C112" t="s">
        <v>10</v>
      </c>
      <c r="D112" t="s">
        <v>20</v>
      </c>
      <c r="E112" s="8">
        <v>45743</v>
      </c>
      <c r="F112" s="1" t="s">
        <v>22</v>
      </c>
      <c r="G112" s="1" t="s">
        <v>4</v>
      </c>
      <c r="H112" s="8"/>
      <c r="J112" t="b">
        <v>1</v>
      </c>
      <c r="K112" t="s">
        <v>255</v>
      </c>
      <c r="L112" s="13" t="str">
        <f>HYPERLINK("https://uk1.aconex.co.uk/hub/index.html?mainTarget=%2FSearchControlledDoc%3FSEARCH_ACTION%3D15%26tab%3D0%26searchMode%3D1%26searchQuery%3Ddocno:%22"&amp;RawData[[#This Row],[Document Number]]&amp;"%22%20%2Bcversion%253A1",RawData[[#This Row],[Document Number]])</f>
        <v>FS1018-AGL-ZZ-01-D-M-5711</v>
      </c>
    </row>
    <row r="113" spans="1:12" x14ac:dyDescent="0.3">
      <c r="A113" t="s">
        <v>256</v>
      </c>
      <c r="B113" t="s">
        <v>257</v>
      </c>
      <c r="C113" t="s">
        <v>13</v>
      </c>
      <c r="D113" t="s">
        <v>19</v>
      </c>
      <c r="E113" s="8">
        <v>45730</v>
      </c>
      <c r="F113" s="1" t="s">
        <v>12</v>
      </c>
      <c r="G113" s="1" t="s">
        <v>24</v>
      </c>
      <c r="H113" s="8">
        <v>45743</v>
      </c>
      <c r="I113" s="1" t="s">
        <v>1785</v>
      </c>
      <c r="J113" t="b">
        <v>1</v>
      </c>
      <c r="K113" t="s">
        <v>258</v>
      </c>
      <c r="L113" s="13" t="str">
        <f>HYPERLINK("https://uk1.aconex.co.uk/hub/index.html?mainTarget=%2FSearchControlledDoc%3FSEARCH_ACTION%3D15%26tab%3D0%26searchMode%3D1%26searchQuery%3Ddocno:%22"&amp;RawData[[#This Row],[Document Number]]&amp;"%22%20%2Bcversion%253A1",RawData[[#This Row],[Document Number]])</f>
        <v>FS1018-AGL-ZZ-01-D-Z-6010</v>
      </c>
    </row>
    <row r="114" spans="1:12" x14ac:dyDescent="0.3">
      <c r="A114" t="s">
        <v>259</v>
      </c>
      <c r="B114" t="s">
        <v>260</v>
      </c>
      <c r="C114" t="s">
        <v>13</v>
      </c>
      <c r="D114" t="s">
        <v>19</v>
      </c>
      <c r="E114" s="8">
        <v>45730</v>
      </c>
      <c r="F114" s="1" t="s">
        <v>12</v>
      </c>
      <c r="G114" s="1" t="s">
        <v>24</v>
      </c>
      <c r="H114" s="8">
        <v>45743</v>
      </c>
      <c r="I114" s="1" t="s">
        <v>1785</v>
      </c>
      <c r="J114" t="b">
        <v>1</v>
      </c>
      <c r="K114" t="s">
        <v>261</v>
      </c>
      <c r="L114" s="13" t="str">
        <f>HYPERLINK("https://uk1.aconex.co.uk/hub/index.html?mainTarget=%2FSearchControlledDoc%3FSEARCH_ACTION%3D15%26tab%3D0%26searchMode%3D1%26searchQuery%3Ddocno:%22"&amp;RawData[[#This Row],[Document Number]]&amp;"%22%20%2Bcversion%253A1",RawData[[#This Row],[Document Number]])</f>
        <v>FS1018-AGL-ZZ-01-D-Z-6011</v>
      </c>
    </row>
    <row r="115" spans="1:12" x14ac:dyDescent="0.3">
      <c r="A115" t="s">
        <v>262</v>
      </c>
      <c r="B115" t="s">
        <v>263</v>
      </c>
      <c r="C115" t="s">
        <v>13</v>
      </c>
      <c r="D115" t="s">
        <v>19</v>
      </c>
      <c r="E115" s="8">
        <v>45730</v>
      </c>
      <c r="F115" s="1" t="s">
        <v>12</v>
      </c>
      <c r="G115" s="1" t="s">
        <v>24</v>
      </c>
      <c r="H115" s="8">
        <v>45743</v>
      </c>
      <c r="I115" s="1" t="s">
        <v>1785</v>
      </c>
      <c r="J115" t="b">
        <v>1</v>
      </c>
      <c r="K115" t="s">
        <v>264</v>
      </c>
      <c r="L115" s="13" t="str">
        <f>HYPERLINK("https://uk1.aconex.co.uk/hub/index.html?mainTarget=%2FSearchControlledDoc%3FSEARCH_ACTION%3D15%26tab%3D0%26searchMode%3D1%26searchQuery%3Ddocno:%22"&amp;RawData[[#This Row],[Document Number]]&amp;"%22%20%2Bcversion%253A1",RawData[[#This Row],[Document Number]])</f>
        <v>FS1018-AGL-ZZ-01-D-Z-9610</v>
      </c>
    </row>
    <row r="116" spans="1:12" x14ac:dyDescent="0.3">
      <c r="A116" t="s">
        <v>265</v>
      </c>
      <c r="B116" t="s">
        <v>266</v>
      </c>
      <c r="C116" t="s">
        <v>13</v>
      </c>
      <c r="D116" t="s">
        <v>19</v>
      </c>
      <c r="E116" s="8">
        <v>45730</v>
      </c>
      <c r="F116" s="1" t="s">
        <v>12</v>
      </c>
      <c r="G116" s="1" t="s">
        <v>24</v>
      </c>
      <c r="H116" s="8">
        <v>45743</v>
      </c>
      <c r="I116" s="1" t="s">
        <v>1785</v>
      </c>
      <c r="J116" t="b">
        <v>1</v>
      </c>
      <c r="K116" t="s">
        <v>267</v>
      </c>
      <c r="L116" s="13" t="str">
        <f>HYPERLINK("https://uk1.aconex.co.uk/hub/index.html?mainTarget=%2FSearchControlledDoc%3FSEARCH_ACTION%3D15%26tab%3D0%26searchMode%3D1%26searchQuery%3Ddocno:%22"&amp;RawData[[#This Row],[Document Number]]&amp;"%22%20%2Bcversion%253A1",RawData[[#This Row],[Document Number]])</f>
        <v>FS1018-AGL-ZZ-01-D-Z-9611</v>
      </c>
    </row>
    <row r="117" spans="1:12" ht="43.2" x14ac:dyDescent="0.3">
      <c r="A117" t="s">
        <v>268</v>
      </c>
      <c r="B117" t="s">
        <v>269</v>
      </c>
      <c r="C117" t="s">
        <v>13</v>
      </c>
      <c r="D117" t="s">
        <v>20</v>
      </c>
      <c r="E117" s="8">
        <v>45730</v>
      </c>
      <c r="F117" s="1" t="s">
        <v>12</v>
      </c>
      <c r="G117" s="1" t="s">
        <v>21</v>
      </c>
      <c r="H117" s="8">
        <v>45749</v>
      </c>
      <c r="I117" s="1" t="s">
        <v>1899</v>
      </c>
      <c r="J117" t="b">
        <v>1</v>
      </c>
      <c r="K117" t="s">
        <v>270</v>
      </c>
      <c r="L117" s="13" t="str">
        <f>HYPERLINK("https://uk1.aconex.co.uk/hub/index.html?mainTarget=%2FSearchControlledDoc%3FSEARCH_ACTION%3D15%26tab%3D0%26searchMode%3D1%26searchQuery%3Ddocno:%22"&amp;RawData[[#This Row],[Document Number]]&amp;"%22%20%2Bcversion%253A1",RawData[[#This Row],[Document Number]])</f>
        <v>FS1018-AGL-ZZ-02-D-E-6110</v>
      </c>
    </row>
    <row r="118" spans="1:12" ht="28.8" x14ac:dyDescent="0.3">
      <c r="A118" t="s">
        <v>268</v>
      </c>
      <c r="B118" t="s">
        <v>269</v>
      </c>
      <c r="C118" t="s">
        <v>13</v>
      </c>
      <c r="D118" t="s">
        <v>20</v>
      </c>
      <c r="E118" s="8">
        <v>45749</v>
      </c>
      <c r="F118" s="1" t="s">
        <v>22</v>
      </c>
      <c r="G118" s="1" t="s">
        <v>4</v>
      </c>
      <c r="H118" s="8"/>
      <c r="J118" t="b">
        <v>1</v>
      </c>
      <c r="K118" t="s">
        <v>270</v>
      </c>
      <c r="L118" s="13" t="str">
        <f>HYPERLINK("https://uk1.aconex.co.uk/hub/index.html?mainTarget=%2FSearchControlledDoc%3FSEARCH_ACTION%3D15%26tab%3D0%26searchMode%3D1%26searchQuery%3Ddocno:%22"&amp;RawData[[#This Row],[Document Number]]&amp;"%22%20%2Bcversion%253A1",RawData[[#This Row],[Document Number]])</f>
        <v>FS1018-AGL-ZZ-02-D-E-6110</v>
      </c>
    </row>
    <row r="119" spans="1:12" x14ac:dyDescent="0.3">
      <c r="A119" t="s">
        <v>271</v>
      </c>
      <c r="B119" t="s">
        <v>272</v>
      </c>
      <c r="C119" t="s">
        <v>13</v>
      </c>
      <c r="D119" t="s">
        <v>19</v>
      </c>
      <c r="E119" s="8">
        <v>45730</v>
      </c>
      <c r="F119" s="1" t="s">
        <v>12</v>
      </c>
      <c r="G119" s="1" t="s">
        <v>24</v>
      </c>
      <c r="H119" s="8">
        <v>45749</v>
      </c>
      <c r="I119" s="1" t="s">
        <v>1785</v>
      </c>
      <c r="J119" t="b">
        <v>1</v>
      </c>
      <c r="K119" t="s">
        <v>273</v>
      </c>
      <c r="L119" s="13" t="str">
        <f>HYPERLINK("https://uk1.aconex.co.uk/hub/index.html?mainTarget=%2FSearchControlledDoc%3FSEARCH_ACTION%3D15%26tab%3D0%26searchMode%3D1%26searchQuery%3Ddocno:%22"&amp;RawData[[#This Row],[Document Number]]&amp;"%22%20%2Bcversion%253A1",RawData[[#This Row],[Document Number]])</f>
        <v>FS1018-AGL-ZZ-02-D-E-6111</v>
      </c>
    </row>
    <row r="120" spans="1:12" x14ac:dyDescent="0.3">
      <c r="A120" t="s">
        <v>274</v>
      </c>
      <c r="B120" t="s">
        <v>275</v>
      </c>
      <c r="C120" t="s">
        <v>13</v>
      </c>
      <c r="D120" t="s">
        <v>19</v>
      </c>
      <c r="E120" s="8">
        <v>45730</v>
      </c>
      <c r="F120" s="1" t="s">
        <v>12</v>
      </c>
      <c r="G120" s="1" t="s">
        <v>24</v>
      </c>
      <c r="H120" s="8">
        <v>45749</v>
      </c>
      <c r="I120" s="1" t="s">
        <v>1785</v>
      </c>
      <c r="J120" t="b">
        <v>1</v>
      </c>
      <c r="K120" t="s">
        <v>276</v>
      </c>
      <c r="L120" s="13" t="str">
        <f>HYPERLINK("https://uk1.aconex.co.uk/hub/index.html?mainTarget=%2FSearchControlledDoc%3FSEARCH_ACTION%3D15%26tab%3D0%26searchMode%3D1%26searchQuery%3Ddocno:%22"&amp;RawData[[#This Row],[Document Number]]&amp;"%22%20%2Bcversion%253A1",RawData[[#This Row],[Document Number]])</f>
        <v>FS1018-AGL-ZZ-02-D-E-6210</v>
      </c>
    </row>
    <row r="121" spans="1:12" x14ac:dyDescent="0.3">
      <c r="A121" t="s">
        <v>277</v>
      </c>
      <c r="B121" t="s">
        <v>278</v>
      </c>
      <c r="C121" t="s">
        <v>13</v>
      </c>
      <c r="D121" t="s">
        <v>19</v>
      </c>
      <c r="E121" s="8">
        <v>45730</v>
      </c>
      <c r="F121" s="1" t="s">
        <v>12</v>
      </c>
      <c r="G121" s="1" t="s">
        <v>24</v>
      </c>
      <c r="H121" s="8">
        <v>45749</v>
      </c>
      <c r="I121" s="1" t="s">
        <v>1785</v>
      </c>
      <c r="J121" t="b">
        <v>1</v>
      </c>
      <c r="K121" t="s">
        <v>279</v>
      </c>
      <c r="L121" s="13" t="str">
        <f>HYPERLINK("https://uk1.aconex.co.uk/hub/index.html?mainTarget=%2FSearchControlledDoc%3FSEARCH_ACTION%3D15%26tab%3D0%26searchMode%3D1%26searchQuery%3Ddocno:%22"&amp;RawData[[#This Row],[Document Number]]&amp;"%22%20%2Bcversion%253A1",RawData[[#This Row],[Document Number]])</f>
        <v>FS1018-AGL-ZZ-02-D-E-6211</v>
      </c>
    </row>
    <row r="122" spans="1:12" x14ac:dyDescent="0.3">
      <c r="A122" t="s">
        <v>280</v>
      </c>
      <c r="B122" t="s">
        <v>281</v>
      </c>
      <c r="C122" t="s">
        <v>13</v>
      </c>
      <c r="D122" t="s">
        <v>19</v>
      </c>
      <c r="E122" s="8">
        <v>45730</v>
      </c>
      <c r="F122" s="1" t="s">
        <v>12</v>
      </c>
      <c r="G122" s="1" t="s">
        <v>24</v>
      </c>
      <c r="H122" s="8">
        <v>45749</v>
      </c>
      <c r="I122" s="1" t="s">
        <v>1785</v>
      </c>
      <c r="J122" t="b">
        <v>1</v>
      </c>
      <c r="K122" t="s">
        <v>282</v>
      </c>
      <c r="L122" s="13" t="str">
        <f>HYPERLINK("https://uk1.aconex.co.uk/hub/index.html?mainTarget=%2FSearchControlledDoc%3FSEARCH_ACTION%3D15%26tab%3D0%26searchMode%3D1%26searchQuery%3Ddocno:%22"&amp;RawData[[#This Row],[Document Number]]&amp;"%22%20%2Bcversion%253A1",RawData[[#This Row],[Document Number]])</f>
        <v>FS1018-AGL-ZZ-02-D-E-6212</v>
      </c>
    </row>
    <row r="123" spans="1:12" x14ac:dyDescent="0.3">
      <c r="A123" t="s">
        <v>283</v>
      </c>
      <c r="B123" t="s">
        <v>284</v>
      </c>
      <c r="C123" t="s">
        <v>13</v>
      </c>
      <c r="D123" t="s">
        <v>19</v>
      </c>
      <c r="E123" s="8">
        <v>45730</v>
      </c>
      <c r="F123" s="1" t="s">
        <v>12</v>
      </c>
      <c r="G123" s="1" t="s">
        <v>24</v>
      </c>
      <c r="H123" s="8">
        <v>45749</v>
      </c>
      <c r="I123" s="1" t="s">
        <v>1785</v>
      </c>
      <c r="J123" t="b">
        <v>1</v>
      </c>
      <c r="K123" t="s">
        <v>285</v>
      </c>
      <c r="L123" s="13" t="str">
        <f>HYPERLINK("https://uk1.aconex.co.uk/hub/index.html?mainTarget=%2FSearchControlledDoc%3FSEARCH_ACTION%3D15%26tab%3D0%26searchMode%3D1%26searchQuery%3Ddocno:%22"&amp;RawData[[#This Row],[Document Number]]&amp;"%22%20%2Bcversion%253A1",RawData[[#This Row],[Document Number]])</f>
        <v>FS1018-AGL-ZZ-02-D-E-6213</v>
      </c>
    </row>
    <row r="124" spans="1:12" x14ac:dyDescent="0.3">
      <c r="A124" t="s">
        <v>286</v>
      </c>
      <c r="B124" t="s">
        <v>287</v>
      </c>
      <c r="C124" t="s">
        <v>13</v>
      </c>
      <c r="D124" t="s">
        <v>19</v>
      </c>
      <c r="E124" s="8">
        <v>45730</v>
      </c>
      <c r="F124" s="1" t="s">
        <v>12</v>
      </c>
      <c r="G124" s="1" t="s">
        <v>24</v>
      </c>
      <c r="H124" s="8">
        <v>45749</v>
      </c>
      <c r="I124" s="1" t="s">
        <v>1785</v>
      </c>
      <c r="J124" t="b">
        <v>1</v>
      </c>
      <c r="K124" t="s">
        <v>288</v>
      </c>
      <c r="L124" s="13" t="str">
        <f>HYPERLINK("https://uk1.aconex.co.uk/hub/index.html?mainTarget=%2FSearchControlledDoc%3FSEARCH_ACTION%3D15%26tab%3D0%26searchMode%3D1%26searchQuery%3Ddocno:%22"&amp;RawData[[#This Row],[Document Number]]&amp;"%22%20%2Bcversion%253A1",RawData[[#This Row],[Document Number]])</f>
        <v>FS1018-AGL-ZZ-02-D-E-6310</v>
      </c>
    </row>
    <row r="125" spans="1:12" x14ac:dyDescent="0.3">
      <c r="A125" t="s">
        <v>289</v>
      </c>
      <c r="B125" t="s">
        <v>290</v>
      </c>
      <c r="C125" t="s">
        <v>13</v>
      </c>
      <c r="D125" t="s">
        <v>19</v>
      </c>
      <c r="E125" s="8">
        <v>45730</v>
      </c>
      <c r="F125" s="1" t="s">
        <v>12</v>
      </c>
      <c r="G125" s="1" t="s">
        <v>24</v>
      </c>
      <c r="H125" s="8">
        <v>45749</v>
      </c>
      <c r="I125" s="1" t="s">
        <v>1785</v>
      </c>
      <c r="J125" t="b">
        <v>1</v>
      </c>
      <c r="K125" t="s">
        <v>291</v>
      </c>
      <c r="L125" s="13" t="str">
        <f>HYPERLINK("https://uk1.aconex.co.uk/hub/index.html?mainTarget=%2FSearchControlledDoc%3FSEARCH_ACTION%3D15%26tab%3D0%26searchMode%3D1%26searchQuery%3Ddocno:%22"&amp;RawData[[#This Row],[Document Number]]&amp;"%22%20%2Bcversion%253A1",RawData[[#This Row],[Document Number]])</f>
        <v>FS1018-AGL-ZZ-02-D-E-6311</v>
      </c>
    </row>
    <row r="126" spans="1:12" x14ac:dyDescent="0.3">
      <c r="A126" t="s">
        <v>292</v>
      </c>
      <c r="B126" t="s">
        <v>293</v>
      </c>
      <c r="C126" t="s">
        <v>13</v>
      </c>
      <c r="D126" t="s">
        <v>19</v>
      </c>
      <c r="E126" s="8">
        <v>45730</v>
      </c>
      <c r="F126" s="1" t="s">
        <v>12</v>
      </c>
      <c r="G126" s="1" t="s">
        <v>24</v>
      </c>
      <c r="H126" s="8">
        <v>45749</v>
      </c>
      <c r="I126" s="1" t="s">
        <v>1785</v>
      </c>
      <c r="J126" t="b">
        <v>1</v>
      </c>
      <c r="K126" t="s">
        <v>294</v>
      </c>
      <c r="L126" s="13" t="str">
        <f>HYPERLINK("https://uk1.aconex.co.uk/hub/index.html?mainTarget=%2FSearchControlledDoc%3FSEARCH_ACTION%3D15%26tab%3D0%26searchMode%3D1%26searchQuery%3Ddocno:%22"&amp;RawData[[#This Row],[Document Number]]&amp;"%22%20%2Bcversion%253A1",RawData[[#This Row],[Document Number]])</f>
        <v>FS1018-AGL-ZZ-02-D-E-6810</v>
      </c>
    </row>
    <row r="127" spans="1:12" x14ac:dyDescent="0.3">
      <c r="A127" t="s">
        <v>295</v>
      </c>
      <c r="B127" t="s">
        <v>296</v>
      </c>
      <c r="C127" t="s">
        <v>13</v>
      </c>
      <c r="D127" t="s">
        <v>19</v>
      </c>
      <c r="E127" s="8">
        <v>45730</v>
      </c>
      <c r="F127" s="1" t="s">
        <v>12</v>
      </c>
      <c r="G127" s="1" t="s">
        <v>24</v>
      </c>
      <c r="H127" s="8">
        <v>45749</v>
      </c>
      <c r="I127" s="1" t="s">
        <v>1785</v>
      </c>
      <c r="J127" t="b">
        <v>1</v>
      </c>
      <c r="K127" t="s">
        <v>297</v>
      </c>
      <c r="L127" s="13" t="str">
        <f>HYPERLINK("https://uk1.aconex.co.uk/hub/index.html?mainTarget=%2FSearchControlledDoc%3FSEARCH_ACTION%3D15%26tab%3D0%26searchMode%3D1%26searchQuery%3Ddocno:%22"&amp;RawData[[#This Row],[Document Number]]&amp;"%22%20%2Bcversion%253A1",RawData[[#This Row],[Document Number]])</f>
        <v>FS1018-AGL-ZZ-02-D-E-6811</v>
      </c>
    </row>
    <row r="128" spans="1:12" x14ac:dyDescent="0.3">
      <c r="A128" t="s">
        <v>298</v>
      </c>
      <c r="B128" t="s">
        <v>299</v>
      </c>
      <c r="C128" t="s">
        <v>13</v>
      </c>
      <c r="D128" t="s">
        <v>20</v>
      </c>
      <c r="E128" s="8">
        <v>45730</v>
      </c>
      <c r="F128" s="1" t="s">
        <v>12</v>
      </c>
      <c r="G128" s="1" t="s">
        <v>21</v>
      </c>
      <c r="H128" s="8">
        <v>45749</v>
      </c>
      <c r="I128" s="1" t="s">
        <v>1898</v>
      </c>
      <c r="J128" t="b">
        <v>1</v>
      </c>
      <c r="K128" t="s">
        <v>300</v>
      </c>
      <c r="L128" s="13" t="str">
        <f>HYPERLINK("https://uk1.aconex.co.uk/hub/index.html?mainTarget=%2FSearchControlledDoc%3FSEARCH_ACTION%3D15%26tab%3D0%26searchMode%3D1%26searchQuery%3Ddocno:%22"&amp;RawData[[#This Row],[Document Number]]&amp;"%22%20%2Bcversion%253A1",RawData[[#This Row],[Document Number]])</f>
        <v>FS1018-AGL-ZZ-02-D-E-6820</v>
      </c>
    </row>
    <row r="129" spans="1:12" ht="28.8" x14ac:dyDescent="0.3">
      <c r="A129" t="s">
        <v>298</v>
      </c>
      <c r="B129" t="s">
        <v>299</v>
      </c>
      <c r="C129" t="s">
        <v>13</v>
      </c>
      <c r="D129" t="s">
        <v>20</v>
      </c>
      <c r="E129" s="8">
        <v>45749</v>
      </c>
      <c r="F129" s="1" t="s">
        <v>22</v>
      </c>
      <c r="G129" s="1" t="s">
        <v>4</v>
      </c>
      <c r="H129" s="8"/>
      <c r="J129" t="b">
        <v>1</v>
      </c>
      <c r="K129" t="s">
        <v>300</v>
      </c>
      <c r="L129" s="13" t="str">
        <f>HYPERLINK("https://uk1.aconex.co.uk/hub/index.html?mainTarget=%2FSearchControlledDoc%3FSEARCH_ACTION%3D15%26tab%3D0%26searchMode%3D1%26searchQuery%3Ddocno:%22"&amp;RawData[[#This Row],[Document Number]]&amp;"%22%20%2Bcversion%253A1",RawData[[#This Row],[Document Number]])</f>
        <v>FS1018-AGL-ZZ-02-D-E-6820</v>
      </c>
    </row>
    <row r="130" spans="1:12" x14ac:dyDescent="0.3">
      <c r="A130" t="s">
        <v>301</v>
      </c>
      <c r="B130" t="s">
        <v>302</v>
      </c>
      <c r="C130" t="s">
        <v>13</v>
      </c>
      <c r="D130" t="s">
        <v>20</v>
      </c>
      <c r="E130" s="8">
        <v>45730</v>
      </c>
      <c r="F130" s="1" t="s">
        <v>12</v>
      </c>
      <c r="G130" s="1" t="s">
        <v>21</v>
      </c>
      <c r="H130" s="8">
        <v>45749</v>
      </c>
      <c r="I130" s="1" t="s">
        <v>1898</v>
      </c>
      <c r="J130" t="b">
        <v>1</v>
      </c>
      <c r="K130" t="s">
        <v>303</v>
      </c>
      <c r="L130" s="13" t="str">
        <f>HYPERLINK("https://uk1.aconex.co.uk/hub/index.html?mainTarget=%2FSearchControlledDoc%3FSEARCH_ACTION%3D15%26tab%3D0%26searchMode%3D1%26searchQuery%3Ddocno:%22"&amp;RawData[[#This Row],[Document Number]]&amp;"%22%20%2Bcversion%253A1",RawData[[#This Row],[Document Number]])</f>
        <v>FS1018-AGL-ZZ-02-D-E-6821</v>
      </c>
    </row>
    <row r="131" spans="1:12" ht="28.8" x14ac:dyDescent="0.3">
      <c r="A131" t="s">
        <v>301</v>
      </c>
      <c r="B131" t="s">
        <v>302</v>
      </c>
      <c r="C131" t="s">
        <v>13</v>
      </c>
      <c r="D131" t="s">
        <v>20</v>
      </c>
      <c r="E131" s="8">
        <v>45749</v>
      </c>
      <c r="F131" s="1" t="s">
        <v>22</v>
      </c>
      <c r="G131" s="1" t="s">
        <v>4</v>
      </c>
      <c r="H131" s="8"/>
      <c r="J131" t="b">
        <v>1</v>
      </c>
      <c r="K131" t="s">
        <v>303</v>
      </c>
      <c r="L131" s="13" t="str">
        <f>HYPERLINK("https://uk1.aconex.co.uk/hub/index.html?mainTarget=%2FSearchControlledDoc%3FSEARCH_ACTION%3D15%26tab%3D0%26searchMode%3D1%26searchQuery%3Ddocno:%22"&amp;RawData[[#This Row],[Document Number]]&amp;"%22%20%2Bcversion%253A1",RawData[[#This Row],[Document Number]])</f>
        <v>FS1018-AGL-ZZ-02-D-E-6821</v>
      </c>
    </row>
    <row r="132" spans="1:12" x14ac:dyDescent="0.3">
      <c r="A132" t="s">
        <v>304</v>
      </c>
      <c r="B132" t="s">
        <v>305</v>
      </c>
      <c r="C132" t="s">
        <v>13</v>
      </c>
      <c r="D132" t="s">
        <v>19</v>
      </c>
      <c r="E132" s="8">
        <v>45730</v>
      </c>
      <c r="F132" s="1" t="s">
        <v>12</v>
      </c>
      <c r="G132" s="1" t="s">
        <v>24</v>
      </c>
      <c r="H132" s="8">
        <v>45749</v>
      </c>
      <c r="I132" s="1" t="s">
        <v>1785</v>
      </c>
      <c r="J132" t="b">
        <v>1</v>
      </c>
      <c r="K132" t="s">
        <v>306</v>
      </c>
      <c r="L132" s="13" t="str">
        <f>HYPERLINK("https://uk1.aconex.co.uk/hub/index.html?mainTarget=%2FSearchControlledDoc%3FSEARCH_ACTION%3D15%26tab%3D0%26searchMode%3D1%26searchQuery%3Ddocno:%22"&amp;RawData[[#This Row],[Document Number]]&amp;"%22%20%2Bcversion%253A1",RawData[[#This Row],[Document Number]])</f>
        <v>FS1018-AGL-ZZ-02-D-E-6840</v>
      </c>
    </row>
    <row r="133" spans="1:12" x14ac:dyDescent="0.3">
      <c r="A133" t="s">
        <v>307</v>
      </c>
      <c r="B133" t="s">
        <v>308</v>
      </c>
      <c r="C133" t="s">
        <v>13</v>
      </c>
      <c r="D133" t="s">
        <v>19</v>
      </c>
      <c r="E133" s="8">
        <v>45730</v>
      </c>
      <c r="F133" s="1" t="s">
        <v>12</v>
      </c>
      <c r="G133" s="1" t="s">
        <v>24</v>
      </c>
      <c r="H133" s="8">
        <v>45749</v>
      </c>
      <c r="I133" s="1" t="s">
        <v>1785</v>
      </c>
      <c r="J133" t="b">
        <v>1</v>
      </c>
      <c r="K133" t="s">
        <v>309</v>
      </c>
      <c r="L133" s="13" t="str">
        <f>HYPERLINK("https://uk1.aconex.co.uk/hub/index.html?mainTarget=%2FSearchControlledDoc%3FSEARCH_ACTION%3D15%26tab%3D0%26searchMode%3D1%26searchQuery%3Ddocno:%22"&amp;RawData[[#This Row],[Document Number]]&amp;"%22%20%2Bcversion%253A1",RawData[[#This Row],[Document Number]])</f>
        <v>FS1018-AGL-ZZ-02-D-E-6841</v>
      </c>
    </row>
    <row r="134" spans="1:12" ht="43.2" x14ac:dyDescent="0.3">
      <c r="A134" t="s">
        <v>310</v>
      </c>
      <c r="B134" t="s">
        <v>311</v>
      </c>
      <c r="C134" t="s">
        <v>10</v>
      </c>
      <c r="D134" t="s">
        <v>20</v>
      </c>
      <c r="E134" s="8">
        <v>45730</v>
      </c>
      <c r="F134" s="1" t="s">
        <v>12</v>
      </c>
      <c r="G134" s="1" t="s">
        <v>1027</v>
      </c>
      <c r="H134" s="8">
        <v>45754</v>
      </c>
      <c r="I134" s="1" t="s">
        <v>1944</v>
      </c>
      <c r="J134" t="b">
        <v>1</v>
      </c>
      <c r="K134" t="s">
        <v>312</v>
      </c>
      <c r="L134" s="13" t="str">
        <f>HYPERLINK("https://uk1.aconex.co.uk/hub/index.html?mainTarget=%2FSearchControlledDoc%3FSEARCH_ACTION%3D15%26tab%3D0%26searchMode%3D1%26searchQuery%3Ddocno:%22"&amp;RawData[[#This Row],[Document Number]]&amp;"%22%20%2Bcversion%253A1",RawData[[#This Row],[Document Number]])</f>
        <v>FS1018-AGL-ZZ-02-D-M-5210</v>
      </c>
    </row>
    <row r="135" spans="1:12" ht="28.8" x14ac:dyDescent="0.3">
      <c r="A135" t="s">
        <v>310</v>
      </c>
      <c r="B135" t="s">
        <v>311</v>
      </c>
      <c r="C135" t="s">
        <v>10</v>
      </c>
      <c r="D135" t="s">
        <v>20</v>
      </c>
      <c r="E135" s="8">
        <v>45754</v>
      </c>
      <c r="F135" s="1" t="s">
        <v>22</v>
      </c>
      <c r="G135" s="1" t="s">
        <v>4</v>
      </c>
      <c r="H135" s="8"/>
      <c r="J135" t="b">
        <v>1</v>
      </c>
      <c r="K135" t="s">
        <v>312</v>
      </c>
      <c r="L135" s="13" t="str">
        <f>HYPERLINK("https://uk1.aconex.co.uk/hub/index.html?mainTarget=%2FSearchControlledDoc%3FSEARCH_ACTION%3D15%26tab%3D0%26searchMode%3D1%26searchQuery%3Ddocno:%22"&amp;RawData[[#This Row],[Document Number]]&amp;"%22%20%2Bcversion%253A1",RawData[[#This Row],[Document Number]])</f>
        <v>FS1018-AGL-ZZ-02-D-M-5210</v>
      </c>
    </row>
    <row r="136" spans="1:12" ht="43.2" x14ac:dyDescent="0.3">
      <c r="A136" t="s">
        <v>313</v>
      </c>
      <c r="B136" t="s">
        <v>314</v>
      </c>
      <c r="C136" t="s">
        <v>10</v>
      </c>
      <c r="D136" t="s">
        <v>20</v>
      </c>
      <c r="E136" s="8">
        <v>45730</v>
      </c>
      <c r="F136" s="1" t="s">
        <v>12</v>
      </c>
      <c r="G136" s="1" t="s">
        <v>1027</v>
      </c>
      <c r="H136" s="8">
        <v>45754</v>
      </c>
      <c r="I136" s="1" t="s">
        <v>1945</v>
      </c>
      <c r="J136" t="b">
        <v>1</v>
      </c>
      <c r="K136" t="s">
        <v>315</v>
      </c>
      <c r="L136" s="13" t="str">
        <f>HYPERLINK("https://uk1.aconex.co.uk/hub/index.html?mainTarget=%2FSearchControlledDoc%3FSEARCH_ACTION%3D15%26tab%3D0%26searchMode%3D1%26searchQuery%3Ddocno:%22"&amp;RawData[[#This Row],[Document Number]]&amp;"%22%20%2Bcversion%253A1",RawData[[#This Row],[Document Number]])</f>
        <v>FS1018-AGL-ZZ-02-D-M-5211</v>
      </c>
    </row>
    <row r="137" spans="1:12" ht="28.8" x14ac:dyDescent="0.3">
      <c r="A137" t="s">
        <v>313</v>
      </c>
      <c r="B137" t="s">
        <v>314</v>
      </c>
      <c r="C137" t="s">
        <v>10</v>
      </c>
      <c r="D137" t="s">
        <v>20</v>
      </c>
      <c r="E137" s="8">
        <v>45754</v>
      </c>
      <c r="F137" s="1" t="s">
        <v>22</v>
      </c>
      <c r="G137" s="1" t="s">
        <v>4</v>
      </c>
      <c r="H137" s="8"/>
      <c r="J137" t="b">
        <v>1</v>
      </c>
      <c r="K137" t="s">
        <v>315</v>
      </c>
      <c r="L137" s="13" t="str">
        <f>HYPERLINK("https://uk1.aconex.co.uk/hub/index.html?mainTarget=%2FSearchControlledDoc%3FSEARCH_ACTION%3D15%26tab%3D0%26searchMode%3D1%26searchQuery%3Ddocno:%22"&amp;RawData[[#This Row],[Document Number]]&amp;"%22%20%2Bcversion%253A1",RawData[[#This Row],[Document Number]])</f>
        <v>FS1018-AGL-ZZ-02-D-M-5211</v>
      </c>
    </row>
    <row r="138" spans="1:12" x14ac:dyDescent="0.3">
      <c r="A138" t="s">
        <v>316</v>
      </c>
      <c r="B138" t="s">
        <v>317</v>
      </c>
      <c r="C138" t="s">
        <v>10</v>
      </c>
      <c r="D138" t="s">
        <v>19</v>
      </c>
      <c r="E138" s="8">
        <v>45730</v>
      </c>
      <c r="F138" s="1" t="s">
        <v>12</v>
      </c>
      <c r="G138" s="1" t="s">
        <v>24</v>
      </c>
      <c r="H138" s="8">
        <v>45754</v>
      </c>
      <c r="J138" t="b">
        <v>1</v>
      </c>
      <c r="K138" t="s">
        <v>318</v>
      </c>
      <c r="L138" s="13" t="str">
        <f>HYPERLINK("https://uk1.aconex.co.uk/hub/index.html?mainTarget=%2FSearchControlledDoc%3FSEARCH_ACTION%3D15%26tab%3D0%26searchMode%3D1%26searchQuery%3Ddocno:%22"&amp;RawData[[#This Row],[Document Number]]&amp;"%22%20%2Bcversion%253A1",RawData[[#This Row],[Document Number]])</f>
        <v>FS1018-AGL-ZZ-02-D-M-5310</v>
      </c>
    </row>
    <row r="139" spans="1:12" x14ac:dyDescent="0.3">
      <c r="A139" t="s">
        <v>319</v>
      </c>
      <c r="B139" t="s">
        <v>320</v>
      </c>
      <c r="C139" t="s">
        <v>10</v>
      </c>
      <c r="D139" t="s">
        <v>19</v>
      </c>
      <c r="E139" s="8">
        <v>45730</v>
      </c>
      <c r="F139" s="1" t="s">
        <v>12</v>
      </c>
      <c r="G139" s="1" t="s">
        <v>24</v>
      </c>
      <c r="H139" s="8">
        <v>45754</v>
      </c>
      <c r="J139" t="b">
        <v>1</v>
      </c>
      <c r="K139" t="s">
        <v>321</v>
      </c>
      <c r="L139" s="13" t="str">
        <f>HYPERLINK("https://uk1.aconex.co.uk/hub/index.html?mainTarget=%2FSearchControlledDoc%3FSEARCH_ACTION%3D15%26tab%3D0%26searchMode%3D1%26searchQuery%3Ddocno:%22"&amp;RawData[[#This Row],[Document Number]]&amp;"%22%20%2Bcversion%253A1",RawData[[#This Row],[Document Number]])</f>
        <v>FS1018-AGL-ZZ-02-D-M-5311</v>
      </c>
    </row>
    <row r="140" spans="1:12" ht="28.8" x14ac:dyDescent="0.3">
      <c r="A140" t="s">
        <v>322</v>
      </c>
      <c r="B140" t="s">
        <v>323</v>
      </c>
      <c r="C140" t="s">
        <v>10</v>
      </c>
      <c r="D140" t="s">
        <v>20</v>
      </c>
      <c r="E140" s="8">
        <v>45730</v>
      </c>
      <c r="F140" s="1" t="s">
        <v>12</v>
      </c>
      <c r="G140" s="1" t="s">
        <v>1027</v>
      </c>
      <c r="H140" s="8">
        <v>45754</v>
      </c>
      <c r="I140" s="1" t="s">
        <v>1946</v>
      </c>
      <c r="J140" t="b">
        <v>1</v>
      </c>
      <c r="K140" t="s">
        <v>324</v>
      </c>
      <c r="L140" s="13" t="str">
        <f>HYPERLINK("https://uk1.aconex.co.uk/hub/index.html?mainTarget=%2FSearchControlledDoc%3FSEARCH_ACTION%3D15%26tab%3D0%26searchMode%3D1%26searchQuery%3Ddocno:%22"&amp;RawData[[#This Row],[Document Number]]&amp;"%22%20%2Bcversion%253A1",RawData[[#This Row],[Document Number]])</f>
        <v>FS1018-AGL-ZZ-02-D-M-5410</v>
      </c>
    </row>
    <row r="141" spans="1:12" ht="28.8" x14ac:dyDescent="0.3">
      <c r="A141" t="s">
        <v>322</v>
      </c>
      <c r="B141" t="s">
        <v>323</v>
      </c>
      <c r="C141" t="s">
        <v>10</v>
      </c>
      <c r="D141" t="s">
        <v>20</v>
      </c>
      <c r="E141" s="8">
        <v>45754</v>
      </c>
      <c r="F141" s="1" t="s">
        <v>22</v>
      </c>
      <c r="G141" s="1" t="s">
        <v>4</v>
      </c>
      <c r="H141" s="8"/>
      <c r="J141" t="b">
        <v>1</v>
      </c>
      <c r="K141" t="s">
        <v>324</v>
      </c>
      <c r="L141" s="13" t="str">
        <f>HYPERLINK("https://uk1.aconex.co.uk/hub/index.html?mainTarget=%2FSearchControlledDoc%3FSEARCH_ACTION%3D15%26tab%3D0%26searchMode%3D1%26searchQuery%3Ddocno:%22"&amp;RawData[[#This Row],[Document Number]]&amp;"%22%20%2Bcversion%253A1",RawData[[#This Row],[Document Number]])</f>
        <v>FS1018-AGL-ZZ-02-D-M-5410</v>
      </c>
    </row>
    <row r="142" spans="1:12" ht="43.2" x14ac:dyDescent="0.3">
      <c r="A142" t="s">
        <v>325</v>
      </c>
      <c r="B142" t="s">
        <v>326</v>
      </c>
      <c r="C142" t="s">
        <v>13</v>
      </c>
      <c r="D142" t="s">
        <v>20</v>
      </c>
      <c r="E142" s="8">
        <v>45730</v>
      </c>
      <c r="F142" s="1" t="s">
        <v>12</v>
      </c>
      <c r="G142" s="1" t="s">
        <v>21</v>
      </c>
      <c r="H142" s="8">
        <v>45743</v>
      </c>
      <c r="I142" s="1" t="s">
        <v>1786</v>
      </c>
      <c r="J142" t="b">
        <v>1</v>
      </c>
      <c r="K142" t="s">
        <v>327</v>
      </c>
      <c r="L142" s="13" t="str">
        <f>HYPERLINK("https://uk1.aconex.co.uk/hub/index.html?mainTarget=%2FSearchControlledDoc%3FSEARCH_ACTION%3D15%26tab%3D0%26searchMode%3D1%26searchQuery%3Ddocno:%22"&amp;RawData[[#This Row],[Document Number]]&amp;"%22%20%2Bcversion%253A1",RawData[[#This Row],[Document Number]])</f>
        <v>FS1018-AGL-ZZ-02-D-M-5610</v>
      </c>
    </row>
    <row r="143" spans="1:12" ht="28.8" x14ac:dyDescent="0.3">
      <c r="A143" t="s">
        <v>325</v>
      </c>
      <c r="B143" t="s">
        <v>326</v>
      </c>
      <c r="C143" t="s">
        <v>13</v>
      </c>
      <c r="D143" t="s">
        <v>20</v>
      </c>
      <c r="E143" s="8">
        <v>45743</v>
      </c>
      <c r="F143" s="1" t="s">
        <v>22</v>
      </c>
      <c r="G143" s="1" t="s">
        <v>4</v>
      </c>
      <c r="H143" s="8"/>
      <c r="J143" t="b">
        <v>1</v>
      </c>
      <c r="K143" t="s">
        <v>327</v>
      </c>
      <c r="L143" s="13" t="str">
        <f>HYPERLINK("https://uk1.aconex.co.uk/hub/index.html?mainTarget=%2FSearchControlledDoc%3FSEARCH_ACTION%3D15%26tab%3D0%26searchMode%3D1%26searchQuery%3Ddocno:%22"&amp;RawData[[#This Row],[Document Number]]&amp;"%22%20%2Bcversion%253A1",RawData[[#This Row],[Document Number]])</f>
        <v>FS1018-AGL-ZZ-02-D-M-5610</v>
      </c>
    </row>
    <row r="144" spans="1:12" ht="43.2" x14ac:dyDescent="0.3">
      <c r="A144" t="s">
        <v>328</v>
      </c>
      <c r="B144" t="s">
        <v>329</v>
      </c>
      <c r="C144" t="s">
        <v>13</v>
      </c>
      <c r="D144" t="s">
        <v>20</v>
      </c>
      <c r="E144" s="8">
        <v>45730</v>
      </c>
      <c r="F144" s="1" t="s">
        <v>12</v>
      </c>
      <c r="G144" s="1" t="s">
        <v>21</v>
      </c>
      <c r="H144" s="8">
        <v>45743</v>
      </c>
      <c r="I144" s="1" t="s">
        <v>1786</v>
      </c>
      <c r="J144" t="b">
        <v>1</v>
      </c>
      <c r="K144" t="s">
        <v>330</v>
      </c>
      <c r="L144" s="13" t="str">
        <f>HYPERLINK("https://uk1.aconex.co.uk/hub/index.html?mainTarget=%2FSearchControlledDoc%3FSEARCH_ACTION%3D15%26tab%3D0%26searchMode%3D1%26searchQuery%3Ddocno:%22"&amp;RawData[[#This Row],[Document Number]]&amp;"%22%20%2Bcversion%253A1",RawData[[#This Row],[Document Number]])</f>
        <v>FS1018-AGL-ZZ-02-D-M-5611</v>
      </c>
    </row>
    <row r="145" spans="1:12" ht="28.8" x14ac:dyDescent="0.3">
      <c r="A145" t="s">
        <v>328</v>
      </c>
      <c r="B145" t="s">
        <v>329</v>
      </c>
      <c r="C145" t="s">
        <v>13</v>
      </c>
      <c r="D145" t="s">
        <v>20</v>
      </c>
      <c r="E145" s="8">
        <v>45743</v>
      </c>
      <c r="F145" s="1" t="s">
        <v>22</v>
      </c>
      <c r="G145" s="1" t="s">
        <v>4</v>
      </c>
      <c r="H145" s="8"/>
      <c r="J145" t="b">
        <v>1</v>
      </c>
      <c r="K145" t="s">
        <v>330</v>
      </c>
      <c r="L145" s="13" t="str">
        <f>HYPERLINK("https://uk1.aconex.co.uk/hub/index.html?mainTarget=%2FSearchControlledDoc%3FSEARCH_ACTION%3D15%26tab%3D0%26searchMode%3D1%26searchQuery%3Ddocno:%22"&amp;RawData[[#This Row],[Document Number]]&amp;"%22%20%2Bcversion%253A1",RawData[[#This Row],[Document Number]])</f>
        <v>FS1018-AGL-ZZ-02-D-M-5611</v>
      </c>
    </row>
    <row r="146" spans="1:12" x14ac:dyDescent="0.3">
      <c r="A146" t="s">
        <v>331</v>
      </c>
      <c r="B146" t="s">
        <v>332</v>
      </c>
      <c r="C146" t="s">
        <v>10</v>
      </c>
      <c r="D146" t="s">
        <v>19</v>
      </c>
      <c r="E146" s="8">
        <v>45730</v>
      </c>
      <c r="F146" s="1" t="s">
        <v>12</v>
      </c>
      <c r="G146" s="1" t="s">
        <v>24</v>
      </c>
      <c r="H146" s="8">
        <v>45743</v>
      </c>
      <c r="I146" s="1" t="s">
        <v>1785</v>
      </c>
      <c r="J146" t="b">
        <v>1</v>
      </c>
      <c r="K146" t="s">
        <v>333</v>
      </c>
      <c r="L146" s="13" t="str">
        <f>HYPERLINK("https://uk1.aconex.co.uk/hub/index.html?mainTarget=%2FSearchControlledDoc%3FSEARCH_ACTION%3D15%26tab%3D0%26searchMode%3D1%26searchQuery%3Ddocno:%22"&amp;RawData[[#This Row],[Document Number]]&amp;"%22%20%2Bcversion%253A1",RawData[[#This Row],[Document Number]])</f>
        <v>FS1018-AGL-ZZ-02-D-M-5710</v>
      </c>
    </row>
    <row r="147" spans="1:12" ht="57.6" x14ac:dyDescent="0.3">
      <c r="A147" t="s">
        <v>334</v>
      </c>
      <c r="B147" t="s">
        <v>335</v>
      </c>
      <c r="C147" t="s">
        <v>10</v>
      </c>
      <c r="D147" t="s">
        <v>20</v>
      </c>
      <c r="E147" s="8">
        <v>45730</v>
      </c>
      <c r="F147" s="1" t="s">
        <v>12</v>
      </c>
      <c r="G147" s="1" t="s">
        <v>21</v>
      </c>
      <c r="H147" s="8">
        <v>45743</v>
      </c>
      <c r="I147" s="1" t="s">
        <v>1789</v>
      </c>
      <c r="J147" t="b">
        <v>1</v>
      </c>
      <c r="K147" t="s">
        <v>336</v>
      </c>
      <c r="L147" s="13" t="str">
        <f>HYPERLINK("https://uk1.aconex.co.uk/hub/index.html?mainTarget=%2FSearchControlledDoc%3FSEARCH_ACTION%3D15%26tab%3D0%26searchMode%3D1%26searchQuery%3Ddocno:%22"&amp;RawData[[#This Row],[Document Number]]&amp;"%22%20%2Bcversion%253A1",RawData[[#This Row],[Document Number]])</f>
        <v>FS1018-AGL-ZZ-02-D-M-5711</v>
      </c>
    </row>
    <row r="148" spans="1:12" ht="28.8" x14ac:dyDescent="0.3">
      <c r="A148" t="s">
        <v>334</v>
      </c>
      <c r="B148" t="s">
        <v>335</v>
      </c>
      <c r="C148" t="s">
        <v>10</v>
      </c>
      <c r="D148" t="s">
        <v>20</v>
      </c>
      <c r="E148" s="8">
        <v>45743</v>
      </c>
      <c r="F148" s="1" t="s">
        <v>22</v>
      </c>
      <c r="G148" s="1" t="s">
        <v>4</v>
      </c>
      <c r="H148" s="8"/>
      <c r="J148" t="b">
        <v>1</v>
      </c>
      <c r="K148" t="s">
        <v>336</v>
      </c>
      <c r="L148" s="13" t="str">
        <f>HYPERLINK("https://uk1.aconex.co.uk/hub/index.html?mainTarget=%2FSearchControlledDoc%3FSEARCH_ACTION%3D15%26tab%3D0%26searchMode%3D1%26searchQuery%3Ddocno:%22"&amp;RawData[[#This Row],[Document Number]]&amp;"%22%20%2Bcversion%253A1",RawData[[#This Row],[Document Number]])</f>
        <v>FS1018-AGL-ZZ-02-D-M-5711</v>
      </c>
    </row>
    <row r="149" spans="1:12" x14ac:dyDescent="0.3">
      <c r="A149" t="s">
        <v>337</v>
      </c>
      <c r="B149" t="s">
        <v>338</v>
      </c>
      <c r="C149" t="s">
        <v>13</v>
      </c>
      <c r="D149" t="s">
        <v>19</v>
      </c>
      <c r="E149" s="8">
        <v>45730</v>
      </c>
      <c r="F149" s="1" t="s">
        <v>12</v>
      </c>
      <c r="G149" s="1" t="s">
        <v>24</v>
      </c>
      <c r="H149" s="8">
        <v>45743</v>
      </c>
      <c r="I149" s="1" t="s">
        <v>1785</v>
      </c>
      <c r="J149" t="b">
        <v>1</v>
      </c>
      <c r="K149" t="s">
        <v>339</v>
      </c>
      <c r="L149" s="13" t="str">
        <f>HYPERLINK("https://uk1.aconex.co.uk/hub/index.html?mainTarget=%2FSearchControlledDoc%3FSEARCH_ACTION%3D15%26tab%3D0%26searchMode%3D1%26searchQuery%3Ddocno:%22"&amp;RawData[[#This Row],[Document Number]]&amp;"%22%20%2Bcversion%253A1",RawData[[#This Row],[Document Number]])</f>
        <v>FS1018-AGL-ZZ-02-D-Z-6010</v>
      </c>
    </row>
    <row r="150" spans="1:12" x14ac:dyDescent="0.3">
      <c r="A150" t="s">
        <v>340</v>
      </c>
      <c r="B150" t="s">
        <v>341</v>
      </c>
      <c r="C150" t="s">
        <v>13</v>
      </c>
      <c r="D150" t="s">
        <v>19</v>
      </c>
      <c r="E150" s="8">
        <v>45730</v>
      </c>
      <c r="F150" s="1" t="s">
        <v>12</v>
      </c>
      <c r="G150" s="1" t="s">
        <v>24</v>
      </c>
      <c r="H150" s="8">
        <v>45743</v>
      </c>
      <c r="I150" s="1" t="s">
        <v>1785</v>
      </c>
      <c r="J150" t="b">
        <v>1</v>
      </c>
      <c r="K150" t="s">
        <v>342</v>
      </c>
      <c r="L150" s="13" t="str">
        <f>HYPERLINK("https://uk1.aconex.co.uk/hub/index.html?mainTarget=%2FSearchControlledDoc%3FSEARCH_ACTION%3D15%26tab%3D0%26searchMode%3D1%26searchQuery%3Ddocno:%22"&amp;RawData[[#This Row],[Document Number]]&amp;"%22%20%2Bcversion%253A1",RawData[[#This Row],[Document Number]])</f>
        <v>FS1018-AGL-ZZ-02-D-Z-6011</v>
      </c>
    </row>
    <row r="151" spans="1:12" x14ac:dyDescent="0.3">
      <c r="A151" t="s">
        <v>343</v>
      </c>
      <c r="B151" t="s">
        <v>344</v>
      </c>
      <c r="C151" t="s">
        <v>13</v>
      </c>
      <c r="D151" t="s">
        <v>19</v>
      </c>
      <c r="E151" s="8">
        <v>45730</v>
      </c>
      <c r="F151" s="1" t="s">
        <v>12</v>
      </c>
      <c r="G151" s="1" t="s">
        <v>24</v>
      </c>
      <c r="H151" s="8">
        <v>45743</v>
      </c>
      <c r="I151" s="1" t="s">
        <v>1785</v>
      </c>
      <c r="J151" t="b">
        <v>1</v>
      </c>
      <c r="K151" t="s">
        <v>345</v>
      </c>
      <c r="L151" s="13" t="str">
        <f>HYPERLINK("https://uk1.aconex.co.uk/hub/index.html?mainTarget=%2FSearchControlledDoc%3FSEARCH_ACTION%3D15%26tab%3D0%26searchMode%3D1%26searchQuery%3Ddocno:%22"&amp;RawData[[#This Row],[Document Number]]&amp;"%22%20%2Bcversion%253A1",RawData[[#This Row],[Document Number]])</f>
        <v>FS1018-AGL-ZZ-02-D-Z-9610</v>
      </c>
    </row>
    <row r="152" spans="1:12" x14ac:dyDescent="0.3">
      <c r="A152" t="s">
        <v>346</v>
      </c>
      <c r="B152" t="s">
        <v>347</v>
      </c>
      <c r="C152" t="s">
        <v>13</v>
      </c>
      <c r="D152" t="s">
        <v>19</v>
      </c>
      <c r="E152" s="8">
        <v>45730</v>
      </c>
      <c r="F152" s="1" t="s">
        <v>12</v>
      </c>
      <c r="G152" s="1" t="s">
        <v>24</v>
      </c>
      <c r="H152" s="8">
        <v>45743</v>
      </c>
      <c r="I152" s="1" t="s">
        <v>1785</v>
      </c>
      <c r="J152" t="b">
        <v>1</v>
      </c>
      <c r="K152" t="s">
        <v>348</v>
      </c>
      <c r="L152" s="13" t="str">
        <f>HYPERLINK("https://uk1.aconex.co.uk/hub/index.html?mainTarget=%2FSearchControlledDoc%3FSEARCH_ACTION%3D15%26tab%3D0%26searchMode%3D1%26searchQuery%3Ddocno:%22"&amp;RawData[[#This Row],[Document Number]]&amp;"%22%20%2Bcversion%253A1",RawData[[#This Row],[Document Number]])</f>
        <v>FS1018-AGL-ZZ-02-D-Z-9611</v>
      </c>
    </row>
    <row r="153" spans="1:12" ht="72" x14ac:dyDescent="0.3">
      <c r="A153" t="s">
        <v>349</v>
      </c>
      <c r="B153" t="s">
        <v>350</v>
      </c>
      <c r="C153" t="s">
        <v>13</v>
      </c>
      <c r="D153" t="s">
        <v>20</v>
      </c>
      <c r="E153" s="8">
        <v>45730</v>
      </c>
      <c r="F153" s="1" t="s">
        <v>12</v>
      </c>
      <c r="G153" s="1" t="s">
        <v>21</v>
      </c>
      <c r="H153" s="8">
        <v>45749</v>
      </c>
      <c r="I153" s="1" t="s">
        <v>1900</v>
      </c>
      <c r="J153" t="b">
        <v>1</v>
      </c>
      <c r="K153" t="s">
        <v>351</v>
      </c>
      <c r="L153" s="13" t="str">
        <f>HYPERLINK("https://uk1.aconex.co.uk/hub/index.html?mainTarget=%2FSearchControlledDoc%3FSEARCH_ACTION%3D15%26tab%3D0%26searchMode%3D1%26searchQuery%3Ddocno:%22"&amp;RawData[[#This Row],[Document Number]]&amp;"%22%20%2Bcversion%253A1",RawData[[#This Row],[Document Number]])</f>
        <v>FS1018-AGL-ZZ-RF-D-E-6213</v>
      </c>
    </row>
    <row r="154" spans="1:12" ht="28.8" x14ac:dyDescent="0.3">
      <c r="A154" t="s">
        <v>349</v>
      </c>
      <c r="B154" t="s">
        <v>350</v>
      </c>
      <c r="C154" t="s">
        <v>13</v>
      </c>
      <c r="D154" t="s">
        <v>20</v>
      </c>
      <c r="E154" s="8">
        <v>45749</v>
      </c>
      <c r="F154" s="1" t="s">
        <v>22</v>
      </c>
      <c r="G154" s="1" t="s">
        <v>4</v>
      </c>
      <c r="H154" s="8"/>
      <c r="J154" t="b">
        <v>1</v>
      </c>
      <c r="K154" t="s">
        <v>351</v>
      </c>
      <c r="L154" s="13" t="str">
        <f>HYPERLINK("https://uk1.aconex.co.uk/hub/index.html?mainTarget=%2FSearchControlledDoc%3FSEARCH_ACTION%3D15%26tab%3D0%26searchMode%3D1%26searchQuery%3Ddocno:%22"&amp;RawData[[#This Row],[Document Number]]&amp;"%22%20%2Bcversion%253A1",RawData[[#This Row],[Document Number]])</f>
        <v>FS1018-AGL-ZZ-RF-D-E-6213</v>
      </c>
    </row>
    <row r="155" spans="1:12" x14ac:dyDescent="0.3">
      <c r="A155" t="s">
        <v>352</v>
      </c>
      <c r="B155" t="s">
        <v>353</v>
      </c>
      <c r="C155" t="s">
        <v>13</v>
      </c>
      <c r="D155" t="s">
        <v>19</v>
      </c>
      <c r="E155" s="8">
        <v>45730</v>
      </c>
      <c r="F155" s="1" t="s">
        <v>12</v>
      </c>
      <c r="G155" s="1" t="s">
        <v>24</v>
      </c>
      <c r="H155" s="8">
        <v>45749</v>
      </c>
      <c r="I155" s="1" t="s">
        <v>1785</v>
      </c>
      <c r="J155" t="b">
        <v>1</v>
      </c>
      <c r="K155" t="s">
        <v>354</v>
      </c>
      <c r="L155" s="13" t="str">
        <f>HYPERLINK("https://uk1.aconex.co.uk/hub/index.html?mainTarget=%2FSearchControlledDoc%3FSEARCH_ACTION%3D15%26tab%3D0%26searchMode%3D1%26searchQuery%3Ddocno:%22"&amp;RawData[[#This Row],[Document Number]]&amp;"%22%20%2Bcversion%253A1",RawData[[#This Row],[Document Number]])</f>
        <v>FS1018-AGL-ZZ-RF-D-E-6810</v>
      </c>
    </row>
    <row r="156" spans="1:12" x14ac:dyDescent="0.3">
      <c r="A156" t="s">
        <v>355</v>
      </c>
      <c r="B156" t="s">
        <v>356</v>
      </c>
      <c r="C156" t="s">
        <v>13</v>
      </c>
      <c r="D156" t="s">
        <v>19</v>
      </c>
      <c r="E156" s="8">
        <v>45730</v>
      </c>
      <c r="F156" s="1" t="s">
        <v>12</v>
      </c>
      <c r="G156" s="1" t="s">
        <v>24</v>
      </c>
      <c r="H156" s="8">
        <v>45749</v>
      </c>
      <c r="I156" s="1" t="s">
        <v>1785</v>
      </c>
      <c r="J156" t="b">
        <v>1</v>
      </c>
      <c r="K156" t="s">
        <v>357</v>
      </c>
      <c r="L156" s="13" t="str">
        <f>HYPERLINK("https://uk1.aconex.co.uk/hub/index.html?mainTarget=%2FSearchControlledDoc%3FSEARCH_ACTION%3D15%26tab%3D0%26searchMode%3D1%26searchQuery%3Ddocno:%22"&amp;RawData[[#This Row],[Document Number]]&amp;"%22%20%2Bcversion%253A1",RawData[[#This Row],[Document Number]])</f>
        <v>FS1018-AGL-ZZ-RF-D-E-6811</v>
      </c>
    </row>
    <row r="157" spans="1:12" x14ac:dyDescent="0.3">
      <c r="A157" t="s">
        <v>358</v>
      </c>
      <c r="B157" t="s">
        <v>359</v>
      </c>
      <c r="C157" t="s">
        <v>13</v>
      </c>
      <c r="D157" t="s">
        <v>19</v>
      </c>
      <c r="E157" s="8">
        <v>45730</v>
      </c>
      <c r="F157" s="1" t="s">
        <v>12</v>
      </c>
      <c r="G157" s="1" t="s">
        <v>24</v>
      </c>
      <c r="H157" s="8">
        <v>45749</v>
      </c>
      <c r="I157" s="1" t="s">
        <v>1785</v>
      </c>
      <c r="J157" t="b">
        <v>1</v>
      </c>
      <c r="K157" t="s">
        <v>360</v>
      </c>
      <c r="L157" s="13" t="str">
        <f>HYPERLINK("https://uk1.aconex.co.uk/hub/index.html?mainTarget=%2FSearchControlledDoc%3FSEARCH_ACTION%3D15%26tab%3D0%26searchMode%3D1%26searchQuery%3Ddocno:%22"&amp;RawData[[#This Row],[Document Number]]&amp;"%22%20%2Bcversion%253A1",RawData[[#This Row],[Document Number]])</f>
        <v>FS1018-AGL-ZZ-RF-D-E-6840</v>
      </c>
    </row>
    <row r="158" spans="1:12" x14ac:dyDescent="0.3">
      <c r="A158" t="s">
        <v>361</v>
      </c>
      <c r="B158" t="s">
        <v>362</v>
      </c>
      <c r="C158" t="s">
        <v>13</v>
      </c>
      <c r="D158" t="s">
        <v>19</v>
      </c>
      <c r="E158" s="8">
        <v>45730</v>
      </c>
      <c r="F158" s="1" t="s">
        <v>12</v>
      </c>
      <c r="G158" s="1" t="s">
        <v>24</v>
      </c>
      <c r="H158" s="8">
        <v>45749</v>
      </c>
      <c r="I158" s="1" t="s">
        <v>1785</v>
      </c>
      <c r="J158" t="b">
        <v>1</v>
      </c>
      <c r="K158" t="s">
        <v>363</v>
      </c>
      <c r="L158" s="13" t="str">
        <f>HYPERLINK("https://uk1.aconex.co.uk/hub/index.html?mainTarget=%2FSearchControlledDoc%3FSEARCH_ACTION%3D15%26tab%3D0%26searchMode%3D1%26searchQuery%3Ddocno:%22"&amp;RawData[[#This Row],[Document Number]]&amp;"%22%20%2Bcversion%253A1",RawData[[#This Row],[Document Number]])</f>
        <v>FS1018-AGL-ZZ-RF-D-E-6841</v>
      </c>
    </row>
    <row r="159" spans="1:12" x14ac:dyDescent="0.3">
      <c r="A159" t="s">
        <v>364</v>
      </c>
      <c r="B159" t="s">
        <v>365</v>
      </c>
      <c r="C159" t="s">
        <v>13</v>
      </c>
      <c r="D159" t="s">
        <v>19</v>
      </c>
      <c r="E159" s="8">
        <v>45730</v>
      </c>
      <c r="F159" s="1" t="s">
        <v>12</v>
      </c>
      <c r="G159" s="1" t="s">
        <v>24</v>
      </c>
      <c r="H159" s="8">
        <v>45749</v>
      </c>
      <c r="I159" s="1" t="s">
        <v>1785</v>
      </c>
      <c r="J159" t="b">
        <v>1</v>
      </c>
      <c r="K159" t="s">
        <v>366</v>
      </c>
      <c r="L159" s="13" t="str">
        <f>HYPERLINK("https://uk1.aconex.co.uk/hub/index.html?mainTarget=%2FSearchControlledDoc%3FSEARCH_ACTION%3D15%26tab%3D0%26searchMode%3D1%26searchQuery%3Ddocno:%22"&amp;RawData[[#This Row],[Document Number]]&amp;"%22%20%2Bcversion%253A1",RawData[[#This Row],[Document Number]])</f>
        <v>FS1018-AGL-ZZ-RF-D-E-6842</v>
      </c>
    </row>
    <row r="160" spans="1:12" ht="43.2" x14ac:dyDescent="0.3">
      <c r="A160" t="s">
        <v>367</v>
      </c>
      <c r="B160" t="s">
        <v>368</v>
      </c>
      <c r="C160" t="s">
        <v>10</v>
      </c>
      <c r="D160" t="s">
        <v>20</v>
      </c>
      <c r="E160" s="8">
        <v>45730</v>
      </c>
      <c r="F160" s="1" t="s">
        <v>12</v>
      </c>
      <c r="G160" s="1" t="s">
        <v>21</v>
      </c>
      <c r="H160" s="8">
        <v>45748</v>
      </c>
      <c r="I160" s="1" t="s">
        <v>1830</v>
      </c>
      <c r="J160" t="b">
        <v>1</v>
      </c>
      <c r="K160" t="s">
        <v>369</v>
      </c>
      <c r="L160" s="13" t="str">
        <f>HYPERLINK("https://uk1.aconex.co.uk/hub/index.html?mainTarget=%2FSearchControlledDoc%3FSEARCH_ACTION%3D15%26tab%3D0%26searchMode%3D1%26searchQuery%3Ddocno:%22"&amp;RawData[[#This Row],[Document Number]]&amp;"%22%20%2Bcversion%253A1",RawData[[#This Row],[Document Number]])</f>
        <v>FS1018-AGL-ZZ-RF-D-E-9001</v>
      </c>
    </row>
    <row r="161" spans="1:12" ht="28.8" x14ac:dyDescent="0.3">
      <c r="A161" t="s">
        <v>367</v>
      </c>
      <c r="B161" t="s">
        <v>368</v>
      </c>
      <c r="C161" t="s">
        <v>10</v>
      </c>
      <c r="D161" t="s">
        <v>20</v>
      </c>
      <c r="E161" s="8">
        <v>45748</v>
      </c>
      <c r="F161" s="1" t="s">
        <v>22</v>
      </c>
      <c r="G161" s="1" t="s">
        <v>4</v>
      </c>
      <c r="H161" s="8"/>
      <c r="J161" t="b">
        <v>1</v>
      </c>
      <c r="K161" t="s">
        <v>369</v>
      </c>
      <c r="L161" s="13" t="str">
        <f>HYPERLINK("https://uk1.aconex.co.uk/hub/index.html?mainTarget=%2FSearchControlledDoc%3FSEARCH_ACTION%3D15%26tab%3D0%26searchMode%3D1%26searchQuery%3Ddocno:%22"&amp;RawData[[#This Row],[Document Number]]&amp;"%22%20%2Bcversion%253A1",RawData[[#This Row],[Document Number]])</f>
        <v>FS1018-AGL-ZZ-RF-D-E-9001</v>
      </c>
    </row>
    <row r="162" spans="1:12" x14ac:dyDescent="0.3">
      <c r="A162" t="s">
        <v>370</v>
      </c>
      <c r="B162" t="s">
        <v>371</v>
      </c>
      <c r="C162" t="s">
        <v>10</v>
      </c>
      <c r="D162" t="s">
        <v>19</v>
      </c>
      <c r="E162" s="8">
        <v>45730</v>
      </c>
      <c r="F162" s="1" t="s">
        <v>12</v>
      </c>
      <c r="G162" s="1" t="s">
        <v>24</v>
      </c>
      <c r="H162" s="8">
        <v>45754</v>
      </c>
      <c r="J162" t="b">
        <v>1</v>
      </c>
      <c r="K162" t="s">
        <v>372</v>
      </c>
      <c r="L162" s="13" t="str">
        <f>HYPERLINK("https://uk1.aconex.co.uk/hub/index.html?mainTarget=%2FSearchControlledDoc%3FSEARCH_ACTION%3D15%26tab%3D0%26searchMode%3D1%26searchQuery%3Ddocno:%22"&amp;RawData[[#This Row],[Document Number]]&amp;"%22%20%2Bcversion%253A1",RawData[[#This Row],[Document Number]])</f>
        <v>FS1018-AGL-ZZ-RF-D-M-5210</v>
      </c>
    </row>
    <row r="163" spans="1:12" x14ac:dyDescent="0.3">
      <c r="A163" t="s">
        <v>373</v>
      </c>
      <c r="B163" t="s">
        <v>374</v>
      </c>
      <c r="C163" t="s">
        <v>10</v>
      </c>
      <c r="D163" t="s">
        <v>19</v>
      </c>
      <c r="E163" s="8">
        <v>45730</v>
      </c>
      <c r="F163" s="1" t="s">
        <v>12</v>
      </c>
      <c r="G163" s="1" t="s">
        <v>24</v>
      </c>
      <c r="H163" s="8">
        <v>45754</v>
      </c>
      <c r="J163" t="b">
        <v>1</v>
      </c>
      <c r="K163" t="s">
        <v>375</v>
      </c>
      <c r="L163" s="13" t="str">
        <f>HYPERLINK("https://uk1.aconex.co.uk/hub/index.html?mainTarget=%2FSearchControlledDoc%3FSEARCH_ACTION%3D15%26tab%3D0%26searchMode%3D1%26searchQuery%3Ddocno:%22"&amp;RawData[[#This Row],[Document Number]]&amp;"%22%20%2Bcversion%253A1",RawData[[#This Row],[Document Number]])</f>
        <v>FS1018-AGL-ZZ-RF-D-M-5211</v>
      </c>
    </row>
    <row r="164" spans="1:12" x14ac:dyDescent="0.3">
      <c r="A164" t="s">
        <v>376</v>
      </c>
      <c r="B164" t="s">
        <v>377</v>
      </c>
      <c r="C164" t="s">
        <v>10</v>
      </c>
      <c r="D164" t="s">
        <v>19</v>
      </c>
      <c r="E164" s="8">
        <v>45730</v>
      </c>
      <c r="F164" s="1" t="s">
        <v>12</v>
      </c>
      <c r="G164" s="1" t="s">
        <v>24</v>
      </c>
      <c r="H164" s="8">
        <v>45754</v>
      </c>
      <c r="J164" t="b">
        <v>1</v>
      </c>
      <c r="K164" t="s">
        <v>378</v>
      </c>
      <c r="L164" s="13" t="str">
        <f>HYPERLINK("https://uk1.aconex.co.uk/hub/index.html?mainTarget=%2FSearchControlledDoc%3FSEARCH_ACTION%3D15%26tab%3D0%26searchMode%3D1%26searchQuery%3Ddocno:%22"&amp;RawData[[#This Row],[Document Number]]&amp;"%22%20%2Bcversion%253A1",RawData[[#This Row],[Document Number]])</f>
        <v>FS1018-AGL-ZZ-RF-D-M-5212</v>
      </c>
    </row>
    <row r="165" spans="1:12" x14ac:dyDescent="0.3">
      <c r="A165" t="s">
        <v>379</v>
      </c>
      <c r="B165" t="s">
        <v>380</v>
      </c>
      <c r="C165" t="s">
        <v>10</v>
      </c>
      <c r="D165" t="s">
        <v>19</v>
      </c>
      <c r="E165" s="8">
        <v>45730</v>
      </c>
      <c r="F165" s="1" t="s">
        <v>12</v>
      </c>
      <c r="G165" s="1" t="s">
        <v>24</v>
      </c>
      <c r="H165" s="8">
        <v>45754</v>
      </c>
      <c r="J165" t="b">
        <v>1</v>
      </c>
      <c r="K165" t="s">
        <v>381</v>
      </c>
      <c r="L165" s="13" t="str">
        <f>HYPERLINK("https://uk1.aconex.co.uk/hub/index.html?mainTarget=%2FSearchControlledDoc%3FSEARCH_ACTION%3D15%26tab%3D0%26searchMode%3D1%26searchQuery%3Ddocno:%22"&amp;RawData[[#This Row],[Document Number]]&amp;"%22%20%2Bcversion%253A1",RawData[[#This Row],[Document Number]])</f>
        <v>FS1018-AGL-ZZ-RF-D-M-5310</v>
      </c>
    </row>
    <row r="166" spans="1:12" x14ac:dyDescent="0.3">
      <c r="A166" t="s">
        <v>382</v>
      </c>
      <c r="B166" t="s">
        <v>383</v>
      </c>
      <c r="C166" t="s">
        <v>10</v>
      </c>
      <c r="D166" t="s">
        <v>19</v>
      </c>
      <c r="E166" s="8">
        <v>45730</v>
      </c>
      <c r="F166" s="1" t="s">
        <v>12</v>
      </c>
      <c r="G166" s="1" t="s">
        <v>24</v>
      </c>
      <c r="H166" s="8">
        <v>45754</v>
      </c>
      <c r="J166" t="b">
        <v>1</v>
      </c>
      <c r="K166" t="s">
        <v>384</v>
      </c>
      <c r="L166" s="13" t="str">
        <f>HYPERLINK("https://uk1.aconex.co.uk/hub/index.html?mainTarget=%2FSearchControlledDoc%3FSEARCH_ACTION%3D15%26tab%3D0%26searchMode%3D1%26searchQuery%3Ddocno:%22"&amp;RawData[[#This Row],[Document Number]]&amp;"%22%20%2Bcversion%253A1",RawData[[#This Row],[Document Number]])</f>
        <v>FS1018-AGL-ZZ-RF-D-M-5311</v>
      </c>
    </row>
    <row r="167" spans="1:12" x14ac:dyDescent="0.3">
      <c r="A167" t="s">
        <v>385</v>
      </c>
      <c r="B167" t="s">
        <v>386</v>
      </c>
      <c r="C167" t="s">
        <v>10</v>
      </c>
      <c r="D167" t="s">
        <v>19</v>
      </c>
      <c r="E167" s="8">
        <v>45730</v>
      </c>
      <c r="F167" s="1" t="s">
        <v>12</v>
      </c>
      <c r="G167" s="1" t="s">
        <v>24</v>
      </c>
      <c r="H167" s="8">
        <v>45754</v>
      </c>
      <c r="J167" t="b">
        <v>1</v>
      </c>
      <c r="K167" t="s">
        <v>387</v>
      </c>
      <c r="L167" s="13" t="str">
        <f>HYPERLINK("https://uk1.aconex.co.uk/hub/index.html?mainTarget=%2FSearchControlledDoc%3FSEARCH_ACTION%3D15%26tab%3D0%26searchMode%3D1%26searchQuery%3Ddocno:%22"&amp;RawData[[#This Row],[Document Number]]&amp;"%22%20%2Bcversion%253A1",RawData[[#This Row],[Document Number]])</f>
        <v>FS1018-AGL-ZZ-RF-D-M-5312</v>
      </c>
    </row>
    <row r="168" spans="1:12" x14ac:dyDescent="0.3">
      <c r="A168" t="s">
        <v>388</v>
      </c>
      <c r="B168" t="s">
        <v>389</v>
      </c>
      <c r="C168" t="s">
        <v>13</v>
      </c>
      <c r="D168" t="s">
        <v>19</v>
      </c>
      <c r="E168" s="8">
        <v>45730</v>
      </c>
      <c r="F168" s="1" t="s">
        <v>12</v>
      </c>
      <c r="G168" s="1" t="s">
        <v>24</v>
      </c>
      <c r="H168" s="8">
        <v>45743</v>
      </c>
      <c r="I168" s="1" t="s">
        <v>1785</v>
      </c>
      <c r="J168" t="b">
        <v>1</v>
      </c>
      <c r="K168" t="s">
        <v>390</v>
      </c>
      <c r="L168" s="13" t="str">
        <f>HYPERLINK("https://uk1.aconex.co.uk/hub/index.html?mainTarget=%2FSearchControlledDoc%3FSEARCH_ACTION%3D15%26tab%3D0%26searchMode%3D1%26searchQuery%3Ddocno:%22"&amp;RawData[[#This Row],[Document Number]]&amp;"%22%20%2Bcversion%253A1",RawData[[#This Row],[Document Number]])</f>
        <v>FS1018-AGL-ZZ-RF-D-M-5710</v>
      </c>
    </row>
    <row r="169" spans="1:12" x14ac:dyDescent="0.3">
      <c r="A169" t="s">
        <v>391</v>
      </c>
      <c r="B169" t="s">
        <v>392</v>
      </c>
      <c r="C169" t="s">
        <v>13</v>
      </c>
      <c r="D169" t="s">
        <v>19</v>
      </c>
      <c r="E169" s="8">
        <v>45730</v>
      </c>
      <c r="F169" s="1" t="s">
        <v>12</v>
      </c>
      <c r="G169" s="1" t="s">
        <v>24</v>
      </c>
      <c r="H169" s="8">
        <v>45743</v>
      </c>
      <c r="I169" s="1" t="s">
        <v>1785</v>
      </c>
      <c r="J169" t="b">
        <v>1</v>
      </c>
      <c r="K169" t="s">
        <v>393</v>
      </c>
      <c r="L169" s="13" t="str">
        <f>HYPERLINK("https://uk1.aconex.co.uk/hub/index.html?mainTarget=%2FSearchControlledDoc%3FSEARCH_ACTION%3D15%26tab%3D0%26searchMode%3D1%26searchQuery%3Ddocno:%22"&amp;RawData[[#This Row],[Document Number]]&amp;"%22%20%2Bcversion%253A1",RawData[[#This Row],[Document Number]])</f>
        <v>FS1018-AGL-ZZ-RF-D-M-5711</v>
      </c>
    </row>
    <row r="170" spans="1:12" x14ac:dyDescent="0.3">
      <c r="A170" t="s">
        <v>394</v>
      </c>
      <c r="B170" t="s">
        <v>395</v>
      </c>
      <c r="C170" t="s">
        <v>13</v>
      </c>
      <c r="D170" t="s">
        <v>19</v>
      </c>
      <c r="E170" s="8">
        <v>45730</v>
      </c>
      <c r="F170" s="1" t="s">
        <v>12</v>
      </c>
      <c r="G170" s="1" t="s">
        <v>24</v>
      </c>
      <c r="H170" s="8">
        <v>45743</v>
      </c>
      <c r="I170" s="1" t="s">
        <v>1785</v>
      </c>
      <c r="J170" t="b">
        <v>1</v>
      </c>
      <c r="K170" t="s">
        <v>396</v>
      </c>
      <c r="L170" s="13" t="str">
        <f>HYPERLINK("https://uk1.aconex.co.uk/hub/index.html?mainTarget=%2FSearchControlledDoc%3FSEARCH_ACTION%3D15%26tab%3D0%26searchMode%3D1%26searchQuery%3Ddocno:%22"&amp;RawData[[#This Row],[Document Number]]&amp;"%22%20%2Bcversion%253A1",RawData[[#This Row],[Document Number]])</f>
        <v>FS1018-AGL-ZZ-RF-D-M-5712</v>
      </c>
    </row>
    <row r="171" spans="1:12" x14ac:dyDescent="0.3">
      <c r="A171" t="s">
        <v>397</v>
      </c>
      <c r="B171" t="s">
        <v>398</v>
      </c>
      <c r="C171" t="s">
        <v>10</v>
      </c>
      <c r="D171" t="s">
        <v>19</v>
      </c>
      <c r="E171" s="8">
        <v>45730</v>
      </c>
      <c r="F171" s="1" t="s">
        <v>12</v>
      </c>
      <c r="G171" s="1" t="s">
        <v>24</v>
      </c>
      <c r="H171" s="8">
        <v>45743</v>
      </c>
      <c r="I171" s="1" t="s">
        <v>1785</v>
      </c>
      <c r="J171" t="b">
        <v>1</v>
      </c>
      <c r="K171" t="s">
        <v>399</v>
      </c>
      <c r="L171" s="13" t="str">
        <f>HYPERLINK("https://uk1.aconex.co.uk/hub/index.html?mainTarget=%2FSearchControlledDoc%3FSEARCH_ACTION%3D15%26tab%3D0%26searchMode%3D1%26searchQuery%3Ddocno:%22"&amp;RawData[[#This Row],[Document Number]]&amp;"%22%20%2Bcversion%253A1",RawData[[#This Row],[Document Number]])</f>
        <v>FS1018-AGL-ZZ-RF-D-Z-5810</v>
      </c>
    </row>
    <row r="172" spans="1:12" x14ac:dyDescent="0.3">
      <c r="A172" t="s">
        <v>400</v>
      </c>
      <c r="B172" t="s">
        <v>401</v>
      </c>
      <c r="C172" t="s">
        <v>10</v>
      </c>
      <c r="D172" t="s">
        <v>19</v>
      </c>
      <c r="E172" s="8">
        <v>45730</v>
      </c>
      <c r="F172" s="1" t="s">
        <v>12</v>
      </c>
      <c r="G172" s="1" t="s">
        <v>24</v>
      </c>
      <c r="H172" s="8">
        <v>45743</v>
      </c>
      <c r="I172" s="1" t="s">
        <v>1785</v>
      </c>
      <c r="J172" t="b">
        <v>1</v>
      </c>
      <c r="K172" t="s">
        <v>402</v>
      </c>
      <c r="L172" s="13" t="str">
        <f>HYPERLINK("https://uk1.aconex.co.uk/hub/index.html?mainTarget=%2FSearchControlledDoc%3FSEARCH_ACTION%3D15%26tab%3D0%26searchMode%3D1%26searchQuery%3Ddocno:%22"&amp;RawData[[#This Row],[Document Number]]&amp;"%22%20%2Bcversion%253A1",RawData[[#This Row],[Document Number]])</f>
        <v>FS1018-AGL-ZZ-RF-D-Z-5811</v>
      </c>
    </row>
    <row r="173" spans="1:12" x14ac:dyDescent="0.3">
      <c r="A173" t="s">
        <v>403</v>
      </c>
      <c r="B173" t="s">
        <v>404</v>
      </c>
      <c r="C173" t="s">
        <v>10</v>
      </c>
      <c r="D173" t="s">
        <v>19</v>
      </c>
      <c r="E173" s="8">
        <v>45730</v>
      </c>
      <c r="F173" s="1" t="s">
        <v>12</v>
      </c>
      <c r="G173" s="1" t="s">
        <v>24</v>
      </c>
      <c r="H173" s="8">
        <v>45743</v>
      </c>
      <c r="I173" s="1" t="s">
        <v>1785</v>
      </c>
      <c r="J173" t="b">
        <v>1</v>
      </c>
      <c r="K173" t="s">
        <v>405</v>
      </c>
      <c r="L173" s="13" t="str">
        <f>HYPERLINK("https://uk1.aconex.co.uk/hub/index.html?mainTarget=%2FSearchControlledDoc%3FSEARCH_ACTION%3D15%26tab%3D0%26searchMode%3D1%26searchQuery%3Ddocno:%22"&amp;RawData[[#This Row],[Document Number]]&amp;"%22%20%2Bcversion%253A1",RawData[[#This Row],[Document Number]])</f>
        <v>FS1018-AGL-ZZ-RF-D-Z-5812</v>
      </c>
    </row>
    <row r="174" spans="1:12" x14ac:dyDescent="0.3">
      <c r="A174" t="s">
        <v>406</v>
      </c>
      <c r="B174" t="s">
        <v>407</v>
      </c>
      <c r="C174" t="s">
        <v>13</v>
      </c>
      <c r="D174" t="s">
        <v>19</v>
      </c>
      <c r="E174" s="8">
        <v>45730</v>
      </c>
      <c r="F174" s="1" t="s">
        <v>12</v>
      </c>
      <c r="G174" s="1" t="s">
        <v>24</v>
      </c>
      <c r="H174" s="8">
        <v>45743</v>
      </c>
      <c r="I174" s="1" t="s">
        <v>1785</v>
      </c>
      <c r="J174" t="b">
        <v>1</v>
      </c>
      <c r="K174" t="s">
        <v>408</v>
      </c>
      <c r="L174" s="13" t="str">
        <f>HYPERLINK("https://uk1.aconex.co.uk/hub/index.html?mainTarget=%2FSearchControlledDoc%3FSEARCH_ACTION%3D15%26tab%3D0%26searchMode%3D1%26searchQuery%3Ddocno:%22"&amp;RawData[[#This Row],[Document Number]]&amp;"%22%20%2Bcversion%253A1",RawData[[#This Row],[Document Number]])</f>
        <v>FS1018-AGL-ZZ-RF-D-Z-6010</v>
      </c>
    </row>
    <row r="175" spans="1:12" x14ac:dyDescent="0.3">
      <c r="A175" t="s">
        <v>409</v>
      </c>
      <c r="B175" t="s">
        <v>410</v>
      </c>
      <c r="C175" t="s">
        <v>13</v>
      </c>
      <c r="D175" t="s">
        <v>19</v>
      </c>
      <c r="E175" s="8">
        <v>45730</v>
      </c>
      <c r="F175" s="1" t="s">
        <v>12</v>
      </c>
      <c r="G175" s="1" t="s">
        <v>24</v>
      </c>
      <c r="H175" s="8">
        <v>45743</v>
      </c>
      <c r="I175" s="1" t="s">
        <v>1785</v>
      </c>
      <c r="J175" t="b">
        <v>1</v>
      </c>
      <c r="K175" t="s">
        <v>411</v>
      </c>
      <c r="L175" s="13" t="str">
        <f>HYPERLINK("https://uk1.aconex.co.uk/hub/index.html?mainTarget=%2FSearchControlledDoc%3FSEARCH_ACTION%3D15%26tab%3D0%26searchMode%3D1%26searchQuery%3Ddocno:%22"&amp;RawData[[#This Row],[Document Number]]&amp;"%22%20%2Bcversion%253A1",RawData[[#This Row],[Document Number]])</f>
        <v>FS1018-AGL-ZZ-RF-D-Z-6011</v>
      </c>
    </row>
    <row r="176" spans="1:12" x14ac:dyDescent="0.3">
      <c r="A176" t="s">
        <v>412</v>
      </c>
      <c r="B176" t="s">
        <v>413</v>
      </c>
      <c r="C176" t="s">
        <v>13</v>
      </c>
      <c r="D176" t="s">
        <v>19</v>
      </c>
      <c r="E176" s="8">
        <v>45730</v>
      </c>
      <c r="F176" s="1" t="s">
        <v>12</v>
      </c>
      <c r="G176" s="1" t="s">
        <v>24</v>
      </c>
      <c r="H176" s="8">
        <v>45743</v>
      </c>
      <c r="I176" s="1" t="s">
        <v>1785</v>
      </c>
      <c r="J176" t="b">
        <v>1</v>
      </c>
      <c r="K176" t="s">
        <v>414</v>
      </c>
      <c r="L176" s="13" t="str">
        <f>HYPERLINK("https://uk1.aconex.co.uk/hub/index.html?mainTarget=%2FSearchControlledDoc%3FSEARCH_ACTION%3D15%26tab%3D0%26searchMode%3D1%26searchQuery%3Ddocno:%22"&amp;RawData[[#This Row],[Document Number]]&amp;"%22%20%2Bcversion%253A1",RawData[[#This Row],[Document Number]])</f>
        <v>FS1018-AGL-ZZ-RF-D-Z-6012</v>
      </c>
    </row>
    <row r="177" spans="1:12" ht="115.2" x14ac:dyDescent="0.3">
      <c r="A177" t="s">
        <v>415</v>
      </c>
      <c r="B177" t="s">
        <v>416</v>
      </c>
      <c r="C177" t="s">
        <v>418</v>
      </c>
      <c r="D177" t="s">
        <v>20</v>
      </c>
      <c r="E177" s="8">
        <v>45730</v>
      </c>
      <c r="F177" s="1" t="s">
        <v>12</v>
      </c>
      <c r="G177" s="1" t="s">
        <v>1027</v>
      </c>
      <c r="H177" s="8">
        <v>45749</v>
      </c>
      <c r="I177" s="1" t="s">
        <v>1901</v>
      </c>
      <c r="J177" t="b">
        <v>1</v>
      </c>
      <c r="K177" t="s">
        <v>417</v>
      </c>
      <c r="L177" s="13" t="str">
        <f>HYPERLINK("https://uk1.aconex.co.uk/hub/index.html?mainTarget=%2FSearchControlledDoc%3FSEARCH_ACTION%3D15%26tab%3D0%26searchMode%3D1%26searchQuery%3Ddocno:%22"&amp;RawData[[#This Row],[Document Number]]&amp;"%22%20%2Bcversion%253A1",RawData[[#This Row],[Document Number]])</f>
        <v>FS1018-AGL-ZZ-XX-D-E-9001</v>
      </c>
    </row>
    <row r="178" spans="1:12" ht="28.8" x14ac:dyDescent="0.3">
      <c r="A178" t="s">
        <v>415</v>
      </c>
      <c r="B178" t="s">
        <v>416</v>
      </c>
      <c r="C178" t="s">
        <v>418</v>
      </c>
      <c r="D178" t="s">
        <v>20</v>
      </c>
      <c r="E178" s="8">
        <v>45749</v>
      </c>
      <c r="F178" s="1" t="s">
        <v>22</v>
      </c>
      <c r="G178" s="1" t="s">
        <v>4</v>
      </c>
      <c r="H178" s="8"/>
      <c r="J178" t="b">
        <v>1</v>
      </c>
      <c r="K178" t="s">
        <v>417</v>
      </c>
      <c r="L178" s="13" t="str">
        <f>HYPERLINK("https://uk1.aconex.co.uk/hub/index.html?mainTarget=%2FSearchControlledDoc%3FSEARCH_ACTION%3D15%26tab%3D0%26searchMode%3D1%26searchQuery%3Ddocno:%22"&amp;RawData[[#This Row],[Document Number]]&amp;"%22%20%2Bcversion%253A1",RawData[[#This Row],[Document Number]])</f>
        <v>FS1018-AGL-ZZ-XX-D-E-9001</v>
      </c>
    </row>
    <row r="179" spans="1:12" x14ac:dyDescent="0.3">
      <c r="A179" t="s">
        <v>419</v>
      </c>
      <c r="B179" t="s">
        <v>420</v>
      </c>
      <c r="C179" t="s">
        <v>10</v>
      </c>
      <c r="D179" t="s">
        <v>19</v>
      </c>
      <c r="E179" s="8">
        <v>45730</v>
      </c>
      <c r="F179" s="1" t="s">
        <v>12</v>
      </c>
      <c r="G179" s="1" t="s">
        <v>24</v>
      </c>
      <c r="H179" s="8">
        <v>45749</v>
      </c>
      <c r="I179" s="1" t="s">
        <v>1785</v>
      </c>
      <c r="J179" t="b">
        <v>1</v>
      </c>
      <c r="K179" t="s">
        <v>421</v>
      </c>
      <c r="L179" s="13" t="str">
        <f>HYPERLINK("https://uk1.aconex.co.uk/hub/index.html?mainTarget=%2FSearchControlledDoc%3FSEARCH_ACTION%3D15%26tab%3D0%26searchMode%3D1%26searchQuery%3Ddocno:%22"&amp;RawData[[#This Row],[Document Number]]&amp;"%22%20%2Bcversion%253A1",RawData[[#This Row],[Document Number]])</f>
        <v>FS1018-AGL-ZZ-XX-D-E-9002</v>
      </c>
    </row>
    <row r="180" spans="1:12" x14ac:dyDescent="0.3">
      <c r="A180" t="s">
        <v>422</v>
      </c>
      <c r="B180" t="s">
        <v>423</v>
      </c>
      <c r="C180" t="s">
        <v>13</v>
      </c>
      <c r="D180" t="s">
        <v>19</v>
      </c>
      <c r="E180" s="8">
        <v>45730</v>
      </c>
      <c r="F180" s="1" t="s">
        <v>12</v>
      </c>
      <c r="G180" s="1" t="s">
        <v>24</v>
      </c>
      <c r="H180" s="8">
        <v>45749</v>
      </c>
      <c r="I180" s="1" t="s">
        <v>1785</v>
      </c>
      <c r="J180" t="b">
        <v>1</v>
      </c>
      <c r="K180" t="s">
        <v>424</v>
      </c>
      <c r="L180" s="13" t="str">
        <f>HYPERLINK("https://uk1.aconex.co.uk/hub/index.html?mainTarget=%2FSearchControlledDoc%3FSEARCH_ACTION%3D15%26tab%3D0%26searchMode%3D1%26searchQuery%3Ddocno:%22"&amp;RawData[[#This Row],[Document Number]]&amp;"%22%20%2Bcversion%253A1",RawData[[#This Row],[Document Number]])</f>
        <v>FS1018-AGL-ZZ-XX-D-E-9511</v>
      </c>
    </row>
    <row r="181" spans="1:12" x14ac:dyDescent="0.3">
      <c r="A181" t="s">
        <v>425</v>
      </c>
      <c r="B181" t="s">
        <v>426</v>
      </c>
      <c r="C181" t="s">
        <v>13</v>
      </c>
      <c r="D181" t="s">
        <v>19</v>
      </c>
      <c r="E181" s="8">
        <v>45730</v>
      </c>
      <c r="F181" s="1" t="s">
        <v>12</v>
      </c>
      <c r="G181" s="1" t="s">
        <v>24</v>
      </c>
      <c r="H181" s="8">
        <v>45743</v>
      </c>
      <c r="I181" s="1" t="s">
        <v>1785</v>
      </c>
      <c r="J181" t="b">
        <v>1</v>
      </c>
      <c r="K181" t="s">
        <v>427</v>
      </c>
      <c r="L181" s="13" t="str">
        <f>HYPERLINK("https://uk1.aconex.co.uk/hub/index.html?mainTarget=%2FSearchControlledDoc%3FSEARCH_ACTION%3D15%26tab%3D0%26searchMode%3D1%26searchQuery%3Ddocno:%22"&amp;RawData[[#This Row],[Document Number]]&amp;"%22%20%2Bcversion%253A1",RawData[[#This Row],[Document Number]])</f>
        <v>FS1018-AGL-ZZ-XX-D-Z-5810</v>
      </c>
    </row>
    <row r="182" spans="1:12" x14ac:dyDescent="0.3">
      <c r="A182" t="s">
        <v>428</v>
      </c>
      <c r="B182" t="s">
        <v>429</v>
      </c>
      <c r="C182" t="s">
        <v>11</v>
      </c>
      <c r="D182" t="s">
        <v>19</v>
      </c>
      <c r="E182" s="8">
        <v>45730</v>
      </c>
      <c r="F182" s="1" t="s">
        <v>12</v>
      </c>
      <c r="G182" s="1" t="s">
        <v>24</v>
      </c>
      <c r="H182" s="8">
        <v>45754</v>
      </c>
      <c r="J182" t="b">
        <v>1</v>
      </c>
      <c r="K182" t="s">
        <v>430</v>
      </c>
      <c r="L182" s="13" t="str">
        <f>HYPERLINK("https://uk1.aconex.co.uk/hub/index.html?mainTarget=%2FSearchControlledDoc%3FSEARCH_ACTION%3D15%26tab%3D0%26searchMode%3D1%26searchQuery%3Ddocno:%22"&amp;RawData[[#This Row],[Document Number]]&amp;"%22%20%2Bcversion%253A1",RawData[[#This Row],[Document Number]])</f>
        <v>FS1018-AGL-ZZ-XX-D-Z-9510</v>
      </c>
    </row>
    <row r="183" spans="1:12" x14ac:dyDescent="0.3">
      <c r="A183" t="s">
        <v>431</v>
      </c>
      <c r="B183" t="s">
        <v>432</v>
      </c>
      <c r="C183" t="s">
        <v>13</v>
      </c>
      <c r="D183" t="s">
        <v>19</v>
      </c>
      <c r="E183" s="8">
        <v>45730</v>
      </c>
      <c r="F183" s="1" t="s">
        <v>12</v>
      </c>
      <c r="G183" s="1" t="s">
        <v>24</v>
      </c>
      <c r="H183" s="8">
        <v>45749</v>
      </c>
      <c r="I183" s="1" t="s">
        <v>1785</v>
      </c>
      <c r="J183" t="b">
        <v>1</v>
      </c>
      <c r="K183" t="s">
        <v>433</v>
      </c>
      <c r="L183" s="13" t="str">
        <f>HYPERLINK("https://uk1.aconex.co.uk/hub/index.html?mainTarget=%2FSearchControlledDoc%3FSEARCH_ACTION%3D15%26tab%3D0%26searchMode%3D1%26searchQuery%3Ddocno:%22"&amp;RawData[[#This Row],[Document Number]]&amp;"%22%20%2Bcversion%253A1",RawData[[#This Row],[Document Number]])</f>
        <v>FS1018-AGL-ZZ-XX-L-E-0001</v>
      </c>
    </row>
    <row r="184" spans="1:12" x14ac:dyDescent="0.3">
      <c r="A184" t="s">
        <v>434</v>
      </c>
      <c r="B184" t="s">
        <v>435</v>
      </c>
      <c r="C184" t="s">
        <v>13</v>
      </c>
      <c r="D184" t="s">
        <v>19</v>
      </c>
      <c r="E184" s="8">
        <v>45730</v>
      </c>
      <c r="F184" s="1" t="s">
        <v>12</v>
      </c>
      <c r="G184" s="1" t="s">
        <v>24</v>
      </c>
      <c r="H184" s="8">
        <v>45749</v>
      </c>
      <c r="I184" s="1" t="s">
        <v>1785</v>
      </c>
      <c r="J184" t="b">
        <v>1</v>
      </c>
      <c r="K184" t="s">
        <v>436</v>
      </c>
      <c r="L184" s="13" t="str">
        <f>HYPERLINK("https://uk1.aconex.co.uk/hub/index.html?mainTarget=%2FSearchControlledDoc%3FSEARCH_ACTION%3D15%26tab%3D0%26searchMode%3D1%26searchQuery%3Ddocno:%22"&amp;RawData[[#This Row],[Document Number]]&amp;"%22%20%2Bcversion%253A1",RawData[[#This Row],[Document Number]])</f>
        <v>FS1018-AGL-ZZ-XX-L-E-0002</v>
      </c>
    </row>
    <row r="185" spans="1:12" x14ac:dyDescent="0.3">
      <c r="A185" t="s">
        <v>437</v>
      </c>
      <c r="B185" t="s">
        <v>438</v>
      </c>
      <c r="C185" t="s">
        <v>13</v>
      </c>
      <c r="D185" t="s">
        <v>19</v>
      </c>
      <c r="E185" s="8">
        <v>45730</v>
      </c>
      <c r="F185" s="1" t="s">
        <v>12</v>
      </c>
      <c r="G185" s="1" t="s">
        <v>24</v>
      </c>
      <c r="H185" s="8">
        <v>45749</v>
      </c>
      <c r="I185" s="1" t="s">
        <v>1785</v>
      </c>
      <c r="J185" t="b">
        <v>1</v>
      </c>
      <c r="K185" t="s">
        <v>439</v>
      </c>
      <c r="L185" s="13" t="str">
        <f>HYPERLINK("https://uk1.aconex.co.uk/hub/index.html?mainTarget=%2FSearchControlledDoc%3FSEARCH_ACTION%3D15%26tab%3D0%26searchMode%3D1%26searchQuery%3Ddocno:%22"&amp;RawData[[#This Row],[Document Number]]&amp;"%22%20%2Bcversion%253A1",RawData[[#This Row],[Document Number]])</f>
        <v>FS1018-AGL-ZZ-XX-L-E-0003</v>
      </c>
    </row>
    <row r="186" spans="1:12" ht="115.2" x14ac:dyDescent="0.3">
      <c r="A186" t="s">
        <v>440</v>
      </c>
      <c r="B186" t="s">
        <v>441</v>
      </c>
      <c r="C186" t="s">
        <v>13</v>
      </c>
      <c r="D186" t="s">
        <v>20</v>
      </c>
      <c r="E186" s="8">
        <v>45730</v>
      </c>
      <c r="F186" s="1" t="s">
        <v>12</v>
      </c>
      <c r="G186" s="1" t="s">
        <v>21</v>
      </c>
      <c r="H186" s="8">
        <v>45749</v>
      </c>
      <c r="I186" s="1" t="s">
        <v>1902</v>
      </c>
      <c r="J186" t="b">
        <v>1</v>
      </c>
      <c r="K186" t="s">
        <v>442</v>
      </c>
      <c r="L186" s="13" t="str">
        <f>HYPERLINK("https://uk1.aconex.co.uk/hub/index.html?mainTarget=%2FSearchControlledDoc%3FSEARCH_ACTION%3D15%26tab%3D0%26searchMode%3D1%26searchQuery%3Ddocno:%22"&amp;RawData[[#This Row],[Document Number]]&amp;"%22%20%2Bcversion%253A1",RawData[[#This Row],[Document Number]])</f>
        <v>FS1018-AGL-ZZ-XX-L-E-0004</v>
      </c>
    </row>
    <row r="187" spans="1:12" ht="28.8" x14ac:dyDescent="0.3">
      <c r="A187" t="s">
        <v>440</v>
      </c>
      <c r="B187" t="s">
        <v>441</v>
      </c>
      <c r="C187" t="s">
        <v>13</v>
      </c>
      <c r="D187" t="s">
        <v>20</v>
      </c>
      <c r="E187" s="8">
        <v>45749</v>
      </c>
      <c r="F187" s="1" t="s">
        <v>22</v>
      </c>
      <c r="G187" s="1" t="s">
        <v>4</v>
      </c>
      <c r="H187" s="8"/>
      <c r="J187" t="b">
        <v>1</v>
      </c>
      <c r="K187" t="s">
        <v>442</v>
      </c>
      <c r="L187" s="13" t="str">
        <f>HYPERLINK("https://uk1.aconex.co.uk/hub/index.html?mainTarget=%2FSearchControlledDoc%3FSEARCH_ACTION%3D15%26tab%3D0%26searchMode%3D1%26searchQuery%3Ddocno:%22"&amp;RawData[[#This Row],[Document Number]]&amp;"%22%20%2Bcversion%253A1",RawData[[#This Row],[Document Number]])</f>
        <v>FS1018-AGL-ZZ-XX-L-E-0004</v>
      </c>
    </row>
    <row r="188" spans="1:12" x14ac:dyDescent="0.3">
      <c r="A188" t="s">
        <v>443</v>
      </c>
      <c r="B188" t="s">
        <v>444</v>
      </c>
      <c r="C188" t="s">
        <v>13</v>
      </c>
      <c r="D188" t="s">
        <v>19</v>
      </c>
      <c r="E188" s="8">
        <v>45730</v>
      </c>
      <c r="F188" s="1" t="s">
        <v>12</v>
      </c>
      <c r="G188" s="1" t="s">
        <v>24</v>
      </c>
      <c r="H188" s="8">
        <v>45749</v>
      </c>
      <c r="I188" s="1" t="s">
        <v>1785</v>
      </c>
      <c r="J188" t="b">
        <v>1</v>
      </c>
      <c r="K188" t="s">
        <v>445</v>
      </c>
      <c r="L188" s="13" t="str">
        <f>HYPERLINK("https://uk1.aconex.co.uk/hub/index.html?mainTarget=%2FSearchControlledDoc%3FSEARCH_ACTION%3D15%26tab%3D0%26searchMode%3D1%26searchQuery%3Ddocno:%22"&amp;RawData[[#This Row],[Document Number]]&amp;"%22%20%2Bcversion%253A1",RawData[[#This Row],[Document Number]])</f>
        <v>FS1018-AGL-ZZ-XX-L-E-0005</v>
      </c>
    </row>
    <row r="189" spans="1:12" x14ac:dyDescent="0.3">
      <c r="A189" t="s">
        <v>446</v>
      </c>
      <c r="B189" t="s">
        <v>447</v>
      </c>
      <c r="C189" t="s">
        <v>13</v>
      </c>
      <c r="D189" t="s">
        <v>19</v>
      </c>
      <c r="E189" s="8">
        <v>45730</v>
      </c>
      <c r="F189" s="1" t="s">
        <v>12</v>
      </c>
      <c r="G189" s="1" t="s">
        <v>24</v>
      </c>
      <c r="H189" s="8">
        <v>45749</v>
      </c>
      <c r="I189" s="1" t="s">
        <v>1785</v>
      </c>
      <c r="J189" t="b">
        <v>1</v>
      </c>
      <c r="K189" t="s">
        <v>448</v>
      </c>
      <c r="L189" s="13" t="str">
        <f>HYPERLINK("https://uk1.aconex.co.uk/hub/index.html?mainTarget=%2FSearchControlledDoc%3FSEARCH_ACTION%3D15%26tab%3D0%26searchMode%3D1%26searchQuery%3Ddocno:%22"&amp;RawData[[#This Row],[Document Number]]&amp;"%22%20%2Bcversion%253A1",RawData[[#This Row],[Document Number]])</f>
        <v>FS1018-AGL-ZZ-XX-L-E-9602</v>
      </c>
    </row>
    <row r="190" spans="1:12" ht="28.8" x14ac:dyDescent="0.3">
      <c r="A190" t="s">
        <v>449</v>
      </c>
      <c r="B190" t="s">
        <v>450</v>
      </c>
      <c r="C190" t="s">
        <v>13</v>
      </c>
      <c r="D190" t="s">
        <v>20</v>
      </c>
      <c r="E190" s="8">
        <v>45730</v>
      </c>
      <c r="F190" s="1" t="s">
        <v>12</v>
      </c>
      <c r="G190" s="1" t="s">
        <v>1027</v>
      </c>
      <c r="H190" s="8">
        <v>45754</v>
      </c>
      <c r="I190" s="1" t="s">
        <v>1947</v>
      </c>
      <c r="J190" t="b">
        <v>1</v>
      </c>
      <c r="K190" t="s">
        <v>451</v>
      </c>
      <c r="L190" s="13" t="str">
        <f>HYPERLINK("https://uk1.aconex.co.uk/hub/index.html?mainTarget=%2FSearchControlledDoc%3FSEARCH_ACTION%3D15%26tab%3D0%26searchMode%3D1%26searchQuery%3Ddocno:%22"&amp;RawData[[#This Row],[Document Number]]&amp;"%22%20%2Bcversion%253A1",RawData[[#This Row],[Document Number]])</f>
        <v>FS1018-AGL-ZZ-XX-L-M-0003</v>
      </c>
    </row>
    <row r="191" spans="1:12" ht="28.8" x14ac:dyDescent="0.3">
      <c r="A191" t="s">
        <v>449</v>
      </c>
      <c r="B191" t="s">
        <v>450</v>
      </c>
      <c r="C191" t="s">
        <v>13</v>
      </c>
      <c r="D191" t="s">
        <v>20</v>
      </c>
      <c r="E191" s="8">
        <v>45754</v>
      </c>
      <c r="F191" s="1" t="s">
        <v>22</v>
      </c>
      <c r="G191" s="1" t="s">
        <v>4</v>
      </c>
      <c r="H191" s="8"/>
      <c r="J191" t="b">
        <v>1</v>
      </c>
      <c r="K191" t="s">
        <v>451</v>
      </c>
      <c r="L191" s="13" t="str">
        <f>HYPERLINK("https://uk1.aconex.co.uk/hub/index.html?mainTarget=%2FSearchControlledDoc%3FSEARCH_ACTION%3D15%26tab%3D0%26searchMode%3D1%26searchQuery%3Ddocno:%22"&amp;RawData[[#This Row],[Document Number]]&amp;"%22%20%2Bcversion%253A1",RawData[[#This Row],[Document Number]])</f>
        <v>FS1018-AGL-ZZ-XX-L-M-0003</v>
      </c>
    </row>
    <row r="192" spans="1:12" x14ac:dyDescent="0.3">
      <c r="A192" t="s">
        <v>452</v>
      </c>
      <c r="B192" t="s">
        <v>453</v>
      </c>
      <c r="C192" t="s">
        <v>13</v>
      </c>
      <c r="D192" t="s">
        <v>19</v>
      </c>
      <c r="E192" s="8">
        <v>45730</v>
      </c>
      <c r="F192" s="1" t="s">
        <v>12</v>
      </c>
      <c r="G192" s="1" t="s">
        <v>24</v>
      </c>
      <c r="H192" s="8">
        <v>45743</v>
      </c>
      <c r="I192" s="1" t="s">
        <v>1785</v>
      </c>
      <c r="J192" t="b">
        <v>1</v>
      </c>
      <c r="K192" t="s">
        <v>454</v>
      </c>
      <c r="L192" s="13" t="str">
        <f>HYPERLINK("https://uk1.aconex.co.uk/hub/index.html?mainTarget=%2FSearchControlledDoc%3FSEARCH_ACTION%3D15%26tab%3D0%26searchMode%3D1%26searchQuery%3Ddocno:%22"&amp;RawData[[#This Row],[Document Number]]&amp;"%22%20%2Bcversion%253A1",RawData[[#This Row],[Document Number]])</f>
        <v>FS1018-AGL-ZZ-XX-L-M-0004</v>
      </c>
    </row>
    <row r="193" spans="1:12" x14ac:dyDescent="0.3">
      <c r="A193" t="s">
        <v>455</v>
      </c>
      <c r="B193" t="s">
        <v>456</v>
      </c>
      <c r="C193" t="s">
        <v>13</v>
      </c>
      <c r="D193" t="s">
        <v>19</v>
      </c>
      <c r="E193" s="8">
        <v>45730</v>
      </c>
      <c r="F193" s="1" t="s">
        <v>12</v>
      </c>
      <c r="G193" s="1" t="s">
        <v>24</v>
      </c>
      <c r="H193" s="8">
        <v>45754</v>
      </c>
      <c r="J193" t="b">
        <v>1</v>
      </c>
      <c r="K193" t="s">
        <v>457</v>
      </c>
      <c r="L193" s="13" t="str">
        <f>HYPERLINK("https://uk1.aconex.co.uk/hub/index.html?mainTarget=%2FSearchControlledDoc%3FSEARCH_ACTION%3D15%26tab%3D0%26searchMode%3D1%26searchQuery%3Ddocno:%22"&amp;RawData[[#This Row],[Document Number]]&amp;"%22%20%2Bcversion%253A1",RawData[[#This Row],[Document Number]])</f>
        <v>FS1018-AGL-ZZ-XX-L-M-0005</v>
      </c>
    </row>
    <row r="194" spans="1:12" x14ac:dyDescent="0.3">
      <c r="A194" t="s">
        <v>458</v>
      </c>
      <c r="B194" t="s">
        <v>459</v>
      </c>
      <c r="C194" t="s">
        <v>13</v>
      </c>
      <c r="D194" t="s">
        <v>19</v>
      </c>
      <c r="E194" s="8">
        <v>45730</v>
      </c>
      <c r="F194" s="1" t="s">
        <v>12</v>
      </c>
      <c r="G194" s="1" t="s">
        <v>24</v>
      </c>
      <c r="H194" s="8">
        <v>45754</v>
      </c>
      <c r="J194" t="b">
        <v>1</v>
      </c>
      <c r="K194" t="s">
        <v>460</v>
      </c>
      <c r="L194" s="13" t="str">
        <f>HYPERLINK("https://uk1.aconex.co.uk/hub/index.html?mainTarget=%2FSearchControlledDoc%3FSEARCH_ACTION%3D15%26tab%3D0%26searchMode%3D1%26searchQuery%3Ddocno:%22"&amp;RawData[[#This Row],[Document Number]]&amp;"%22%20%2Bcversion%253A1",RawData[[#This Row],[Document Number]])</f>
        <v>FS1018-AGL-ZZ-XX-L-M-0006</v>
      </c>
    </row>
    <row r="195" spans="1:12" x14ac:dyDescent="0.3">
      <c r="A195" t="s">
        <v>461</v>
      </c>
      <c r="B195" t="s">
        <v>462</v>
      </c>
      <c r="C195" t="s">
        <v>13</v>
      </c>
      <c r="D195" t="s">
        <v>19</v>
      </c>
      <c r="E195" s="8">
        <v>45730</v>
      </c>
      <c r="F195" s="1" t="s">
        <v>12</v>
      </c>
      <c r="G195" s="1" t="s">
        <v>24</v>
      </c>
      <c r="H195" s="8">
        <v>45743</v>
      </c>
      <c r="I195" s="1" t="s">
        <v>1785</v>
      </c>
      <c r="J195" t="b">
        <v>1</v>
      </c>
      <c r="K195" t="s">
        <v>463</v>
      </c>
      <c r="L195" s="13" t="str">
        <f>HYPERLINK("https://uk1.aconex.co.uk/hub/index.html?mainTarget=%2FSearchControlledDoc%3FSEARCH_ACTION%3D15%26tab%3D0%26searchMode%3D1%26searchQuery%3Ddocno:%22"&amp;RawData[[#This Row],[Document Number]]&amp;"%22%20%2Bcversion%253A1",RawData[[#This Row],[Document Number]])</f>
        <v>FS1018-AGL-ZZ-XX-L-M-0007</v>
      </c>
    </row>
    <row r="196" spans="1:12" x14ac:dyDescent="0.3">
      <c r="A196" t="s">
        <v>464</v>
      </c>
      <c r="B196" t="s">
        <v>465</v>
      </c>
      <c r="C196" t="s">
        <v>13</v>
      </c>
      <c r="D196" t="s">
        <v>19</v>
      </c>
      <c r="E196" s="8">
        <v>45730</v>
      </c>
      <c r="F196" s="1" t="s">
        <v>12</v>
      </c>
      <c r="G196" s="1" t="s">
        <v>24</v>
      </c>
      <c r="H196" s="8">
        <v>45743</v>
      </c>
      <c r="I196" s="1" t="s">
        <v>1785</v>
      </c>
      <c r="J196" t="b">
        <v>1</v>
      </c>
      <c r="K196" t="s">
        <v>466</v>
      </c>
      <c r="L196" s="13" t="str">
        <f>HYPERLINK("https://uk1.aconex.co.uk/hub/index.html?mainTarget=%2FSearchControlledDoc%3FSEARCH_ACTION%3D15%26tab%3D0%26searchMode%3D1%26searchQuery%3Ddocno:%22"&amp;RawData[[#This Row],[Document Number]]&amp;"%22%20%2Bcversion%253A1",RawData[[#This Row],[Document Number]])</f>
        <v>FS1018-AGL-ZZ-XX-L-M-0008</v>
      </c>
    </row>
    <row r="197" spans="1:12" ht="43.2" x14ac:dyDescent="0.3">
      <c r="A197" t="s">
        <v>467</v>
      </c>
      <c r="B197" t="s">
        <v>468</v>
      </c>
      <c r="C197" t="s">
        <v>13</v>
      </c>
      <c r="D197" t="s">
        <v>20</v>
      </c>
      <c r="E197" s="8">
        <v>45730</v>
      </c>
      <c r="F197" s="1" t="s">
        <v>12</v>
      </c>
      <c r="G197" s="1" t="s">
        <v>21</v>
      </c>
      <c r="H197" s="8">
        <v>45743</v>
      </c>
      <c r="I197" s="1" t="s">
        <v>1790</v>
      </c>
      <c r="J197" t="b">
        <v>1</v>
      </c>
      <c r="K197" t="s">
        <v>469</v>
      </c>
      <c r="L197" s="13" t="str">
        <f>HYPERLINK("https://uk1.aconex.co.uk/hub/index.html?mainTarget=%2FSearchControlledDoc%3FSEARCH_ACTION%3D15%26tab%3D0%26searchMode%3D1%26searchQuery%3Ddocno:%22"&amp;RawData[[#This Row],[Document Number]]&amp;"%22%20%2Bcversion%253A1",RawData[[#This Row],[Document Number]])</f>
        <v>FS1018-AGL-ZZ-XX-L-M-9604</v>
      </c>
    </row>
    <row r="198" spans="1:12" ht="28.8" x14ac:dyDescent="0.3">
      <c r="A198" t="s">
        <v>467</v>
      </c>
      <c r="B198" t="s">
        <v>468</v>
      </c>
      <c r="C198" t="s">
        <v>13</v>
      </c>
      <c r="D198" t="s">
        <v>20</v>
      </c>
      <c r="E198" s="8">
        <v>45743</v>
      </c>
      <c r="F198" s="1" t="s">
        <v>22</v>
      </c>
      <c r="G198" s="1" t="s">
        <v>4</v>
      </c>
      <c r="H198" s="8"/>
      <c r="J198" t="b">
        <v>1</v>
      </c>
      <c r="K198" t="s">
        <v>469</v>
      </c>
      <c r="L198" s="13" t="str">
        <f>HYPERLINK("https://uk1.aconex.co.uk/hub/index.html?mainTarget=%2FSearchControlledDoc%3FSEARCH_ACTION%3D15%26tab%3D0%26searchMode%3D1%26searchQuery%3Ddocno:%22"&amp;RawData[[#This Row],[Document Number]]&amp;"%22%20%2Bcversion%253A1",RawData[[#This Row],[Document Number]])</f>
        <v>FS1018-AGL-ZZ-XX-L-M-9604</v>
      </c>
    </row>
    <row r="199" spans="1:12" x14ac:dyDescent="0.3">
      <c r="A199" t="s">
        <v>470</v>
      </c>
      <c r="B199" t="s">
        <v>471</v>
      </c>
      <c r="C199" t="s">
        <v>13</v>
      </c>
      <c r="D199" t="s">
        <v>19</v>
      </c>
      <c r="E199" s="8">
        <v>45730</v>
      </c>
      <c r="F199" s="1" t="s">
        <v>12</v>
      </c>
      <c r="G199" s="1" t="s">
        <v>24</v>
      </c>
      <c r="H199" s="8">
        <v>45743</v>
      </c>
      <c r="I199" s="1" t="s">
        <v>1785</v>
      </c>
      <c r="J199" t="b">
        <v>1</v>
      </c>
      <c r="K199" t="s">
        <v>472</v>
      </c>
      <c r="L199" s="13" t="str">
        <f>HYPERLINK("https://uk1.aconex.co.uk/hub/index.html?mainTarget=%2FSearchControlledDoc%3FSEARCH_ACTION%3D15%26tab%3D0%26searchMode%3D1%26searchQuery%3Ddocno:%22"&amp;RawData[[#This Row],[Document Number]]&amp;"%22%20%2Bcversion%253A1",RawData[[#This Row],[Document Number]])</f>
        <v>FS1018-AGL-ZZ-XX-L-M-9605</v>
      </c>
    </row>
    <row r="200" spans="1:12" x14ac:dyDescent="0.3">
      <c r="A200" t="s">
        <v>473</v>
      </c>
      <c r="B200" t="s">
        <v>474</v>
      </c>
      <c r="C200" t="s">
        <v>13</v>
      </c>
      <c r="D200" t="s">
        <v>19</v>
      </c>
      <c r="E200" s="8">
        <v>45730</v>
      </c>
      <c r="F200" s="1" t="s">
        <v>12</v>
      </c>
      <c r="G200" s="1" t="s">
        <v>24</v>
      </c>
      <c r="H200" s="8">
        <v>45743</v>
      </c>
      <c r="I200" s="1" t="s">
        <v>1785</v>
      </c>
      <c r="J200" t="b">
        <v>1</v>
      </c>
      <c r="K200" t="s">
        <v>475</v>
      </c>
      <c r="L200" s="13" t="str">
        <f>HYPERLINK("https://uk1.aconex.co.uk/hub/index.html?mainTarget=%2FSearchControlledDoc%3FSEARCH_ACTION%3D15%26tab%3D0%26searchMode%3D1%26searchQuery%3Ddocno:%22"&amp;RawData[[#This Row],[Document Number]]&amp;"%22%20%2Bcversion%253A1",RawData[[#This Row],[Document Number]])</f>
        <v>FS1018-AGL-ZZ-XX-L-M-9607</v>
      </c>
    </row>
    <row r="201" spans="1:12" x14ac:dyDescent="0.3">
      <c r="A201" t="s">
        <v>476</v>
      </c>
      <c r="B201" t="s">
        <v>477</v>
      </c>
      <c r="C201" t="s">
        <v>13</v>
      </c>
      <c r="D201" t="s">
        <v>19</v>
      </c>
      <c r="E201" s="8">
        <v>45730</v>
      </c>
      <c r="F201" s="1" t="s">
        <v>12</v>
      </c>
      <c r="G201" s="1" t="s">
        <v>24</v>
      </c>
      <c r="H201" s="8">
        <v>45754</v>
      </c>
      <c r="J201" t="b">
        <v>1</v>
      </c>
      <c r="K201" t="s">
        <v>478</v>
      </c>
      <c r="L201" s="13" t="str">
        <f>HYPERLINK("https://uk1.aconex.co.uk/hub/index.html?mainTarget=%2FSearchControlledDoc%3FSEARCH_ACTION%3D15%26tab%3D0%26searchMode%3D1%26searchQuery%3Ddocno:%22"&amp;RawData[[#This Row],[Document Number]]&amp;"%22%20%2Bcversion%253A1",RawData[[#This Row],[Document Number]])</f>
        <v>FS1018-AGL-ZZ-XX-L-M-9608</v>
      </c>
    </row>
    <row r="202" spans="1:12" ht="28.8" x14ac:dyDescent="0.3">
      <c r="A202" t="s">
        <v>479</v>
      </c>
      <c r="B202" t="s">
        <v>480</v>
      </c>
      <c r="C202" t="s">
        <v>13</v>
      </c>
      <c r="D202" t="s">
        <v>20</v>
      </c>
      <c r="E202" s="8">
        <v>45730</v>
      </c>
      <c r="F202" s="1" t="s">
        <v>12</v>
      </c>
      <c r="G202" s="1" t="s">
        <v>1027</v>
      </c>
      <c r="H202" s="8">
        <v>45743</v>
      </c>
      <c r="I202" s="1" t="s">
        <v>1791</v>
      </c>
      <c r="J202" t="b">
        <v>1</v>
      </c>
      <c r="K202" t="s">
        <v>481</v>
      </c>
      <c r="L202" s="13" t="str">
        <f>HYPERLINK("https://uk1.aconex.co.uk/hub/index.html?mainTarget=%2FSearchControlledDoc%3FSEARCH_ACTION%3D15%26tab%3D0%26searchMode%3D1%26searchQuery%3Ddocno:%22"&amp;RawData[[#This Row],[Document Number]]&amp;"%22%20%2Bcversion%253A1",RawData[[#This Row],[Document Number]])</f>
        <v>FS1018-AGL-ZZ-XX-L-M-9609</v>
      </c>
    </row>
    <row r="203" spans="1:12" ht="28.8" x14ac:dyDescent="0.3">
      <c r="A203" t="s">
        <v>479</v>
      </c>
      <c r="B203" t="s">
        <v>480</v>
      </c>
      <c r="C203" t="s">
        <v>13</v>
      </c>
      <c r="D203" t="s">
        <v>20</v>
      </c>
      <c r="E203" s="8">
        <v>45743</v>
      </c>
      <c r="F203" s="1" t="s">
        <v>22</v>
      </c>
      <c r="G203" s="1" t="s">
        <v>4</v>
      </c>
      <c r="H203" s="8"/>
      <c r="J203" t="b">
        <v>1</v>
      </c>
      <c r="K203" t="s">
        <v>481</v>
      </c>
      <c r="L203" s="13" t="str">
        <f>HYPERLINK("https://uk1.aconex.co.uk/hub/index.html?mainTarget=%2FSearchControlledDoc%3FSEARCH_ACTION%3D15%26tab%3D0%26searchMode%3D1%26searchQuery%3Ddocno:%22"&amp;RawData[[#This Row],[Document Number]]&amp;"%22%20%2Bcversion%253A1",RawData[[#This Row],[Document Number]])</f>
        <v>FS1018-AGL-ZZ-XX-L-M-9609</v>
      </c>
    </row>
    <row r="204" spans="1:12" x14ac:dyDescent="0.3">
      <c r="A204" t="s">
        <v>482</v>
      </c>
      <c r="B204" t="s">
        <v>483</v>
      </c>
      <c r="C204" t="s">
        <v>13</v>
      </c>
      <c r="D204" t="s">
        <v>19</v>
      </c>
      <c r="E204" s="8">
        <v>45730</v>
      </c>
      <c r="F204" s="1" t="s">
        <v>12</v>
      </c>
      <c r="G204" s="1" t="s">
        <v>24</v>
      </c>
      <c r="H204" s="8">
        <v>45743</v>
      </c>
      <c r="I204" s="1" t="s">
        <v>1785</v>
      </c>
      <c r="J204" t="b">
        <v>1</v>
      </c>
      <c r="K204" t="s">
        <v>484</v>
      </c>
      <c r="L204" s="13" t="str">
        <f>HYPERLINK("https://uk1.aconex.co.uk/hub/index.html?mainTarget=%2FSearchControlledDoc%3FSEARCH_ACTION%3D15%26tab%3D0%26searchMode%3D1%26searchQuery%3Ddocno:%22"&amp;RawData[[#This Row],[Document Number]]&amp;"%22%20%2Bcversion%253A1",RawData[[#This Row],[Document Number]])</f>
        <v>FS1018-AGL-ZZ-XX-L-M-9610</v>
      </c>
    </row>
    <row r="205" spans="1:12" ht="28.8" x14ac:dyDescent="0.3">
      <c r="A205" t="s">
        <v>485</v>
      </c>
      <c r="B205" t="s">
        <v>486</v>
      </c>
      <c r="C205" t="s">
        <v>13</v>
      </c>
      <c r="D205" t="s">
        <v>20</v>
      </c>
      <c r="E205" s="8">
        <v>45730</v>
      </c>
      <c r="F205" s="1" t="s">
        <v>12</v>
      </c>
      <c r="G205" s="1" t="s">
        <v>1027</v>
      </c>
      <c r="H205" s="8">
        <v>45743</v>
      </c>
      <c r="I205" s="1" t="s">
        <v>1792</v>
      </c>
      <c r="J205" t="b">
        <v>1</v>
      </c>
      <c r="K205" t="s">
        <v>487</v>
      </c>
      <c r="L205" s="13" t="str">
        <f>HYPERLINK("https://uk1.aconex.co.uk/hub/index.html?mainTarget=%2FSearchControlledDoc%3FSEARCH_ACTION%3D15%26tab%3D0%26searchMode%3D1%26searchQuery%3Ddocno:%22"&amp;RawData[[#This Row],[Document Number]]&amp;"%22%20%2Bcversion%253A1",RawData[[#This Row],[Document Number]])</f>
        <v>FS1018-AGL-ZZ-XX-L-M-9613</v>
      </c>
    </row>
    <row r="206" spans="1:12" ht="28.8" x14ac:dyDescent="0.3">
      <c r="A206" t="s">
        <v>485</v>
      </c>
      <c r="B206" t="s">
        <v>486</v>
      </c>
      <c r="C206" t="s">
        <v>13</v>
      </c>
      <c r="D206" t="s">
        <v>20</v>
      </c>
      <c r="E206" s="8">
        <v>45743</v>
      </c>
      <c r="F206" s="1" t="s">
        <v>22</v>
      </c>
      <c r="G206" s="1" t="s">
        <v>4</v>
      </c>
      <c r="H206" s="8"/>
      <c r="J206" t="b">
        <v>1</v>
      </c>
      <c r="K206" t="s">
        <v>487</v>
      </c>
      <c r="L206" s="13" t="str">
        <f>HYPERLINK("https://uk1.aconex.co.uk/hub/index.html?mainTarget=%2FSearchControlledDoc%3FSEARCH_ACTION%3D15%26tab%3D0%26searchMode%3D1%26searchQuery%3Ddocno:%22"&amp;RawData[[#This Row],[Document Number]]&amp;"%22%20%2Bcversion%253A1",RawData[[#This Row],[Document Number]])</f>
        <v>FS1018-AGL-ZZ-XX-L-M-9613</v>
      </c>
    </row>
    <row r="207" spans="1:12" x14ac:dyDescent="0.3">
      <c r="A207" t="s">
        <v>488</v>
      </c>
      <c r="B207" t="s">
        <v>489</v>
      </c>
      <c r="C207" t="s">
        <v>13</v>
      </c>
      <c r="D207" t="s">
        <v>19</v>
      </c>
      <c r="E207" s="8">
        <v>45730</v>
      </c>
      <c r="F207" s="1" t="s">
        <v>12</v>
      </c>
      <c r="G207" s="1" t="s">
        <v>24</v>
      </c>
      <c r="H207" s="8">
        <v>45754</v>
      </c>
      <c r="J207" t="b">
        <v>1</v>
      </c>
      <c r="K207" t="s">
        <v>490</v>
      </c>
      <c r="L207" s="13" t="str">
        <f>HYPERLINK("https://uk1.aconex.co.uk/hub/index.html?mainTarget=%2FSearchControlledDoc%3FSEARCH_ACTION%3D15%26tab%3D0%26searchMode%3D1%26searchQuery%3Ddocno:%22"&amp;RawData[[#This Row],[Document Number]]&amp;"%22%20%2Bcversion%253A1",RawData[[#This Row],[Document Number]])</f>
        <v>FS1018-AGL-ZZ-XX-L-M-9614</v>
      </c>
    </row>
    <row r="208" spans="1:12" x14ac:dyDescent="0.3">
      <c r="A208" t="s">
        <v>491</v>
      </c>
      <c r="B208" t="s">
        <v>492</v>
      </c>
      <c r="C208" t="s">
        <v>13</v>
      </c>
      <c r="D208" t="s">
        <v>19</v>
      </c>
      <c r="E208" s="8">
        <v>45730</v>
      </c>
      <c r="F208" s="1" t="s">
        <v>12</v>
      </c>
      <c r="G208" s="1" t="s">
        <v>24</v>
      </c>
      <c r="H208" s="8">
        <v>45743</v>
      </c>
      <c r="I208" s="1" t="s">
        <v>1785</v>
      </c>
      <c r="J208" t="b">
        <v>1</v>
      </c>
      <c r="K208" t="s">
        <v>493</v>
      </c>
      <c r="L208" s="13" t="str">
        <f>HYPERLINK("https://uk1.aconex.co.uk/hub/index.html?mainTarget=%2FSearchControlledDoc%3FSEARCH_ACTION%3D15%26tab%3D0%26searchMode%3D1%26searchQuery%3Ddocno:%22"&amp;RawData[[#This Row],[Document Number]]&amp;"%22%20%2Bcversion%253A1",RawData[[#This Row],[Document Number]])</f>
        <v>FS1018-AGL-ZZ-XX-L-M-9617</v>
      </c>
    </row>
    <row r="209" spans="1:12" x14ac:dyDescent="0.3">
      <c r="A209" t="s">
        <v>494</v>
      </c>
      <c r="B209" t="s">
        <v>495</v>
      </c>
      <c r="C209" t="s">
        <v>13</v>
      </c>
      <c r="D209" t="s">
        <v>19</v>
      </c>
      <c r="E209" s="8">
        <v>45730</v>
      </c>
      <c r="F209" s="1" t="s">
        <v>12</v>
      </c>
      <c r="G209" s="1" t="s">
        <v>24</v>
      </c>
      <c r="H209" s="8">
        <v>45754</v>
      </c>
      <c r="J209" t="b">
        <v>1</v>
      </c>
      <c r="K209" t="s">
        <v>496</v>
      </c>
      <c r="L209" s="13" t="str">
        <f>HYPERLINK("https://uk1.aconex.co.uk/hub/index.html?mainTarget=%2FSearchControlledDoc%3FSEARCH_ACTION%3D15%26tab%3D0%26searchMode%3D1%26searchQuery%3Ddocno:%22"&amp;RawData[[#This Row],[Document Number]]&amp;"%22%20%2Bcversion%253A1",RawData[[#This Row],[Document Number]])</f>
        <v>FS1018-AGL-ZZ-XX-L-M-9619</v>
      </c>
    </row>
    <row r="210" spans="1:12" x14ac:dyDescent="0.3">
      <c r="A210" t="s">
        <v>497</v>
      </c>
      <c r="B210" t="s">
        <v>498</v>
      </c>
      <c r="C210" t="s">
        <v>13</v>
      </c>
      <c r="D210" t="s">
        <v>19</v>
      </c>
      <c r="E210" s="8">
        <v>45730</v>
      </c>
      <c r="F210" s="1" t="s">
        <v>12</v>
      </c>
      <c r="G210" s="1" t="s">
        <v>24</v>
      </c>
      <c r="H210" s="8">
        <v>45754</v>
      </c>
      <c r="J210" t="b">
        <v>1</v>
      </c>
      <c r="K210" t="s">
        <v>499</v>
      </c>
      <c r="L210" s="13" t="str">
        <f>HYPERLINK("https://uk1.aconex.co.uk/hub/index.html?mainTarget=%2FSearchControlledDoc%3FSEARCH_ACTION%3D15%26tab%3D0%26searchMode%3D1%26searchQuery%3Ddocno:%22"&amp;RawData[[#This Row],[Document Number]]&amp;"%22%20%2Bcversion%253A1",RawData[[#This Row],[Document Number]])</f>
        <v>FS1018-AGL-ZZ-XX-L-M-9620</v>
      </c>
    </row>
    <row r="211" spans="1:12" x14ac:dyDescent="0.3">
      <c r="A211" t="s">
        <v>500</v>
      </c>
      <c r="B211" t="s">
        <v>501</v>
      </c>
      <c r="C211" t="s">
        <v>13</v>
      </c>
      <c r="D211" t="s">
        <v>19</v>
      </c>
      <c r="E211" s="8">
        <v>45730</v>
      </c>
      <c r="F211" s="1" t="s">
        <v>12</v>
      </c>
      <c r="G211" s="1" t="s">
        <v>24</v>
      </c>
      <c r="H211" s="8">
        <v>45743</v>
      </c>
      <c r="I211" s="1" t="s">
        <v>1785</v>
      </c>
      <c r="J211" t="b">
        <v>1</v>
      </c>
      <c r="K211" t="s">
        <v>502</v>
      </c>
      <c r="L211" s="13" t="str">
        <f>HYPERLINK("https://uk1.aconex.co.uk/hub/index.html?mainTarget=%2FSearchControlledDoc%3FSEARCH_ACTION%3D15%26tab%3D0%26searchMode%3D1%26searchQuery%3Ddocno:%22"&amp;RawData[[#This Row],[Document Number]]&amp;"%22%20%2Bcversion%253A1",RawData[[#This Row],[Document Number]])</f>
        <v>FS1018-AGL-ZZ-XX-L-M-9621</v>
      </c>
    </row>
    <row r="212" spans="1:12" x14ac:dyDescent="0.3">
      <c r="A212" t="s">
        <v>503</v>
      </c>
      <c r="B212" t="s">
        <v>504</v>
      </c>
      <c r="C212" t="s">
        <v>13</v>
      </c>
      <c r="D212" t="s">
        <v>19</v>
      </c>
      <c r="E212" s="8">
        <v>45730</v>
      </c>
      <c r="F212" s="1" t="s">
        <v>12</v>
      </c>
      <c r="G212" s="1" t="s">
        <v>24</v>
      </c>
      <c r="H212" s="8">
        <v>45754</v>
      </c>
      <c r="J212" t="b">
        <v>1</v>
      </c>
      <c r="K212" t="s">
        <v>505</v>
      </c>
      <c r="L212" s="13" t="str">
        <f>HYPERLINK("https://uk1.aconex.co.uk/hub/index.html?mainTarget=%2FSearchControlledDoc%3FSEARCH_ACTION%3D15%26tab%3D0%26searchMode%3D1%26searchQuery%3Ddocno:%22"&amp;RawData[[#This Row],[Document Number]]&amp;"%22%20%2Bcversion%253A1",RawData[[#This Row],[Document Number]])</f>
        <v>FS1018-AGL-ZZ-XX-L-M-9623</v>
      </c>
    </row>
    <row r="213" spans="1:12" x14ac:dyDescent="0.3">
      <c r="A213" t="s">
        <v>506</v>
      </c>
      <c r="B213" t="s">
        <v>507</v>
      </c>
      <c r="C213" t="s">
        <v>13</v>
      </c>
      <c r="D213" t="s">
        <v>19</v>
      </c>
      <c r="E213" s="8">
        <v>45730</v>
      </c>
      <c r="F213" s="1" t="s">
        <v>12</v>
      </c>
      <c r="G213" s="1" t="s">
        <v>24</v>
      </c>
      <c r="H213" s="8">
        <v>45754</v>
      </c>
      <c r="J213" t="b">
        <v>1</v>
      </c>
      <c r="K213" t="s">
        <v>508</v>
      </c>
      <c r="L213" s="13" t="str">
        <f>HYPERLINK("https://uk1.aconex.co.uk/hub/index.html?mainTarget=%2FSearchControlledDoc%3FSEARCH_ACTION%3D15%26tab%3D0%26searchMode%3D1%26searchQuery%3Ddocno:%22"&amp;RawData[[#This Row],[Document Number]]&amp;"%22%20%2Bcversion%253A1",RawData[[#This Row],[Document Number]])</f>
        <v>FS1018-AGL-ZZ-XX-L-M-9624</v>
      </c>
    </row>
    <row r="214" spans="1:12" x14ac:dyDescent="0.3">
      <c r="A214" t="s">
        <v>509</v>
      </c>
      <c r="B214" t="s">
        <v>510</v>
      </c>
      <c r="C214" t="s">
        <v>13</v>
      </c>
      <c r="D214" t="s">
        <v>19</v>
      </c>
      <c r="E214" s="8">
        <v>45730</v>
      </c>
      <c r="F214" s="1" t="s">
        <v>12</v>
      </c>
      <c r="G214" s="1" t="s">
        <v>24</v>
      </c>
      <c r="H214" s="8">
        <v>45743</v>
      </c>
      <c r="I214" s="1" t="s">
        <v>1785</v>
      </c>
      <c r="J214" t="b">
        <v>1</v>
      </c>
      <c r="K214" t="s">
        <v>511</v>
      </c>
      <c r="L214" s="13" t="str">
        <f>HYPERLINK("https://uk1.aconex.co.uk/hub/index.html?mainTarget=%2FSearchControlledDoc%3FSEARCH_ACTION%3D15%26tab%3D0%26searchMode%3D1%26searchQuery%3Ddocno:%22"&amp;RawData[[#This Row],[Document Number]]&amp;"%22%20%2Bcversion%253A1",RawData[[#This Row],[Document Number]])</f>
        <v>FS1018-AGL-ZZ-XX-L-M-9625</v>
      </c>
    </row>
    <row r="215" spans="1:12" x14ac:dyDescent="0.3">
      <c r="A215" t="s">
        <v>512</v>
      </c>
      <c r="B215" t="s">
        <v>513</v>
      </c>
      <c r="C215" t="s">
        <v>13</v>
      </c>
      <c r="D215" t="s">
        <v>19</v>
      </c>
      <c r="E215" s="8">
        <v>45730</v>
      </c>
      <c r="F215" s="1" t="s">
        <v>12</v>
      </c>
      <c r="G215" s="1" t="s">
        <v>24</v>
      </c>
      <c r="H215" s="8">
        <v>45754</v>
      </c>
      <c r="J215" t="b">
        <v>1</v>
      </c>
      <c r="K215" t="s">
        <v>514</v>
      </c>
      <c r="L215" s="13" t="str">
        <f>HYPERLINK("https://uk1.aconex.co.uk/hub/index.html?mainTarget=%2FSearchControlledDoc%3FSEARCH_ACTION%3D15%26tab%3D0%26searchMode%3D1%26searchQuery%3Ddocno:%22"&amp;RawData[[#This Row],[Document Number]]&amp;"%22%20%2Bcversion%253A1",RawData[[#This Row],[Document Number]])</f>
        <v>FS1018-AGL-ZZ-XX-L-M-9627</v>
      </c>
    </row>
    <row r="216" spans="1:12" x14ac:dyDescent="0.3">
      <c r="A216" t="s">
        <v>515</v>
      </c>
      <c r="B216" t="s">
        <v>516</v>
      </c>
      <c r="C216" t="s">
        <v>13</v>
      </c>
      <c r="D216" t="s">
        <v>19</v>
      </c>
      <c r="E216" s="8">
        <v>45730</v>
      </c>
      <c r="F216" s="1" t="s">
        <v>12</v>
      </c>
      <c r="G216" s="1" t="s">
        <v>24</v>
      </c>
      <c r="H216" s="8">
        <v>45754</v>
      </c>
      <c r="J216" t="b">
        <v>1</v>
      </c>
      <c r="K216" t="s">
        <v>517</v>
      </c>
      <c r="L216" s="13" t="str">
        <f>HYPERLINK("https://uk1.aconex.co.uk/hub/index.html?mainTarget=%2FSearchControlledDoc%3FSEARCH_ACTION%3D15%26tab%3D0%26searchMode%3D1%26searchQuery%3Ddocno:%22"&amp;RawData[[#This Row],[Document Number]]&amp;"%22%20%2Bcversion%253A1",RawData[[#This Row],[Document Number]])</f>
        <v>FS1018-AGL-ZZ-XX-L-M-9628</v>
      </c>
    </row>
    <row r="217" spans="1:12" x14ac:dyDescent="0.3">
      <c r="A217" t="s">
        <v>518</v>
      </c>
      <c r="B217" t="s">
        <v>519</v>
      </c>
      <c r="C217" t="s">
        <v>13</v>
      </c>
      <c r="D217" t="s">
        <v>19</v>
      </c>
      <c r="E217" s="8">
        <v>45730</v>
      </c>
      <c r="F217" s="1" t="s">
        <v>12</v>
      </c>
      <c r="G217" s="1" t="s">
        <v>24</v>
      </c>
      <c r="H217" s="8">
        <v>45743</v>
      </c>
      <c r="I217" s="1" t="s">
        <v>1785</v>
      </c>
      <c r="J217" t="b">
        <v>1</v>
      </c>
      <c r="K217" t="s">
        <v>520</v>
      </c>
      <c r="L217" s="13" t="str">
        <f>HYPERLINK("https://uk1.aconex.co.uk/hub/index.html?mainTarget=%2FSearchControlledDoc%3FSEARCH_ACTION%3D15%26tab%3D0%26searchMode%3D1%26searchQuery%3Ddocno:%22"&amp;RawData[[#This Row],[Document Number]]&amp;"%22%20%2Bcversion%253A1",RawData[[#This Row],[Document Number]])</f>
        <v>FS1018-AGL-ZZ-XX-L-M-9630</v>
      </c>
    </row>
    <row r="218" spans="1:12" x14ac:dyDescent="0.3">
      <c r="A218" t="s">
        <v>521</v>
      </c>
      <c r="B218" t="s">
        <v>522</v>
      </c>
      <c r="C218" t="s">
        <v>13</v>
      </c>
      <c r="D218" t="s">
        <v>19</v>
      </c>
      <c r="E218" s="8">
        <v>45730</v>
      </c>
      <c r="F218" s="1" t="s">
        <v>12</v>
      </c>
      <c r="G218" s="1" t="s">
        <v>24</v>
      </c>
      <c r="H218" s="8">
        <v>45754</v>
      </c>
      <c r="J218" t="b">
        <v>1</v>
      </c>
      <c r="K218" t="s">
        <v>523</v>
      </c>
      <c r="L218" s="13" t="str">
        <f>HYPERLINK("https://uk1.aconex.co.uk/hub/index.html?mainTarget=%2FSearchControlledDoc%3FSEARCH_ACTION%3D15%26tab%3D0%26searchMode%3D1%26searchQuery%3Ddocno:%22"&amp;RawData[[#This Row],[Document Number]]&amp;"%22%20%2Bcversion%253A1",RawData[[#This Row],[Document Number]])</f>
        <v>FS1018-AGL-ZZ-XX-L-M-9634</v>
      </c>
    </row>
    <row r="219" spans="1:12" x14ac:dyDescent="0.3">
      <c r="A219" t="s">
        <v>524</v>
      </c>
      <c r="B219" t="s">
        <v>525</v>
      </c>
      <c r="C219" t="s">
        <v>13</v>
      </c>
      <c r="D219" t="s">
        <v>19</v>
      </c>
      <c r="E219" s="8">
        <v>45730</v>
      </c>
      <c r="F219" s="1" t="s">
        <v>12</v>
      </c>
      <c r="G219" s="1" t="s">
        <v>24</v>
      </c>
      <c r="H219" s="8">
        <v>45743</v>
      </c>
      <c r="I219" s="1" t="s">
        <v>1785</v>
      </c>
      <c r="J219" t="b">
        <v>1</v>
      </c>
      <c r="K219" t="s">
        <v>526</v>
      </c>
      <c r="L219" s="13" t="str">
        <f>HYPERLINK("https://uk1.aconex.co.uk/hub/index.html?mainTarget=%2FSearchControlledDoc%3FSEARCH_ACTION%3D15%26tab%3D0%26searchMode%3D1%26searchQuery%3Ddocno:%22"&amp;RawData[[#This Row],[Document Number]]&amp;"%22%20%2Bcversion%253A1",RawData[[#This Row],[Document Number]])</f>
        <v>FS1018-AGL-ZZ-XX-L-M-9637</v>
      </c>
    </row>
    <row r="220" spans="1:12" x14ac:dyDescent="0.3">
      <c r="A220" t="s">
        <v>527</v>
      </c>
      <c r="B220" t="s">
        <v>528</v>
      </c>
      <c r="C220" t="s">
        <v>13</v>
      </c>
      <c r="D220" t="s">
        <v>19</v>
      </c>
      <c r="E220" s="8">
        <v>45730</v>
      </c>
      <c r="F220" s="1" t="s">
        <v>12</v>
      </c>
      <c r="G220" s="1" t="s">
        <v>24</v>
      </c>
      <c r="H220" s="8">
        <v>45743</v>
      </c>
      <c r="I220" s="1" t="s">
        <v>1785</v>
      </c>
      <c r="J220" t="b">
        <v>1</v>
      </c>
      <c r="K220" t="s">
        <v>529</v>
      </c>
      <c r="L220" s="13" t="str">
        <f>HYPERLINK("https://uk1.aconex.co.uk/hub/index.html?mainTarget=%2FSearchControlledDoc%3FSEARCH_ACTION%3D15%26tab%3D0%26searchMode%3D1%26searchQuery%3Ddocno:%22"&amp;RawData[[#This Row],[Document Number]]&amp;"%22%20%2Bcversion%253A1",RawData[[#This Row],[Document Number]])</f>
        <v>FS1018-AGL-ZZ-XX-L-M-9641</v>
      </c>
    </row>
    <row r="221" spans="1:12" x14ac:dyDescent="0.3">
      <c r="A221" t="s">
        <v>530</v>
      </c>
      <c r="B221" t="s">
        <v>531</v>
      </c>
      <c r="C221" t="s">
        <v>13</v>
      </c>
      <c r="D221" t="s">
        <v>19</v>
      </c>
      <c r="E221" s="8">
        <v>45730</v>
      </c>
      <c r="F221" s="1" t="s">
        <v>12</v>
      </c>
      <c r="G221" s="1" t="s">
        <v>24</v>
      </c>
      <c r="H221" s="8">
        <v>45743</v>
      </c>
      <c r="I221" s="1" t="s">
        <v>1785</v>
      </c>
      <c r="J221" t="b">
        <v>1</v>
      </c>
      <c r="K221" t="s">
        <v>532</v>
      </c>
      <c r="L221" s="13" t="str">
        <f>HYPERLINK("https://uk1.aconex.co.uk/hub/index.html?mainTarget=%2FSearchControlledDoc%3FSEARCH_ACTION%3D15%26tab%3D0%26searchMode%3D1%26searchQuery%3Ddocno:%22"&amp;RawData[[#This Row],[Document Number]]&amp;"%22%20%2Bcversion%253A1",RawData[[#This Row],[Document Number]])</f>
        <v>FS1018-AGL-ZZ-XX-L-M-9642</v>
      </c>
    </row>
    <row r="222" spans="1:12" x14ac:dyDescent="0.3">
      <c r="A222" t="s">
        <v>533</v>
      </c>
      <c r="B222" t="s">
        <v>534</v>
      </c>
      <c r="C222" t="s">
        <v>13</v>
      </c>
      <c r="D222" t="s">
        <v>19</v>
      </c>
      <c r="E222" s="8">
        <v>45730</v>
      </c>
      <c r="F222" s="1" t="s">
        <v>12</v>
      </c>
      <c r="G222" s="1" t="s">
        <v>24</v>
      </c>
      <c r="H222" s="8">
        <v>45743</v>
      </c>
      <c r="I222" s="1" t="s">
        <v>1785</v>
      </c>
      <c r="J222" t="b">
        <v>1</v>
      </c>
      <c r="K222" t="s">
        <v>535</v>
      </c>
      <c r="L222" s="13" t="str">
        <f>HYPERLINK("https://uk1.aconex.co.uk/hub/index.html?mainTarget=%2FSearchControlledDoc%3FSEARCH_ACTION%3D15%26tab%3D0%26searchMode%3D1%26searchQuery%3Ddocno:%22"&amp;RawData[[#This Row],[Document Number]]&amp;"%22%20%2Bcversion%253A1",RawData[[#This Row],[Document Number]])</f>
        <v>FS1018-AGL-ZZ-XX-L-M-9644</v>
      </c>
    </row>
    <row r="223" spans="1:12" x14ac:dyDescent="0.3">
      <c r="A223" t="s">
        <v>536</v>
      </c>
      <c r="B223" t="s">
        <v>537</v>
      </c>
      <c r="C223" t="s">
        <v>13</v>
      </c>
      <c r="D223" t="s">
        <v>19</v>
      </c>
      <c r="E223" s="8">
        <v>45730</v>
      </c>
      <c r="F223" s="1" t="s">
        <v>12</v>
      </c>
      <c r="G223" s="1" t="s">
        <v>24</v>
      </c>
      <c r="H223" s="8">
        <v>45743</v>
      </c>
      <c r="I223" s="1" t="s">
        <v>1785</v>
      </c>
      <c r="J223" t="b">
        <v>1</v>
      </c>
      <c r="K223" t="s">
        <v>538</v>
      </c>
      <c r="L223" s="13" t="str">
        <f>HYPERLINK("https://uk1.aconex.co.uk/hub/index.html?mainTarget=%2FSearchControlledDoc%3FSEARCH_ACTION%3D15%26tab%3D0%26searchMode%3D1%26searchQuery%3Ddocno:%22"&amp;RawData[[#This Row],[Document Number]]&amp;"%22%20%2Bcversion%253A1",RawData[[#This Row],[Document Number]])</f>
        <v>FS1018-AGL-ZZ-XX-L-M-9647</v>
      </c>
    </row>
    <row r="224" spans="1:12" x14ac:dyDescent="0.3">
      <c r="A224" t="s">
        <v>539</v>
      </c>
      <c r="B224" t="s">
        <v>540</v>
      </c>
      <c r="C224" t="s">
        <v>13</v>
      </c>
      <c r="D224" t="s">
        <v>19</v>
      </c>
      <c r="E224" s="8">
        <v>45730</v>
      </c>
      <c r="F224" s="1" t="s">
        <v>12</v>
      </c>
      <c r="G224" s="1" t="s">
        <v>24</v>
      </c>
      <c r="H224" s="8">
        <v>45743</v>
      </c>
      <c r="I224" s="1" t="s">
        <v>1785</v>
      </c>
      <c r="J224" t="b">
        <v>1</v>
      </c>
      <c r="K224" t="s">
        <v>541</v>
      </c>
      <c r="L224" s="13" t="str">
        <f>HYPERLINK("https://uk1.aconex.co.uk/hub/index.html?mainTarget=%2FSearchControlledDoc%3FSEARCH_ACTION%3D15%26tab%3D0%26searchMode%3D1%26searchQuery%3Ddocno:%22"&amp;RawData[[#This Row],[Document Number]]&amp;"%22%20%2Bcversion%253A1",RawData[[#This Row],[Document Number]])</f>
        <v>FS1018-AGL-ZZ-XX-L-M-9649</v>
      </c>
    </row>
    <row r="225" spans="1:12" x14ac:dyDescent="0.3">
      <c r="A225" t="s">
        <v>542</v>
      </c>
      <c r="B225" t="s">
        <v>543</v>
      </c>
      <c r="C225" t="s">
        <v>13</v>
      </c>
      <c r="D225" t="s">
        <v>19</v>
      </c>
      <c r="E225" s="8">
        <v>45730</v>
      </c>
      <c r="F225" s="1" t="s">
        <v>12</v>
      </c>
      <c r="G225" s="1" t="s">
        <v>24</v>
      </c>
      <c r="H225" s="8">
        <v>45743</v>
      </c>
      <c r="I225" s="1" t="s">
        <v>1785</v>
      </c>
      <c r="J225" t="b">
        <v>1</v>
      </c>
      <c r="K225" t="s">
        <v>544</v>
      </c>
      <c r="L225" s="13" t="str">
        <f>HYPERLINK("https://uk1.aconex.co.uk/hub/index.html?mainTarget=%2FSearchControlledDoc%3FSEARCH_ACTION%3D15%26tab%3D0%26searchMode%3D1%26searchQuery%3Ddocno:%22"&amp;RawData[[#This Row],[Document Number]]&amp;"%22%20%2Bcversion%253A1",RawData[[#This Row],[Document Number]])</f>
        <v>FS1018-AGL-ZZ-XX-L-M-9652</v>
      </c>
    </row>
    <row r="226" spans="1:12" x14ac:dyDescent="0.3">
      <c r="A226" t="s">
        <v>545</v>
      </c>
      <c r="B226" t="s">
        <v>546</v>
      </c>
      <c r="C226" t="s">
        <v>13</v>
      </c>
      <c r="D226" t="s">
        <v>19</v>
      </c>
      <c r="E226" s="8">
        <v>45730</v>
      </c>
      <c r="F226" s="1" t="s">
        <v>12</v>
      </c>
      <c r="G226" s="1" t="s">
        <v>24</v>
      </c>
      <c r="H226" s="8">
        <v>45743</v>
      </c>
      <c r="I226" s="1" t="s">
        <v>1785</v>
      </c>
      <c r="J226" t="b">
        <v>1</v>
      </c>
      <c r="K226" t="s">
        <v>547</v>
      </c>
      <c r="L226" s="13" t="str">
        <f>HYPERLINK("https://uk1.aconex.co.uk/hub/index.html?mainTarget=%2FSearchControlledDoc%3FSEARCH_ACTION%3D15%26tab%3D0%26searchMode%3D1%26searchQuery%3Ddocno:%22"&amp;RawData[[#This Row],[Document Number]]&amp;"%22%20%2Bcversion%253A1",RawData[[#This Row],[Document Number]])</f>
        <v>FS1018-AGL-ZZ-XX-L-M-9653</v>
      </c>
    </row>
    <row r="227" spans="1:12" x14ac:dyDescent="0.3">
      <c r="A227" t="s">
        <v>548</v>
      </c>
      <c r="B227" t="s">
        <v>549</v>
      </c>
      <c r="C227" t="s">
        <v>13</v>
      </c>
      <c r="D227" t="s">
        <v>19</v>
      </c>
      <c r="E227" s="8">
        <v>45730</v>
      </c>
      <c r="F227" s="1" t="s">
        <v>12</v>
      </c>
      <c r="G227" s="1" t="s">
        <v>24</v>
      </c>
      <c r="H227" s="8">
        <v>45743</v>
      </c>
      <c r="I227" s="1" t="s">
        <v>1785</v>
      </c>
      <c r="J227" t="b">
        <v>1</v>
      </c>
      <c r="K227" t="s">
        <v>550</v>
      </c>
      <c r="L227" s="13" t="str">
        <f>HYPERLINK("https://uk1.aconex.co.uk/hub/index.html?mainTarget=%2FSearchControlledDoc%3FSEARCH_ACTION%3D15%26tab%3D0%26searchMode%3D1%26searchQuery%3Ddocno:%22"&amp;RawData[[#This Row],[Document Number]]&amp;"%22%20%2Bcversion%253A1",RawData[[#This Row],[Document Number]])</f>
        <v>FS1018-AGL-ZZ-XX-L-M-9654</v>
      </c>
    </row>
    <row r="228" spans="1:12" x14ac:dyDescent="0.3">
      <c r="A228" t="s">
        <v>551</v>
      </c>
      <c r="B228" t="s">
        <v>552</v>
      </c>
      <c r="C228" t="s">
        <v>13</v>
      </c>
      <c r="D228" t="s">
        <v>19</v>
      </c>
      <c r="E228" s="8">
        <v>45730</v>
      </c>
      <c r="F228" s="1" t="s">
        <v>12</v>
      </c>
      <c r="G228" s="1" t="s">
        <v>24</v>
      </c>
      <c r="H228" s="8">
        <v>45743</v>
      </c>
      <c r="I228" s="1" t="s">
        <v>1785</v>
      </c>
      <c r="J228" t="b">
        <v>1</v>
      </c>
      <c r="K228" t="s">
        <v>553</v>
      </c>
      <c r="L228" s="13" t="str">
        <f>HYPERLINK("https://uk1.aconex.co.uk/hub/index.html?mainTarget=%2FSearchControlledDoc%3FSEARCH_ACTION%3D15%26tab%3D0%26searchMode%3D1%26searchQuery%3Ddocno:%22"&amp;RawData[[#This Row],[Document Number]]&amp;"%22%20%2Bcversion%253A1",RawData[[#This Row],[Document Number]])</f>
        <v>FS1018-AGL-ZZ-XX-L-M-9655</v>
      </c>
    </row>
    <row r="229" spans="1:12" x14ac:dyDescent="0.3">
      <c r="A229" t="s">
        <v>554</v>
      </c>
      <c r="B229" t="s">
        <v>555</v>
      </c>
      <c r="C229" t="s">
        <v>13</v>
      </c>
      <c r="D229" t="s">
        <v>19</v>
      </c>
      <c r="E229" s="8">
        <v>45730</v>
      </c>
      <c r="F229" s="1" t="s">
        <v>12</v>
      </c>
      <c r="G229" s="1" t="s">
        <v>24</v>
      </c>
      <c r="H229" s="8">
        <v>45743</v>
      </c>
      <c r="I229" s="1" t="s">
        <v>1785</v>
      </c>
      <c r="J229" t="b">
        <v>1</v>
      </c>
      <c r="K229" t="s">
        <v>556</v>
      </c>
      <c r="L229" s="13" t="str">
        <f>HYPERLINK("https://uk1.aconex.co.uk/hub/index.html?mainTarget=%2FSearchControlledDoc%3FSEARCH_ACTION%3D15%26tab%3D0%26searchMode%3D1%26searchQuery%3Ddocno:%22"&amp;RawData[[#This Row],[Document Number]]&amp;"%22%20%2Bcversion%253A1",RawData[[#This Row],[Document Number]])</f>
        <v>FS1018-AGL-ZZ-XX-L-M-9658</v>
      </c>
    </row>
    <row r="230" spans="1:12" x14ac:dyDescent="0.3">
      <c r="A230" t="s">
        <v>557</v>
      </c>
      <c r="B230" t="s">
        <v>558</v>
      </c>
      <c r="C230" t="s">
        <v>13</v>
      </c>
      <c r="D230" t="s">
        <v>19</v>
      </c>
      <c r="E230" s="8">
        <v>45730</v>
      </c>
      <c r="F230" s="1" t="s">
        <v>12</v>
      </c>
      <c r="G230" s="1" t="s">
        <v>24</v>
      </c>
      <c r="H230" s="8">
        <v>45743</v>
      </c>
      <c r="I230" s="1" t="s">
        <v>1785</v>
      </c>
      <c r="J230" t="b">
        <v>1</v>
      </c>
      <c r="K230" t="s">
        <v>559</v>
      </c>
      <c r="L230" s="13" t="str">
        <f>HYPERLINK("https://uk1.aconex.co.uk/hub/index.html?mainTarget=%2FSearchControlledDoc%3FSEARCH_ACTION%3D15%26tab%3D0%26searchMode%3D1%26searchQuery%3Ddocno:%22"&amp;RawData[[#This Row],[Document Number]]&amp;"%22%20%2Bcversion%253A1",RawData[[#This Row],[Document Number]])</f>
        <v>FS1018-AGL-ZZ-XX-L-M-9659</v>
      </c>
    </row>
    <row r="231" spans="1:12" x14ac:dyDescent="0.3">
      <c r="A231" t="s">
        <v>560</v>
      </c>
      <c r="B231" t="s">
        <v>561</v>
      </c>
      <c r="C231" t="s">
        <v>13</v>
      </c>
      <c r="D231" t="s">
        <v>19</v>
      </c>
      <c r="E231" s="8">
        <v>45730</v>
      </c>
      <c r="F231" s="1" t="s">
        <v>12</v>
      </c>
      <c r="G231" s="1" t="s">
        <v>24</v>
      </c>
      <c r="H231" s="8">
        <v>45743</v>
      </c>
      <c r="I231" s="1" t="s">
        <v>1785</v>
      </c>
      <c r="J231" t="b">
        <v>1</v>
      </c>
      <c r="K231" t="s">
        <v>562</v>
      </c>
      <c r="L231" s="13" t="str">
        <f>HYPERLINK("https://uk1.aconex.co.uk/hub/index.html?mainTarget=%2FSearchControlledDoc%3FSEARCH_ACTION%3D15%26tab%3D0%26searchMode%3D1%26searchQuery%3Ddocno:%22"&amp;RawData[[#This Row],[Document Number]]&amp;"%22%20%2Bcversion%253A1",RawData[[#This Row],[Document Number]])</f>
        <v>FS1018-AGL-ZZ-XX-L-M-9660</v>
      </c>
    </row>
    <row r="232" spans="1:12" x14ac:dyDescent="0.3">
      <c r="A232" t="s">
        <v>563</v>
      </c>
      <c r="B232" t="s">
        <v>564</v>
      </c>
      <c r="C232" t="s">
        <v>13</v>
      </c>
      <c r="D232" t="s">
        <v>19</v>
      </c>
      <c r="E232" s="8">
        <v>45730</v>
      </c>
      <c r="F232" s="1" t="s">
        <v>12</v>
      </c>
      <c r="G232" s="1" t="s">
        <v>24</v>
      </c>
      <c r="H232" s="8">
        <v>45743</v>
      </c>
      <c r="I232" s="1" t="s">
        <v>1785</v>
      </c>
      <c r="J232" t="b">
        <v>1</v>
      </c>
      <c r="K232" t="s">
        <v>565</v>
      </c>
      <c r="L232" s="13" t="str">
        <f>HYPERLINK("https://uk1.aconex.co.uk/hub/index.html?mainTarget=%2FSearchControlledDoc%3FSEARCH_ACTION%3D15%26tab%3D0%26searchMode%3D1%26searchQuery%3Ddocno:%22"&amp;RawData[[#This Row],[Document Number]]&amp;"%22%20%2Bcversion%253A1",RawData[[#This Row],[Document Number]])</f>
        <v>FS1018-AGL-ZZ-XX-L-M-9661</v>
      </c>
    </row>
    <row r="233" spans="1:12" x14ac:dyDescent="0.3">
      <c r="A233" t="s">
        <v>566</v>
      </c>
      <c r="B233" t="s">
        <v>567</v>
      </c>
      <c r="C233" t="s">
        <v>13</v>
      </c>
      <c r="D233" t="s">
        <v>19</v>
      </c>
      <c r="E233" s="8">
        <v>45730</v>
      </c>
      <c r="F233" s="1" t="s">
        <v>12</v>
      </c>
      <c r="G233" s="1" t="s">
        <v>24</v>
      </c>
      <c r="H233" s="8">
        <v>45743</v>
      </c>
      <c r="I233" s="1" t="s">
        <v>1785</v>
      </c>
      <c r="J233" t="b">
        <v>1</v>
      </c>
      <c r="K233" t="s">
        <v>568</v>
      </c>
      <c r="L233" s="13" t="str">
        <f>HYPERLINK("https://uk1.aconex.co.uk/hub/index.html?mainTarget=%2FSearchControlledDoc%3FSEARCH_ACTION%3D15%26tab%3D0%26searchMode%3D1%26searchQuery%3Ddocno:%22"&amp;RawData[[#This Row],[Document Number]]&amp;"%22%20%2Bcversion%253A1",RawData[[#This Row],[Document Number]])</f>
        <v>FS1018-AGL-ZZ-XX-L-M-9662</v>
      </c>
    </row>
    <row r="234" spans="1:12" x14ac:dyDescent="0.3">
      <c r="A234" t="s">
        <v>569</v>
      </c>
      <c r="B234" t="s">
        <v>570</v>
      </c>
      <c r="C234" t="s">
        <v>13</v>
      </c>
      <c r="D234" t="s">
        <v>19</v>
      </c>
      <c r="E234" s="8">
        <v>45730</v>
      </c>
      <c r="F234" s="1" t="s">
        <v>12</v>
      </c>
      <c r="G234" s="1" t="s">
        <v>24</v>
      </c>
      <c r="H234" s="8">
        <v>45743</v>
      </c>
      <c r="I234" s="1" t="s">
        <v>1785</v>
      </c>
      <c r="J234" t="b">
        <v>1</v>
      </c>
      <c r="K234" t="s">
        <v>571</v>
      </c>
      <c r="L234" s="13" t="str">
        <f>HYPERLINK("https://uk1.aconex.co.uk/hub/index.html?mainTarget=%2FSearchControlledDoc%3FSEARCH_ACTION%3D15%26tab%3D0%26searchMode%3D1%26searchQuery%3Ddocno:%22"&amp;RawData[[#This Row],[Document Number]]&amp;"%22%20%2Bcversion%253A1",RawData[[#This Row],[Document Number]])</f>
        <v>FS1018-AGL-ZZ-XX-L-M-9671</v>
      </c>
    </row>
    <row r="235" spans="1:12" ht="28.8" x14ac:dyDescent="0.3">
      <c r="A235" t="s">
        <v>572</v>
      </c>
      <c r="B235" t="s">
        <v>573</v>
      </c>
      <c r="C235" t="s">
        <v>13</v>
      </c>
      <c r="D235" t="s">
        <v>20</v>
      </c>
      <c r="E235" s="8">
        <v>45730</v>
      </c>
      <c r="F235" s="1" t="s">
        <v>12</v>
      </c>
      <c r="G235" s="1" t="s">
        <v>21</v>
      </c>
      <c r="H235" s="8">
        <v>45743</v>
      </c>
      <c r="I235" s="1" t="s">
        <v>1793</v>
      </c>
      <c r="J235" t="b">
        <v>1</v>
      </c>
      <c r="K235" t="s">
        <v>574</v>
      </c>
      <c r="L235" s="13" t="str">
        <f>HYPERLINK("https://uk1.aconex.co.uk/hub/index.html?mainTarget=%2FSearchControlledDoc%3FSEARCH_ACTION%3D15%26tab%3D0%26searchMode%3D1%26searchQuery%3Ddocno:%22"&amp;RawData[[#This Row],[Document Number]]&amp;"%22%20%2Bcversion%253A1",RawData[[#This Row],[Document Number]])</f>
        <v>FS1018-AGL-ZZ-XX-L-M-9675</v>
      </c>
    </row>
    <row r="236" spans="1:12" ht="28.8" x14ac:dyDescent="0.3">
      <c r="A236" t="s">
        <v>572</v>
      </c>
      <c r="B236" t="s">
        <v>573</v>
      </c>
      <c r="C236" t="s">
        <v>13</v>
      </c>
      <c r="D236" t="s">
        <v>20</v>
      </c>
      <c r="E236" s="8">
        <v>45743</v>
      </c>
      <c r="F236" s="1" t="s">
        <v>22</v>
      </c>
      <c r="G236" s="1" t="s">
        <v>4</v>
      </c>
      <c r="H236" s="8"/>
      <c r="J236" t="b">
        <v>1</v>
      </c>
      <c r="K236" t="s">
        <v>574</v>
      </c>
      <c r="L236" s="13" t="str">
        <f>HYPERLINK("https://uk1.aconex.co.uk/hub/index.html?mainTarget=%2FSearchControlledDoc%3FSEARCH_ACTION%3D15%26tab%3D0%26searchMode%3D1%26searchQuery%3Ddocno:%22"&amp;RawData[[#This Row],[Document Number]]&amp;"%22%20%2Bcversion%253A1",RawData[[#This Row],[Document Number]])</f>
        <v>FS1018-AGL-ZZ-XX-L-M-9675</v>
      </c>
    </row>
    <row r="237" spans="1:12" x14ac:dyDescent="0.3">
      <c r="A237" t="s">
        <v>575</v>
      </c>
      <c r="B237" t="s">
        <v>576</v>
      </c>
      <c r="C237" t="s">
        <v>13</v>
      </c>
      <c r="D237" t="s">
        <v>19</v>
      </c>
      <c r="E237" s="8">
        <v>45730</v>
      </c>
      <c r="F237" s="1" t="s">
        <v>12</v>
      </c>
      <c r="G237" s="1" t="s">
        <v>24</v>
      </c>
      <c r="H237" s="8">
        <v>45743</v>
      </c>
      <c r="I237" s="1" t="s">
        <v>1785</v>
      </c>
      <c r="J237" t="b">
        <v>1</v>
      </c>
      <c r="K237" t="s">
        <v>577</v>
      </c>
      <c r="L237" s="13" t="str">
        <f>HYPERLINK("https://uk1.aconex.co.uk/hub/index.html?mainTarget=%2FSearchControlledDoc%3FSEARCH_ACTION%3D15%26tab%3D0%26searchMode%3D1%26searchQuery%3Ddocno:%22"&amp;RawData[[#This Row],[Document Number]]&amp;"%22%20%2Bcversion%253A1",RawData[[#This Row],[Document Number]])</f>
        <v>FS1018-AGL-ZZ-XX-L-M-9678</v>
      </c>
    </row>
    <row r="238" spans="1:12" x14ac:dyDescent="0.3">
      <c r="A238" t="s">
        <v>578</v>
      </c>
      <c r="B238" t="s">
        <v>579</v>
      </c>
      <c r="C238" t="s">
        <v>13</v>
      </c>
      <c r="D238" t="s">
        <v>19</v>
      </c>
      <c r="E238" s="8">
        <v>45730</v>
      </c>
      <c r="F238" s="1" t="s">
        <v>12</v>
      </c>
      <c r="G238" s="1" t="s">
        <v>24</v>
      </c>
      <c r="H238" s="8">
        <v>45743</v>
      </c>
      <c r="I238" s="1" t="s">
        <v>1785</v>
      </c>
      <c r="J238" t="b">
        <v>1</v>
      </c>
      <c r="K238" t="s">
        <v>580</v>
      </c>
      <c r="L238" s="13" t="str">
        <f>HYPERLINK("https://uk1.aconex.co.uk/hub/index.html?mainTarget=%2FSearchControlledDoc%3FSEARCH_ACTION%3D15%26tab%3D0%26searchMode%3D1%26searchQuery%3Ddocno:%22"&amp;RawData[[#This Row],[Document Number]]&amp;"%22%20%2Bcversion%253A1",RawData[[#This Row],[Document Number]])</f>
        <v>FS1018-AGL-ZZ-XX-L-M-9681</v>
      </c>
    </row>
    <row r="239" spans="1:12" x14ac:dyDescent="0.3">
      <c r="A239" t="s">
        <v>581</v>
      </c>
      <c r="B239" t="s">
        <v>582</v>
      </c>
      <c r="C239" t="s">
        <v>13</v>
      </c>
      <c r="D239" t="s">
        <v>19</v>
      </c>
      <c r="E239" s="8">
        <v>45730</v>
      </c>
      <c r="F239" s="1" t="s">
        <v>12</v>
      </c>
      <c r="G239" s="1" t="s">
        <v>24</v>
      </c>
      <c r="H239" s="8">
        <v>45743</v>
      </c>
      <c r="I239" s="1" t="s">
        <v>1785</v>
      </c>
      <c r="J239" t="b">
        <v>1</v>
      </c>
      <c r="K239" t="s">
        <v>583</v>
      </c>
      <c r="L239" s="13" t="str">
        <f>HYPERLINK("https://uk1.aconex.co.uk/hub/index.html?mainTarget=%2FSearchControlledDoc%3FSEARCH_ACTION%3D15%26tab%3D0%26searchMode%3D1%26searchQuery%3Ddocno:%22"&amp;RawData[[#This Row],[Document Number]]&amp;"%22%20%2Bcversion%253A1",RawData[[#This Row],[Document Number]])</f>
        <v>FS1018-AGL-ZZ-XX-L-M-9682</v>
      </c>
    </row>
    <row r="240" spans="1:12" x14ac:dyDescent="0.3">
      <c r="A240" t="s">
        <v>584</v>
      </c>
      <c r="B240" t="s">
        <v>585</v>
      </c>
      <c r="C240" t="s">
        <v>10</v>
      </c>
      <c r="D240" t="s">
        <v>19</v>
      </c>
      <c r="E240" s="8">
        <v>45730</v>
      </c>
      <c r="F240" s="1" t="s">
        <v>12</v>
      </c>
      <c r="G240" s="1" t="s">
        <v>24</v>
      </c>
      <c r="H240" s="8">
        <v>45754</v>
      </c>
      <c r="J240" t="b">
        <v>1</v>
      </c>
      <c r="K240" t="s">
        <v>586</v>
      </c>
      <c r="L240" s="13" t="str">
        <f>HYPERLINK("https://uk1.aconex.co.uk/hub/index.html?mainTarget=%2FSearchControlledDoc%3FSEARCH_ACTION%3D15%26tab%3D0%26searchMode%3D1%26searchQuery%3Ddocno:%22"&amp;RawData[[#This Row],[Document Number]]&amp;"%22%20%2Bcversion%253A1",RawData[[#This Row],[Document Number]])</f>
        <v>FS1018-AGL-ZZ-XX-L-Z-0001</v>
      </c>
    </row>
    <row r="241" spans="1:12" x14ac:dyDescent="0.3">
      <c r="A241" t="s">
        <v>587</v>
      </c>
      <c r="B241" t="s">
        <v>588</v>
      </c>
      <c r="C241" t="s">
        <v>13</v>
      </c>
      <c r="D241" t="s">
        <v>19</v>
      </c>
      <c r="E241" s="8">
        <v>45730</v>
      </c>
      <c r="F241" s="1" t="s">
        <v>12</v>
      </c>
      <c r="G241" s="1" t="s">
        <v>24</v>
      </c>
      <c r="H241" s="8">
        <v>45748</v>
      </c>
      <c r="I241" s="1" t="s">
        <v>1828</v>
      </c>
      <c r="J241" t="b">
        <v>1</v>
      </c>
      <c r="K241" t="s">
        <v>589</v>
      </c>
      <c r="L241" s="13" t="str">
        <f>HYPERLINK("https://uk1.aconex.co.uk/hub/index.html?mainTarget=%2FSearchControlledDoc%3FSEARCH_ACTION%3D15%26tab%3D0%26searchMode%3D1%26searchQuery%3Ddocno:%22"&amp;RawData[[#This Row],[Document Number]]&amp;"%22%20%2Bcversion%253A1",RawData[[#This Row],[Document Number]])</f>
        <v>FS1018-AGL-ZZ-XX-L-Z-0004</v>
      </c>
    </row>
    <row r="242" spans="1:12" ht="230.4" x14ac:dyDescent="0.3">
      <c r="A242" t="s">
        <v>590</v>
      </c>
      <c r="B242" t="s">
        <v>591</v>
      </c>
      <c r="C242" t="s">
        <v>13</v>
      </c>
      <c r="D242" t="s">
        <v>20</v>
      </c>
      <c r="E242" s="8">
        <v>45730</v>
      </c>
      <c r="F242" s="1" t="s">
        <v>12</v>
      </c>
      <c r="G242" s="1" t="s">
        <v>1027</v>
      </c>
      <c r="H242" s="8">
        <v>45749</v>
      </c>
      <c r="I242" s="1" t="s">
        <v>1903</v>
      </c>
      <c r="J242" t="b">
        <v>1</v>
      </c>
      <c r="K242" t="s">
        <v>592</v>
      </c>
      <c r="L242" s="13" t="str">
        <f>HYPERLINK("https://uk1.aconex.co.uk/hub/index.html?mainTarget=%2FSearchControlledDoc%3FSEARCH_ACTION%3D15%26tab%3D0%26searchMode%3D1%26searchQuery%3Ddocno:%22"&amp;RawData[[#This Row],[Document Number]]&amp;"%22%20%2Bcversion%253A1",RawData[[#This Row],[Document Number]])</f>
        <v>FS1018-AGL-ZZ-XX-T-E-0001</v>
      </c>
    </row>
    <row r="243" spans="1:12" ht="28.8" x14ac:dyDescent="0.3">
      <c r="A243" t="s">
        <v>590</v>
      </c>
      <c r="B243" t="s">
        <v>591</v>
      </c>
      <c r="C243" t="s">
        <v>13</v>
      </c>
      <c r="D243" t="s">
        <v>20</v>
      </c>
      <c r="E243" s="8">
        <v>45749</v>
      </c>
      <c r="F243" s="1" t="s">
        <v>22</v>
      </c>
      <c r="G243" s="1" t="s">
        <v>4</v>
      </c>
      <c r="H243" s="8"/>
      <c r="J243" t="b">
        <v>1</v>
      </c>
      <c r="K243" t="s">
        <v>592</v>
      </c>
      <c r="L243" s="13" t="str">
        <f>HYPERLINK("https://uk1.aconex.co.uk/hub/index.html?mainTarget=%2FSearchControlledDoc%3FSEARCH_ACTION%3D15%26tab%3D0%26searchMode%3D1%26searchQuery%3Ddocno:%22"&amp;RawData[[#This Row],[Document Number]]&amp;"%22%20%2Bcversion%253A1",RawData[[#This Row],[Document Number]])</f>
        <v>FS1018-AGL-ZZ-XX-T-E-0001</v>
      </c>
    </row>
    <row r="244" spans="1:12" ht="144" x14ac:dyDescent="0.3">
      <c r="A244" t="s">
        <v>593</v>
      </c>
      <c r="B244" t="s">
        <v>594</v>
      </c>
      <c r="C244" t="s">
        <v>10</v>
      </c>
      <c r="D244" t="s">
        <v>20</v>
      </c>
      <c r="E244" s="8">
        <v>45730</v>
      </c>
      <c r="F244" s="1" t="s">
        <v>12</v>
      </c>
      <c r="G244" s="1" t="s">
        <v>1027</v>
      </c>
      <c r="H244" s="8">
        <v>45749</v>
      </c>
      <c r="I244" s="1" t="s">
        <v>1904</v>
      </c>
      <c r="J244" t="b">
        <v>1</v>
      </c>
      <c r="K244" t="s">
        <v>595</v>
      </c>
      <c r="L244" s="13" t="str">
        <f>HYPERLINK("https://uk1.aconex.co.uk/hub/index.html?mainTarget=%2FSearchControlledDoc%3FSEARCH_ACTION%3D15%26tab%3D0%26searchMode%3D1%26searchQuery%3Ddocno:%22"&amp;RawData[[#This Row],[Document Number]]&amp;"%22%20%2Bcversion%253A1",RawData[[#This Row],[Document Number]])</f>
        <v>FS1018-AGL-ZZ-XX-T-E-0003</v>
      </c>
    </row>
    <row r="245" spans="1:12" ht="28.8" x14ac:dyDescent="0.3">
      <c r="A245" t="s">
        <v>593</v>
      </c>
      <c r="B245" t="s">
        <v>594</v>
      </c>
      <c r="C245" t="s">
        <v>10</v>
      </c>
      <c r="D245" t="s">
        <v>20</v>
      </c>
      <c r="E245" s="8">
        <v>45749</v>
      </c>
      <c r="F245" s="1" t="s">
        <v>22</v>
      </c>
      <c r="G245" s="1" t="s">
        <v>4</v>
      </c>
      <c r="H245" s="8"/>
      <c r="J245" t="b">
        <v>1</v>
      </c>
      <c r="K245" t="s">
        <v>595</v>
      </c>
      <c r="L245" s="13" t="str">
        <f>HYPERLINK("https://uk1.aconex.co.uk/hub/index.html?mainTarget=%2FSearchControlledDoc%3FSEARCH_ACTION%3D15%26tab%3D0%26searchMode%3D1%26searchQuery%3Ddocno:%22"&amp;RawData[[#This Row],[Document Number]]&amp;"%22%20%2Bcversion%253A1",RawData[[#This Row],[Document Number]])</f>
        <v>FS1018-AGL-ZZ-XX-T-E-0003</v>
      </c>
    </row>
    <row r="246" spans="1:12" ht="57.6" x14ac:dyDescent="0.3">
      <c r="A246" t="s">
        <v>596</v>
      </c>
      <c r="B246" t="s">
        <v>597</v>
      </c>
      <c r="C246" t="s">
        <v>13</v>
      </c>
      <c r="D246" t="s">
        <v>20</v>
      </c>
      <c r="E246" s="8">
        <v>45730</v>
      </c>
      <c r="F246" s="1" t="s">
        <v>12</v>
      </c>
      <c r="G246" s="1" t="s">
        <v>21</v>
      </c>
      <c r="H246" s="8">
        <v>45748</v>
      </c>
      <c r="I246" s="1" t="s">
        <v>1905</v>
      </c>
      <c r="J246" t="b">
        <v>1</v>
      </c>
      <c r="K246" t="s">
        <v>598</v>
      </c>
      <c r="L246" s="13" t="str">
        <f>HYPERLINK("https://uk1.aconex.co.uk/hub/index.html?mainTarget=%2FSearchControlledDoc%3FSEARCH_ACTION%3D15%26tab%3D0%26searchMode%3D1%26searchQuery%3Ddocno:%22"&amp;RawData[[#This Row],[Document Number]]&amp;"%22%20%2Bcversion%253A1",RawData[[#This Row],[Document Number]])</f>
        <v>FS1018-AGL-ZZ-XX-T-M-0001</v>
      </c>
    </row>
    <row r="247" spans="1:12" ht="28.8" x14ac:dyDescent="0.3">
      <c r="A247" t="s">
        <v>596</v>
      </c>
      <c r="B247" t="s">
        <v>597</v>
      </c>
      <c r="C247" t="s">
        <v>13</v>
      </c>
      <c r="D247" t="s">
        <v>20</v>
      </c>
      <c r="E247" s="8">
        <v>45748</v>
      </c>
      <c r="F247" s="1" t="s">
        <v>22</v>
      </c>
      <c r="G247" s="1" t="s">
        <v>4</v>
      </c>
      <c r="H247" s="8"/>
      <c r="J247" t="b">
        <v>1</v>
      </c>
      <c r="K247" t="s">
        <v>598</v>
      </c>
      <c r="L247" s="13" t="str">
        <f>HYPERLINK("https://uk1.aconex.co.uk/hub/index.html?mainTarget=%2FSearchControlledDoc%3FSEARCH_ACTION%3D15%26tab%3D0%26searchMode%3D1%26searchQuery%3Ddocno:%22"&amp;RawData[[#This Row],[Document Number]]&amp;"%22%20%2Bcversion%253A1",RawData[[#This Row],[Document Number]])</f>
        <v>FS1018-AGL-ZZ-XX-T-M-0001</v>
      </c>
    </row>
    <row r="248" spans="1:12" ht="72" x14ac:dyDescent="0.3">
      <c r="A248" t="s">
        <v>599</v>
      </c>
      <c r="B248" t="s">
        <v>600</v>
      </c>
      <c r="C248" t="s">
        <v>10</v>
      </c>
      <c r="D248" t="s">
        <v>20</v>
      </c>
      <c r="E248" s="8">
        <v>45730</v>
      </c>
      <c r="F248" s="1" t="s">
        <v>12</v>
      </c>
      <c r="G248" s="1" t="s">
        <v>21</v>
      </c>
      <c r="H248" s="8">
        <v>45748</v>
      </c>
      <c r="I248" s="1" t="s">
        <v>1906</v>
      </c>
      <c r="J248" t="b">
        <v>1</v>
      </c>
      <c r="K248" t="s">
        <v>601</v>
      </c>
      <c r="L248" s="13" t="str">
        <f>HYPERLINK("https://uk1.aconex.co.uk/hub/index.html?mainTarget=%2FSearchControlledDoc%3FSEARCH_ACTION%3D15%26tab%3D0%26searchMode%3D1%26searchQuery%3Ddocno:%22"&amp;RawData[[#This Row],[Document Number]]&amp;"%22%20%2Bcversion%253A1",RawData[[#This Row],[Document Number]])</f>
        <v>FS1018-AGL-ZZ-XX-T-Z-0002</v>
      </c>
    </row>
    <row r="249" spans="1:12" ht="28.8" x14ac:dyDescent="0.3">
      <c r="A249" t="s">
        <v>599</v>
      </c>
      <c r="B249" t="s">
        <v>600</v>
      </c>
      <c r="C249" t="s">
        <v>10</v>
      </c>
      <c r="D249" t="s">
        <v>20</v>
      </c>
      <c r="E249" s="8">
        <v>45748</v>
      </c>
      <c r="F249" s="1" t="s">
        <v>22</v>
      </c>
      <c r="G249" s="1" t="s">
        <v>4</v>
      </c>
      <c r="H249" s="8"/>
      <c r="J249" t="b">
        <v>1</v>
      </c>
      <c r="K249" t="s">
        <v>601</v>
      </c>
      <c r="L249" s="13" t="str">
        <f>HYPERLINK("https://uk1.aconex.co.uk/hub/index.html?mainTarget=%2FSearchControlledDoc%3FSEARCH_ACTION%3D15%26tab%3D0%26searchMode%3D1%26searchQuery%3Ddocno:%22"&amp;RawData[[#This Row],[Document Number]]&amp;"%22%20%2Bcversion%253A1",RawData[[#This Row],[Document Number]])</f>
        <v>FS1018-AGL-ZZ-XX-T-Z-0002</v>
      </c>
    </row>
    <row r="250" spans="1:12" x14ac:dyDescent="0.3">
      <c r="A250" t="s">
        <v>602</v>
      </c>
      <c r="B250" t="s">
        <v>603</v>
      </c>
      <c r="C250" t="s">
        <v>13</v>
      </c>
      <c r="D250" t="s">
        <v>19</v>
      </c>
      <c r="E250" s="8">
        <v>45730</v>
      </c>
      <c r="F250" s="1" t="s">
        <v>12</v>
      </c>
      <c r="G250" s="1" t="s">
        <v>24</v>
      </c>
      <c r="H250" s="8">
        <v>45743</v>
      </c>
      <c r="I250" s="1" t="s">
        <v>1785</v>
      </c>
      <c r="J250" t="b">
        <v>1</v>
      </c>
      <c r="K250" t="s">
        <v>604</v>
      </c>
      <c r="L250" s="13" t="str">
        <f>HYPERLINK("https://uk1.aconex.co.uk/hub/index.html?mainTarget=%2FSearchControlledDoc%3FSEARCH_ACTION%3D15%26tab%3D0%26searchMode%3D1%26searchQuery%3Ddocno:%22"&amp;RawData[[#This Row],[Document Number]]&amp;"%22%20%2Bcversion%253A1",RawData[[#This Row],[Document Number]])</f>
        <v>FS1018-AGL-ZZ-XX-T-Z-0006</v>
      </c>
    </row>
    <row r="251" spans="1:12" ht="86.4" x14ac:dyDescent="0.3">
      <c r="A251" t="s">
        <v>605</v>
      </c>
      <c r="B251" t="s">
        <v>606</v>
      </c>
      <c r="C251" t="s">
        <v>13</v>
      </c>
      <c r="D251" t="s">
        <v>20</v>
      </c>
      <c r="E251" s="8">
        <v>45730</v>
      </c>
      <c r="F251" s="1" t="s">
        <v>12</v>
      </c>
      <c r="G251" s="1" t="s">
        <v>21</v>
      </c>
      <c r="H251" s="8">
        <v>45748</v>
      </c>
      <c r="I251" s="1" t="s">
        <v>1831</v>
      </c>
      <c r="J251" t="b">
        <v>1</v>
      </c>
      <c r="K251" t="s">
        <v>607</v>
      </c>
      <c r="L251" s="13" t="str">
        <f>HYPERLINK("https://uk1.aconex.co.uk/hub/index.html?mainTarget=%2FSearchControlledDoc%3FSEARCH_ACTION%3D15%26tab%3D0%26searchMode%3D1%26searchQuery%3Ddocno:%22"&amp;RawData[[#This Row],[Document Number]]&amp;"%22%20%2Bcversion%253A1",RawData[[#This Row],[Document Number]])</f>
        <v>FS1018-AGL-ZZ-XX-T-Z-0007</v>
      </c>
    </row>
    <row r="252" spans="1:12" ht="28.8" x14ac:dyDescent="0.3">
      <c r="A252" t="s">
        <v>605</v>
      </c>
      <c r="B252" t="s">
        <v>606</v>
      </c>
      <c r="C252" t="s">
        <v>13</v>
      </c>
      <c r="D252" t="s">
        <v>20</v>
      </c>
      <c r="E252" s="8">
        <v>45748</v>
      </c>
      <c r="F252" s="1" t="s">
        <v>22</v>
      </c>
      <c r="G252" s="1" t="s">
        <v>4</v>
      </c>
      <c r="H252" s="8"/>
      <c r="J252" t="b">
        <v>1</v>
      </c>
      <c r="K252" t="s">
        <v>607</v>
      </c>
      <c r="L252" s="13" t="str">
        <f>HYPERLINK("https://uk1.aconex.co.uk/hub/index.html?mainTarget=%2FSearchControlledDoc%3FSEARCH_ACTION%3D15%26tab%3D0%26searchMode%3D1%26searchQuery%3Ddocno:%22"&amp;RawData[[#This Row],[Document Number]]&amp;"%22%20%2Bcversion%253A1",RawData[[#This Row],[Document Number]])</f>
        <v>FS1018-AGL-ZZ-XX-T-Z-0007</v>
      </c>
    </row>
    <row r="253" spans="1:12" x14ac:dyDescent="0.3">
      <c r="A253" t="s">
        <v>608</v>
      </c>
      <c r="B253" t="s">
        <v>609</v>
      </c>
      <c r="C253" t="s">
        <v>13</v>
      </c>
      <c r="D253" t="s">
        <v>19</v>
      </c>
      <c r="E253" s="8">
        <v>45730</v>
      </c>
      <c r="F253" s="1" t="s">
        <v>12</v>
      </c>
      <c r="G253" s="1" t="s">
        <v>24</v>
      </c>
      <c r="H253" s="8">
        <v>45749</v>
      </c>
      <c r="I253" s="1" t="s">
        <v>1785</v>
      </c>
      <c r="J253" t="b">
        <v>1</v>
      </c>
      <c r="K253" t="s">
        <v>610</v>
      </c>
      <c r="L253" s="13" t="str">
        <f>HYPERLINK("https://uk1.aconex.co.uk/hub/index.html?mainTarget=%2FSearchControlledDoc%3FSEARCH_ACTION%3D15%26tab%3D0%26searchMode%3D1%26searchQuery%3Ddocno:%22"&amp;RawData[[#This Row],[Document Number]]&amp;"%22%20%2Bcversion%253A1",RawData[[#This Row],[Document Number]])</f>
        <v>FS1018-AGL-ZZ-ZZ-D-E-9001</v>
      </c>
    </row>
    <row r="254" spans="1:12" x14ac:dyDescent="0.3">
      <c r="A254" t="s">
        <v>611</v>
      </c>
      <c r="B254" t="s">
        <v>612</v>
      </c>
      <c r="C254" t="s">
        <v>13</v>
      </c>
      <c r="D254" t="s">
        <v>20</v>
      </c>
      <c r="E254" s="8">
        <v>45730</v>
      </c>
      <c r="F254" s="1" t="s">
        <v>12</v>
      </c>
      <c r="G254" s="1" t="s">
        <v>21</v>
      </c>
      <c r="H254" s="8">
        <v>45743</v>
      </c>
      <c r="I254" s="1" t="s">
        <v>1794</v>
      </c>
      <c r="J254" t="b">
        <v>1</v>
      </c>
      <c r="K254" t="s">
        <v>613</v>
      </c>
      <c r="L254" s="13" t="str">
        <f>HYPERLINK("https://uk1.aconex.co.uk/hub/index.html?mainTarget=%2FSearchControlledDoc%3FSEARCH_ACTION%3D15%26tab%3D0%26searchMode%3D1%26searchQuery%3Ddocno:%22"&amp;RawData[[#This Row],[Document Number]]&amp;"%22%20%2Bcversion%253A1",RawData[[#This Row],[Document Number]])</f>
        <v>FS1018-AGL-ZZ-ZZ-D-Z-6115</v>
      </c>
    </row>
    <row r="255" spans="1:12" ht="28.8" x14ac:dyDescent="0.3">
      <c r="A255" t="s">
        <v>611</v>
      </c>
      <c r="B255" t="s">
        <v>612</v>
      </c>
      <c r="C255" t="s">
        <v>13</v>
      </c>
      <c r="D255" t="s">
        <v>20</v>
      </c>
      <c r="E255" s="8">
        <v>45743</v>
      </c>
      <c r="F255" s="1" t="s">
        <v>22</v>
      </c>
      <c r="G255" s="1" t="s">
        <v>4</v>
      </c>
      <c r="H255" s="8"/>
      <c r="J255" t="b">
        <v>1</v>
      </c>
      <c r="K255" t="s">
        <v>613</v>
      </c>
      <c r="L255" s="13" t="str">
        <f>HYPERLINK("https://uk1.aconex.co.uk/hub/index.html?mainTarget=%2FSearchControlledDoc%3FSEARCH_ACTION%3D15%26tab%3D0%26searchMode%3D1%26searchQuery%3Ddocno:%22"&amp;RawData[[#This Row],[Document Number]]&amp;"%22%20%2Bcversion%253A1",RawData[[#This Row],[Document Number]])</f>
        <v>FS1018-AGL-ZZ-ZZ-D-Z-6115</v>
      </c>
    </row>
    <row r="256" spans="1:12" x14ac:dyDescent="0.3">
      <c r="A256" t="s">
        <v>614</v>
      </c>
      <c r="B256" t="s">
        <v>615</v>
      </c>
      <c r="C256" t="s">
        <v>13</v>
      </c>
      <c r="D256" t="s">
        <v>19</v>
      </c>
      <c r="E256" s="8">
        <v>45730</v>
      </c>
      <c r="F256" s="1" t="s">
        <v>12</v>
      </c>
      <c r="G256" s="1" t="s">
        <v>24</v>
      </c>
      <c r="H256" s="8">
        <v>45743</v>
      </c>
      <c r="I256" s="1" t="s">
        <v>1785</v>
      </c>
      <c r="J256" t="b">
        <v>1</v>
      </c>
      <c r="K256" t="s">
        <v>616</v>
      </c>
      <c r="L256" s="13" t="str">
        <f>HYPERLINK("https://uk1.aconex.co.uk/hub/index.html?mainTarget=%2FSearchControlledDoc%3FSEARCH_ACTION%3D15%26tab%3D0%26searchMode%3D1%26searchQuery%3Ddocno:%22"&amp;RawData[[#This Row],[Document Number]]&amp;"%22%20%2Bcversion%253A1",RawData[[#This Row],[Document Number]])</f>
        <v>FS1018-AGL-ZZ-ZZ-D-Z-9610</v>
      </c>
    </row>
    <row r="257" spans="1:12" x14ac:dyDescent="0.3">
      <c r="A257" t="s">
        <v>617</v>
      </c>
      <c r="B257" t="s">
        <v>618</v>
      </c>
      <c r="C257" t="s">
        <v>13</v>
      </c>
      <c r="D257" t="s">
        <v>19</v>
      </c>
      <c r="E257" s="8">
        <v>45730</v>
      </c>
      <c r="F257" s="1" t="s">
        <v>12</v>
      </c>
      <c r="G257" s="1" t="s">
        <v>24</v>
      </c>
      <c r="H257" s="8">
        <v>45743</v>
      </c>
      <c r="I257" s="1" t="s">
        <v>1785</v>
      </c>
      <c r="J257" t="b">
        <v>1</v>
      </c>
      <c r="K257" t="s">
        <v>619</v>
      </c>
      <c r="L257" s="13" t="str">
        <f>HYPERLINK("https://uk1.aconex.co.uk/hub/index.html?mainTarget=%2FSearchControlledDoc%3FSEARCH_ACTION%3D15%26tab%3D0%26searchMode%3D1%26searchQuery%3Ddocno:%22"&amp;RawData[[#This Row],[Document Number]]&amp;"%22%20%2Bcversion%253A1",RawData[[#This Row],[Document Number]])</f>
        <v>FS1018-AGL-ZZ-ZZ-D-Z-9611</v>
      </c>
    </row>
    <row r="258" spans="1:12" x14ac:dyDescent="0.3">
      <c r="A258" t="s">
        <v>620</v>
      </c>
      <c r="B258" t="s">
        <v>621</v>
      </c>
      <c r="C258" t="s">
        <v>13</v>
      </c>
      <c r="D258" t="s">
        <v>19</v>
      </c>
      <c r="E258" s="8">
        <v>45730</v>
      </c>
      <c r="F258" s="1" t="s">
        <v>12</v>
      </c>
      <c r="G258" s="1" t="s">
        <v>24</v>
      </c>
      <c r="H258" s="8">
        <v>45743</v>
      </c>
      <c r="I258" s="1" t="s">
        <v>1785</v>
      </c>
      <c r="J258" t="b">
        <v>1</v>
      </c>
      <c r="K258" t="s">
        <v>622</v>
      </c>
      <c r="L258" s="13" t="str">
        <f>HYPERLINK("https://uk1.aconex.co.uk/hub/index.html?mainTarget=%2FSearchControlledDoc%3FSEARCH_ACTION%3D15%26tab%3D0%26searchMode%3D1%26searchQuery%3Ddocno:%22"&amp;RawData[[#This Row],[Document Number]]&amp;"%22%20%2Bcversion%253A1",RawData[[#This Row],[Document Number]])</f>
        <v>FS1018-AGL-ZZ-ZZ-D-Z-9612</v>
      </c>
    </row>
    <row r="259" spans="1:12" x14ac:dyDescent="0.3">
      <c r="A259" t="s">
        <v>623</v>
      </c>
      <c r="B259" t="s">
        <v>624</v>
      </c>
      <c r="C259" t="s">
        <v>13</v>
      </c>
      <c r="D259" t="s">
        <v>19</v>
      </c>
      <c r="E259" s="8">
        <v>45730</v>
      </c>
      <c r="F259" s="1" t="s">
        <v>12</v>
      </c>
      <c r="G259" s="1" t="s">
        <v>24</v>
      </c>
      <c r="H259" s="8">
        <v>45743</v>
      </c>
      <c r="I259" s="1" t="s">
        <v>1785</v>
      </c>
      <c r="J259" t="b">
        <v>1</v>
      </c>
      <c r="K259" t="s">
        <v>625</v>
      </c>
      <c r="L259" s="13" t="str">
        <f>HYPERLINK("https://uk1.aconex.co.uk/hub/index.html?mainTarget=%2FSearchControlledDoc%3FSEARCH_ACTION%3D15%26tab%3D0%26searchMode%3D1%26searchQuery%3Ddocno:%22"&amp;RawData[[#This Row],[Document Number]]&amp;"%22%20%2Bcversion%253A1",RawData[[#This Row],[Document Number]])</f>
        <v>FS1018-AGL-ZZ-ZZ-D-Z-9613</v>
      </c>
    </row>
    <row r="260" spans="1:12" x14ac:dyDescent="0.3">
      <c r="A260" t="s">
        <v>626</v>
      </c>
      <c r="B260" t="s">
        <v>627</v>
      </c>
      <c r="C260" t="s">
        <v>13</v>
      </c>
      <c r="D260" t="s">
        <v>19</v>
      </c>
      <c r="E260" s="8">
        <v>45730</v>
      </c>
      <c r="F260" s="1" t="s">
        <v>12</v>
      </c>
      <c r="G260" s="1" t="s">
        <v>24</v>
      </c>
      <c r="H260" s="8">
        <v>45743</v>
      </c>
      <c r="I260" s="1" t="s">
        <v>1785</v>
      </c>
      <c r="J260" t="b">
        <v>1</v>
      </c>
      <c r="K260" t="s">
        <v>628</v>
      </c>
      <c r="L260" s="13" t="str">
        <f>HYPERLINK("https://uk1.aconex.co.uk/hub/index.html?mainTarget=%2FSearchControlledDoc%3FSEARCH_ACTION%3D15%26tab%3D0%26searchMode%3D1%26searchQuery%3Ddocno:%22"&amp;RawData[[#This Row],[Document Number]]&amp;"%22%20%2Bcversion%253A1",RawData[[#This Row],[Document Number]])</f>
        <v>FS1018-AGL-ZZ-ZZ-D-Z-9614</v>
      </c>
    </row>
    <row r="261" spans="1:12" ht="72" x14ac:dyDescent="0.3">
      <c r="A261" t="s">
        <v>629</v>
      </c>
      <c r="B261" t="s">
        <v>630</v>
      </c>
      <c r="C261" t="s">
        <v>13</v>
      </c>
      <c r="D261" t="s">
        <v>20</v>
      </c>
      <c r="E261" s="8">
        <v>45730</v>
      </c>
      <c r="F261" s="1" t="s">
        <v>12</v>
      </c>
      <c r="G261" s="1" t="s">
        <v>21</v>
      </c>
      <c r="H261" s="8">
        <v>45749</v>
      </c>
      <c r="I261" s="1" t="s">
        <v>1907</v>
      </c>
      <c r="J261" t="b">
        <v>1</v>
      </c>
      <c r="K261" t="s">
        <v>631</v>
      </c>
      <c r="L261" s="13" t="str">
        <f>HYPERLINK("https://uk1.aconex.co.uk/hub/index.html?mainTarget=%2FSearchControlledDoc%3FSEARCH_ACTION%3D15%26tab%3D0%26searchMode%3D1%26searchQuery%3Ddocno:%22"&amp;RawData[[#This Row],[Document Number]]&amp;"%22%20%2Bcversion%253A1",RawData[[#This Row],[Document Number]])</f>
        <v>FS1018-AGL-ZZ-ZZ-G-E-6010</v>
      </c>
    </row>
    <row r="262" spans="1:12" ht="28.8" x14ac:dyDescent="0.3">
      <c r="A262" t="s">
        <v>629</v>
      </c>
      <c r="B262" t="s">
        <v>630</v>
      </c>
      <c r="C262" t="s">
        <v>13</v>
      </c>
      <c r="D262" t="s">
        <v>20</v>
      </c>
      <c r="E262" s="8">
        <v>45749</v>
      </c>
      <c r="F262" s="1" t="s">
        <v>22</v>
      </c>
      <c r="G262" s="1" t="s">
        <v>4</v>
      </c>
      <c r="H262" s="8"/>
      <c r="J262" t="b">
        <v>1</v>
      </c>
      <c r="K262" t="s">
        <v>631</v>
      </c>
      <c r="L262" s="13" t="str">
        <f>HYPERLINK("https://uk1.aconex.co.uk/hub/index.html?mainTarget=%2FSearchControlledDoc%3FSEARCH_ACTION%3D15%26tab%3D0%26searchMode%3D1%26searchQuery%3Ddocno:%22"&amp;RawData[[#This Row],[Document Number]]&amp;"%22%20%2Bcversion%253A1",RawData[[#This Row],[Document Number]])</f>
        <v>FS1018-AGL-ZZ-ZZ-G-E-6010</v>
      </c>
    </row>
    <row r="263" spans="1:12" x14ac:dyDescent="0.3">
      <c r="A263" t="s">
        <v>632</v>
      </c>
      <c r="B263" t="s">
        <v>633</v>
      </c>
      <c r="C263" t="s">
        <v>13</v>
      </c>
      <c r="D263" t="s">
        <v>19</v>
      </c>
      <c r="E263" s="8">
        <v>45730</v>
      </c>
      <c r="F263" s="1" t="s">
        <v>12</v>
      </c>
      <c r="G263" s="1" t="s">
        <v>24</v>
      </c>
      <c r="H263" s="8">
        <v>45749</v>
      </c>
      <c r="I263" s="1" t="s">
        <v>1785</v>
      </c>
      <c r="J263" t="b">
        <v>1</v>
      </c>
      <c r="K263" t="s">
        <v>634</v>
      </c>
      <c r="L263" s="13" t="str">
        <f>HYPERLINK("https://uk1.aconex.co.uk/hub/index.html?mainTarget=%2FSearchControlledDoc%3FSEARCH_ACTION%3D15%26tab%3D0%26searchMode%3D1%26searchQuery%3Ddocno:%22"&amp;RawData[[#This Row],[Document Number]]&amp;"%22%20%2Bcversion%253A1",RawData[[#This Row],[Document Number]])</f>
        <v>FS1018-AGL-ZZ-ZZ-G-E-6011</v>
      </c>
    </row>
    <row r="264" spans="1:12" x14ac:dyDescent="0.3">
      <c r="A264" t="s">
        <v>635</v>
      </c>
      <c r="B264" t="s">
        <v>636</v>
      </c>
      <c r="C264" t="s">
        <v>13</v>
      </c>
      <c r="D264" t="s">
        <v>19</v>
      </c>
      <c r="E264" s="8">
        <v>45730</v>
      </c>
      <c r="F264" s="1" t="s">
        <v>12</v>
      </c>
      <c r="G264" s="1" t="s">
        <v>24</v>
      </c>
      <c r="H264" s="8">
        <v>45749</v>
      </c>
      <c r="I264" s="1" t="s">
        <v>1785</v>
      </c>
      <c r="J264" t="b">
        <v>1</v>
      </c>
      <c r="K264" t="s">
        <v>637</v>
      </c>
      <c r="L264" s="13" t="str">
        <f>HYPERLINK("https://uk1.aconex.co.uk/hub/index.html?mainTarget=%2FSearchControlledDoc%3FSEARCH_ACTION%3D15%26tab%3D0%26searchMode%3D1%26searchQuery%3Ddocno:%22"&amp;RawData[[#This Row],[Document Number]]&amp;"%22%20%2Bcversion%253A1",RawData[[#This Row],[Document Number]])</f>
        <v>FS1018-AGL-ZZ-ZZ-G-E-6811</v>
      </c>
    </row>
    <row r="265" spans="1:12" x14ac:dyDescent="0.3">
      <c r="A265" t="s">
        <v>638</v>
      </c>
      <c r="B265" t="s">
        <v>639</v>
      </c>
      <c r="C265" t="s">
        <v>13</v>
      </c>
      <c r="D265" t="s">
        <v>19</v>
      </c>
      <c r="E265" s="8">
        <v>45730</v>
      </c>
      <c r="F265" s="1" t="s">
        <v>12</v>
      </c>
      <c r="G265" s="1" t="s">
        <v>24</v>
      </c>
      <c r="H265" s="8">
        <v>45748</v>
      </c>
      <c r="I265" s="1" t="s">
        <v>1785</v>
      </c>
      <c r="J265" t="b">
        <v>1</v>
      </c>
      <c r="K265" t="s">
        <v>640</v>
      </c>
      <c r="L265" s="13" t="str">
        <f>HYPERLINK("https://uk1.aconex.co.uk/hub/index.html?mainTarget=%2FSearchControlledDoc%3FSEARCH_ACTION%3D15%26tab%3D0%26searchMode%3D1%26searchQuery%3Ddocno:%22"&amp;RawData[[#This Row],[Document Number]]&amp;"%22%20%2Bcversion%253A1",RawData[[#This Row],[Document Number]])</f>
        <v>FS1018-AGL-ZZ-ZZ-G-M-5010</v>
      </c>
    </row>
    <row r="266" spans="1:12" ht="144" x14ac:dyDescent="0.3">
      <c r="A266" t="s">
        <v>641</v>
      </c>
      <c r="B266" t="s">
        <v>642</v>
      </c>
      <c r="C266" t="s">
        <v>13</v>
      </c>
      <c r="D266" t="s">
        <v>20</v>
      </c>
      <c r="E266" s="8">
        <v>45730</v>
      </c>
      <c r="F266" s="1" t="s">
        <v>12</v>
      </c>
      <c r="G266" s="1" t="s">
        <v>1027</v>
      </c>
      <c r="H266" s="8">
        <v>45754</v>
      </c>
      <c r="I266" s="1" t="s">
        <v>1948</v>
      </c>
      <c r="J266" t="b">
        <v>1</v>
      </c>
      <c r="K266" t="s">
        <v>643</v>
      </c>
      <c r="L266" s="13" t="str">
        <f>HYPERLINK("https://uk1.aconex.co.uk/hub/index.html?mainTarget=%2FSearchControlledDoc%3FSEARCH_ACTION%3D15%26tab%3D0%26searchMode%3D1%26searchQuery%3Ddocno:%22"&amp;RawData[[#This Row],[Document Number]]&amp;"%22%20%2Bcversion%253A1",RawData[[#This Row],[Document Number]])</f>
        <v>FS1018-AGL-ZZ-ZZ-G-M-5210</v>
      </c>
    </row>
    <row r="267" spans="1:12" ht="28.8" x14ac:dyDescent="0.3">
      <c r="A267" t="s">
        <v>641</v>
      </c>
      <c r="B267" t="s">
        <v>642</v>
      </c>
      <c r="C267" t="s">
        <v>13</v>
      </c>
      <c r="D267" t="s">
        <v>20</v>
      </c>
      <c r="E267" s="8">
        <v>45754</v>
      </c>
      <c r="F267" s="1" t="s">
        <v>22</v>
      </c>
      <c r="G267" s="1" t="s">
        <v>4</v>
      </c>
      <c r="H267" s="8"/>
      <c r="J267" t="b">
        <v>1</v>
      </c>
      <c r="K267" t="s">
        <v>643</v>
      </c>
      <c r="L267" s="13" t="str">
        <f>HYPERLINK("https://uk1.aconex.co.uk/hub/index.html?mainTarget=%2FSearchControlledDoc%3FSEARCH_ACTION%3D15%26tab%3D0%26searchMode%3D1%26searchQuery%3Ddocno:%22"&amp;RawData[[#This Row],[Document Number]]&amp;"%22%20%2Bcversion%253A1",RawData[[#This Row],[Document Number]])</f>
        <v>FS1018-AGL-ZZ-ZZ-G-M-5210</v>
      </c>
    </row>
    <row r="268" spans="1:12" ht="72" x14ac:dyDescent="0.3">
      <c r="A268" t="s">
        <v>644</v>
      </c>
      <c r="B268" t="s">
        <v>645</v>
      </c>
      <c r="C268" t="s">
        <v>13</v>
      </c>
      <c r="D268" t="s">
        <v>20</v>
      </c>
      <c r="E268" s="8">
        <v>45730</v>
      </c>
      <c r="F268" s="1" t="s">
        <v>12</v>
      </c>
      <c r="G268" s="1" t="s">
        <v>1027</v>
      </c>
      <c r="H268" s="8">
        <v>45754</v>
      </c>
      <c r="I268" s="1" t="s">
        <v>1949</v>
      </c>
      <c r="J268" t="b">
        <v>1</v>
      </c>
      <c r="K268" t="s">
        <v>646</v>
      </c>
      <c r="L268" s="13" t="str">
        <f>HYPERLINK("https://uk1.aconex.co.uk/hub/index.html?mainTarget=%2FSearchControlledDoc%3FSEARCH_ACTION%3D15%26tab%3D0%26searchMode%3D1%26searchQuery%3Ddocno:%22"&amp;RawData[[#This Row],[Document Number]]&amp;"%22%20%2Bcversion%253A1",RawData[[#This Row],[Document Number]])</f>
        <v>FS1018-AGL-ZZ-ZZ-G-M-5211</v>
      </c>
    </row>
    <row r="269" spans="1:12" ht="28.8" x14ac:dyDescent="0.3">
      <c r="A269" t="s">
        <v>644</v>
      </c>
      <c r="B269" t="s">
        <v>645</v>
      </c>
      <c r="C269" t="s">
        <v>13</v>
      </c>
      <c r="D269" t="s">
        <v>20</v>
      </c>
      <c r="E269" s="8">
        <v>45754</v>
      </c>
      <c r="F269" s="1" t="s">
        <v>22</v>
      </c>
      <c r="G269" s="1" t="s">
        <v>4</v>
      </c>
      <c r="H269" s="8"/>
      <c r="J269" t="b">
        <v>1</v>
      </c>
      <c r="K269" t="s">
        <v>646</v>
      </c>
      <c r="L269" s="13" t="str">
        <f>HYPERLINK("https://uk1.aconex.co.uk/hub/index.html?mainTarget=%2FSearchControlledDoc%3FSEARCH_ACTION%3D15%26tab%3D0%26searchMode%3D1%26searchQuery%3Ddocno:%22"&amp;RawData[[#This Row],[Document Number]]&amp;"%22%20%2Bcversion%253A1",RawData[[#This Row],[Document Number]])</f>
        <v>FS1018-AGL-ZZ-ZZ-G-M-5211</v>
      </c>
    </row>
    <row r="270" spans="1:12" x14ac:dyDescent="0.3">
      <c r="A270" t="s">
        <v>647</v>
      </c>
      <c r="B270" t="s">
        <v>648</v>
      </c>
      <c r="C270" t="s">
        <v>13</v>
      </c>
      <c r="D270" t="s">
        <v>19</v>
      </c>
      <c r="E270" s="8">
        <v>45730</v>
      </c>
      <c r="F270" s="1" t="s">
        <v>12</v>
      </c>
      <c r="G270" s="1" t="s">
        <v>24</v>
      </c>
      <c r="H270" s="8">
        <v>45754</v>
      </c>
      <c r="J270" t="b">
        <v>1</v>
      </c>
      <c r="K270" t="s">
        <v>649</v>
      </c>
      <c r="L270" s="13" t="str">
        <f>HYPERLINK("https://uk1.aconex.co.uk/hub/index.html?mainTarget=%2FSearchControlledDoc%3FSEARCH_ACTION%3D15%26tab%3D0%26searchMode%3D1%26searchQuery%3Ddocno:%22"&amp;RawData[[#This Row],[Document Number]]&amp;"%22%20%2Bcversion%253A1",RawData[[#This Row],[Document Number]])</f>
        <v>FS1018-AGL-ZZ-ZZ-G-M-5310</v>
      </c>
    </row>
    <row r="271" spans="1:12" ht="43.2" x14ac:dyDescent="0.3">
      <c r="A271" t="s">
        <v>650</v>
      </c>
      <c r="B271" t="s">
        <v>651</v>
      </c>
      <c r="C271" t="s">
        <v>13</v>
      </c>
      <c r="D271" t="s">
        <v>20</v>
      </c>
      <c r="E271" s="8">
        <v>45730</v>
      </c>
      <c r="F271" s="1" t="s">
        <v>12</v>
      </c>
      <c r="G271" s="1" t="s">
        <v>1027</v>
      </c>
      <c r="H271" s="8">
        <v>45754</v>
      </c>
      <c r="I271" s="1" t="s">
        <v>1950</v>
      </c>
      <c r="J271" t="b">
        <v>1</v>
      </c>
      <c r="K271" t="s">
        <v>652</v>
      </c>
      <c r="L271" s="13" t="str">
        <f>HYPERLINK("https://uk1.aconex.co.uk/hub/index.html?mainTarget=%2FSearchControlledDoc%3FSEARCH_ACTION%3D15%26tab%3D0%26searchMode%3D1%26searchQuery%3Ddocno:%22"&amp;RawData[[#This Row],[Document Number]]&amp;"%22%20%2Bcversion%253A1",RawData[[#This Row],[Document Number]])</f>
        <v>FS1018-AGL-ZZ-ZZ-G-M-5410</v>
      </c>
    </row>
    <row r="272" spans="1:12" ht="28.8" x14ac:dyDescent="0.3">
      <c r="A272" t="s">
        <v>650</v>
      </c>
      <c r="B272" t="s">
        <v>651</v>
      </c>
      <c r="C272" t="s">
        <v>13</v>
      </c>
      <c r="D272" t="s">
        <v>20</v>
      </c>
      <c r="E272" s="8">
        <v>45754</v>
      </c>
      <c r="F272" s="1" t="s">
        <v>22</v>
      </c>
      <c r="G272" s="1" t="s">
        <v>4</v>
      </c>
      <c r="H272" s="8"/>
      <c r="J272" t="b">
        <v>1</v>
      </c>
      <c r="K272" t="s">
        <v>652</v>
      </c>
      <c r="L272" s="13" t="str">
        <f>HYPERLINK("https://uk1.aconex.co.uk/hub/index.html?mainTarget=%2FSearchControlledDoc%3FSEARCH_ACTION%3D15%26tab%3D0%26searchMode%3D1%26searchQuery%3Ddocno:%22"&amp;RawData[[#This Row],[Document Number]]&amp;"%22%20%2Bcversion%253A1",RawData[[#This Row],[Document Number]])</f>
        <v>FS1018-AGL-ZZ-ZZ-G-M-5410</v>
      </c>
    </row>
    <row r="273" spans="1:12" ht="43.2" x14ac:dyDescent="0.3">
      <c r="A273" t="s">
        <v>653</v>
      </c>
      <c r="B273" t="s">
        <v>654</v>
      </c>
      <c r="C273" t="s">
        <v>13</v>
      </c>
      <c r="D273" t="s">
        <v>20</v>
      </c>
      <c r="E273" s="8">
        <v>45730</v>
      </c>
      <c r="F273" s="1" t="s">
        <v>12</v>
      </c>
      <c r="G273" s="1" t="s">
        <v>1027</v>
      </c>
      <c r="H273" s="8">
        <v>45743</v>
      </c>
      <c r="I273" s="1" t="s">
        <v>1795</v>
      </c>
      <c r="J273" t="b">
        <v>1</v>
      </c>
      <c r="K273" t="s">
        <v>655</v>
      </c>
      <c r="L273" s="13" t="str">
        <f>HYPERLINK("https://uk1.aconex.co.uk/hub/index.html?mainTarget=%2FSearchControlledDoc%3FSEARCH_ACTION%3D15%26tab%3D0%26searchMode%3D1%26searchQuery%3Ddocno:%22"&amp;RawData[[#This Row],[Document Number]]&amp;"%22%20%2Bcversion%253A1",RawData[[#This Row],[Document Number]])</f>
        <v>FS1018-AGL-ZZ-ZZ-G-M-5610</v>
      </c>
    </row>
    <row r="274" spans="1:12" ht="28.8" x14ac:dyDescent="0.3">
      <c r="A274" t="s">
        <v>653</v>
      </c>
      <c r="B274" t="s">
        <v>654</v>
      </c>
      <c r="C274" t="s">
        <v>13</v>
      </c>
      <c r="D274" t="s">
        <v>20</v>
      </c>
      <c r="E274" s="8">
        <v>45743</v>
      </c>
      <c r="F274" s="1" t="s">
        <v>22</v>
      </c>
      <c r="G274" s="1" t="s">
        <v>4</v>
      </c>
      <c r="H274" s="8"/>
      <c r="J274" t="b">
        <v>1</v>
      </c>
      <c r="K274" t="s">
        <v>655</v>
      </c>
      <c r="L274" s="13" t="str">
        <f>HYPERLINK("https://uk1.aconex.co.uk/hub/index.html?mainTarget=%2FSearchControlledDoc%3FSEARCH_ACTION%3D15%26tab%3D0%26searchMode%3D1%26searchQuery%3Ddocno:%22"&amp;RawData[[#This Row],[Document Number]]&amp;"%22%20%2Bcversion%253A1",RawData[[#This Row],[Document Number]])</f>
        <v>FS1018-AGL-ZZ-ZZ-G-M-5610</v>
      </c>
    </row>
    <row r="275" spans="1:12" ht="43.2" x14ac:dyDescent="0.3">
      <c r="A275" t="s">
        <v>656</v>
      </c>
      <c r="B275" t="s">
        <v>657</v>
      </c>
      <c r="C275" t="s">
        <v>13</v>
      </c>
      <c r="D275" t="s">
        <v>20</v>
      </c>
      <c r="E275" s="8">
        <v>45730</v>
      </c>
      <c r="F275" s="1" t="s">
        <v>12</v>
      </c>
      <c r="G275" s="1" t="s">
        <v>1027</v>
      </c>
      <c r="H275" s="8">
        <v>45743</v>
      </c>
      <c r="I275" s="1" t="s">
        <v>1795</v>
      </c>
      <c r="J275" t="b">
        <v>1</v>
      </c>
      <c r="K275" t="s">
        <v>658</v>
      </c>
      <c r="L275" s="13" t="str">
        <f>HYPERLINK("https://uk1.aconex.co.uk/hub/index.html?mainTarget=%2FSearchControlledDoc%3FSEARCH_ACTION%3D15%26tab%3D0%26searchMode%3D1%26searchQuery%3Ddocno:%22"&amp;RawData[[#This Row],[Document Number]]&amp;"%22%20%2Bcversion%253A1",RawData[[#This Row],[Document Number]])</f>
        <v>FS1018-AGL-ZZ-ZZ-G-M-5611</v>
      </c>
    </row>
    <row r="276" spans="1:12" ht="28.8" x14ac:dyDescent="0.3">
      <c r="A276" t="s">
        <v>656</v>
      </c>
      <c r="B276" t="s">
        <v>657</v>
      </c>
      <c r="C276" t="s">
        <v>13</v>
      </c>
      <c r="D276" t="s">
        <v>20</v>
      </c>
      <c r="E276" s="8">
        <v>45743</v>
      </c>
      <c r="F276" s="1" t="s">
        <v>22</v>
      </c>
      <c r="G276" s="1" t="s">
        <v>4</v>
      </c>
      <c r="H276" s="8"/>
      <c r="J276" t="b">
        <v>1</v>
      </c>
      <c r="K276" t="s">
        <v>658</v>
      </c>
      <c r="L276" s="13" t="str">
        <f>HYPERLINK("https://uk1.aconex.co.uk/hub/index.html?mainTarget=%2FSearchControlledDoc%3FSEARCH_ACTION%3D15%26tab%3D0%26searchMode%3D1%26searchQuery%3Ddocno:%22"&amp;RawData[[#This Row],[Document Number]]&amp;"%22%20%2Bcversion%253A1",RawData[[#This Row],[Document Number]])</f>
        <v>FS1018-AGL-ZZ-ZZ-G-M-5611</v>
      </c>
    </row>
    <row r="277" spans="1:12" ht="43.2" x14ac:dyDescent="0.3">
      <c r="A277" t="s">
        <v>659</v>
      </c>
      <c r="B277" t="s">
        <v>660</v>
      </c>
      <c r="C277" t="s">
        <v>13</v>
      </c>
      <c r="D277" t="s">
        <v>20</v>
      </c>
      <c r="E277" s="8">
        <v>45730</v>
      </c>
      <c r="F277" s="1" t="s">
        <v>12</v>
      </c>
      <c r="G277" s="1" t="s">
        <v>1027</v>
      </c>
      <c r="H277" s="8">
        <v>45743</v>
      </c>
      <c r="I277" s="1" t="s">
        <v>1795</v>
      </c>
      <c r="J277" t="b">
        <v>1</v>
      </c>
      <c r="K277" t="s">
        <v>661</v>
      </c>
      <c r="L277" s="13" t="str">
        <f>HYPERLINK("https://uk1.aconex.co.uk/hub/index.html?mainTarget=%2FSearchControlledDoc%3FSEARCH_ACTION%3D15%26tab%3D0%26searchMode%3D1%26searchQuery%3Ddocno:%22"&amp;RawData[[#This Row],[Document Number]]&amp;"%22%20%2Bcversion%253A1",RawData[[#This Row],[Document Number]])</f>
        <v>FS1018-AGL-ZZ-ZZ-G-M-5612</v>
      </c>
    </row>
    <row r="278" spans="1:12" ht="28.8" x14ac:dyDescent="0.3">
      <c r="A278" t="s">
        <v>659</v>
      </c>
      <c r="B278" t="s">
        <v>660</v>
      </c>
      <c r="C278" t="s">
        <v>13</v>
      </c>
      <c r="D278" t="s">
        <v>20</v>
      </c>
      <c r="E278" s="8">
        <v>45743</v>
      </c>
      <c r="F278" s="1" t="s">
        <v>22</v>
      </c>
      <c r="G278" s="1" t="s">
        <v>4</v>
      </c>
      <c r="H278" s="8"/>
      <c r="J278" t="b">
        <v>1</v>
      </c>
      <c r="K278" t="s">
        <v>661</v>
      </c>
      <c r="L278" s="13" t="str">
        <f>HYPERLINK("https://uk1.aconex.co.uk/hub/index.html?mainTarget=%2FSearchControlledDoc%3FSEARCH_ACTION%3D15%26tab%3D0%26searchMode%3D1%26searchQuery%3Ddocno:%22"&amp;RawData[[#This Row],[Document Number]]&amp;"%22%20%2Bcversion%253A1",RawData[[#This Row],[Document Number]])</f>
        <v>FS1018-AGL-ZZ-ZZ-G-M-5612</v>
      </c>
    </row>
    <row r="279" spans="1:12" ht="43.2" x14ac:dyDescent="0.3">
      <c r="A279" t="s">
        <v>662</v>
      </c>
      <c r="B279" t="s">
        <v>663</v>
      </c>
      <c r="C279" t="s">
        <v>13</v>
      </c>
      <c r="D279" t="s">
        <v>20</v>
      </c>
      <c r="E279" s="8">
        <v>45730</v>
      </c>
      <c r="F279" s="1" t="s">
        <v>12</v>
      </c>
      <c r="G279" s="1" t="s">
        <v>1027</v>
      </c>
      <c r="H279" s="8">
        <v>45743</v>
      </c>
      <c r="I279" s="1" t="s">
        <v>1795</v>
      </c>
      <c r="J279" t="b">
        <v>1</v>
      </c>
      <c r="K279" t="s">
        <v>664</v>
      </c>
      <c r="L279" s="13" t="str">
        <f>HYPERLINK("https://uk1.aconex.co.uk/hub/index.html?mainTarget=%2FSearchControlledDoc%3FSEARCH_ACTION%3D15%26tab%3D0%26searchMode%3D1%26searchQuery%3Ddocno:%22"&amp;RawData[[#This Row],[Document Number]]&amp;"%22%20%2Bcversion%253A1",RawData[[#This Row],[Document Number]])</f>
        <v>FS1018-AGL-ZZ-ZZ-G-M-5613</v>
      </c>
    </row>
    <row r="280" spans="1:12" ht="28.8" x14ac:dyDescent="0.3">
      <c r="A280" t="s">
        <v>662</v>
      </c>
      <c r="B280" t="s">
        <v>663</v>
      </c>
      <c r="C280" t="s">
        <v>13</v>
      </c>
      <c r="D280" t="s">
        <v>20</v>
      </c>
      <c r="E280" s="8">
        <v>45743</v>
      </c>
      <c r="F280" s="1" t="s">
        <v>22</v>
      </c>
      <c r="G280" s="1" t="s">
        <v>4</v>
      </c>
      <c r="H280" s="8"/>
      <c r="J280" t="b">
        <v>1</v>
      </c>
      <c r="K280" t="s">
        <v>664</v>
      </c>
      <c r="L280" s="13" t="str">
        <f>HYPERLINK("https://uk1.aconex.co.uk/hub/index.html?mainTarget=%2FSearchControlledDoc%3FSEARCH_ACTION%3D15%26tab%3D0%26searchMode%3D1%26searchQuery%3Ddocno:%22"&amp;RawData[[#This Row],[Document Number]]&amp;"%22%20%2Bcversion%253A1",RawData[[#This Row],[Document Number]])</f>
        <v>FS1018-AGL-ZZ-ZZ-G-M-5613</v>
      </c>
    </row>
    <row r="281" spans="1:12" x14ac:dyDescent="0.3">
      <c r="A281" t="s">
        <v>665</v>
      </c>
      <c r="B281" t="s">
        <v>666</v>
      </c>
      <c r="C281" t="s">
        <v>13</v>
      </c>
      <c r="D281" t="s">
        <v>19</v>
      </c>
      <c r="E281" s="8">
        <v>45730</v>
      </c>
      <c r="F281" s="1" t="s">
        <v>12</v>
      </c>
      <c r="G281" s="1" t="s">
        <v>24</v>
      </c>
      <c r="H281" s="8">
        <v>45743</v>
      </c>
      <c r="I281" s="1" t="s">
        <v>1785</v>
      </c>
      <c r="J281" t="b">
        <v>1</v>
      </c>
      <c r="K281" t="s">
        <v>667</v>
      </c>
      <c r="L281" s="13" t="str">
        <f>HYPERLINK("https://uk1.aconex.co.uk/hub/index.html?mainTarget=%2FSearchControlledDoc%3FSEARCH_ACTION%3D15%26tab%3D0%26searchMode%3D1%26searchQuery%3Ddocno:%22"&amp;RawData[[#This Row],[Document Number]]&amp;"%22%20%2Bcversion%253A1",RawData[[#This Row],[Document Number]])</f>
        <v>FS1018-AGL-ZZ-ZZ-G-M-5710</v>
      </c>
    </row>
    <row r="282" spans="1:12" x14ac:dyDescent="0.3">
      <c r="A282" t="s">
        <v>668</v>
      </c>
      <c r="B282" t="s">
        <v>669</v>
      </c>
      <c r="C282" t="s">
        <v>13</v>
      </c>
      <c r="D282" t="s">
        <v>19</v>
      </c>
      <c r="E282" s="8">
        <v>45730</v>
      </c>
      <c r="F282" s="1" t="s">
        <v>12</v>
      </c>
      <c r="G282" s="1" t="s">
        <v>24</v>
      </c>
      <c r="H282" s="8">
        <v>45743</v>
      </c>
      <c r="I282" s="1" t="s">
        <v>1785</v>
      </c>
      <c r="J282" t="b">
        <v>1</v>
      </c>
      <c r="K282" t="s">
        <v>670</v>
      </c>
      <c r="L282" s="13" t="str">
        <f>HYPERLINK("https://uk1.aconex.co.uk/hub/index.html?mainTarget=%2FSearchControlledDoc%3FSEARCH_ACTION%3D15%26tab%3D0%26searchMode%3D1%26searchQuery%3Ddocno:%22"&amp;RawData[[#This Row],[Document Number]]&amp;"%22%20%2Bcversion%253A1",RawData[[#This Row],[Document Number]])</f>
        <v>FS1018-AGL-ZZ-ZZ-G-M-5711</v>
      </c>
    </row>
    <row r="283" spans="1:12" ht="28.8" x14ac:dyDescent="0.3">
      <c r="A283" t="s">
        <v>671</v>
      </c>
      <c r="B283" t="s">
        <v>672</v>
      </c>
      <c r="C283" t="s">
        <v>13</v>
      </c>
      <c r="D283" t="s">
        <v>20</v>
      </c>
      <c r="E283" s="8">
        <v>45730</v>
      </c>
      <c r="F283" s="1" t="s">
        <v>12</v>
      </c>
      <c r="G283" s="1" t="s">
        <v>1027</v>
      </c>
      <c r="H283" s="8">
        <v>45743</v>
      </c>
      <c r="I283" s="1" t="s">
        <v>1796</v>
      </c>
      <c r="J283" t="b">
        <v>1</v>
      </c>
      <c r="K283" t="s">
        <v>673</v>
      </c>
      <c r="L283" s="13" t="str">
        <f>HYPERLINK("https://uk1.aconex.co.uk/hub/index.html?mainTarget=%2FSearchControlledDoc%3FSEARCH_ACTION%3D15%26tab%3D0%26searchMode%3D1%26searchQuery%3Ddocno:%22"&amp;RawData[[#This Row],[Document Number]]&amp;"%22%20%2Bcversion%253A1",RawData[[#This Row],[Document Number]])</f>
        <v>FS1018-AGL-ZZ-ZZ-G-M-5812</v>
      </c>
    </row>
    <row r="284" spans="1:12" ht="28.8" x14ac:dyDescent="0.3">
      <c r="A284" t="s">
        <v>671</v>
      </c>
      <c r="B284" t="s">
        <v>672</v>
      </c>
      <c r="C284" t="s">
        <v>13</v>
      </c>
      <c r="D284" t="s">
        <v>20</v>
      </c>
      <c r="E284" s="8">
        <v>45743</v>
      </c>
      <c r="F284" s="1" t="s">
        <v>22</v>
      </c>
      <c r="G284" s="1" t="s">
        <v>4</v>
      </c>
      <c r="H284" s="8"/>
      <c r="J284" t="b">
        <v>1</v>
      </c>
      <c r="K284" t="s">
        <v>673</v>
      </c>
      <c r="L284" s="13" t="str">
        <f>HYPERLINK("https://uk1.aconex.co.uk/hub/index.html?mainTarget=%2FSearchControlledDoc%3FSEARCH_ACTION%3D15%26tab%3D0%26searchMode%3D1%26searchQuery%3Ddocno:%22"&amp;RawData[[#This Row],[Document Number]]&amp;"%22%20%2Bcversion%253A1",RawData[[#This Row],[Document Number]])</f>
        <v>FS1018-AGL-ZZ-ZZ-G-M-5812</v>
      </c>
    </row>
    <row r="285" spans="1:12" x14ac:dyDescent="0.3">
      <c r="A285" t="s">
        <v>674</v>
      </c>
      <c r="B285" t="s">
        <v>675</v>
      </c>
      <c r="C285" t="s">
        <v>676</v>
      </c>
      <c r="D285" t="s">
        <v>19</v>
      </c>
      <c r="E285" s="8">
        <v>45730</v>
      </c>
      <c r="F285" s="1" t="s">
        <v>12</v>
      </c>
      <c r="G285" s="1" t="s">
        <v>24</v>
      </c>
      <c r="H285" s="8">
        <v>45763</v>
      </c>
      <c r="I285" s="1" t="s">
        <v>1785</v>
      </c>
      <c r="J285" t="b">
        <v>1</v>
      </c>
      <c r="K285" t="s">
        <v>677</v>
      </c>
      <c r="L285" s="13" t="str">
        <f>HYPERLINK("https://uk1.aconex.co.uk/hub/index.html?mainTarget=%2FSearchControlledDoc%3FSEARCH_ACTION%3D15%26tab%3D0%26searchMode%3D1%26searchQuery%3Ddocno:%22"&amp;RawData[[#This Row],[Document Number]]&amp;"%22%20%2Bcversion%253A1",RawData[[#This Row],[Document Number]])</f>
        <v>FS1018-AGL-ZZ-ZZ-M-Z-0001</v>
      </c>
    </row>
    <row r="286" spans="1:12" x14ac:dyDescent="0.3">
      <c r="A286" t="s">
        <v>678</v>
      </c>
      <c r="B286" t="s">
        <v>679</v>
      </c>
      <c r="C286" t="s">
        <v>676</v>
      </c>
      <c r="D286" t="s">
        <v>19</v>
      </c>
      <c r="E286" s="8">
        <v>45730</v>
      </c>
      <c r="F286" s="1" t="s">
        <v>12</v>
      </c>
      <c r="G286" s="1" t="s">
        <v>24</v>
      </c>
      <c r="H286" s="8">
        <v>45763</v>
      </c>
      <c r="I286" s="1" t="s">
        <v>1785</v>
      </c>
      <c r="J286" t="b">
        <v>1</v>
      </c>
      <c r="K286" t="s">
        <v>680</v>
      </c>
      <c r="L286" s="13" t="str">
        <f>HYPERLINK("https://uk1.aconex.co.uk/hub/index.html?mainTarget=%2FSearchControlledDoc%3FSEARCH_ACTION%3D15%26tab%3D0%26searchMode%3D1%26searchQuery%3Ddocno:%22"&amp;RawData[[#This Row],[Document Number]]&amp;"%22%20%2Bcversion%253A1",RawData[[#This Row],[Document Number]])</f>
        <v>FS1018-AGL-ZZ-ZZ-M-Z-0002</v>
      </c>
    </row>
    <row r="287" spans="1:12" x14ac:dyDescent="0.3">
      <c r="A287" t="s">
        <v>681</v>
      </c>
      <c r="B287" t="s">
        <v>682</v>
      </c>
      <c r="C287" t="s">
        <v>676</v>
      </c>
      <c r="D287" t="s">
        <v>19</v>
      </c>
      <c r="E287" s="8">
        <v>45730</v>
      </c>
      <c r="F287" s="1" t="s">
        <v>12</v>
      </c>
      <c r="G287" s="1" t="s">
        <v>24</v>
      </c>
      <c r="H287" s="8">
        <v>45763</v>
      </c>
      <c r="I287" s="1" t="s">
        <v>1785</v>
      </c>
      <c r="J287" t="b">
        <v>1</v>
      </c>
      <c r="K287" t="s">
        <v>683</v>
      </c>
      <c r="L287" s="13" t="str">
        <f>HYPERLINK("https://uk1.aconex.co.uk/hub/index.html?mainTarget=%2FSearchControlledDoc%3FSEARCH_ACTION%3D15%26tab%3D0%26searchMode%3D1%26searchQuery%3Ddocno:%22"&amp;RawData[[#This Row],[Document Number]]&amp;"%22%20%2Bcversion%253A1",RawData[[#This Row],[Document Number]])</f>
        <v>FS1018-AGL-ZZ-ZZ-M-Z-0003</v>
      </c>
    </row>
    <row r="288" spans="1:12" ht="216" x14ac:dyDescent="0.3">
      <c r="A288" t="s">
        <v>686</v>
      </c>
      <c r="B288" t="s">
        <v>687</v>
      </c>
      <c r="C288" t="s">
        <v>689</v>
      </c>
      <c r="D288" t="s">
        <v>20</v>
      </c>
      <c r="E288" s="8">
        <v>45729</v>
      </c>
      <c r="F288" s="1" t="s">
        <v>12</v>
      </c>
      <c r="G288" s="1" t="s">
        <v>21</v>
      </c>
      <c r="H288" s="8">
        <v>45748</v>
      </c>
      <c r="I288" s="1" t="s">
        <v>1908</v>
      </c>
      <c r="J288" t="b">
        <v>1</v>
      </c>
      <c r="K288" t="s">
        <v>688</v>
      </c>
      <c r="L288" s="13" t="str">
        <f>HYPERLINK("https://uk1.aconex.co.uk/hub/index.html?mainTarget=%2FSearchControlledDoc%3FSEARCH_ACTION%3D15%26tab%3D0%26searchMode%3D1%26searchQuery%3Ddocno:%22"&amp;RawData[[#This Row],[Document Number]]&amp;"%22%20%2Bcversion%253A1",RawData[[#This Row],[Document Number]])</f>
        <v>FS1018-CPM-XX-XX-L-A-0001</v>
      </c>
    </row>
    <row r="289" spans="1:12" ht="28.8" x14ac:dyDescent="0.3">
      <c r="A289" t="s">
        <v>686</v>
      </c>
      <c r="B289" t="s">
        <v>687</v>
      </c>
      <c r="C289" t="s">
        <v>689</v>
      </c>
      <c r="D289" t="s">
        <v>20</v>
      </c>
      <c r="E289" s="8">
        <v>45748</v>
      </c>
      <c r="F289" s="1" t="s">
        <v>22</v>
      </c>
      <c r="G289" s="1" t="s">
        <v>4</v>
      </c>
      <c r="H289" s="8"/>
      <c r="J289" t="b">
        <v>1</v>
      </c>
      <c r="K289" t="s">
        <v>688</v>
      </c>
      <c r="L289" s="13" t="str">
        <f>HYPERLINK("https://uk1.aconex.co.uk/hub/index.html?mainTarget=%2FSearchControlledDoc%3FSEARCH_ACTION%3D15%26tab%3D0%26searchMode%3D1%26searchQuery%3Ddocno:%22"&amp;RawData[[#This Row],[Document Number]]&amp;"%22%20%2Bcversion%253A1",RawData[[#This Row],[Document Number]])</f>
        <v>FS1018-CPM-XX-XX-L-A-0001</v>
      </c>
    </row>
    <row r="290" spans="1:12" ht="409.6" x14ac:dyDescent="0.3">
      <c r="A290" t="s">
        <v>690</v>
      </c>
      <c r="B290" t="s">
        <v>684</v>
      </c>
      <c r="C290" t="s">
        <v>418</v>
      </c>
      <c r="D290" t="s">
        <v>20</v>
      </c>
      <c r="E290" s="8">
        <v>45729</v>
      </c>
      <c r="F290" s="1" t="s">
        <v>12</v>
      </c>
      <c r="G290" s="1" t="s">
        <v>21</v>
      </c>
      <c r="H290" s="8">
        <v>45748</v>
      </c>
      <c r="I290" s="1" t="s">
        <v>1909</v>
      </c>
      <c r="J290" t="b">
        <v>1</v>
      </c>
      <c r="K290" t="s">
        <v>691</v>
      </c>
      <c r="L290" s="13" t="str">
        <f>HYPERLINK("https://uk1.aconex.co.uk/hub/index.html?mainTarget=%2FSearchControlledDoc%3FSEARCH_ACTION%3D15%26tab%3D0%26searchMode%3D1%26searchQuery%3Ddocno:%22"&amp;RawData[[#This Row],[Document Number]]&amp;"%22%20%2Bcversion%253A1",RawData[[#This Row],[Document Number]])</f>
        <v>FS1018-CPM-XX-XX-T-A-0005</v>
      </c>
    </row>
    <row r="291" spans="1:12" ht="28.8" x14ac:dyDescent="0.3">
      <c r="A291" t="s">
        <v>690</v>
      </c>
      <c r="B291" t="s">
        <v>684</v>
      </c>
      <c r="C291" t="s">
        <v>418</v>
      </c>
      <c r="D291" t="s">
        <v>20</v>
      </c>
      <c r="E291" s="8">
        <v>45748</v>
      </c>
      <c r="F291" s="1" t="s">
        <v>22</v>
      </c>
      <c r="G291" s="1" t="s">
        <v>4</v>
      </c>
      <c r="H291" s="8"/>
      <c r="J291" t="b">
        <v>1</v>
      </c>
      <c r="K291" t="s">
        <v>691</v>
      </c>
      <c r="L291" s="13" t="str">
        <f>HYPERLINK("https://uk1.aconex.co.uk/hub/index.html?mainTarget=%2FSearchControlledDoc%3FSEARCH_ACTION%3D15%26tab%3D0%26searchMode%3D1%26searchQuery%3Ddocno:%22"&amp;RawData[[#This Row],[Document Number]]&amp;"%22%20%2Bcversion%253A1",RawData[[#This Row],[Document Number]])</f>
        <v>FS1018-CPM-XX-XX-T-A-0005</v>
      </c>
    </row>
    <row r="292" spans="1:12" ht="409.6" x14ac:dyDescent="0.3">
      <c r="A292" t="s">
        <v>692</v>
      </c>
      <c r="B292" t="s">
        <v>685</v>
      </c>
      <c r="C292" t="s">
        <v>695</v>
      </c>
      <c r="D292" t="s">
        <v>20</v>
      </c>
      <c r="E292" s="8">
        <v>45729</v>
      </c>
      <c r="F292" s="1" t="s">
        <v>12</v>
      </c>
      <c r="G292" s="1" t="s">
        <v>21</v>
      </c>
      <c r="H292" s="8">
        <v>45748</v>
      </c>
      <c r="I292" s="1" t="s">
        <v>1910</v>
      </c>
      <c r="J292" t="b">
        <v>1</v>
      </c>
      <c r="K292" t="s">
        <v>694</v>
      </c>
      <c r="L292" s="13" t="str">
        <f>HYPERLINK("https://uk1.aconex.co.uk/hub/index.html?mainTarget=%2FSearchControlledDoc%3FSEARCH_ACTION%3D15%26tab%3D0%26searchMode%3D1%26searchQuery%3Ddocno:%22"&amp;RawData[[#This Row],[Document Number]]&amp;"%22%20%2Bcversion%253A1",RawData[[#This Row],[Document Number]])</f>
        <v>FS1018-CPM-XX-XX-T-A-0010</v>
      </c>
    </row>
    <row r="293" spans="1:12" ht="28.8" x14ac:dyDescent="0.3">
      <c r="A293" t="s">
        <v>692</v>
      </c>
      <c r="B293" t="s">
        <v>685</v>
      </c>
      <c r="C293" t="s">
        <v>695</v>
      </c>
      <c r="D293" t="s">
        <v>20</v>
      </c>
      <c r="E293" s="8">
        <v>45748</v>
      </c>
      <c r="F293" s="1" t="s">
        <v>22</v>
      </c>
      <c r="G293" s="1" t="s">
        <v>4</v>
      </c>
      <c r="H293" s="8"/>
      <c r="J293" t="b">
        <v>1</v>
      </c>
      <c r="K293" t="s">
        <v>694</v>
      </c>
      <c r="L293" s="13" t="str">
        <f>HYPERLINK("https://uk1.aconex.co.uk/hub/index.html?mainTarget=%2FSearchControlledDoc%3FSEARCH_ACTION%3D15%26tab%3D0%26searchMode%3D1%26searchQuery%3Ddocno:%22"&amp;RawData[[#This Row],[Document Number]]&amp;"%22%20%2Bcversion%253A1",RawData[[#This Row],[Document Number]])</f>
        <v>FS1018-CPM-XX-XX-T-A-0010</v>
      </c>
    </row>
    <row r="294" spans="1:12" ht="288" x14ac:dyDescent="0.3">
      <c r="A294" t="s">
        <v>696</v>
      </c>
      <c r="B294" t="s">
        <v>697</v>
      </c>
      <c r="C294" t="s">
        <v>13</v>
      </c>
      <c r="D294" t="s">
        <v>20</v>
      </c>
      <c r="E294" s="8">
        <v>45729</v>
      </c>
      <c r="F294" s="1" t="s">
        <v>12</v>
      </c>
      <c r="G294" s="1" t="s">
        <v>21</v>
      </c>
      <c r="H294" s="8">
        <v>45748</v>
      </c>
      <c r="I294" s="1" t="s">
        <v>1911</v>
      </c>
      <c r="J294" t="b">
        <v>1</v>
      </c>
      <c r="K294" t="s">
        <v>698</v>
      </c>
      <c r="L294" s="13" t="str">
        <f>HYPERLINK("https://uk1.aconex.co.uk/hub/index.html?mainTarget=%2FSearchControlledDoc%3FSEARCH_ACTION%3D15%26tab%3D0%26searchMode%3D1%26searchQuery%3Ddocno:%22"&amp;RawData[[#This Row],[Document Number]]&amp;"%22%20%2Bcversion%253A1",RawData[[#This Row],[Document Number]])</f>
        <v>FS1018-CPM-XX-XX-T-A-5001</v>
      </c>
    </row>
    <row r="295" spans="1:12" ht="28.8" x14ac:dyDescent="0.3">
      <c r="A295" t="s">
        <v>696</v>
      </c>
      <c r="B295" t="s">
        <v>697</v>
      </c>
      <c r="C295" t="s">
        <v>13</v>
      </c>
      <c r="D295" t="s">
        <v>20</v>
      </c>
      <c r="E295" s="8">
        <v>45748</v>
      </c>
      <c r="F295" s="1" t="s">
        <v>22</v>
      </c>
      <c r="G295" s="1" t="s">
        <v>4</v>
      </c>
      <c r="H295" s="8"/>
      <c r="J295" t="b">
        <v>1</v>
      </c>
      <c r="K295" t="s">
        <v>698</v>
      </c>
      <c r="L295" s="13" t="str">
        <f>HYPERLINK("https://uk1.aconex.co.uk/hub/index.html?mainTarget=%2FSearchControlledDoc%3FSEARCH_ACTION%3D15%26tab%3D0%26searchMode%3D1%26searchQuery%3Ddocno:%22"&amp;RawData[[#This Row],[Document Number]]&amp;"%22%20%2Bcversion%253A1",RawData[[#This Row],[Document Number]])</f>
        <v>FS1018-CPM-XX-XX-T-A-5001</v>
      </c>
    </row>
    <row r="296" spans="1:12" ht="43.2" x14ac:dyDescent="0.3">
      <c r="A296" t="s">
        <v>699</v>
      </c>
      <c r="B296" t="s">
        <v>700</v>
      </c>
      <c r="C296" t="s">
        <v>10</v>
      </c>
      <c r="D296" t="s">
        <v>20</v>
      </c>
      <c r="E296" s="8">
        <v>45729</v>
      </c>
      <c r="F296" s="1" t="s">
        <v>12</v>
      </c>
      <c r="G296" s="1" t="s">
        <v>21</v>
      </c>
      <c r="H296" s="8">
        <v>45751</v>
      </c>
      <c r="I296" s="1" t="s">
        <v>1951</v>
      </c>
      <c r="J296" t="b">
        <v>1</v>
      </c>
      <c r="K296" t="s">
        <v>701</v>
      </c>
      <c r="L296" s="13" t="str">
        <f>HYPERLINK("https://uk1.aconex.co.uk/hub/index.html?mainTarget=%2FSearchControlledDoc%3FSEARCH_ACTION%3D15%26tab%3D0%26searchMode%3D1%26searchQuery%3Ddocno:%22"&amp;RawData[[#This Row],[Document Number]]&amp;"%22%20%2Bcversion%253A1",RawData[[#This Row],[Document Number]])</f>
        <v>FS1018-CPM-XX-XX-T-A-5002</v>
      </c>
    </row>
    <row r="297" spans="1:12" ht="28.8" x14ac:dyDescent="0.3">
      <c r="A297" t="s">
        <v>699</v>
      </c>
      <c r="B297" t="s">
        <v>700</v>
      </c>
      <c r="C297" t="s">
        <v>10</v>
      </c>
      <c r="D297" t="s">
        <v>20</v>
      </c>
      <c r="E297" s="8">
        <v>45751</v>
      </c>
      <c r="F297" s="1" t="s">
        <v>22</v>
      </c>
      <c r="G297" s="1" t="s">
        <v>4</v>
      </c>
      <c r="H297" s="8"/>
      <c r="J297" t="b">
        <v>1</v>
      </c>
      <c r="K297" t="s">
        <v>701</v>
      </c>
      <c r="L297" s="13" t="str">
        <f>HYPERLINK("https://uk1.aconex.co.uk/hub/index.html?mainTarget=%2FSearchControlledDoc%3FSEARCH_ACTION%3D15%26tab%3D0%26searchMode%3D1%26searchQuery%3Ddocno:%22"&amp;RawData[[#This Row],[Document Number]]&amp;"%22%20%2Bcversion%253A1",RawData[[#This Row],[Document Number]])</f>
        <v>FS1018-CPM-XX-XX-T-A-5002</v>
      </c>
    </row>
    <row r="298" spans="1:12" x14ac:dyDescent="0.3">
      <c r="A298" t="s">
        <v>702</v>
      </c>
      <c r="B298" t="s">
        <v>703</v>
      </c>
      <c r="C298" t="s">
        <v>13</v>
      </c>
      <c r="D298" t="s">
        <v>20</v>
      </c>
      <c r="E298" s="8">
        <v>45729</v>
      </c>
      <c r="F298" s="1" t="s">
        <v>12</v>
      </c>
      <c r="G298" s="1" t="s">
        <v>4</v>
      </c>
      <c r="H298" s="8"/>
      <c r="J298" t="b">
        <v>1</v>
      </c>
      <c r="K298" t="s">
        <v>704</v>
      </c>
      <c r="L298" s="13" t="str">
        <f>HYPERLINK("https://uk1.aconex.co.uk/hub/index.html?mainTarget=%2FSearchControlledDoc%3FSEARCH_ACTION%3D15%26tab%3D0%26searchMode%3D1%26searchQuery%3Ddocno:%22"&amp;RawData[[#This Row],[Document Number]]&amp;"%22%20%2Bcversion%253A1",RawData[[#This Row],[Document Number]])</f>
        <v>FS1018-CPM-XX-XX-T-A-5003</v>
      </c>
    </row>
    <row r="299" spans="1:12" ht="86.4" x14ac:dyDescent="0.3">
      <c r="A299" t="s">
        <v>705</v>
      </c>
      <c r="B299" t="s">
        <v>706</v>
      </c>
      <c r="C299" t="s">
        <v>707</v>
      </c>
      <c r="D299" t="s">
        <v>20</v>
      </c>
      <c r="E299" s="8">
        <v>45729</v>
      </c>
      <c r="F299" s="1" t="s">
        <v>12</v>
      </c>
      <c r="G299" s="1" t="s">
        <v>21</v>
      </c>
      <c r="H299" s="8">
        <v>45763</v>
      </c>
      <c r="I299" s="1" t="s">
        <v>1952</v>
      </c>
      <c r="J299" t="b">
        <v>1</v>
      </c>
      <c r="K299" t="s">
        <v>708</v>
      </c>
      <c r="L299" s="13" t="str">
        <f>HYPERLINK("https://uk1.aconex.co.uk/hub/index.html?mainTarget=%2FSearchControlledDoc%3FSEARCH_ACTION%3D15%26tab%3D0%26searchMode%3D1%26searchQuery%3Ddocno:%22"&amp;RawData[[#This Row],[Document Number]]&amp;"%22%20%2Bcversion%253A1",RawData[[#This Row],[Document Number]])</f>
        <v>FS1018-CPM-XX-ZZ-L-A-0000</v>
      </c>
    </row>
    <row r="300" spans="1:12" ht="28.8" x14ac:dyDescent="0.3">
      <c r="A300" t="s">
        <v>705</v>
      </c>
      <c r="B300" t="s">
        <v>706</v>
      </c>
      <c r="C300" t="s">
        <v>707</v>
      </c>
      <c r="D300" t="s">
        <v>20</v>
      </c>
      <c r="E300" s="8">
        <v>45763</v>
      </c>
      <c r="F300" s="1" t="s">
        <v>22</v>
      </c>
      <c r="G300" s="1" t="s">
        <v>4</v>
      </c>
      <c r="H300" s="8"/>
      <c r="J300" t="b">
        <v>1</v>
      </c>
      <c r="K300" t="s">
        <v>708</v>
      </c>
      <c r="L300" s="13" t="str">
        <f>HYPERLINK("https://uk1.aconex.co.uk/hub/index.html?mainTarget=%2FSearchControlledDoc%3FSEARCH_ACTION%3D15%26tab%3D0%26searchMode%3D1%26searchQuery%3Ddocno:%22"&amp;RawData[[#This Row],[Document Number]]&amp;"%22%20%2Bcversion%253A1",RawData[[#This Row],[Document Number]])</f>
        <v>FS1018-CPM-XX-ZZ-L-A-0000</v>
      </c>
    </row>
    <row r="301" spans="1:12" ht="409.6" x14ac:dyDescent="0.3">
      <c r="A301" t="s">
        <v>709</v>
      </c>
      <c r="B301" t="s">
        <v>710</v>
      </c>
      <c r="C301" t="s">
        <v>712</v>
      </c>
      <c r="D301" t="s">
        <v>20</v>
      </c>
      <c r="E301" s="8">
        <v>45729</v>
      </c>
      <c r="F301" s="1" t="s">
        <v>12</v>
      </c>
      <c r="G301" s="1" t="s">
        <v>21</v>
      </c>
      <c r="H301" s="8">
        <v>45748</v>
      </c>
      <c r="I301" s="1" t="s">
        <v>1912</v>
      </c>
      <c r="J301" t="b">
        <v>1</v>
      </c>
      <c r="K301" t="s">
        <v>711</v>
      </c>
      <c r="L301" s="13" t="str">
        <f>HYPERLINK("https://uk1.aconex.co.uk/hub/index.html?mainTarget=%2FSearchControlledDoc%3FSEARCH_ACTION%3D15%26tab%3D0%26searchMode%3D1%26searchQuery%3Ddocno:%22"&amp;RawData[[#This Row],[Document Number]]&amp;"%22%20%2Bcversion%253A1",RawData[[#This Row],[Document Number]])</f>
        <v>FS1018-CPM-ZZ-00-D-A-2001</v>
      </c>
    </row>
    <row r="302" spans="1:12" ht="28.8" x14ac:dyDescent="0.3">
      <c r="A302" t="s">
        <v>709</v>
      </c>
      <c r="B302" t="s">
        <v>710</v>
      </c>
      <c r="C302" t="s">
        <v>712</v>
      </c>
      <c r="D302" t="s">
        <v>20</v>
      </c>
      <c r="E302" s="8">
        <v>45748</v>
      </c>
      <c r="F302" s="1" t="s">
        <v>22</v>
      </c>
      <c r="G302" s="1" t="s">
        <v>4</v>
      </c>
      <c r="H302" s="8"/>
      <c r="J302" t="b">
        <v>1</v>
      </c>
      <c r="K302" t="s">
        <v>711</v>
      </c>
      <c r="L302" s="13" t="str">
        <f>HYPERLINK("https://uk1.aconex.co.uk/hub/index.html?mainTarget=%2FSearchControlledDoc%3FSEARCH_ACTION%3D15%26tab%3D0%26searchMode%3D1%26searchQuery%3Ddocno:%22"&amp;RawData[[#This Row],[Document Number]]&amp;"%22%20%2Bcversion%253A1",RawData[[#This Row],[Document Number]])</f>
        <v>FS1018-CPM-ZZ-00-D-A-2001</v>
      </c>
    </row>
    <row r="303" spans="1:12" ht="345.6" x14ac:dyDescent="0.3">
      <c r="A303" t="s">
        <v>713</v>
      </c>
      <c r="B303" t="s">
        <v>714</v>
      </c>
      <c r="C303" t="s">
        <v>10</v>
      </c>
      <c r="D303" t="s">
        <v>20</v>
      </c>
      <c r="E303" s="8">
        <v>45729</v>
      </c>
      <c r="F303" s="1" t="s">
        <v>12</v>
      </c>
      <c r="G303" s="1" t="s">
        <v>21</v>
      </c>
      <c r="H303" s="8">
        <v>45748</v>
      </c>
      <c r="I303" s="1" t="s">
        <v>1913</v>
      </c>
      <c r="J303" t="b">
        <v>1</v>
      </c>
      <c r="K303" t="s">
        <v>715</v>
      </c>
      <c r="L303" s="13" t="str">
        <f>HYPERLINK("https://uk1.aconex.co.uk/hub/index.html?mainTarget=%2FSearchControlledDoc%3FSEARCH_ACTION%3D15%26tab%3D0%26searchMode%3D1%26searchQuery%3Ddocno:%22"&amp;RawData[[#This Row],[Document Number]]&amp;"%22%20%2Bcversion%253A1",RawData[[#This Row],[Document Number]])</f>
        <v>FS1018-CPM-ZZ-00-D-A-2142</v>
      </c>
    </row>
    <row r="304" spans="1:12" ht="28.8" x14ac:dyDescent="0.3">
      <c r="A304" t="s">
        <v>713</v>
      </c>
      <c r="B304" t="s">
        <v>714</v>
      </c>
      <c r="C304" t="s">
        <v>10</v>
      </c>
      <c r="D304" t="s">
        <v>20</v>
      </c>
      <c r="E304" s="8">
        <v>45748</v>
      </c>
      <c r="F304" s="1" t="s">
        <v>22</v>
      </c>
      <c r="G304" s="1" t="s">
        <v>4</v>
      </c>
      <c r="H304" s="8"/>
      <c r="J304" t="b">
        <v>1</v>
      </c>
      <c r="K304" t="s">
        <v>715</v>
      </c>
      <c r="L304" s="13" t="str">
        <f>HYPERLINK("https://uk1.aconex.co.uk/hub/index.html?mainTarget=%2FSearchControlledDoc%3FSEARCH_ACTION%3D15%26tab%3D0%26searchMode%3D1%26searchQuery%3Ddocno:%22"&amp;RawData[[#This Row],[Document Number]]&amp;"%22%20%2Bcversion%253A1",RawData[[#This Row],[Document Number]])</f>
        <v>FS1018-CPM-ZZ-00-D-A-2142</v>
      </c>
    </row>
    <row r="305" spans="1:12" ht="115.2" x14ac:dyDescent="0.3">
      <c r="A305" t="s">
        <v>716</v>
      </c>
      <c r="B305" t="s">
        <v>717</v>
      </c>
      <c r="C305" t="s">
        <v>13</v>
      </c>
      <c r="D305" t="s">
        <v>20</v>
      </c>
      <c r="E305" s="8">
        <v>45729</v>
      </c>
      <c r="F305" s="1" t="s">
        <v>12</v>
      </c>
      <c r="G305" s="1" t="s">
        <v>21</v>
      </c>
      <c r="H305" s="8">
        <v>45748</v>
      </c>
      <c r="I305" s="1" t="s">
        <v>1914</v>
      </c>
      <c r="J305" t="b">
        <v>1</v>
      </c>
      <c r="K305" t="s">
        <v>718</v>
      </c>
      <c r="L305" s="13" t="str">
        <f>HYPERLINK("https://uk1.aconex.co.uk/hub/index.html?mainTarget=%2FSearchControlledDoc%3FSEARCH_ACTION%3D15%26tab%3D0%26searchMode%3D1%26searchQuery%3Ddocno:%22"&amp;RawData[[#This Row],[Document Number]]&amp;"%22%20%2Bcversion%253A1",RawData[[#This Row],[Document Number]])</f>
        <v>FS1018-CPM-ZZ-00-D-A-2200</v>
      </c>
    </row>
    <row r="306" spans="1:12" ht="28.8" x14ac:dyDescent="0.3">
      <c r="A306" t="s">
        <v>716</v>
      </c>
      <c r="B306" t="s">
        <v>717</v>
      </c>
      <c r="C306" t="s">
        <v>13</v>
      </c>
      <c r="D306" t="s">
        <v>20</v>
      </c>
      <c r="E306" s="8">
        <v>45748</v>
      </c>
      <c r="F306" s="1" t="s">
        <v>22</v>
      </c>
      <c r="G306" s="1" t="s">
        <v>4</v>
      </c>
      <c r="H306" s="8"/>
      <c r="J306" t="b">
        <v>1</v>
      </c>
      <c r="K306" t="s">
        <v>718</v>
      </c>
      <c r="L306" s="13" t="str">
        <f>HYPERLINK("https://uk1.aconex.co.uk/hub/index.html?mainTarget=%2FSearchControlledDoc%3FSEARCH_ACTION%3D15%26tab%3D0%26searchMode%3D1%26searchQuery%3Ddocno:%22"&amp;RawData[[#This Row],[Document Number]]&amp;"%22%20%2Bcversion%253A1",RawData[[#This Row],[Document Number]])</f>
        <v>FS1018-CPM-ZZ-00-D-A-2200</v>
      </c>
    </row>
    <row r="307" spans="1:12" ht="144" x14ac:dyDescent="0.3">
      <c r="A307" t="s">
        <v>719</v>
      </c>
      <c r="B307" t="s">
        <v>720</v>
      </c>
      <c r="C307" t="s">
        <v>418</v>
      </c>
      <c r="D307" t="s">
        <v>20</v>
      </c>
      <c r="E307" s="8">
        <v>45729</v>
      </c>
      <c r="F307" s="1" t="s">
        <v>12</v>
      </c>
      <c r="G307" s="1" t="s">
        <v>21</v>
      </c>
      <c r="H307" s="8">
        <v>45748</v>
      </c>
      <c r="I307" s="1" t="s">
        <v>1915</v>
      </c>
      <c r="J307" t="b">
        <v>1</v>
      </c>
      <c r="K307" t="s">
        <v>721</v>
      </c>
      <c r="L307" s="13" t="str">
        <f>HYPERLINK("https://uk1.aconex.co.uk/hub/index.html?mainTarget=%2FSearchControlledDoc%3FSEARCH_ACTION%3D15%26tab%3D0%26searchMode%3D1%26searchQuery%3Ddocno:%22"&amp;RawData[[#This Row],[Document Number]]&amp;"%22%20%2Bcversion%253A1",RawData[[#This Row],[Document Number]])</f>
        <v>FS1018-CPM-ZZ-00-D-A-2900</v>
      </c>
    </row>
    <row r="308" spans="1:12" ht="28.8" x14ac:dyDescent="0.3">
      <c r="A308" t="s">
        <v>719</v>
      </c>
      <c r="B308" t="s">
        <v>720</v>
      </c>
      <c r="C308" t="s">
        <v>418</v>
      </c>
      <c r="D308" t="s">
        <v>20</v>
      </c>
      <c r="E308" s="8">
        <v>45748</v>
      </c>
      <c r="F308" s="1" t="s">
        <v>22</v>
      </c>
      <c r="G308" s="1" t="s">
        <v>4</v>
      </c>
      <c r="H308" s="8"/>
      <c r="J308" t="b">
        <v>1</v>
      </c>
      <c r="K308" t="s">
        <v>721</v>
      </c>
      <c r="L308" s="13" t="str">
        <f>HYPERLINK("https://uk1.aconex.co.uk/hub/index.html?mainTarget=%2FSearchControlledDoc%3FSEARCH_ACTION%3D15%26tab%3D0%26searchMode%3D1%26searchQuery%3Ddocno:%22"&amp;RawData[[#This Row],[Document Number]]&amp;"%22%20%2Bcversion%253A1",RawData[[#This Row],[Document Number]])</f>
        <v>FS1018-CPM-ZZ-00-D-A-2900</v>
      </c>
    </row>
    <row r="309" spans="1:12" ht="72" x14ac:dyDescent="0.3">
      <c r="A309" t="s">
        <v>722</v>
      </c>
      <c r="B309" t="s">
        <v>723</v>
      </c>
      <c r="C309" t="s">
        <v>13</v>
      </c>
      <c r="D309" t="s">
        <v>20</v>
      </c>
      <c r="E309" s="8">
        <v>45729</v>
      </c>
      <c r="F309" s="1" t="s">
        <v>12</v>
      </c>
      <c r="G309" s="1" t="s">
        <v>21</v>
      </c>
      <c r="H309" s="8">
        <v>45748</v>
      </c>
      <c r="I309" s="1" t="s">
        <v>1916</v>
      </c>
      <c r="J309" t="b">
        <v>1</v>
      </c>
      <c r="K309" t="s">
        <v>724</v>
      </c>
      <c r="L309" s="13" t="str">
        <f>HYPERLINK("https://uk1.aconex.co.uk/hub/index.html?mainTarget=%2FSearchControlledDoc%3FSEARCH_ACTION%3D15%26tab%3D0%26searchMode%3D1%26searchQuery%3Ddocno:%22"&amp;RawData[[#This Row],[Document Number]]&amp;"%22%20%2Bcversion%253A1",RawData[[#This Row],[Document Number]])</f>
        <v>FS1018-CPM-ZZ-00-D-A-3001</v>
      </c>
    </row>
    <row r="310" spans="1:12" ht="28.8" x14ac:dyDescent="0.3">
      <c r="A310" t="s">
        <v>722</v>
      </c>
      <c r="B310" t="s">
        <v>723</v>
      </c>
      <c r="C310" t="s">
        <v>13</v>
      </c>
      <c r="D310" t="s">
        <v>20</v>
      </c>
      <c r="E310" s="8">
        <v>45748</v>
      </c>
      <c r="F310" s="1" t="s">
        <v>22</v>
      </c>
      <c r="G310" s="1" t="s">
        <v>4</v>
      </c>
      <c r="H310" s="8"/>
      <c r="J310" t="b">
        <v>1</v>
      </c>
      <c r="K310" t="s">
        <v>724</v>
      </c>
      <c r="L310" s="13" t="str">
        <f>HYPERLINK("https://uk1.aconex.co.uk/hub/index.html?mainTarget=%2FSearchControlledDoc%3FSEARCH_ACTION%3D15%26tab%3D0%26searchMode%3D1%26searchQuery%3Ddocno:%22"&amp;RawData[[#This Row],[Document Number]]&amp;"%22%20%2Bcversion%253A1",RawData[[#This Row],[Document Number]])</f>
        <v>FS1018-CPM-ZZ-00-D-A-3001</v>
      </c>
    </row>
    <row r="311" spans="1:12" ht="72" x14ac:dyDescent="0.3">
      <c r="A311" t="s">
        <v>725</v>
      </c>
      <c r="B311" t="s">
        <v>726</v>
      </c>
      <c r="C311" t="s">
        <v>10</v>
      </c>
      <c r="D311" t="s">
        <v>20</v>
      </c>
      <c r="E311" s="8">
        <v>45729</v>
      </c>
      <c r="F311" s="1" t="s">
        <v>12</v>
      </c>
      <c r="G311" s="1" t="s">
        <v>21</v>
      </c>
      <c r="H311" s="8">
        <v>45748</v>
      </c>
      <c r="I311" s="1" t="s">
        <v>1917</v>
      </c>
      <c r="J311" t="b">
        <v>1</v>
      </c>
      <c r="K311" t="s">
        <v>727</v>
      </c>
      <c r="L311" s="13" t="str">
        <f>HYPERLINK("https://uk1.aconex.co.uk/hub/index.html?mainTarget=%2FSearchControlledDoc%3FSEARCH_ACTION%3D15%26tab%3D0%26searchMode%3D1%26searchQuery%3Ddocno:%22"&amp;RawData[[#This Row],[Document Number]]&amp;"%22%20%2Bcversion%253A1",RawData[[#This Row],[Document Number]])</f>
        <v>FS1018-CPM-ZZ-00-D-A-3050</v>
      </c>
    </row>
    <row r="312" spans="1:12" ht="28.8" x14ac:dyDescent="0.3">
      <c r="A312" t="s">
        <v>725</v>
      </c>
      <c r="B312" t="s">
        <v>726</v>
      </c>
      <c r="C312" t="s">
        <v>10</v>
      </c>
      <c r="D312" t="s">
        <v>20</v>
      </c>
      <c r="E312" s="8">
        <v>45748</v>
      </c>
      <c r="F312" s="1" t="s">
        <v>22</v>
      </c>
      <c r="G312" s="1" t="s">
        <v>4</v>
      </c>
      <c r="H312" s="8"/>
      <c r="J312" t="b">
        <v>1</v>
      </c>
      <c r="K312" t="s">
        <v>727</v>
      </c>
      <c r="L312" s="13" t="str">
        <f>HYPERLINK("https://uk1.aconex.co.uk/hub/index.html?mainTarget=%2FSearchControlledDoc%3FSEARCH_ACTION%3D15%26tab%3D0%26searchMode%3D1%26searchQuery%3Ddocno:%22"&amp;RawData[[#This Row],[Document Number]]&amp;"%22%20%2Bcversion%253A1",RawData[[#This Row],[Document Number]])</f>
        <v>FS1018-CPM-ZZ-00-D-A-3050</v>
      </c>
    </row>
    <row r="313" spans="1:12" ht="57.6" x14ac:dyDescent="0.3">
      <c r="A313" t="s">
        <v>728</v>
      </c>
      <c r="B313" t="s">
        <v>729</v>
      </c>
      <c r="C313" t="s">
        <v>10</v>
      </c>
      <c r="D313" t="s">
        <v>20</v>
      </c>
      <c r="E313" s="8">
        <v>45729</v>
      </c>
      <c r="F313" s="1" t="s">
        <v>12</v>
      </c>
      <c r="G313" s="1" t="s">
        <v>21</v>
      </c>
      <c r="H313" s="8">
        <v>45748</v>
      </c>
      <c r="I313" s="1" t="s">
        <v>1918</v>
      </c>
      <c r="J313" t="b">
        <v>1</v>
      </c>
      <c r="K313" t="s">
        <v>730</v>
      </c>
      <c r="L313" s="13" t="str">
        <f>HYPERLINK("https://uk1.aconex.co.uk/hub/index.html?mainTarget=%2FSearchControlledDoc%3FSEARCH_ACTION%3D15%26tab%3D0%26searchMode%3D1%26searchQuery%3Ddocno:%22"&amp;RawData[[#This Row],[Document Number]]&amp;"%22%20%2Bcversion%253A1",RawData[[#This Row],[Document Number]])</f>
        <v>FS1018-CPM-ZZ-00-D-A-3051</v>
      </c>
    </row>
    <row r="314" spans="1:12" ht="28.8" x14ac:dyDescent="0.3">
      <c r="A314" t="s">
        <v>728</v>
      </c>
      <c r="B314" t="s">
        <v>729</v>
      </c>
      <c r="C314" t="s">
        <v>10</v>
      </c>
      <c r="D314" t="s">
        <v>20</v>
      </c>
      <c r="E314" s="8">
        <v>45748</v>
      </c>
      <c r="F314" s="1" t="s">
        <v>22</v>
      </c>
      <c r="G314" s="1" t="s">
        <v>4</v>
      </c>
      <c r="H314" s="8"/>
      <c r="J314" t="b">
        <v>1</v>
      </c>
      <c r="K314" t="s">
        <v>730</v>
      </c>
      <c r="L314" s="13" t="str">
        <f>HYPERLINK("https://uk1.aconex.co.uk/hub/index.html?mainTarget=%2FSearchControlledDoc%3FSEARCH_ACTION%3D15%26tab%3D0%26searchMode%3D1%26searchQuery%3Ddocno:%22"&amp;RawData[[#This Row],[Document Number]]&amp;"%22%20%2Bcversion%253A1",RawData[[#This Row],[Document Number]])</f>
        <v>FS1018-CPM-ZZ-00-D-A-3051</v>
      </c>
    </row>
    <row r="315" spans="1:12" ht="57.6" x14ac:dyDescent="0.3">
      <c r="A315" t="s">
        <v>731</v>
      </c>
      <c r="B315" t="s">
        <v>732</v>
      </c>
      <c r="C315" t="s">
        <v>13</v>
      </c>
      <c r="D315" t="s">
        <v>20</v>
      </c>
      <c r="E315" s="8">
        <v>45729</v>
      </c>
      <c r="F315" s="1" t="s">
        <v>12</v>
      </c>
      <c r="G315" s="1" t="s">
        <v>21</v>
      </c>
      <c r="H315" s="8">
        <v>45748</v>
      </c>
      <c r="I315" s="1" t="s">
        <v>1918</v>
      </c>
      <c r="J315" t="b">
        <v>1</v>
      </c>
      <c r="K315" t="s">
        <v>733</v>
      </c>
      <c r="L315" s="13" t="str">
        <f>HYPERLINK("https://uk1.aconex.co.uk/hub/index.html?mainTarget=%2FSearchControlledDoc%3FSEARCH_ACTION%3D15%26tab%3D0%26searchMode%3D1%26searchQuery%3Ddocno:%22"&amp;RawData[[#This Row],[Document Number]]&amp;"%22%20%2Bcversion%253A1",RawData[[#This Row],[Document Number]])</f>
        <v>FS1018-CPM-ZZ-00-D-A-3052</v>
      </c>
    </row>
    <row r="316" spans="1:12" ht="28.8" x14ac:dyDescent="0.3">
      <c r="A316" t="s">
        <v>731</v>
      </c>
      <c r="B316" t="s">
        <v>732</v>
      </c>
      <c r="C316" t="s">
        <v>13</v>
      </c>
      <c r="D316" t="s">
        <v>20</v>
      </c>
      <c r="E316" s="8">
        <v>45748</v>
      </c>
      <c r="F316" s="1" t="s">
        <v>22</v>
      </c>
      <c r="G316" s="1" t="s">
        <v>4</v>
      </c>
      <c r="H316" s="8"/>
      <c r="J316" t="b">
        <v>1</v>
      </c>
      <c r="K316" t="s">
        <v>733</v>
      </c>
      <c r="L316" s="13" t="str">
        <f>HYPERLINK("https://uk1.aconex.co.uk/hub/index.html?mainTarget=%2FSearchControlledDoc%3FSEARCH_ACTION%3D15%26tab%3D0%26searchMode%3D1%26searchQuery%3Ddocno:%22"&amp;RawData[[#This Row],[Document Number]]&amp;"%22%20%2Bcversion%253A1",RawData[[#This Row],[Document Number]])</f>
        <v>FS1018-CPM-ZZ-00-D-A-3052</v>
      </c>
    </row>
    <row r="317" spans="1:12" ht="100.8" x14ac:dyDescent="0.3">
      <c r="A317" t="s">
        <v>734</v>
      </c>
      <c r="B317" t="s">
        <v>735</v>
      </c>
      <c r="C317" t="s">
        <v>13</v>
      </c>
      <c r="D317" t="s">
        <v>20</v>
      </c>
      <c r="E317" s="8">
        <v>45729</v>
      </c>
      <c r="F317" s="1" t="s">
        <v>12</v>
      </c>
      <c r="G317" s="1" t="s">
        <v>21</v>
      </c>
      <c r="H317" s="8">
        <v>45748</v>
      </c>
      <c r="I317" s="1" t="s">
        <v>1919</v>
      </c>
      <c r="J317" t="b">
        <v>1</v>
      </c>
      <c r="K317" t="s">
        <v>736</v>
      </c>
      <c r="L317" s="13" t="str">
        <f>HYPERLINK("https://uk1.aconex.co.uk/hub/index.html?mainTarget=%2FSearchControlledDoc%3FSEARCH_ACTION%3D15%26tab%3D0%26searchMode%3D1%26searchQuery%3Ddocno:%22"&amp;RawData[[#This Row],[Document Number]]&amp;"%22%20%2Bcversion%253A1",RawData[[#This Row],[Document Number]])</f>
        <v>FS1018-CPM-ZZ-00-D-A-3053</v>
      </c>
    </row>
    <row r="318" spans="1:12" ht="28.8" x14ac:dyDescent="0.3">
      <c r="A318" t="s">
        <v>734</v>
      </c>
      <c r="B318" t="s">
        <v>735</v>
      </c>
      <c r="C318" t="s">
        <v>13</v>
      </c>
      <c r="D318" t="s">
        <v>20</v>
      </c>
      <c r="E318" s="8">
        <v>45748</v>
      </c>
      <c r="F318" s="1" t="s">
        <v>22</v>
      </c>
      <c r="G318" s="1" t="s">
        <v>4</v>
      </c>
      <c r="H318" s="8"/>
      <c r="J318" t="b">
        <v>1</v>
      </c>
      <c r="K318" t="s">
        <v>736</v>
      </c>
      <c r="L318" s="13" t="str">
        <f>HYPERLINK("https://uk1.aconex.co.uk/hub/index.html?mainTarget=%2FSearchControlledDoc%3FSEARCH_ACTION%3D15%26tab%3D0%26searchMode%3D1%26searchQuery%3Ddocno:%22"&amp;RawData[[#This Row],[Document Number]]&amp;"%22%20%2Bcversion%253A1",RawData[[#This Row],[Document Number]])</f>
        <v>FS1018-CPM-ZZ-00-D-A-3053</v>
      </c>
    </row>
    <row r="319" spans="1:12" ht="100.8" x14ac:dyDescent="0.3">
      <c r="A319" t="s">
        <v>737</v>
      </c>
      <c r="B319" t="s">
        <v>738</v>
      </c>
      <c r="C319" t="s">
        <v>13</v>
      </c>
      <c r="D319" t="s">
        <v>20</v>
      </c>
      <c r="E319" s="8">
        <v>45729</v>
      </c>
      <c r="F319" s="1" t="s">
        <v>12</v>
      </c>
      <c r="G319" s="1" t="s">
        <v>21</v>
      </c>
      <c r="H319" s="8">
        <v>45748</v>
      </c>
      <c r="I319" s="1" t="s">
        <v>1919</v>
      </c>
      <c r="J319" t="b">
        <v>1</v>
      </c>
      <c r="K319" t="s">
        <v>739</v>
      </c>
      <c r="L319" s="13" t="str">
        <f>HYPERLINK("https://uk1.aconex.co.uk/hub/index.html?mainTarget=%2FSearchControlledDoc%3FSEARCH_ACTION%3D15%26tab%3D0%26searchMode%3D1%26searchQuery%3Ddocno:%22"&amp;RawData[[#This Row],[Document Number]]&amp;"%22%20%2Bcversion%253A1",RawData[[#This Row],[Document Number]])</f>
        <v>FS1018-CPM-ZZ-00-D-A-3054</v>
      </c>
    </row>
    <row r="320" spans="1:12" ht="28.8" x14ac:dyDescent="0.3">
      <c r="A320" t="s">
        <v>737</v>
      </c>
      <c r="B320" t="s">
        <v>738</v>
      </c>
      <c r="C320" t="s">
        <v>13</v>
      </c>
      <c r="D320" t="s">
        <v>20</v>
      </c>
      <c r="E320" s="8">
        <v>45748</v>
      </c>
      <c r="F320" s="1" t="s">
        <v>22</v>
      </c>
      <c r="G320" s="1" t="s">
        <v>4</v>
      </c>
      <c r="H320" s="8"/>
      <c r="J320" t="b">
        <v>1</v>
      </c>
      <c r="K320" t="s">
        <v>739</v>
      </c>
      <c r="L320" s="13" t="str">
        <f>HYPERLINK("https://uk1.aconex.co.uk/hub/index.html?mainTarget=%2FSearchControlledDoc%3FSEARCH_ACTION%3D15%26tab%3D0%26searchMode%3D1%26searchQuery%3Ddocno:%22"&amp;RawData[[#This Row],[Document Number]]&amp;"%22%20%2Bcversion%253A1",RawData[[#This Row],[Document Number]])</f>
        <v>FS1018-CPM-ZZ-00-D-A-3054</v>
      </c>
    </row>
    <row r="321" spans="1:12" ht="244.8" x14ac:dyDescent="0.3">
      <c r="A321" t="s">
        <v>740</v>
      </c>
      <c r="B321" t="s">
        <v>741</v>
      </c>
      <c r="C321" t="s">
        <v>10</v>
      </c>
      <c r="D321" t="s">
        <v>20</v>
      </c>
      <c r="E321" s="8">
        <v>45729</v>
      </c>
      <c r="F321" s="1" t="s">
        <v>12</v>
      </c>
      <c r="G321" s="1" t="s">
        <v>21</v>
      </c>
      <c r="H321" s="8">
        <v>45748</v>
      </c>
      <c r="I321" s="1" t="s">
        <v>1920</v>
      </c>
      <c r="J321" t="b">
        <v>1</v>
      </c>
      <c r="K321" t="s">
        <v>742</v>
      </c>
      <c r="L321" s="13" t="str">
        <f>HYPERLINK("https://uk1.aconex.co.uk/hub/index.html?mainTarget=%2FSearchControlledDoc%3FSEARCH_ACTION%3D15%26tab%3D0%26searchMode%3D1%26searchQuery%3Ddocno:%22"&amp;RawData[[#This Row],[Document Number]]&amp;"%22%20%2Bcversion%253A1",RawData[[#This Row],[Document Number]])</f>
        <v>FS1018-CPM-ZZ-00-D-A-3500</v>
      </c>
    </row>
    <row r="322" spans="1:12" ht="28.8" x14ac:dyDescent="0.3">
      <c r="A322" t="s">
        <v>740</v>
      </c>
      <c r="B322" t="s">
        <v>741</v>
      </c>
      <c r="C322" t="s">
        <v>10</v>
      </c>
      <c r="D322" t="s">
        <v>20</v>
      </c>
      <c r="E322" s="8">
        <v>45748</v>
      </c>
      <c r="F322" s="1" t="s">
        <v>22</v>
      </c>
      <c r="G322" s="1" t="s">
        <v>4</v>
      </c>
      <c r="H322" s="8"/>
      <c r="J322" t="b">
        <v>1</v>
      </c>
      <c r="K322" t="s">
        <v>742</v>
      </c>
      <c r="L322" s="13" t="str">
        <f>HYPERLINK("https://uk1.aconex.co.uk/hub/index.html?mainTarget=%2FSearchControlledDoc%3FSEARCH_ACTION%3D15%26tab%3D0%26searchMode%3D1%26searchQuery%3Ddocno:%22"&amp;RawData[[#This Row],[Document Number]]&amp;"%22%20%2Bcversion%253A1",RawData[[#This Row],[Document Number]])</f>
        <v>FS1018-CPM-ZZ-00-D-A-3500</v>
      </c>
    </row>
    <row r="323" spans="1:12" ht="172.8" x14ac:dyDescent="0.3">
      <c r="A323" t="s">
        <v>743</v>
      </c>
      <c r="B323" t="s">
        <v>744</v>
      </c>
      <c r="C323" t="s">
        <v>13</v>
      </c>
      <c r="D323" t="s">
        <v>20</v>
      </c>
      <c r="E323" s="8">
        <v>45729</v>
      </c>
      <c r="F323" s="1" t="s">
        <v>12</v>
      </c>
      <c r="G323" s="1" t="s">
        <v>21</v>
      </c>
      <c r="H323" s="8">
        <v>45748</v>
      </c>
      <c r="I323" s="1" t="s">
        <v>1921</v>
      </c>
      <c r="J323" t="b">
        <v>1</v>
      </c>
      <c r="K323" t="s">
        <v>745</v>
      </c>
      <c r="L323" s="13" t="str">
        <f>HYPERLINK("https://uk1.aconex.co.uk/hub/index.html?mainTarget=%2FSearchControlledDoc%3FSEARCH_ACTION%3D15%26tab%3D0%26searchMode%3D1%26searchQuery%3Ddocno:%22"&amp;RawData[[#This Row],[Document Number]]&amp;"%22%20%2Bcversion%253A1",RawData[[#This Row],[Document Number]])</f>
        <v>FS1018-CPM-ZZ-00-D-A-6807</v>
      </c>
    </row>
    <row r="324" spans="1:12" ht="28.8" x14ac:dyDescent="0.3">
      <c r="A324" t="s">
        <v>743</v>
      </c>
      <c r="B324" t="s">
        <v>744</v>
      </c>
      <c r="C324" t="s">
        <v>13</v>
      </c>
      <c r="D324" t="s">
        <v>20</v>
      </c>
      <c r="E324" s="8">
        <v>45748</v>
      </c>
      <c r="F324" s="1" t="s">
        <v>22</v>
      </c>
      <c r="G324" s="1" t="s">
        <v>4</v>
      </c>
      <c r="H324" s="8"/>
      <c r="J324" t="b">
        <v>1</v>
      </c>
      <c r="K324" t="s">
        <v>745</v>
      </c>
      <c r="L324" s="13" t="str">
        <f>HYPERLINK("https://uk1.aconex.co.uk/hub/index.html?mainTarget=%2FSearchControlledDoc%3FSEARCH_ACTION%3D15%26tab%3D0%26searchMode%3D1%26searchQuery%3Ddocno:%22"&amp;RawData[[#This Row],[Document Number]]&amp;"%22%20%2Bcversion%253A1",RawData[[#This Row],[Document Number]])</f>
        <v>FS1018-CPM-ZZ-00-D-A-6807</v>
      </c>
    </row>
    <row r="325" spans="1:12" ht="288" x14ac:dyDescent="0.3">
      <c r="A325" t="s">
        <v>746</v>
      </c>
      <c r="B325" t="s">
        <v>747</v>
      </c>
      <c r="C325" t="s">
        <v>13</v>
      </c>
      <c r="D325" t="s">
        <v>20</v>
      </c>
      <c r="E325" s="8">
        <v>45729</v>
      </c>
      <c r="F325" s="1" t="s">
        <v>12</v>
      </c>
      <c r="G325" s="1" t="s">
        <v>21</v>
      </c>
      <c r="H325" s="8">
        <v>45748</v>
      </c>
      <c r="I325" s="1" t="s">
        <v>1922</v>
      </c>
      <c r="J325" t="b">
        <v>1</v>
      </c>
      <c r="K325" t="s">
        <v>748</v>
      </c>
      <c r="L325" s="13" t="str">
        <f>HYPERLINK("https://uk1.aconex.co.uk/hub/index.html?mainTarget=%2FSearchControlledDoc%3FSEARCH_ACTION%3D15%26tab%3D0%26searchMode%3D1%26searchQuery%3Ddocno:%22"&amp;RawData[[#This Row],[Document Number]]&amp;"%22%20%2Bcversion%253A1",RawData[[#This Row],[Document Number]])</f>
        <v>FS1018-CPM-ZZ-00-D-A-6808</v>
      </c>
    </row>
    <row r="326" spans="1:12" ht="28.8" x14ac:dyDescent="0.3">
      <c r="A326" t="s">
        <v>746</v>
      </c>
      <c r="B326" t="s">
        <v>747</v>
      </c>
      <c r="C326" t="s">
        <v>13</v>
      </c>
      <c r="D326" t="s">
        <v>20</v>
      </c>
      <c r="E326" s="8">
        <v>45748</v>
      </c>
      <c r="F326" s="1" t="s">
        <v>22</v>
      </c>
      <c r="G326" s="1" t="s">
        <v>4</v>
      </c>
      <c r="H326" s="8"/>
      <c r="J326" t="b">
        <v>1</v>
      </c>
      <c r="K326" t="s">
        <v>748</v>
      </c>
      <c r="L326" s="13" t="str">
        <f>HYPERLINK("https://uk1.aconex.co.uk/hub/index.html?mainTarget=%2FSearchControlledDoc%3FSEARCH_ACTION%3D15%26tab%3D0%26searchMode%3D1%26searchQuery%3Ddocno:%22"&amp;RawData[[#This Row],[Document Number]]&amp;"%22%20%2Bcversion%253A1",RawData[[#This Row],[Document Number]])</f>
        <v>FS1018-CPM-ZZ-00-D-A-6808</v>
      </c>
    </row>
    <row r="327" spans="1:12" ht="288" x14ac:dyDescent="0.3">
      <c r="A327" t="s">
        <v>749</v>
      </c>
      <c r="B327" t="s">
        <v>750</v>
      </c>
      <c r="C327" t="s">
        <v>13</v>
      </c>
      <c r="D327" t="s">
        <v>20</v>
      </c>
      <c r="E327" s="8">
        <v>45729</v>
      </c>
      <c r="F327" s="1" t="s">
        <v>12</v>
      </c>
      <c r="G327" s="1" t="s">
        <v>21</v>
      </c>
      <c r="H327" s="8">
        <v>45748</v>
      </c>
      <c r="I327" s="1" t="s">
        <v>1922</v>
      </c>
      <c r="J327" t="b">
        <v>1</v>
      </c>
      <c r="K327" t="s">
        <v>751</v>
      </c>
      <c r="L327" s="13" t="str">
        <f>HYPERLINK("https://uk1.aconex.co.uk/hub/index.html?mainTarget=%2FSearchControlledDoc%3FSEARCH_ACTION%3D15%26tab%3D0%26searchMode%3D1%26searchQuery%3Ddocno:%22"&amp;RawData[[#This Row],[Document Number]]&amp;"%22%20%2Bcversion%253A1",RawData[[#This Row],[Document Number]])</f>
        <v>FS1018-CPM-ZZ-00-D-A-6809</v>
      </c>
    </row>
    <row r="328" spans="1:12" ht="28.8" x14ac:dyDescent="0.3">
      <c r="A328" t="s">
        <v>749</v>
      </c>
      <c r="B328" t="s">
        <v>750</v>
      </c>
      <c r="C328" t="s">
        <v>13</v>
      </c>
      <c r="D328" t="s">
        <v>20</v>
      </c>
      <c r="E328" s="8">
        <v>45748</v>
      </c>
      <c r="F328" s="1" t="s">
        <v>22</v>
      </c>
      <c r="G328" s="1" t="s">
        <v>4</v>
      </c>
      <c r="H328" s="8"/>
      <c r="J328" t="b">
        <v>1</v>
      </c>
      <c r="K328" t="s">
        <v>751</v>
      </c>
      <c r="L328" s="13" t="str">
        <f>HYPERLINK("https://uk1.aconex.co.uk/hub/index.html?mainTarget=%2FSearchControlledDoc%3FSEARCH_ACTION%3D15%26tab%3D0%26searchMode%3D1%26searchQuery%3Ddocno:%22"&amp;RawData[[#This Row],[Document Number]]&amp;"%22%20%2Bcversion%253A1",RawData[[#This Row],[Document Number]])</f>
        <v>FS1018-CPM-ZZ-00-D-A-6809</v>
      </c>
    </row>
    <row r="329" spans="1:12" ht="172.8" x14ac:dyDescent="0.3">
      <c r="A329" t="s">
        <v>752</v>
      </c>
      <c r="B329" t="s">
        <v>753</v>
      </c>
      <c r="C329" t="s">
        <v>13</v>
      </c>
      <c r="D329" t="s">
        <v>20</v>
      </c>
      <c r="E329" s="8">
        <v>45729</v>
      </c>
      <c r="F329" s="1" t="s">
        <v>12</v>
      </c>
      <c r="G329" s="1" t="s">
        <v>21</v>
      </c>
      <c r="H329" s="8">
        <v>45748</v>
      </c>
      <c r="I329" s="1" t="s">
        <v>1923</v>
      </c>
      <c r="J329" t="b">
        <v>1</v>
      </c>
      <c r="K329" t="s">
        <v>754</v>
      </c>
      <c r="L329" s="13" t="str">
        <f>HYPERLINK("https://uk1.aconex.co.uk/hub/index.html?mainTarget=%2FSearchControlledDoc%3FSEARCH_ACTION%3D15%26tab%3D0%26searchMode%3D1%26searchQuery%3Ddocno:%22"&amp;RawData[[#This Row],[Document Number]]&amp;"%22%20%2Bcversion%253A1",RawData[[#This Row],[Document Number]])</f>
        <v>FS1018-CPM-ZZ-00-D-A-6810</v>
      </c>
    </row>
    <row r="330" spans="1:12" ht="28.8" x14ac:dyDescent="0.3">
      <c r="A330" t="s">
        <v>752</v>
      </c>
      <c r="B330" t="s">
        <v>753</v>
      </c>
      <c r="C330" t="s">
        <v>13</v>
      </c>
      <c r="D330" t="s">
        <v>20</v>
      </c>
      <c r="E330" s="8">
        <v>45748</v>
      </c>
      <c r="F330" s="1" t="s">
        <v>22</v>
      </c>
      <c r="G330" s="1" t="s">
        <v>4</v>
      </c>
      <c r="H330" s="8"/>
      <c r="J330" t="b">
        <v>1</v>
      </c>
      <c r="K330" t="s">
        <v>754</v>
      </c>
      <c r="L330" s="13" t="str">
        <f>HYPERLINK("https://uk1.aconex.co.uk/hub/index.html?mainTarget=%2FSearchControlledDoc%3FSEARCH_ACTION%3D15%26tab%3D0%26searchMode%3D1%26searchQuery%3Ddocno:%22"&amp;RawData[[#This Row],[Document Number]]&amp;"%22%20%2Bcversion%253A1",RawData[[#This Row],[Document Number]])</f>
        <v>FS1018-CPM-ZZ-00-D-A-6810</v>
      </c>
    </row>
    <row r="331" spans="1:12" ht="409.6" x14ac:dyDescent="0.3">
      <c r="A331" t="s">
        <v>755</v>
      </c>
      <c r="B331" t="s">
        <v>756</v>
      </c>
      <c r="C331" t="s">
        <v>10</v>
      </c>
      <c r="D331" t="s">
        <v>20</v>
      </c>
      <c r="E331" s="8">
        <v>45729</v>
      </c>
      <c r="F331" s="1" t="s">
        <v>12</v>
      </c>
      <c r="G331" s="1" t="s">
        <v>21</v>
      </c>
      <c r="H331" s="8">
        <v>45748</v>
      </c>
      <c r="I331" s="1" t="s">
        <v>1924</v>
      </c>
      <c r="J331" t="b">
        <v>1</v>
      </c>
      <c r="K331" t="s">
        <v>757</v>
      </c>
      <c r="L331" s="13" t="str">
        <f>HYPERLINK("https://uk1.aconex.co.uk/hub/index.html?mainTarget=%2FSearchControlledDoc%3FSEARCH_ACTION%3D15%26tab%3D0%26searchMode%3D1%26searchQuery%3Ddocno:%22"&amp;RawData[[#This Row],[Document Number]]&amp;"%22%20%2Bcversion%253A1",RawData[[#This Row],[Document Number]])</f>
        <v>FS1018-CPM-ZZ-00-D-A-6811</v>
      </c>
    </row>
    <row r="332" spans="1:12" ht="28.8" x14ac:dyDescent="0.3">
      <c r="A332" t="s">
        <v>755</v>
      </c>
      <c r="B332" t="s">
        <v>756</v>
      </c>
      <c r="C332" t="s">
        <v>10</v>
      </c>
      <c r="D332" t="s">
        <v>20</v>
      </c>
      <c r="E332" s="8">
        <v>45748</v>
      </c>
      <c r="F332" s="1" t="s">
        <v>22</v>
      </c>
      <c r="G332" s="1" t="s">
        <v>4</v>
      </c>
      <c r="H332" s="8"/>
      <c r="J332" t="b">
        <v>1</v>
      </c>
      <c r="K332" t="s">
        <v>757</v>
      </c>
      <c r="L332" s="13" t="str">
        <f>HYPERLINK("https://uk1.aconex.co.uk/hub/index.html?mainTarget=%2FSearchControlledDoc%3FSEARCH_ACTION%3D15%26tab%3D0%26searchMode%3D1%26searchQuery%3Ddocno:%22"&amp;RawData[[#This Row],[Document Number]]&amp;"%22%20%2Bcversion%253A1",RawData[[#This Row],[Document Number]])</f>
        <v>FS1018-CPM-ZZ-00-D-A-6811</v>
      </c>
    </row>
    <row r="333" spans="1:12" ht="288" x14ac:dyDescent="0.3">
      <c r="A333" t="s">
        <v>758</v>
      </c>
      <c r="B333" t="s">
        <v>759</v>
      </c>
      <c r="C333" t="s">
        <v>13</v>
      </c>
      <c r="D333" t="s">
        <v>20</v>
      </c>
      <c r="E333" s="8">
        <v>45729</v>
      </c>
      <c r="F333" s="1" t="s">
        <v>12</v>
      </c>
      <c r="G333" s="1" t="s">
        <v>21</v>
      </c>
      <c r="H333" s="8">
        <v>45748</v>
      </c>
      <c r="I333" s="1" t="s">
        <v>1925</v>
      </c>
      <c r="J333" t="b">
        <v>1</v>
      </c>
      <c r="K333" t="s">
        <v>760</v>
      </c>
      <c r="L333" s="13" t="str">
        <f>HYPERLINK("https://uk1.aconex.co.uk/hub/index.html?mainTarget=%2FSearchControlledDoc%3FSEARCH_ACTION%3D15%26tab%3D0%26searchMode%3D1%26searchQuery%3Ddocno:%22"&amp;RawData[[#This Row],[Document Number]]&amp;"%22%20%2Bcversion%253A1",RawData[[#This Row],[Document Number]])</f>
        <v>FS1018-CPM-ZZ-00-D-A-6812</v>
      </c>
    </row>
    <row r="334" spans="1:12" ht="28.8" x14ac:dyDescent="0.3">
      <c r="A334" t="s">
        <v>758</v>
      </c>
      <c r="B334" t="s">
        <v>759</v>
      </c>
      <c r="C334" t="s">
        <v>13</v>
      </c>
      <c r="D334" t="s">
        <v>20</v>
      </c>
      <c r="E334" s="8">
        <v>45748</v>
      </c>
      <c r="F334" s="1" t="s">
        <v>22</v>
      </c>
      <c r="G334" s="1" t="s">
        <v>4</v>
      </c>
      <c r="H334" s="8"/>
      <c r="J334" t="b">
        <v>1</v>
      </c>
      <c r="K334" t="s">
        <v>760</v>
      </c>
      <c r="L334" s="13" t="str">
        <f>HYPERLINK("https://uk1.aconex.co.uk/hub/index.html?mainTarget=%2FSearchControlledDoc%3FSEARCH_ACTION%3D15%26tab%3D0%26searchMode%3D1%26searchQuery%3Ddocno:%22"&amp;RawData[[#This Row],[Document Number]]&amp;"%22%20%2Bcversion%253A1",RawData[[#This Row],[Document Number]])</f>
        <v>FS1018-CPM-ZZ-00-D-A-6812</v>
      </c>
    </row>
    <row r="335" spans="1:12" ht="409.6" x14ac:dyDescent="0.3">
      <c r="A335" t="s">
        <v>761</v>
      </c>
      <c r="B335" t="s">
        <v>762</v>
      </c>
      <c r="C335" t="s">
        <v>765</v>
      </c>
      <c r="D335" t="s">
        <v>20</v>
      </c>
      <c r="E335" s="8">
        <v>45729</v>
      </c>
      <c r="F335" s="1" t="s">
        <v>12</v>
      </c>
      <c r="G335" s="1" t="s">
        <v>21</v>
      </c>
      <c r="H335" s="8">
        <v>45748</v>
      </c>
      <c r="I335" s="1" t="s">
        <v>1926</v>
      </c>
      <c r="J335" t="b">
        <v>1</v>
      </c>
      <c r="K335" t="s">
        <v>764</v>
      </c>
      <c r="L335" s="13" t="str">
        <f>HYPERLINK("https://uk1.aconex.co.uk/hub/index.html?mainTarget=%2FSearchControlledDoc%3FSEARCH_ACTION%3D15%26tab%3D0%26searchMode%3D1%26searchQuery%3Ddocno:%22"&amp;RawData[[#This Row],[Document Number]]&amp;"%22%20%2Bcversion%253A1",RawData[[#This Row],[Document Number]])</f>
        <v>FS1018-CPM-ZZ-01-D-A-2002</v>
      </c>
    </row>
    <row r="336" spans="1:12" ht="28.8" x14ac:dyDescent="0.3">
      <c r="A336" t="s">
        <v>761</v>
      </c>
      <c r="B336" t="s">
        <v>762</v>
      </c>
      <c r="C336" t="s">
        <v>765</v>
      </c>
      <c r="D336" t="s">
        <v>20</v>
      </c>
      <c r="E336" s="8">
        <v>45748</v>
      </c>
      <c r="F336" s="1" t="s">
        <v>22</v>
      </c>
      <c r="G336" s="1" t="s">
        <v>4</v>
      </c>
      <c r="H336" s="8"/>
      <c r="J336" t="b">
        <v>1</v>
      </c>
      <c r="K336" t="s">
        <v>764</v>
      </c>
      <c r="L336" s="13" t="str">
        <f>HYPERLINK("https://uk1.aconex.co.uk/hub/index.html?mainTarget=%2FSearchControlledDoc%3FSEARCH_ACTION%3D15%26tab%3D0%26searchMode%3D1%26searchQuery%3Ddocno:%22"&amp;RawData[[#This Row],[Document Number]]&amp;"%22%20%2Bcversion%253A1",RawData[[#This Row],[Document Number]])</f>
        <v>FS1018-CPM-ZZ-01-D-A-2002</v>
      </c>
    </row>
    <row r="337" spans="1:12" ht="57.6" x14ac:dyDescent="0.3">
      <c r="A337" t="s">
        <v>766</v>
      </c>
      <c r="B337" t="s">
        <v>767</v>
      </c>
      <c r="C337" t="s">
        <v>13</v>
      </c>
      <c r="D337" t="s">
        <v>20</v>
      </c>
      <c r="E337" s="8">
        <v>45729</v>
      </c>
      <c r="F337" s="1" t="s">
        <v>12</v>
      </c>
      <c r="G337" s="1" t="s">
        <v>21</v>
      </c>
      <c r="H337" s="8">
        <v>45748</v>
      </c>
      <c r="I337" s="1" t="s">
        <v>1927</v>
      </c>
      <c r="J337" t="b">
        <v>1</v>
      </c>
      <c r="K337" t="s">
        <v>768</v>
      </c>
      <c r="L337" s="13" t="str">
        <f>HYPERLINK("https://uk1.aconex.co.uk/hub/index.html?mainTarget=%2FSearchControlledDoc%3FSEARCH_ACTION%3D15%26tab%3D0%26searchMode%3D1%26searchQuery%3Ddocno:%22"&amp;RawData[[#This Row],[Document Number]]&amp;"%22%20%2Bcversion%253A1",RawData[[#This Row],[Document Number]])</f>
        <v>FS1018-CPM-ZZ-01-D-A-2201</v>
      </c>
    </row>
    <row r="338" spans="1:12" ht="28.8" x14ac:dyDescent="0.3">
      <c r="A338" t="s">
        <v>766</v>
      </c>
      <c r="B338" t="s">
        <v>767</v>
      </c>
      <c r="C338" t="s">
        <v>13</v>
      </c>
      <c r="D338" t="s">
        <v>20</v>
      </c>
      <c r="E338" s="8">
        <v>45748</v>
      </c>
      <c r="F338" s="1" t="s">
        <v>22</v>
      </c>
      <c r="G338" s="1" t="s">
        <v>4</v>
      </c>
      <c r="H338" s="8"/>
      <c r="J338" t="b">
        <v>1</v>
      </c>
      <c r="K338" t="s">
        <v>768</v>
      </c>
      <c r="L338" s="13" t="str">
        <f>HYPERLINK("https://uk1.aconex.co.uk/hub/index.html?mainTarget=%2FSearchControlledDoc%3FSEARCH_ACTION%3D15%26tab%3D0%26searchMode%3D1%26searchQuery%3Ddocno:%22"&amp;RawData[[#This Row],[Document Number]]&amp;"%22%20%2Bcversion%253A1",RawData[[#This Row],[Document Number]])</f>
        <v>FS1018-CPM-ZZ-01-D-A-2201</v>
      </c>
    </row>
    <row r="339" spans="1:12" ht="43.2" x14ac:dyDescent="0.3">
      <c r="A339" t="s">
        <v>769</v>
      </c>
      <c r="B339" t="s">
        <v>770</v>
      </c>
      <c r="C339" t="s">
        <v>13</v>
      </c>
      <c r="D339" t="s">
        <v>20</v>
      </c>
      <c r="E339" s="8">
        <v>45729</v>
      </c>
      <c r="F339" s="1" t="s">
        <v>12</v>
      </c>
      <c r="G339" s="1" t="s">
        <v>21</v>
      </c>
      <c r="H339" s="8">
        <v>45750</v>
      </c>
      <c r="I339" s="1" t="s">
        <v>1953</v>
      </c>
      <c r="J339" t="b">
        <v>1</v>
      </c>
      <c r="K339" t="s">
        <v>771</v>
      </c>
      <c r="L339" s="13" t="str">
        <f>HYPERLINK("https://uk1.aconex.co.uk/hub/index.html?mainTarget=%2FSearchControlledDoc%3FSEARCH_ACTION%3D15%26tab%3D0%26searchMode%3D1%26searchQuery%3Ddocno:%22"&amp;RawData[[#This Row],[Document Number]]&amp;"%22%20%2Bcversion%253A1",RawData[[#This Row],[Document Number]])</f>
        <v>FS1018-CPM-ZZ-01-D-A-2250</v>
      </c>
    </row>
    <row r="340" spans="1:12" ht="28.8" x14ac:dyDescent="0.3">
      <c r="A340" t="s">
        <v>769</v>
      </c>
      <c r="B340" t="s">
        <v>770</v>
      </c>
      <c r="C340" t="s">
        <v>13</v>
      </c>
      <c r="D340" t="s">
        <v>20</v>
      </c>
      <c r="E340" s="8">
        <v>45750</v>
      </c>
      <c r="F340" s="1" t="s">
        <v>22</v>
      </c>
      <c r="G340" s="1" t="s">
        <v>4</v>
      </c>
      <c r="H340" s="8"/>
      <c r="J340" t="b">
        <v>1</v>
      </c>
      <c r="K340" t="s">
        <v>771</v>
      </c>
      <c r="L340" s="13" t="str">
        <f>HYPERLINK("https://uk1.aconex.co.uk/hub/index.html?mainTarget=%2FSearchControlledDoc%3FSEARCH_ACTION%3D15%26tab%3D0%26searchMode%3D1%26searchQuery%3Ddocno:%22"&amp;RawData[[#This Row],[Document Number]]&amp;"%22%20%2Bcversion%253A1",RawData[[#This Row],[Document Number]])</f>
        <v>FS1018-CPM-ZZ-01-D-A-2250</v>
      </c>
    </row>
    <row r="341" spans="1:12" ht="43.2" x14ac:dyDescent="0.3">
      <c r="A341" t="s">
        <v>772</v>
      </c>
      <c r="B341" t="s">
        <v>773</v>
      </c>
      <c r="C341" t="s">
        <v>13</v>
      </c>
      <c r="D341" t="s">
        <v>20</v>
      </c>
      <c r="E341" s="8">
        <v>45729</v>
      </c>
      <c r="F341" s="1" t="s">
        <v>12</v>
      </c>
      <c r="G341" s="1" t="s">
        <v>21</v>
      </c>
      <c r="H341" s="8">
        <v>45750</v>
      </c>
      <c r="I341" s="1" t="s">
        <v>1954</v>
      </c>
      <c r="J341" t="b">
        <v>1</v>
      </c>
      <c r="K341" t="s">
        <v>774</v>
      </c>
      <c r="L341" s="13" t="str">
        <f>HYPERLINK("https://uk1.aconex.co.uk/hub/index.html?mainTarget=%2FSearchControlledDoc%3FSEARCH_ACTION%3D15%26tab%3D0%26searchMode%3D1%26searchQuery%3Ddocno:%22"&amp;RawData[[#This Row],[Document Number]]&amp;"%22%20%2Bcversion%253A1",RawData[[#This Row],[Document Number]])</f>
        <v>FS1018-CPM-ZZ-01-D-A-2251</v>
      </c>
    </row>
    <row r="342" spans="1:12" ht="28.8" x14ac:dyDescent="0.3">
      <c r="A342" t="s">
        <v>772</v>
      </c>
      <c r="B342" t="s">
        <v>773</v>
      </c>
      <c r="C342" t="s">
        <v>13</v>
      </c>
      <c r="D342" t="s">
        <v>20</v>
      </c>
      <c r="E342" s="8">
        <v>45750</v>
      </c>
      <c r="F342" s="1" t="s">
        <v>22</v>
      </c>
      <c r="G342" s="1" t="s">
        <v>4</v>
      </c>
      <c r="H342" s="8"/>
      <c r="J342" t="b">
        <v>1</v>
      </c>
      <c r="K342" t="s">
        <v>774</v>
      </c>
      <c r="L342" s="13" t="str">
        <f>HYPERLINK("https://uk1.aconex.co.uk/hub/index.html?mainTarget=%2FSearchControlledDoc%3FSEARCH_ACTION%3D15%26tab%3D0%26searchMode%3D1%26searchQuery%3Ddocno:%22"&amp;RawData[[#This Row],[Document Number]]&amp;"%22%20%2Bcversion%253A1",RawData[[#This Row],[Document Number]])</f>
        <v>FS1018-CPM-ZZ-01-D-A-2251</v>
      </c>
    </row>
    <row r="343" spans="1:12" ht="144" x14ac:dyDescent="0.3">
      <c r="A343" t="s">
        <v>775</v>
      </c>
      <c r="B343" t="s">
        <v>776</v>
      </c>
      <c r="C343" t="s">
        <v>418</v>
      </c>
      <c r="D343" t="s">
        <v>20</v>
      </c>
      <c r="E343" s="8">
        <v>45729</v>
      </c>
      <c r="F343" s="1" t="s">
        <v>12</v>
      </c>
      <c r="G343" s="1" t="s">
        <v>21</v>
      </c>
      <c r="H343" s="8">
        <v>45750</v>
      </c>
      <c r="I343" s="1" t="s">
        <v>1955</v>
      </c>
      <c r="J343" t="b">
        <v>1</v>
      </c>
      <c r="K343" t="s">
        <v>777</v>
      </c>
      <c r="L343" s="13" t="str">
        <f>HYPERLINK("https://uk1.aconex.co.uk/hub/index.html?mainTarget=%2FSearchControlledDoc%3FSEARCH_ACTION%3D15%26tab%3D0%26searchMode%3D1%26searchQuery%3Ddocno:%22"&amp;RawData[[#This Row],[Document Number]]&amp;"%22%20%2Bcversion%253A1",RawData[[#This Row],[Document Number]])</f>
        <v>FS1018-CPM-ZZ-01-D-A-2901</v>
      </c>
    </row>
    <row r="344" spans="1:12" ht="28.8" x14ac:dyDescent="0.3">
      <c r="A344" t="s">
        <v>775</v>
      </c>
      <c r="B344" t="s">
        <v>776</v>
      </c>
      <c r="C344" t="s">
        <v>418</v>
      </c>
      <c r="D344" t="s">
        <v>20</v>
      </c>
      <c r="E344" s="8">
        <v>45750</v>
      </c>
      <c r="F344" s="1" t="s">
        <v>22</v>
      </c>
      <c r="G344" s="1" t="s">
        <v>4</v>
      </c>
      <c r="H344" s="8"/>
      <c r="J344" t="b">
        <v>1</v>
      </c>
      <c r="K344" t="s">
        <v>777</v>
      </c>
      <c r="L344" s="13" t="str">
        <f>HYPERLINK("https://uk1.aconex.co.uk/hub/index.html?mainTarget=%2FSearchControlledDoc%3FSEARCH_ACTION%3D15%26tab%3D0%26searchMode%3D1%26searchQuery%3Ddocno:%22"&amp;RawData[[#This Row],[Document Number]]&amp;"%22%20%2Bcversion%253A1",RawData[[#This Row],[Document Number]])</f>
        <v>FS1018-CPM-ZZ-01-D-A-2901</v>
      </c>
    </row>
    <row r="345" spans="1:12" ht="187.2" x14ac:dyDescent="0.3">
      <c r="A345" t="s">
        <v>778</v>
      </c>
      <c r="B345" t="s">
        <v>779</v>
      </c>
      <c r="C345" t="s">
        <v>10</v>
      </c>
      <c r="D345" t="s">
        <v>20</v>
      </c>
      <c r="E345" s="8">
        <v>45729</v>
      </c>
      <c r="F345" s="1" t="s">
        <v>12</v>
      </c>
      <c r="G345" s="1" t="s">
        <v>21</v>
      </c>
      <c r="H345" s="8">
        <v>45750</v>
      </c>
      <c r="I345" s="1" t="s">
        <v>1956</v>
      </c>
      <c r="J345" t="b">
        <v>1</v>
      </c>
      <c r="K345" t="s">
        <v>780</v>
      </c>
      <c r="L345" s="13" t="str">
        <f>HYPERLINK("https://uk1.aconex.co.uk/hub/index.html?mainTarget=%2FSearchControlledDoc%3FSEARCH_ACTION%3D15%26tab%3D0%26searchMode%3D1%26searchQuery%3Ddocno:%22"&amp;RawData[[#This Row],[Document Number]]&amp;"%22%20%2Bcversion%253A1",RawData[[#This Row],[Document Number]])</f>
        <v>FS1018-CPM-ZZ-01-D-A-3501</v>
      </c>
    </row>
    <row r="346" spans="1:12" ht="28.8" x14ac:dyDescent="0.3">
      <c r="A346" t="s">
        <v>778</v>
      </c>
      <c r="B346" t="s">
        <v>779</v>
      </c>
      <c r="C346" t="s">
        <v>10</v>
      </c>
      <c r="D346" t="s">
        <v>20</v>
      </c>
      <c r="E346" s="8">
        <v>45750</v>
      </c>
      <c r="F346" s="1" t="s">
        <v>22</v>
      </c>
      <c r="G346" s="1" t="s">
        <v>4</v>
      </c>
      <c r="H346" s="8"/>
      <c r="J346" t="b">
        <v>1</v>
      </c>
      <c r="K346" t="s">
        <v>780</v>
      </c>
      <c r="L346" s="13" t="str">
        <f>HYPERLINK("https://uk1.aconex.co.uk/hub/index.html?mainTarget=%2FSearchControlledDoc%3FSEARCH_ACTION%3D15%26tab%3D0%26searchMode%3D1%26searchQuery%3Ddocno:%22"&amp;RawData[[#This Row],[Document Number]]&amp;"%22%20%2Bcversion%253A1",RawData[[#This Row],[Document Number]])</f>
        <v>FS1018-CPM-ZZ-01-D-A-3501</v>
      </c>
    </row>
    <row r="347" spans="1:12" ht="216" x14ac:dyDescent="0.3">
      <c r="A347" t="s">
        <v>781</v>
      </c>
      <c r="B347" t="s">
        <v>782</v>
      </c>
      <c r="C347" t="s">
        <v>13</v>
      </c>
      <c r="D347" t="s">
        <v>20</v>
      </c>
      <c r="E347" s="8">
        <v>45729</v>
      </c>
      <c r="F347" s="1" t="s">
        <v>12</v>
      </c>
      <c r="G347" s="1" t="s">
        <v>21</v>
      </c>
      <c r="H347" s="8">
        <v>45750</v>
      </c>
      <c r="I347" s="1" t="s">
        <v>1957</v>
      </c>
      <c r="J347" t="b">
        <v>1</v>
      </c>
      <c r="K347" t="s">
        <v>783</v>
      </c>
      <c r="L347" s="13" t="str">
        <f>HYPERLINK("https://uk1.aconex.co.uk/hub/index.html?mainTarget=%2FSearchControlledDoc%3FSEARCH_ACTION%3D15%26tab%3D0%26searchMode%3D1%26searchQuery%3Ddocno:%22"&amp;RawData[[#This Row],[Document Number]]&amp;"%22%20%2Bcversion%253A1",RawData[[#This Row],[Document Number]])</f>
        <v>FS1018-CPM-ZZ-01-D-A-6800</v>
      </c>
    </row>
    <row r="348" spans="1:12" ht="28.8" x14ac:dyDescent="0.3">
      <c r="A348" t="s">
        <v>781</v>
      </c>
      <c r="B348" t="s">
        <v>782</v>
      </c>
      <c r="C348" t="s">
        <v>13</v>
      </c>
      <c r="D348" t="s">
        <v>20</v>
      </c>
      <c r="E348" s="8">
        <v>45750</v>
      </c>
      <c r="F348" s="1" t="s">
        <v>22</v>
      </c>
      <c r="G348" s="1" t="s">
        <v>4</v>
      </c>
      <c r="H348" s="8"/>
      <c r="J348" t="b">
        <v>1</v>
      </c>
      <c r="K348" t="s">
        <v>783</v>
      </c>
      <c r="L348" s="13" t="str">
        <f>HYPERLINK("https://uk1.aconex.co.uk/hub/index.html?mainTarget=%2FSearchControlledDoc%3FSEARCH_ACTION%3D15%26tab%3D0%26searchMode%3D1%26searchQuery%3Ddocno:%22"&amp;RawData[[#This Row],[Document Number]]&amp;"%22%20%2Bcversion%253A1",RawData[[#This Row],[Document Number]])</f>
        <v>FS1018-CPM-ZZ-01-D-A-6800</v>
      </c>
    </row>
    <row r="349" spans="1:12" ht="288" x14ac:dyDescent="0.3">
      <c r="A349" t="s">
        <v>784</v>
      </c>
      <c r="B349" t="s">
        <v>785</v>
      </c>
      <c r="C349" t="s">
        <v>712</v>
      </c>
      <c r="D349" t="s">
        <v>20</v>
      </c>
      <c r="E349" s="8">
        <v>45729</v>
      </c>
      <c r="F349" s="1" t="s">
        <v>12</v>
      </c>
      <c r="G349" s="1" t="s">
        <v>21</v>
      </c>
      <c r="H349" s="8">
        <v>45750</v>
      </c>
      <c r="I349" s="1" t="s">
        <v>1958</v>
      </c>
      <c r="J349" t="b">
        <v>1</v>
      </c>
      <c r="K349" t="s">
        <v>786</v>
      </c>
      <c r="L349" s="13" t="str">
        <f>HYPERLINK("https://uk1.aconex.co.uk/hub/index.html?mainTarget=%2FSearchControlledDoc%3FSEARCH_ACTION%3D15%26tab%3D0%26searchMode%3D1%26searchQuery%3Ddocno:%22"&amp;RawData[[#This Row],[Document Number]]&amp;"%22%20%2Bcversion%253A1",RawData[[#This Row],[Document Number]])</f>
        <v>FS1018-CPM-ZZ-02-D-A-2003</v>
      </c>
    </row>
    <row r="350" spans="1:12" ht="28.8" x14ac:dyDescent="0.3">
      <c r="A350" t="s">
        <v>784</v>
      </c>
      <c r="B350" t="s">
        <v>785</v>
      </c>
      <c r="C350" t="s">
        <v>712</v>
      </c>
      <c r="D350" t="s">
        <v>20</v>
      </c>
      <c r="E350" s="8">
        <v>45750</v>
      </c>
      <c r="F350" s="1" t="s">
        <v>22</v>
      </c>
      <c r="G350" s="1" t="s">
        <v>4</v>
      </c>
      <c r="H350" s="8"/>
      <c r="J350" t="b">
        <v>1</v>
      </c>
      <c r="K350" t="s">
        <v>786</v>
      </c>
      <c r="L350" s="13" t="str">
        <f>HYPERLINK("https://uk1.aconex.co.uk/hub/index.html?mainTarget=%2FSearchControlledDoc%3FSEARCH_ACTION%3D15%26tab%3D0%26searchMode%3D1%26searchQuery%3Ddocno:%22"&amp;RawData[[#This Row],[Document Number]]&amp;"%22%20%2Bcversion%253A1",RawData[[#This Row],[Document Number]])</f>
        <v>FS1018-CPM-ZZ-02-D-A-2003</v>
      </c>
    </row>
    <row r="351" spans="1:12" ht="43.2" x14ac:dyDescent="0.3">
      <c r="A351" t="s">
        <v>787</v>
      </c>
      <c r="B351" t="s">
        <v>788</v>
      </c>
      <c r="C351" t="s">
        <v>13</v>
      </c>
      <c r="D351" t="s">
        <v>20</v>
      </c>
      <c r="E351" s="8">
        <v>45729</v>
      </c>
      <c r="F351" s="1" t="s">
        <v>12</v>
      </c>
      <c r="G351" s="1" t="s">
        <v>21</v>
      </c>
      <c r="H351" s="8">
        <v>45750</v>
      </c>
      <c r="I351" s="1" t="s">
        <v>1959</v>
      </c>
      <c r="J351" t="b">
        <v>1</v>
      </c>
      <c r="K351" t="s">
        <v>789</v>
      </c>
      <c r="L351" s="13" t="str">
        <f>HYPERLINK("https://uk1.aconex.co.uk/hub/index.html?mainTarget=%2FSearchControlledDoc%3FSEARCH_ACTION%3D15%26tab%3D0%26searchMode%3D1%26searchQuery%3Ddocno:%22"&amp;RawData[[#This Row],[Document Number]]&amp;"%22%20%2Bcversion%253A1",RawData[[#This Row],[Document Number]])</f>
        <v>FS1018-CPM-ZZ-02-D-A-2202</v>
      </c>
    </row>
    <row r="352" spans="1:12" ht="28.8" x14ac:dyDescent="0.3">
      <c r="A352" t="s">
        <v>787</v>
      </c>
      <c r="B352" t="s">
        <v>788</v>
      </c>
      <c r="C352" t="s">
        <v>13</v>
      </c>
      <c r="D352" t="s">
        <v>20</v>
      </c>
      <c r="E352" s="8">
        <v>45750</v>
      </c>
      <c r="F352" s="1" t="s">
        <v>22</v>
      </c>
      <c r="G352" s="1" t="s">
        <v>4</v>
      </c>
      <c r="H352" s="8"/>
      <c r="J352" t="b">
        <v>1</v>
      </c>
      <c r="K352" t="s">
        <v>789</v>
      </c>
      <c r="L352" s="13" t="str">
        <f>HYPERLINK("https://uk1.aconex.co.uk/hub/index.html?mainTarget=%2FSearchControlledDoc%3FSEARCH_ACTION%3D15%26tab%3D0%26searchMode%3D1%26searchQuery%3Ddocno:%22"&amp;RawData[[#This Row],[Document Number]]&amp;"%22%20%2Bcversion%253A1",RawData[[#This Row],[Document Number]])</f>
        <v>FS1018-CPM-ZZ-02-D-A-2202</v>
      </c>
    </row>
    <row r="353" spans="1:12" ht="100.8" x14ac:dyDescent="0.3">
      <c r="A353" t="s">
        <v>790</v>
      </c>
      <c r="B353" t="s">
        <v>791</v>
      </c>
      <c r="C353" t="s">
        <v>418</v>
      </c>
      <c r="D353" t="s">
        <v>20</v>
      </c>
      <c r="E353" s="8">
        <v>45729</v>
      </c>
      <c r="F353" s="1" t="s">
        <v>12</v>
      </c>
      <c r="G353" s="1" t="s">
        <v>21</v>
      </c>
      <c r="H353" s="8">
        <v>45750</v>
      </c>
      <c r="I353" s="1" t="s">
        <v>1960</v>
      </c>
      <c r="J353" t="b">
        <v>1</v>
      </c>
      <c r="K353" t="s">
        <v>792</v>
      </c>
      <c r="L353" s="13" t="str">
        <f>HYPERLINK("https://uk1.aconex.co.uk/hub/index.html?mainTarget=%2FSearchControlledDoc%3FSEARCH_ACTION%3D15%26tab%3D0%26searchMode%3D1%26searchQuery%3Ddocno:%22"&amp;RawData[[#This Row],[Document Number]]&amp;"%22%20%2Bcversion%253A1",RawData[[#This Row],[Document Number]])</f>
        <v>FS1018-CPM-ZZ-02-D-A-2902</v>
      </c>
    </row>
    <row r="354" spans="1:12" ht="28.8" x14ac:dyDescent="0.3">
      <c r="A354" t="s">
        <v>790</v>
      </c>
      <c r="B354" t="s">
        <v>791</v>
      </c>
      <c r="C354" t="s">
        <v>418</v>
      </c>
      <c r="D354" t="s">
        <v>20</v>
      </c>
      <c r="E354" s="8">
        <v>45750</v>
      </c>
      <c r="F354" s="1" t="s">
        <v>22</v>
      </c>
      <c r="G354" s="1" t="s">
        <v>4</v>
      </c>
      <c r="H354" s="8"/>
      <c r="J354" t="b">
        <v>1</v>
      </c>
      <c r="K354" t="s">
        <v>792</v>
      </c>
      <c r="L354" s="13" t="str">
        <f>HYPERLINK("https://uk1.aconex.co.uk/hub/index.html?mainTarget=%2FSearchControlledDoc%3FSEARCH_ACTION%3D15%26tab%3D0%26searchMode%3D1%26searchQuery%3Ddocno:%22"&amp;RawData[[#This Row],[Document Number]]&amp;"%22%20%2Bcversion%253A1",RawData[[#This Row],[Document Number]])</f>
        <v>FS1018-CPM-ZZ-02-D-A-2902</v>
      </c>
    </row>
    <row r="355" spans="1:12" ht="201.6" x14ac:dyDescent="0.3">
      <c r="A355" t="s">
        <v>793</v>
      </c>
      <c r="B355" t="s">
        <v>794</v>
      </c>
      <c r="C355" t="s">
        <v>10</v>
      </c>
      <c r="D355" t="s">
        <v>20</v>
      </c>
      <c r="E355" s="8">
        <v>45729</v>
      </c>
      <c r="F355" s="1" t="s">
        <v>12</v>
      </c>
      <c r="G355" s="1" t="s">
        <v>21</v>
      </c>
      <c r="H355" s="8">
        <v>45750</v>
      </c>
      <c r="I355" s="1" t="s">
        <v>1961</v>
      </c>
      <c r="J355" t="b">
        <v>1</v>
      </c>
      <c r="K355" t="s">
        <v>795</v>
      </c>
      <c r="L355" s="13" t="str">
        <f>HYPERLINK("https://uk1.aconex.co.uk/hub/index.html?mainTarget=%2FSearchControlledDoc%3FSEARCH_ACTION%3D15%26tab%3D0%26searchMode%3D1%26searchQuery%3Ddocno:%22"&amp;RawData[[#This Row],[Document Number]]&amp;"%22%20%2Bcversion%253A1",RawData[[#This Row],[Document Number]])</f>
        <v>FS1018-CPM-ZZ-02-D-A-3502</v>
      </c>
    </row>
    <row r="356" spans="1:12" ht="28.8" x14ac:dyDescent="0.3">
      <c r="A356" t="s">
        <v>793</v>
      </c>
      <c r="B356" t="s">
        <v>794</v>
      </c>
      <c r="C356" t="s">
        <v>10</v>
      </c>
      <c r="D356" t="s">
        <v>20</v>
      </c>
      <c r="E356" s="8">
        <v>45750</v>
      </c>
      <c r="F356" s="1" t="s">
        <v>22</v>
      </c>
      <c r="G356" s="1" t="s">
        <v>4</v>
      </c>
      <c r="H356" s="8"/>
      <c r="J356" t="b">
        <v>1</v>
      </c>
      <c r="K356" t="s">
        <v>795</v>
      </c>
      <c r="L356" s="13" t="str">
        <f>HYPERLINK("https://uk1.aconex.co.uk/hub/index.html?mainTarget=%2FSearchControlledDoc%3FSEARCH_ACTION%3D15%26tab%3D0%26searchMode%3D1%26searchQuery%3Ddocno:%22"&amp;RawData[[#This Row],[Document Number]]&amp;"%22%20%2Bcversion%253A1",RawData[[#This Row],[Document Number]])</f>
        <v>FS1018-CPM-ZZ-02-D-A-3502</v>
      </c>
    </row>
    <row r="357" spans="1:12" ht="187.2" x14ac:dyDescent="0.3">
      <c r="A357" t="s">
        <v>796</v>
      </c>
      <c r="B357" t="s">
        <v>797</v>
      </c>
      <c r="C357" t="s">
        <v>676</v>
      </c>
      <c r="D357" t="s">
        <v>20</v>
      </c>
      <c r="E357" s="8">
        <v>45729</v>
      </c>
      <c r="F357" s="1" t="s">
        <v>12</v>
      </c>
      <c r="G357" s="1" t="s">
        <v>21</v>
      </c>
      <c r="H357" s="8">
        <v>45750</v>
      </c>
      <c r="I357" s="1" t="s">
        <v>1962</v>
      </c>
      <c r="J357" t="b">
        <v>1</v>
      </c>
      <c r="K357" t="s">
        <v>798</v>
      </c>
      <c r="L357" s="13" t="str">
        <f>HYPERLINK("https://uk1.aconex.co.uk/hub/index.html?mainTarget=%2FSearchControlledDoc%3FSEARCH_ACTION%3D15%26tab%3D0%26searchMode%3D1%26searchQuery%3Ddocno:%22"&amp;RawData[[#This Row],[Document Number]]&amp;"%22%20%2Bcversion%253A1",RawData[[#This Row],[Document Number]])</f>
        <v>FS1018-CPM-ZZ-RF-D-A-2023</v>
      </c>
    </row>
    <row r="358" spans="1:12" ht="28.8" x14ac:dyDescent="0.3">
      <c r="A358" t="s">
        <v>796</v>
      </c>
      <c r="B358" t="s">
        <v>797</v>
      </c>
      <c r="C358" t="s">
        <v>676</v>
      </c>
      <c r="D358" t="s">
        <v>20</v>
      </c>
      <c r="E358" s="8">
        <v>45750</v>
      </c>
      <c r="F358" s="1" t="s">
        <v>22</v>
      </c>
      <c r="G358" s="1" t="s">
        <v>4</v>
      </c>
      <c r="H358" s="8"/>
      <c r="J358" t="b">
        <v>1</v>
      </c>
      <c r="K358" t="s">
        <v>798</v>
      </c>
      <c r="L358" s="13" t="str">
        <f>HYPERLINK("https://uk1.aconex.co.uk/hub/index.html?mainTarget=%2FSearchControlledDoc%3FSEARCH_ACTION%3D15%26tab%3D0%26searchMode%3D1%26searchQuery%3Ddocno:%22"&amp;RawData[[#This Row],[Document Number]]&amp;"%22%20%2Bcversion%253A1",RawData[[#This Row],[Document Number]])</f>
        <v>FS1018-CPM-ZZ-RF-D-A-2023</v>
      </c>
    </row>
    <row r="359" spans="1:12" ht="144" x14ac:dyDescent="0.3">
      <c r="A359" t="s">
        <v>800</v>
      </c>
      <c r="B359" t="s">
        <v>801</v>
      </c>
      <c r="C359" t="s">
        <v>10</v>
      </c>
      <c r="D359" t="s">
        <v>20</v>
      </c>
      <c r="E359" s="8">
        <v>45729</v>
      </c>
      <c r="F359" s="1" t="s">
        <v>12</v>
      </c>
      <c r="G359" s="1" t="s">
        <v>21</v>
      </c>
      <c r="H359" s="8">
        <v>45750</v>
      </c>
      <c r="I359" s="1" t="s">
        <v>1963</v>
      </c>
      <c r="J359" t="b">
        <v>1</v>
      </c>
      <c r="K359" t="s">
        <v>802</v>
      </c>
      <c r="L359" s="13" t="str">
        <f>HYPERLINK("https://uk1.aconex.co.uk/hub/index.html?mainTarget=%2FSearchControlledDoc%3FSEARCH_ACTION%3D15%26tab%3D0%26searchMode%3D1%26searchQuery%3Ddocno:%22"&amp;RawData[[#This Row],[Document Number]]&amp;"%22%20%2Bcversion%253A1",RawData[[#This Row],[Document Number]])</f>
        <v>FS1018-CPM-ZZ-RF-D-A-2144</v>
      </c>
    </row>
    <row r="360" spans="1:12" ht="28.8" x14ac:dyDescent="0.3">
      <c r="A360" t="s">
        <v>800</v>
      </c>
      <c r="B360" t="s">
        <v>801</v>
      </c>
      <c r="C360" t="s">
        <v>10</v>
      </c>
      <c r="D360" t="s">
        <v>20</v>
      </c>
      <c r="E360" s="8">
        <v>45750</v>
      </c>
      <c r="F360" s="1" t="s">
        <v>22</v>
      </c>
      <c r="G360" s="1" t="s">
        <v>4</v>
      </c>
      <c r="H360" s="8"/>
      <c r="J360" t="b">
        <v>1</v>
      </c>
      <c r="K360" t="s">
        <v>802</v>
      </c>
      <c r="L360" s="13" t="str">
        <f>HYPERLINK("https://uk1.aconex.co.uk/hub/index.html?mainTarget=%2FSearchControlledDoc%3FSEARCH_ACTION%3D15%26tab%3D0%26searchMode%3D1%26searchQuery%3Ddocno:%22"&amp;RawData[[#This Row],[Document Number]]&amp;"%22%20%2Bcversion%253A1",RawData[[#This Row],[Document Number]])</f>
        <v>FS1018-CPM-ZZ-RF-D-A-2144</v>
      </c>
    </row>
    <row r="361" spans="1:12" ht="115.2" x14ac:dyDescent="0.3">
      <c r="A361" t="s">
        <v>803</v>
      </c>
      <c r="B361" t="s">
        <v>804</v>
      </c>
      <c r="C361" t="s">
        <v>10</v>
      </c>
      <c r="D361" t="s">
        <v>20</v>
      </c>
      <c r="E361" s="8">
        <v>45729</v>
      </c>
      <c r="F361" s="1" t="s">
        <v>12</v>
      </c>
      <c r="G361" s="1" t="s">
        <v>21</v>
      </c>
      <c r="H361" s="8">
        <v>45750</v>
      </c>
      <c r="I361" s="1" t="s">
        <v>1964</v>
      </c>
      <c r="J361" t="b">
        <v>1</v>
      </c>
      <c r="K361" t="s">
        <v>805</v>
      </c>
      <c r="L361" s="13" t="str">
        <f>HYPERLINK("https://uk1.aconex.co.uk/hub/index.html?mainTarget=%2FSearchControlledDoc%3FSEARCH_ACTION%3D15%26tab%3D0%26searchMode%3D1%26searchQuery%3Ddocno:%22"&amp;RawData[[#This Row],[Document Number]]&amp;"%22%20%2Bcversion%253A1",RawData[[#This Row],[Document Number]])</f>
        <v>FS1018-CPM-ZZ-RF-D-A-2145</v>
      </c>
    </row>
    <row r="362" spans="1:12" ht="28.8" x14ac:dyDescent="0.3">
      <c r="A362" t="s">
        <v>803</v>
      </c>
      <c r="B362" t="s">
        <v>804</v>
      </c>
      <c r="C362" t="s">
        <v>10</v>
      </c>
      <c r="D362" t="s">
        <v>20</v>
      </c>
      <c r="E362" s="8">
        <v>45750</v>
      </c>
      <c r="F362" s="1" t="s">
        <v>22</v>
      </c>
      <c r="G362" s="1" t="s">
        <v>4</v>
      </c>
      <c r="H362" s="8"/>
      <c r="J362" t="b">
        <v>1</v>
      </c>
      <c r="K362" t="s">
        <v>805</v>
      </c>
      <c r="L362" s="13" t="str">
        <f>HYPERLINK("https://uk1.aconex.co.uk/hub/index.html?mainTarget=%2FSearchControlledDoc%3FSEARCH_ACTION%3D15%26tab%3D0%26searchMode%3D1%26searchQuery%3Ddocno:%22"&amp;RawData[[#This Row],[Document Number]]&amp;"%22%20%2Bcversion%253A1",RawData[[#This Row],[Document Number]])</f>
        <v>FS1018-CPM-ZZ-RF-D-A-2145</v>
      </c>
    </row>
    <row r="363" spans="1:12" ht="187.2" x14ac:dyDescent="0.3">
      <c r="A363" t="s">
        <v>806</v>
      </c>
      <c r="B363" t="s">
        <v>807</v>
      </c>
      <c r="C363" t="s">
        <v>418</v>
      </c>
      <c r="D363" t="s">
        <v>20</v>
      </c>
      <c r="E363" s="8">
        <v>45729</v>
      </c>
      <c r="F363" s="1" t="s">
        <v>12</v>
      </c>
      <c r="G363" s="1" t="s">
        <v>21</v>
      </c>
      <c r="H363" s="8">
        <v>45750</v>
      </c>
      <c r="I363" s="1" t="s">
        <v>1965</v>
      </c>
      <c r="J363" t="b">
        <v>1</v>
      </c>
      <c r="K363" t="s">
        <v>808</v>
      </c>
      <c r="L363" s="13" t="str">
        <f>HYPERLINK("https://uk1.aconex.co.uk/hub/index.html?mainTarget=%2FSearchControlledDoc%3FSEARCH_ACTION%3D15%26tab%3D0%26searchMode%3D1%26searchQuery%3Ddocno:%22"&amp;RawData[[#This Row],[Document Number]]&amp;"%22%20%2Bcversion%253A1",RawData[[#This Row],[Document Number]])</f>
        <v>FS1018-CPM-ZZ-RF-D-A-2903</v>
      </c>
    </row>
    <row r="364" spans="1:12" ht="28.8" x14ac:dyDescent="0.3">
      <c r="A364" t="s">
        <v>806</v>
      </c>
      <c r="B364" t="s">
        <v>807</v>
      </c>
      <c r="C364" t="s">
        <v>418</v>
      </c>
      <c r="D364" t="s">
        <v>20</v>
      </c>
      <c r="E364" s="8">
        <v>45750</v>
      </c>
      <c r="F364" s="1" t="s">
        <v>22</v>
      </c>
      <c r="G364" s="1" t="s">
        <v>4</v>
      </c>
      <c r="H364" s="8"/>
      <c r="J364" t="b">
        <v>1</v>
      </c>
      <c r="K364" t="s">
        <v>808</v>
      </c>
      <c r="L364" s="13" t="str">
        <f>HYPERLINK("https://uk1.aconex.co.uk/hub/index.html?mainTarget=%2FSearchControlledDoc%3FSEARCH_ACTION%3D15%26tab%3D0%26searchMode%3D1%26searchQuery%3Ddocno:%22"&amp;RawData[[#This Row],[Document Number]]&amp;"%22%20%2Bcversion%253A1",RawData[[#This Row],[Document Number]])</f>
        <v>FS1018-CPM-ZZ-RF-D-A-2903</v>
      </c>
    </row>
    <row r="365" spans="1:12" x14ac:dyDescent="0.3">
      <c r="A365" t="s">
        <v>809</v>
      </c>
      <c r="B365" t="s">
        <v>810</v>
      </c>
      <c r="C365" t="s">
        <v>13</v>
      </c>
      <c r="D365" t="s">
        <v>19</v>
      </c>
      <c r="E365" s="8">
        <v>45729</v>
      </c>
      <c r="F365" s="1" t="s">
        <v>12</v>
      </c>
      <c r="G365" s="1" t="s">
        <v>24</v>
      </c>
      <c r="H365" s="8">
        <v>45750</v>
      </c>
      <c r="I365" s="1" t="s">
        <v>1966</v>
      </c>
      <c r="J365" t="b">
        <v>1</v>
      </c>
      <c r="K365" t="s">
        <v>811</v>
      </c>
      <c r="L365" s="13" t="str">
        <f>HYPERLINK("https://uk1.aconex.co.uk/hub/index.html?mainTarget=%2FSearchControlledDoc%3FSEARCH_ACTION%3D15%26tab%3D0%26searchMode%3D1%26searchQuery%3Ddocno:%22"&amp;RawData[[#This Row],[Document Number]]&amp;"%22%20%2Bcversion%253A1",RawData[[#This Row],[Document Number]])</f>
        <v>FS1018-CPM-ZZ-RF-D-A-3100</v>
      </c>
    </row>
    <row r="366" spans="1:12" ht="72" x14ac:dyDescent="0.3">
      <c r="A366" t="s">
        <v>812</v>
      </c>
      <c r="B366" t="s">
        <v>813</v>
      </c>
      <c r="C366" t="s">
        <v>13</v>
      </c>
      <c r="D366" t="s">
        <v>20</v>
      </c>
      <c r="E366" s="8">
        <v>45729</v>
      </c>
      <c r="F366" s="1" t="s">
        <v>12</v>
      </c>
      <c r="G366" s="1" t="s">
        <v>21</v>
      </c>
      <c r="H366" s="8">
        <v>45750</v>
      </c>
      <c r="I366" s="1" t="s">
        <v>1967</v>
      </c>
      <c r="J366" t="b">
        <v>1</v>
      </c>
      <c r="K366" t="s">
        <v>814</v>
      </c>
      <c r="L366" s="13" t="str">
        <f>HYPERLINK("https://uk1.aconex.co.uk/hub/index.html?mainTarget=%2FSearchControlledDoc%3FSEARCH_ACTION%3D15%26tab%3D0%26searchMode%3D1%26searchQuery%3Ddocno:%22"&amp;RawData[[#This Row],[Document Number]]&amp;"%22%20%2Bcversion%253A1",RawData[[#This Row],[Document Number]])</f>
        <v>FS1018-CPM-ZZ-RF-D-A-3101</v>
      </c>
    </row>
    <row r="367" spans="1:12" ht="28.8" x14ac:dyDescent="0.3">
      <c r="A367" t="s">
        <v>812</v>
      </c>
      <c r="B367" t="s">
        <v>813</v>
      </c>
      <c r="C367" t="s">
        <v>13</v>
      </c>
      <c r="D367" t="s">
        <v>20</v>
      </c>
      <c r="E367" s="8">
        <v>45750</v>
      </c>
      <c r="F367" s="1" t="s">
        <v>22</v>
      </c>
      <c r="G367" s="1" t="s">
        <v>4</v>
      </c>
      <c r="H367" s="8"/>
      <c r="J367" t="b">
        <v>1</v>
      </c>
      <c r="K367" t="s">
        <v>814</v>
      </c>
      <c r="L367" s="13" t="str">
        <f>HYPERLINK("https://uk1.aconex.co.uk/hub/index.html?mainTarget=%2FSearchControlledDoc%3FSEARCH_ACTION%3D15%26tab%3D0%26searchMode%3D1%26searchQuery%3Ddocno:%22"&amp;RawData[[#This Row],[Document Number]]&amp;"%22%20%2Bcversion%253A1",RawData[[#This Row],[Document Number]])</f>
        <v>FS1018-CPM-ZZ-RF-D-A-3101</v>
      </c>
    </row>
    <row r="368" spans="1:12" ht="129.6" x14ac:dyDescent="0.3">
      <c r="A368" t="s">
        <v>815</v>
      </c>
      <c r="B368" t="s">
        <v>816</v>
      </c>
      <c r="C368" t="s">
        <v>13</v>
      </c>
      <c r="D368" t="s">
        <v>20</v>
      </c>
      <c r="E368" s="8">
        <v>45729</v>
      </c>
      <c r="F368" s="1" t="s">
        <v>12</v>
      </c>
      <c r="G368" s="1" t="s">
        <v>21</v>
      </c>
      <c r="H368" s="8">
        <v>45750</v>
      </c>
      <c r="I368" s="1" t="s">
        <v>1968</v>
      </c>
      <c r="J368" t="b">
        <v>1</v>
      </c>
      <c r="K368" t="s">
        <v>817</v>
      </c>
      <c r="L368" s="13" t="str">
        <f>HYPERLINK("https://uk1.aconex.co.uk/hub/index.html?mainTarget=%2FSearchControlledDoc%3FSEARCH_ACTION%3D15%26tab%3D0%26searchMode%3D1%26searchQuery%3Ddocno:%22"&amp;RawData[[#This Row],[Document Number]]&amp;"%22%20%2Bcversion%253A1",RawData[[#This Row],[Document Number]])</f>
        <v>FS1018-CPM-ZZ-XX-D-A-2146</v>
      </c>
    </row>
    <row r="369" spans="1:12" ht="28.8" x14ac:dyDescent="0.3">
      <c r="A369" t="s">
        <v>815</v>
      </c>
      <c r="B369" t="s">
        <v>816</v>
      </c>
      <c r="C369" t="s">
        <v>13</v>
      </c>
      <c r="D369" t="s">
        <v>20</v>
      </c>
      <c r="E369" s="8">
        <v>45750</v>
      </c>
      <c r="F369" s="1" t="s">
        <v>22</v>
      </c>
      <c r="G369" s="1" t="s">
        <v>4</v>
      </c>
      <c r="H369" s="8"/>
      <c r="J369" t="b">
        <v>1</v>
      </c>
      <c r="K369" t="s">
        <v>817</v>
      </c>
      <c r="L369" s="13" t="str">
        <f>HYPERLINK("https://uk1.aconex.co.uk/hub/index.html?mainTarget=%2FSearchControlledDoc%3FSEARCH_ACTION%3D15%26tab%3D0%26searchMode%3D1%26searchQuery%3Ddocno:%22"&amp;RawData[[#This Row],[Document Number]]&amp;"%22%20%2Bcversion%253A1",RawData[[#This Row],[Document Number]])</f>
        <v>FS1018-CPM-ZZ-XX-D-A-2146</v>
      </c>
    </row>
    <row r="370" spans="1:12" ht="316.8" x14ac:dyDescent="0.3">
      <c r="A370" t="s">
        <v>818</v>
      </c>
      <c r="B370" t="s">
        <v>819</v>
      </c>
      <c r="C370" t="s">
        <v>13</v>
      </c>
      <c r="D370" t="s">
        <v>20</v>
      </c>
      <c r="E370" s="8">
        <v>45729</v>
      </c>
      <c r="F370" s="1" t="s">
        <v>12</v>
      </c>
      <c r="G370" s="1" t="s">
        <v>21</v>
      </c>
      <c r="H370" s="8">
        <v>45750</v>
      </c>
      <c r="I370" s="1" t="s">
        <v>1969</v>
      </c>
      <c r="J370" t="b">
        <v>1</v>
      </c>
      <c r="K370" t="s">
        <v>820</v>
      </c>
      <c r="L370" s="13" t="str">
        <f>HYPERLINK("https://uk1.aconex.co.uk/hub/index.html?mainTarget=%2FSearchControlledDoc%3FSEARCH_ACTION%3D15%26tab%3D0%26searchMode%3D1%26searchQuery%3Ddocno:%22"&amp;RawData[[#This Row],[Document Number]]&amp;"%22%20%2Bcversion%253A1",RawData[[#This Row],[Document Number]])</f>
        <v>FS1018-CPM-ZZ-XX-D-A-2210</v>
      </c>
    </row>
    <row r="371" spans="1:12" ht="28.8" x14ac:dyDescent="0.3">
      <c r="A371" t="s">
        <v>818</v>
      </c>
      <c r="B371" t="s">
        <v>819</v>
      </c>
      <c r="C371" t="s">
        <v>13</v>
      </c>
      <c r="D371" t="s">
        <v>20</v>
      </c>
      <c r="E371" s="8">
        <v>45750</v>
      </c>
      <c r="F371" s="1" t="s">
        <v>22</v>
      </c>
      <c r="G371" s="1" t="s">
        <v>4</v>
      </c>
      <c r="H371" s="8"/>
      <c r="J371" t="b">
        <v>1</v>
      </c>
      <c r="K371" t="s">
        <v>820</v>
      </c>
      <c r="L371" s="13" t="str">
        <f>HYPERLINK("https://uk1.aconex.co.uk/hub/index.html?mainTarget=%2FSearchControlledDoc%3FSEARCH_ACTION%3D15%26tab%3D0%26searchMode%3D1%26searchQuery%3Ddocno:%22"&amp;RawData[[#This Row],[Document Number]]&amp;"%22%20%2Bcversion%253A1",RawData[[#This Row],[Document Number]])</f>
        <v>FS1018-CPM-ZZ-XX-D-A-2210</v>
      </c>
    </row>
    <row r="372" spans="1:12" x14ac:dyDescent="0.3">
      <c r="A372" t="s">
        <v>821</v>
      </c>
      <c r="B372" t="s">
        <v>822</v>
      </c>
      <c r="C372" t="s">
        <v>11</v>
      </c>
      <c r="D372" t="s">
        <v>20</v>
      </c>
      <c r="E372" s="8">
        <v>45729</v>
      </c>
      <c r="F372" s="1" t="s">
        <v>12</v>
      </c>
      <c r="G372" s="1" t="s">
        <v>4</v>
      </c>
      <c r="H372" s="8"/>
      <c r="J372" t="b">
        <v>1</v>
      </c>
      <c r="K372" t="s">
        <v>823</v>
      </c>
      <c r="L372" s="13" t="str">
        <f>HYPERLINK("https://uk1.aconex.co.uk/hub/index.html?mainTarget=%2FSearchControlledDoc%3FSEARCH_ACTION%3D15%26tab%3D0%26searchMode%3D1%26searchQuery%3Ddocno:%22"&amp;RawData[[#This Row],[Document Number]]&amp;"%22%20%2Bcversion%253A1",RawData[[#This Row],[Document Number]])</f>
        <v>FS1018-CPM-ZZ-XX-L-A-0020</v>
      </c>
    </row>
    <row r="373" spans="1:12" ht="72" x14ac:dyDescent="0.3">
      <c r="A373" t="s">
        <v>824</v>
      </c>
      <c r="B373" t="s">
        <v>825</v>
      </c>
      <c r="C373" t="s">
        <v>11</v>
      </c>
      <c r="D373" t="s">
        <v>20</v>
      </c>
      <c r="E373" s="8">
        <v>45729</v>
      </c>
      <c r="F373" s="1" t="s">
        <v>12</v>
      </c>
      <c r="G373" s="1" t="s">
        <v>21</v>
      </c>
      <c r="H373" s="8">
        <v>45751</v>
      </c>
      <c r="I373" s="1" t="s">
        <v>1970</v>
      </c>
      <c r="J373" t="b">
        <v>1</v>
      </c>
      <c r="K373" t="s">
        <v>826</v>
      </c>
      <c r="L373" s="13" t="str">
        <f>HYPERLINK("https://uk1.aconex.co.uk/hub/index.html?mainTarget=%2FSearchControlledDoc%3FSEARCH_ACTION%3D15%26tab%3D0%26searchMode%3D1%26searchQuery%3Ddocno:%22"&amp;RawData[[#This Row],[Document Number]]&amp;"%22%20%2Bcversion%253A1",RawData[[#This Row],[Document Number]])</f>
        <v>FS1018-CPM-ZZ-ZZ-D-A-0050</v>
      </c>
    </row>
    <row r="374" spans="1:12" ht="28.8" x14ac:dyDescent="0.3">
      <c r="A374" t="s">
        <v>824</v>
      </c>
      <c r="B374" t="s">
        <v>825</v>
      </c>
      <c r="C374" t="s">
        <v>11</v>
      </c>
      <c r="D374" t="s">
        <v>20</v>
      </c>
      <c r="E374" s="8">
        <v>45751</v>
      </c>
      <c r="F374" s="1" t="s">
        <v>22</v>
      </c>
      <c r="G374" s="1" t="s">
        <v>4</v>
      </c>
      <c r="H374" s="8"/>
      <c r="J374" t="b">
        <v>1</v>
      </c>
      <c r="K374" t="s">
        <v>826</v>
      </c>
      <c r="L374" s="13" t="str">
        <f>HYPERLINK("https://uk1.aconex.co.uk/hub/index.html?mainTarget=%2FSearchControlledDoc%3FSEARCH_ACTION%3D15%26tab%3D0%26searchMode%3D1%26searchQuery%3Ddocno:%22"&amp;RawData[[#This Row],[Document Number]]&amp;"%22%20%2Bcversion%253A1",RawData[[#This Row],[Document Number]])</f>
        <v>FS1018-CPM-ZZ-ZZ-D-A-0050</v>
      </c>
    </row>
    <row r="375" spans="1:12" ht="259.2" x14ac:dyDescent="0.3">
      <c r="A375" t="s">
        <v>827</v>
      </c>
      <c r="B375" t="s">
        <v>828</v>
      </c>
      <c r="C375" t="s">
        <v>11</v>
      </c>
      <c r="D375" t="s">
        <v>20</v>
      </c>
      <c r="E375" s="8">
        <v>45729</v>
      </c>
      <c r="F375" s="1" t="s">
        <v>12</v>
      </c>
      <c r="G375" s="1" t="s">
        <v>21</v>
      </c>
      <c r="H375" s="8">
        <v>45750</v>
      </c>
      <c r="I375" s="1" t="s">
        <v>1971</v>
      </c>
      <c r="J375" t="b">
        <v>1</v>
      </c>
      <c r="K375" t="s">
        <v>829</v>
      </c>
      <c r="L375" s="13" t="str">
        <f>HYPERLINK("https://uk1.aconex.co.uk/hub/index.html?mainTarget=%2FSearchControlledDoc%3FSEARCH_ACTION%3D15%26tab%3D0%26searchMode%3D1%26searchQuery%3Ddocno:%22"&amp;RawData[[#This Row],[Document Number]]&amp;"%22%20%2Bcversion%253A1",RawData[[#This Row],[Document Number]])</f>
        <v>FS1018-CPM-ZZ-ZZ-D-A-0051</v>
      </c>
    </row>
    <row r="376" spans="1:12" ht="28.8" x14ac:dyDescent="0.3">
      <c r="A376" t="s">
        <v>827</v>
      </c>
      <c r="B376" t="s">
        <v>828</v>
      </c>
      <c r="C376" t="s">
        <v>11</v>
      </c>
      <c r="D376" t="s">
        <v>20</v>
      </c>
      <c r="E376" s="8">
        <v>45750</v>
      </c>
      <c r="F376" s="1" t="s">
        <v>22</v>
      </c>
      <c r="G376" s="1" t="s">
        <v>4</v>
      </c>
      <c r="H376" s="8"/>
      <c r="J376" t="b">
        <v>1</v>
      </c>
      <c r="K376" t="s">
        <v>829</v>
      </c>
      <c r="L376" s="13" t="str">
        <f>HYPERLINK("https://uk1.aconex.co.uk/hub/index.html?mainTarget=%2FSearchControlledDoc%3FSEARCH_ACTION%3D15%26tab%3D0%26searchMode%3D1%26searchQuery%3Ddocno:%22"&amp;RawData[[#This Row],[Document Number]]&amp;"%22%20%2Bcversion%253A1",RawData[[#This Row],[Document Number]])</f>
        <v>FS1018-CPM-ZZ-ZZ-D-A-0051</v>
      </c>
    </row>
    <row r="377" spans="1:12" ht="187.2" x14ac:dyDescent="0.3">
      <c r="A377" t="s">
        <v>830</v>
      </c>
      <c r="B377" t="s">
        <v>831</v>
      </c>
      <c r="C377" t="s">
        <v>11</v>
      </c>
      <c r="D377" t="s">
        <v>20</v>
      </c>
      <c r="E377" s="8">
        <v>45729</v>
      </c>
      <c r="F377" s="1" t="s">
        <v>12</v>
      </c>
      <c r="G377" s="1" t="s">
        <v>21</v>
      </c>
      <c r="H377" s="8">
        <v>45750</v>
      </c>
      <c r="I377" s="1" t="s">
        <v>1972</v>
      </c>
      <c r="J377" t="b">
        <v>1</v>
      </c>
      <c r="K377" t="s">
        <v>832</v>
      </c>
      <c r="L377" s="13" t="str">
        <f>HYPERLINK("https://uk1.aconex.co.uk/hub/index.html?mainTarget=%2FSearchControlledDoc%3FSEARCH_ACTION%3D15%26tab%3D0%26searchMode%3D1%26searchQuery%3Ddocno:%22"&amp;RawData[[#This Row],[Document Number]]&amp;"%22%20%2Bcversion%253A1",RawData[[#This Row],[Document Number]])</f>
        <v>FS1018-CPM-ZZ-ZZ-D-A-0052</v>
      </c>
    </row>
    <row r="378" spans="1:12" ht="28.8" x14ac:dyDescent="0.3">
      <c r="A378" t="s">
        <v>830</v>
      </c>
      <c r="B378" t="s">
        <v>831</v>
      </c>
      <c r="C378" t="s">
        <v>11</v>
      </c>
      <c r="D378" t="s">
        <v>20</v>
      </c>
      <c r="E378" s="8">
        <v>45750</v>
      </c>
      <c r="F378" s="1" t="s">
        <v>22</v>
      </c>
      <c r="G378" s="1" t="s">
        <v>4</v>
      </c>
      <c r="H378" s="8"/>
      <c r="J378" t="b">
        <v>1</v>
      </c>
      <c r="K378" t="s">
        <v>832</v>
      </c>
      <c r="L378" s="13" t="str">
        <f>HYPERLINK("https://uk1.aconex.co.uk/hub/index.html?mainTarget=%2FSearchControlledDoc%3FSEARCH_ACTION%3D15%26tab%3D0%26searchMode%3D1%26searchQuery%3Ddocno:%22"&amp;RawData[[#This Row],[Document Number]]&amp;"%22%20%2Bcversion%253A1",RawData[[#This Row],[Document Number]])</f>
        <v>FS1018-CPM-ZZ-ZZ-D-A-0052</v>
      </c>
    </row>
    <row r="379" spans="1:12" ht="230.4" x14ac:dyDescent="0.3">
      <c r="A379" t="s">
        <v>833</v>
      </c>
      <c r="B379" t="s">
        <v>834</v>
      </c>
      <c r="C379" t="s">
        <v>835</v>
      </c>
      <c r="D379" t="s">
        <v>20</v>
      </c>
      <c r="E379" s="8">
        <v>45729</v>
      </c>
      <c r="F379" s="1" t="s">
        <v>12</v>
      </c>
      <c r="G379" s="1" t="s">
        <v>21</v>
      </c>
      <c r="H379" s="8">
        <v>45750</v>
      </c>
      <c r="I379" s="1" t="s">
        <v>1973</v>
      </c>
      <c r="J379" t="b">
        <v>1</v>
      </c>
      <c r="K379" t="s">
        <v>836</v>
      </c>
      <c r="L379" s="13" t="str">
        <f>HYPERLINK("https://uk1.aconex.co.uk/hub/index.html?mainTarget=%2FSearchControlledDoc%3FSEARCH_ACTION%3D15%26tab%3D0%26searchMode%3D1%26searchQuery%3Ddocno:%22"&amp;RawData[[#This Row],[Document Number]]&amp;"%22%20%2Bcversion%253A1",RawData[[#This Row],[Document Number]])</f>
        <v>FS1018-CPM-ZZ-ZZ-D-A-0053</v>
      </c>
    </row>
    <row r="380" spans="1:12" ht="28.8" x14ac:dyDescent="0.3">
      <c r="A380" t="s">
        <v>833</v>
      </c>
      <c r="B380" t="s">
        <v>834</v>
      </c>
      <c r="C380" t="s">
        <v>835</v>
      </c>
      <c r="D380" t="s">
        <v>20</v>
      </c>
      <c r="E380" s="8">
        <v>45750</v>
      </c>
      <c r="F380" s="1" t="s">
        <v>22</v>
      </c>
      <c r="G380" s="1" t="s">
        <v>4</v>
      </c>
      <c r="H380" s="8"/>
      <c r="J380" t="b">
        <v>1</v>
      </c>
      <c r="K380" t="s">
        <v>836</v>
      </c>
      <c r="L380" s="13" t="str">
        <f>HYPERLINK("https://uk1.aconex.co.uk/hub/index.html?mainTarget=%2FSearchControlledDoc%3FSEARCH_ACTION%3D15%26tab%3D0%26searchMode%3D1%26searchQuery%3Ddocno:%22"&amp;RawData[[#This Row],[Document Number]]&amp;"%22%20%2Bcversion%253A1",RawData[[#This Row],[Document Number]])</f>
        <v>FS1018-CPM-ZZ-ZZ-D-A-0053</v>
      </c>
    </row>
    <row r="381" spans="1:12" ht="158.4" x14ac:dyDescent="0.3">
      <c r="A381" t="s">
        <v>837</v>
      </c>
      <c r="B381" t="s">
        <v>838</v>
      </c>
      <c r="C381" t="s">
        <v>418</v>
      </c>
      <c r="D381" t="s">
        <v>20</v>
      </c>
      <c r="E381" s="8">
        <v>45729</v>
      </c>
      <c r="F381" s="1" t="s">
        <v>12</v>
      </c>
      <c r="G381" s="1" t="s">
        <v>21</v>
      </c>
      <c r="H381" s="8">
        <v>45750</v>
      </c>
      <c r="I381" s="1" t="s">
        <v>1974</v>
      </c>
      <c r="J381" t="b">
        <v>1</v>
      </c>
      <c r="K381" t="s">
        <v>839</v>
      </c>
      <c r="L381" s="13" t="str">
        <f>HYPERLINK("https://uk1.aconex.co.uk/hub/index.html?mainTarget=%2FSearchControlledDoc%3FSEARCH_ACTION%3D15%26tab%3D0%26searchMode%3D1%26searchQuery%3Ddocno:%22"&amp;RawData[[#This Row],[Document Number]]&amp;"%22%20%2Bcversion%253A1",RawData[[#This Row],[Document Number]])</f>
        <v>FS1018-CPM-ZZ-ZZ-D-A-0054</v>
      </c>
    </row>
    <row r="382" spans="1:12" ht="28.8" x14ac:dyDescent="0.3">
      <c r="A382" t="s">
        <v>837</v>
      </c>
      <c r="B382" t="s">
        <v>838</v>
      </c>
      <c r="C382" t="s">
        <v>418</v>
      </c>
      <c r="D382" t="s">
        <v>20</v>
      </c>
      <c r="E382" s="8">
        <v>45750</v>
      </c>
      <c r="F382" s="1" t="s">
        <v>22</v>
      </c>
      <c r="G382" s="1" t="s">
        <v>4</v>
      </c>
      <c r="H382" s="8"/>
      <c r="J382" t="b">
        <v>1</v>
      </c>
      <c r="K382" t="s">
        <v>839</v>
      </c>
      <c r="L382" s="13" t="str">
        <f>HYPERLINK("https://uk1.aconex.co.uk/hub/index.html?mainTarget=%2FSearchControlledDoc%3FSEARCH_ACTION%3D15%26tab%3D0%26searchMode%3D1%26searchQuery%3Ddocno:%22"&amp;RawData[[#This Row],[Document Number]]&amp;"%22%20%2Bcversion%253A1",RawData[[#This Row],[Document Number]])</f>
        <v>FS1018-CPM-ZZ-ZZ-D-A-0054</v>
      </c>
    </row>
    <row r="383" spans="1:12" x14ac:dyDescent="0.3">
      <c r="A383" t="s">
        <v>840</v>
      </c>
      <c r="B383" t="s">
        <v>841</v>
      </c>
      <c r="C383" t="s">
        <v>13</v>
      </c>
      <c r="D383" t="s">
        <v>19</v>
      </c>
      <c r="E383" s="8">
        <v>45730</v>
      </c>
      <c r="F383" s="1" t="s">
        <v>12</v>
      </c>
      <c r="G383" s="1" t="s">
        <v>24</v>
      </c>
      <c r="H383" s="8">
        <v>45750</v>
      </c>
      <c r="I383" s="1" t="s">
        <v>1966</v>
      </c>
      <c r="J383" t="b">
        <v>1</v>
      </c>
      <c r="K383" t="s">
        <v>842</v>
      </c>
      <c r="L383" s="13" t="str">
        <f>HYPERLINK("https://uk1.aconex.co.uk/hub/index.html?mainTarget=%2FSearchControlledDoc%3FSEARCH_ACTION%3D15%26tab%3D0%26searchMode%3D1%26searchQuery%3Ddocno:%22"&amp;RawData[[#This Row],[Document Number]]&amp;"%22%20%2Bcversion%253A1",RawData[[#This Row],[Document Number]])</f>
        <v>FS1018-CPM-ZZ-ZZ-D-A-0060</v>
      </c>
    </row>
    <row r="384" spans="1:12" ht="201.6" x14ac:dyDescent="0.3">
      <c r="A384" t="s">
        <v>843</v>
      </c>
      <c r="B384" t="s">
        <v>844</v>
      </c>
      <c r="C384" t="s">
        <v>693</v>
      </c>
      <c r="D384" t="s">
        <v>20</v>
      </c>
      <c r="E384" s="8">
        <v>45729</v>
      </c>
      <c r="F384" s="1" t="s">
        <v>12</v>
      </c>
      <c r="G384" s="1" t="s">
        <v>21</v>
      </c>
      <c r="H384" s="8">
        <v>45750</v>
      </c>
      <c r="I384" s="1" t="s">
        <v>1975</v>
      </c>
      <c r="J384" t="b">
        <v>1</v>
      </c>
      <c r="K384" t="s">
        <v>845</v>
      </c>
      <c r="L384" s="13" t="str">
        <f>HYPERLINK("https://uk1.aconex.co.uk/hub/index.html?mainTarget=%2FSearchControlledDoc%3FSEARCH_ACTION%3D15%26tab%3D0%26searchMode%3D1%26searchQuery%3Ddocno:%22"&amp;RawData[[#This Row],[Document Number]]&amp;"%22%20%2Bcversion%253A1",RawData[[#This Row],[Document Number]])</f>
        <v>FS1018-CPM-ZZ-ZZ-D-A-2001</v>
      </c>
    </row>
    <row r="385" spans="1:12" ht="28.8" x14ac:dyDescent="0.3">
      <c r="A385" t="s">
        <v>843</v>
      </c>
      <c r="B385" t="s">
        <v>844</v>
      </c>
      <c r="C385" t="s">
        <v>693</v>
      </c>
      <c r="D385" t="s">
        <v>20</v>
      </c>
      <c r="E385" s="8">
        <v>45750</v>
      </c>
      <c r="F385" s="1" t="s">
        <v>22</v>
      </c>
      <c r="G385" s="1" t="s">
        <v>4</v>
      </c>
      <c r="H385" s="8"/>
      <c r="J385" t="b">
        <v>1</v>
      </c>
      <c r="K385" t="s">
        <v>845</v>
      </c>
      <c r="L385" s="13" t="str">
        <f>HYPERLINK("https://uk1.aconex.co.uk/hub/index.html?mainTarget=%2FSearchControlledDoc%3FSEARCH_ACTION%3D15%26tab%3D0%26searchMode%3D1%26searchQuery%3Ddocno:%22"&amp;RawData[[#This Row],[Document Number]]&amp;"%22%20%2Bcversion%253A1",RawData[[#This Row],[Document Number]])</f>
        <v>FS1018-CPM-ZZ-ZZ-D-A-2001</v>
      </c>
    </row>
    <row r="386" spans="1:12" ht="158.4" x14ac:dyDescent="0.3">
      <c r="A386" t="s">
        <v>846</v>
      </c>
      <c r="B386" t="s">
        <v>847</v>
      </c>
      <c r="C386" t="s">
        <v>689</v>
      </c>
      <c r="D386" t="s">
        <v>20</v>
      </c>
      <c r="E386" s="8">
        <v>45729</v>
      </c>
      <c r="F386" s="1" t="s">
        <v>12</v>
      </c>
      <c r="G386" s="1" t="s">
        <v>21</v>
      </c>
      <c r="H386" s="8">
        <v>45750</v>
      </c>
      <c r="I386" s="1" t="s">
        <v>1976</v>
      </c>
      <c r="J386" t="b">
        <v>1</v>
      </c>
      <c r="K386" t="s">
        <v>848</v>
      </c>
      <c r="L386" s="13" t="str">
        <f>HYPERLINK("https://uk1.aconex.co.uk/hub/index.html?mainTarget=%2FSearchControlledDoc%3FSEARCH_ACTION%3D15%26tab%3D0%26searchMode%3D1%26searchQuery%3Ddocno:%22"&amp;RawData[[#This Row],[Document Number]]&amp;"%22%20%2Bcversion%253A1",RawData[[#This Row],[Document Number]])</f>
        <v>FS1018-CPM-ZZ-ZZ-D-A-2002</v>
      </c>
    </row>
    <row r="387" spans="1:12" ht="28.8" x14ac:dyDescent="0.3">
      <c r="A387" t="s">
        <v>846</v>
      </c>
      <c r="B387" t="s">
        <v>847</v>
      </c>
      <c r="C387" t="s">
        <v>689</v>
      </c>
      <c r="D387" t="s">
        <v>20</v>
      </c>
      <c r="E387" s="8">
        <v>45750</v>
      </c>
      <c r="F387" s="1" t="s">
        <v>22</v>
      </c>
      <c r="G387" s="1" t="s">
        <v>4</v>
      </c>
      <c r="H387" s="8"/>
      <c r="J387" t="b">
        <v>1</v>
      </c>
      <c r="K387" t="s">
        <v>848</v>
      </c>
      <c r="L387" s="13" t="str">
        <f>HYPERLINK("https://uk1.aconex.co.uk/hub/index.html?mainTarget=%2FSearchControlledDoc%3FSEARCH_ACTION%3D15%26tab%3D0%26searchMode%3D1%26searchQuery%3Ddocno:%22"&amp;RawData[[#This Row],[Document Number]]&amp;"%22%20%2Bcversion%253A1",RawData[[#This Row],[Document Number]])</f>
        <v>FS1018-CPM-ZZ-ZZ-D-A-2002</v>
      </c>
    </row>
    <row r="388" spans="1:12" ht="388.8" x14ac:dyDescent="0.3">
      <c r="A388" t="s">
        <v>849</v>
      </c>
      <c r="B388" t="s">
        <v>850</v>
      </c>
      <c r="C388" t="s">
        <v>693</v>
      </c>
      <c r="D388" t="s">
        <v>20</v>
      </c>
      <c r="E388" s="8">
        <v>45729</v>
      </c>
      <c r="F388" s="1" t="s">
        <v>12</v>
      </c>
      <c r="G388" s="1" t="s">
        <v>21</v>
      </c>
      <c r="H388" s="8">
        <v>45750</v>
      </c>
      <c r="I388" s="1" t="s">
        <v>1977</v>
      </c>
      <c r="J388" t="b">
        <v>1</v>
      </c>
      <c r="K388" t="s">
        <v>851</v>
      </c>
      <c r="L388" s="13" t="str">
        <f>HYPERLINK("https://uk1.aconex.co.uk/hub/index.html?mainTarget=%2FSearchControlledDoc%3FSEARCH_ACTION%3D15%26tab%3D0%26searchMode%3D1%26searchQuery%3Ddocno:%22"&amp;RawData[[#This Row],[Document Number]]&amp;"%22%20%2Bcversion%253A1",RawData[[#This Row],[Document Number]])</f>
        <v>FS1018-CPM-ZZ-ZZ-D-A-2010</v>
      </c>
    </row>
    <row r="389" spans="1:12" ht="28.8" x14ac:dyDescent="0.3">
      <c r="A389" t="s">
        <v>849</v>
      </c>
      <c r="B389" t="s">
        <v>850</v>
      </c>
      <c r="C389" t="s">
        <v>693</v>
      </c>
      <c r="D389" t="s">
        <v>20</v>
      </c>
      <c r="E389" s="8">
        <v>45750</v>
      </c>
      <c r="F389" s="1" t="s">
        <v>22</v>
      </c>
      <c r="G389" s="1" t="s">
        <v>4</v>
      </c>
      <c r="H389" s="8"/>
      <c r="J389" t="b">
        <v>1</v>
      </c>
      <c r="K389" t="s">
        <v>851</v>
      </c>
      <c r="L389" s="13" t="str">
        <f>HYPERLINK("https://uk1.aconex.co.uk/hub/index.html?mainTarget=%2FSearchControlledDoc%3FSEARCH_ACTION%3D15%26tab%3D0%26searchMode%3D1%26searchQuery%3Ddocno:%22"&amp;RawData[[#This Row],[Document Number]]&amp;"%22%20%2Bcversion%253A1",RawData[[#This Row],[Document Number]])</f>
        <v>FS1018-CPM-ZZ-ZZ-D-A-2010</v>
      </c>
    </row>
    <row r="390" spans="1:12" ht="374.4" x14ac:dyDescent="0.3">
      <c r="A390" t="s">
        <v>852</v>
      </c>
      <c r="B390" t="s">
        <v>853</v>
      </c>
      <c r="C390" t="s">
        <v>689</v>
      </c>
      <c r="D390" t="s">
        <v>20</v>
      </c>
      <c r="E390" s="8">
        <v>45729</v>
      </c>
      <c r="F390" s="1" t="s">
        <v>12</v>
      </c>
      <c r="G390" s="1" t="s">
        <v>21</v>
      </c>
      <c r="H390" s="8">
        <v>45750</v>
      </c>
      <c r="I390" s="1" t="s">
        <v>1978</v>
      </c>
      <c r="J390" t="b">
        <v>1</v>
      </c>
      <c r="K390" t="s">
        <v>854</v>
      </c>
      <c r="L390" s="13" t="str">
        <f>HYPERLINK("https://uk1.aconex.co.uk/hub/index.html?mainTarget=%2FSearchControlledDoc%3FSEARCH_ACTION%3D15%26tab%3D0%26searchMode%3D1%26searchQuery%3Ddocno:%22"&amp;RawData[[#This Row],[Document Number]]&amp;"%22%20%2Bcversion%253A1",RawData[[#This Row],[Document Number]])</f>
        <v>FS1018-CPM-ZZ-ZZ-D-A-2011</v>
      </c>
    </row>
    <row r="391" spans="1:12" ht="28.8" x14ac:dyDescent="0.3">
      <c r="A391" t="s">
        <v>852</v>
      </c>
      <c r="B391" t="s">
        <v>853</v>
      </c>
      <c r="C391" t="s">
        <v>689</v>
      </c>
      <c r="D391" t="s">
        <v>20</v>
      </c>
      <c r="E391" s="8">
        <v>45750</v>
      </c>
      <c r="F391" s="1" t="s">
        <v>22</v>
      </c>
      <c r="G391" s="1" t="s">
        <v>4</v>
      </c>
      <c r="H391" s="8"/>
      <c r="J391" t="b">
        <v>1</v>
      </c>
      <c r="K391" t="s">
        <v>854</v>
      </c>
      <c r="L391" s="13" t="str">
        <f>HYPERLINK("https://uk1.aconex.co.uk/hub/index.html?mainTarget=%2FSearchControlledDoc%3FSEARCH_ACTION%3D15%26tab%3D0%26searchMode%3D1%26searchQuery%3Ddocno:%22"&amp;RawData[[#This Row],[Document Number]]&amp;"%22%20%2Bcversion%253A1",RawData[[#This Row],[Document Number]])</f>
        <v>FS1018-CPM-ZZ-ZZ-D-A-2011</v>
      </c>
    </row>
    <row r="392" spans="1:12" ht="216" x14ac:dyDescent="0.3">
      <c r="A392" t="s">
        <v>855</v>
      </c>
      <c r="B392" t="s">
        <v>856</v>
      </c>
      <c r="C392" t="s">
        <v>835</v>
      </c>
      <c r="D392" t="s">
        <v>20</v>
      </c>
      <c r="E392" s="8">
        <v>45729</v>
      </c>
      <c r="F392" s="1" t="s">
        <v>12</v>
      </c>
      <c r="G392" s="1" t="s">
        <v>21</v>
      </c>
      <c r="H392" s="8">
        <v>45750</v>
      </c>
      <c r="I392" s="1" t="s">
        <v>1979</v>
      </c>
      <c r="J392" t="b">
        <v>1</v>
      </c>
      <c r="K392" t="s">
        <v>857</v>
      </c>
      <c r="L392" s="13" t="str">
        <f>HYPERLINK("https://uk1.aconex.co.uk/hub/index.html?mainTarget=%2FSearchControlledDoc%3FSEARCH_ACTION%3D15%26tab%3D0%26searchMode%3D1%26searchQuery%3Ddocno:%22"&amp;RawData[[#This Row],[Document Number]]&amp;"%22%20%2Bcversion%253A1",RawData[[#This Row],[Document Number]])</f>
        <v>FS1018-CPM-ZZ-ZZ-D-A-2012</v>
      </c>
    </row>
    <row r="393" spans="1:12" ht="28.8" x14ac:dyDescent="0.3">
      <c r="A393" t="s">
        <v>855</v>
      </c>
      <c r="B393" t="s">
        <v>856</v>
      </c>
      <c r="C393" t="s">
        <v>835</v>
      </c>
      <c r="D393" t="s">
        <v>20</v>
      </c>
      <c r="E393" s="8">
        <v>45750</v>
      </c>
      <c r="F393" s="1" t="s">
        <v>22</v>
      </c>
      <c r="G393" s="1" t="s">
        <v>4</v>
      </c>
      <c r="H393" s="8"/>
      <c r="J393" t="b">
        <v>1</v>
      </c>
      <c r="K393" t="s">
        <v>857</v>
      </c>
      <c r="L393" s="13" t="str">
        <f>HYPERLINK("https://uk1.aconex.co.uk/hub/index.html?mainTarget=%2FSearchControlledDoc%3FSEARCH_ACTION%3D15%26tab%3D0%26searchMode%3D1%26searchQuery%3Ddocno:%22"&amp;RawData[[#This Row],[Document Number]]&amp;"%22%20%2Bcversion%253A1",RawData[[#This Row],[Document Number]])</f>
        <v>FS1018-CPM-ZZ-ZZ-D-A-2012</v>
      </c>
    </row>
    <row r="394" spans="1:12" ht="57.6" x14ac:dyDescent="0.3">
      <c r="A394" t="s">
        <v>858</v>
      </c>
      <c r="B394" t="s">
        <v>859</v>
      </c>
      <c r="C394" t="s">
        <v>10</v>
      </c>
      <c r="D394" t="s">
        <v>20</v>
      </c>
      <c r="E394" s="8">
        <v>45729</v>
      </c>
      <c r="F394" s="1" t="s">
        <v>12</v>
      </c>
      <c r="G394" s="1" t="s">
        <v>21</v>
      </c>
      <c r="H394" s="8">
        <v>45750</v>
      </c>
      <c r="I394" s="1" t="s">
        <v>1980</v>
      </c>
      <c r="J394" t="b">
        <v>1</v>
      </c>
      <c r="K394" t="s">
        <v>860</v>
      </c>
      <c r="L394" s="13" t="str">
        <f>HYPERLINK("https://uk1.aconex.co.uk/hub/index.html?mainTarget=%2FSearchControlledDoc%3FSEARCH_ACTION%3D15%26tab%3D0%26searchMode%3D1%26searchQuery%3Ddocno:%22"&amp;RawData[[#This Row],[Document Number]]&amp;"%22%20%2Bcversion%253A1",RawData[[#This Row],[Document Number]])</f>
        <v>FS1018-CPM-ZZ-ZZ-D-A-2025</v>
      </c>
    </row>
    <row r="395" spans="1:12" ht="28.8" x14ac:dyDescent="0.3">
      <c r="A395" t="s">
        <v>858</v>
      </c>
      <c r="B395" t="s">
        <v>859</v>
      </c>
      <c r="C395" t="s">
        <v>10</v>
      </c>
      <c r="D395" t="s">
        <v>20</v>
      </c>
      <c r="E395" s="8">
        <v>45750</v>
      </c>
      <c r="F395" s="1" t="s">
        <v>22</v>
      </c>
      <c r="G395" s="1" t="s">
        <v>4</v>
      </c>
      <c r="H395" s="8"/>
      <c r="J395" t="b">
        <v>1</v>
      </c>
      <c r="K395" t="s">
        <v>860</v>
      </c>
      <c r="L395" s="13" t="str">
        <f>HYPERLINK("https://uk1.aconex.co.uk/hub/index.html?mainTarget=%2FSearchControlledDoc%3FSEARCH_ACTION%3D15%26tab%3D0%26searchMode%3D1%26searchQuery%3Ddocno:%22"&amp;RawData[[#This Row],[Document Number]]&amp;"%22%20%2Bcversion%253A1",RawData[[#This Row],[Document Number]])</f>
        <v>FS1018-CPM-ZZ-ZZ-D-A-2025</v>
      </c>
    </row>
    <row r="396" spans="1:12" ht="72" x14ac:dyDescent="0.3">
      <c r="A396" t="s">
        <v>861</v>
      </c>
      <c r="B396" t="s">
        <v>862</v>
      </c>
      <c r="C396" t="s">
        <v>11</v>
      </c>
      <c r="D396" t="s">
        <v>20</v>
      </c>
      <c r="E396" s="8">
        <v>45729</v>
      </c>
      <c r="F396" s="1" t="s">
        <v>12</v>
      </c>
      <c r="G396" s="1" t="s">
        <v>21</v>
      </c>
      <c r="H396" s="8">
        <v>45750</v>
      </c>
      <c r="I396" s="1" t="s">
        <v>1981</v>
      </c>
      <c r="J396" t="b">
        <v>1</v>
      </c>
      <c r="K396" t="s">
        <v>863</v>
      </c>
      <c r="L396" s="13" t="str">
        <f>HYPERLINK("https://uk1.aconex.co.uk/hub/index.html?mainTarget=%2FSearchControlledDoc%3FSEARCH_ACTION%3D15%26tab%3D0%26searchMode%3D1%26searchQuery%3Ddocno:%22"&amp;RawData[[#This Row],[Document Number]]&amp;"%22%20%2Bcversion%253A1",RawData[[#This Row],[Document Number]])</f>
        <v>FS1018-CPM-ZZ-ZZ-D-A-2031</v>
      </c>
    </row>
    <row r="397" spans="1:12" ht="28.8" x14ac:dyDescent="0.3">
      <c r="A397" t="s">
        <v>861</v>
      </c>
      <c r="B397" t="s">
        <v>862</v>
      </c>
      <c r="C397" t="s">
        <v>11</v>
      </c>
      <c r="D397" t="s">
        <v>20</v>
      </c>
      <c r="E397" s="8">
        <v>45750</v>
      </c>
      <c r="F397" s="1" t="s">
        <v>22</v>
      </c>
      <c r="G397" s="1" t="s">
        <v>4</v>
      </c>
      <c r="H397" s="8"/>
      <c r="J397" t="b">
        <v>1</v>
      </c>
      <c r="K397" t="s">
        <v>863</v>
      </c>
      <c r="L397" s="13" t="str">
        <f>HYPERLINK("https://uk1.aconex.co.uk/hub/index.html?mainTarget=%2FSearchControlledDoc%3FSEARCH_ACTION%3D15%26tab%3D0%26searchMode%3D1%26searchQuery%3Ddocno:%22"&amp;RawData[[#This Row],[Document Number]]&amp;"%22%20%2Bcversion%253A1",RawData[[#This Row],[Document Number]])</f>
        <v>FS1018-CPM-ZZ-ZZ-D-A-2031</v>
      </c>
    </row>
    <row r="398" spans="1:12" ht="115.2" x14ac:dyDescent="0.3">
      <c r="A398" t="s">
        <v>864</v>
      </c>
      <c r="B398" t="s">
        <v>865</v>
      </c>
      <c r="C398" t="s">
        <v>11</v>
      </c>
      <c r="D398" t="s">
        <v>20</v>
      </c>
      <c r="E398" s="8">
        <v>45729</v>
      </c>
      <c r="F398" s="1" t="s">
        <v>12</v>
      </c>
      <c r="G398" s="1" t="s">
        <v>21</v>
      </c>
      <c r="H398" s="8">
        <v>45750</v>
      </c>
      <c r="I398" s="1" t="s">
        <v>1982</v>
      </c>
      <c r="J398" t="b">
        <v>1</v>
      </c>
      <c r="K398" t="s">
        <v>866</v>
      </c>
      <c r="L398" s="13" t="str">
        <f>HYPERLINK("https://uk1.aconex.co.uk/hub/index.html?mainTarget=%2FSearchControlledDoc%3FSEARCH_ACTION%3D15%26tab%3D0%26searchMode%3D1%26searchQuery%3Ddocno:%22"&amp;RawData[[#This Row],[Document Number]]&amp;"%22%20%2Bcversion%253A1",RawData[[#This Row],[Document Number]])</f>
        <v>FS1018-CPM-ZZ-ZZ-D-A-2032</v>
      </c>
    </row>
    <row r="399" spans="1:12" ht="28.8" x14ac:dyDescent="0.3">
      <c r="A399" t="s">
        <v>864</v>
      </c>
      <c r="B399" t="s">
        <v>865</v>
      </c>
      <c r="C399" t="s">
        <v>11</v>
      </c>
      <c r="D399" t="s">
        <v>20</v>
      </c>
      <c r="E399" s="8">
        <v>45750</v>
      </c>
      <c r="F399" s="1" t="s">
        <v>22</v>
      </c>
      <c r="G399" s="1" t="s">
        <v>4</v>
      </c>
      <c r="H399" s="8"/>
      <c r="J399" t="b">
        <v>1</v>
      </c>
      <c r="K399" t="s">
        <v>866</v>
      </c>
      <c r="L399" s="13" t="str">
        <f>HYPERLINK("https://uk1.aconex.co.uk/hub/index.html?mainTarget=%2FSearchControlledDoc%3FSEARCH_ACTION%3D15%26tab%3D0%26searchMode%3D1%26searchQuery%3Ddocno:%22"&amp;RawData[[#This Row],[Document Number]]&amp;"%22%20%2Bcversion%253A1",RawData[[#This Row],[Document Number]])</f>
        <v>FS1018-CPM-ZZ-ZZ-D-A-2032</v>
      </c>
    </row>
    <row r="400" spans="1:12" ht="115.2" x14ac:dyDescent="0.3">
      <c r="A400" t="s">
        <v>867</v>
      </c>
      <c r="B400" t="s">
        <v>868</v>
      </c>
      <c r="C400" t="s">
        <v>13</v>
      </c>
      <c r="D400" t="s">
        <v>20</v>
      </c>
      <c r="E400" s="8">
        <v>45729</v>
      </c>
      <c r="F400" s="1" t="s">
        <v>12</v>
      </c>
      <c r="G400" s="1" t="s">
        <v>21</v>
      </c>
      <c r="H400" s="8">
        <v>45750</v>
      </c>
      <c r="I400" s="1" t="s">
        <v>1983</v>
      </c>
      <c r="J400" t="b">
        <v>1</v>
      </c>
      <c r="K400" t="s">
        <v>869</v>
      </c>
      <c r="L400" s="13" t="str">
        <f>HYPERLINK("https://uk1.aconex.co.uk/hub/index.html?mainTarget=%2FSearchControlledDoc%3FSEARCH_ACTION%3D15%26tab%3D0%26searchMode%3D1%26searchQuery%3Ddocno:%22"&amp;RawData[[#This Row],[Document Number]]&amp;"%22%20%2Bcversion%253A1",RawData[[#This Row],[Document Number]])</f>
        <v>FS1018-CPM-ZZ-ZZ-D-A-2040</v>
      </c>
    </row>
    <row r="401" spans="1:12" ht="28.8" x14ac:dyDescent="0.3">
      <c r="A401" t="s">
        <v>867</v>
      </c>
      <c r="B401" t="s">
        <v>868</v>
      </c>
      <c r="C401" t="s">
        <v>13</v>
      </c>
      <c r="D401" t="s">
        <v>20</v>
      </c>
      <c r="E401" s="8">
        <v>45750</v>
      </c>
      <c r="F401" s="1" t="s">
        <v>22</v>
      </c>
      <c r="G401" s="1" t="s">
        <v>4</v>
      </c>
      <c r="H401" s="8"/>
      <c r="J401" t="b">
        <v>1</v>
      </c>
      <c r="K401" t="s">
        <v>869</v>
      </c>
      <c r="L401" s="13" t="str">
        <f>HYPERLINK("https://uk1.aconex.co.uk/hub/index.html?mainTarget=%2FSearchControlledDoc%3FSEARCH_ACTION%3D15%26tab%3D0%26searchMode%3D1%26searchQuery%3Ddocno:%22"&amp;RawData[[#This Row],[Document Number]]&amp;"%22%20%2Bcversion%253A1",RawData[[#This Row],[Document Number]])</f>
        <v>FS1018-CPM-ZZ-ZZ-D-A-2040</v>
      </c>
    </row>
    <row r="402" spans="1:12" ht="403.2" x14ac:dyDescent="0.3">
      <c r="A402" t="s">
        <v>870</v>
      </c>
      <c r="B402" t="s">
        <v>871</v>
      </c>
      <c r="C402" t="s">
        <v>418</v>
      </c>
      <c r="D402" t="s">
        <v>20</v>
      </c>
      <c r="E402" s="8">
        <v>45729</v>
      </c>
      <c r="F402" s="1" t="s">
        <v>12</v>
      </c>
      <c r="G402" s="1" t="s">
        <v>21</v>
      </c>
      <c r="H402" s="8">
        <v>45750</v>
      </c>
      <c r="I402" s="1" t="s">
        <v>1984</v>
      </c>
      <c r="J402" t="b">
        <v>1</v>
      </c>
      <c r="K402" t="s">
        <v>872</v>
      </c>
      <c r="L402" s="13" t="str">
        <f>HYPERLINK("https://uk1.aconex.co.uk/hub/index.html?mainTarget=%2FSearchControlledDoc%3FSEARCH_ACTION%3D15%26tab%3D0%26searchMode%3D1%26searchQuery%3Ddocno:%22"&amp;RawData[[#This Row],[Document Number]]&amp;"%22%20%2Bcversion%253A1",RawData[[#This Row],[Document Number]])</f>
        <v>FS1018-CPM-ZZ-ZZ-D-A-2140</v>
      </c>
    </row>
    <row r="403" spans="1:12" ht="28.8" x14ac:dyDescent="0.3">
      <c r="A403" t="s">
        <v>870</v>
      </c>
      <c r="B403" t="s">
        <v>871</v>
      </c>
      <c r="C403" t="s">
        <v>418</v>
      </c>
      <c r="D403" t="s">
        <v>20</v>
      </c>
      <c r="E403" s="8">
        <v>45750</v>
      </c>
      <c r="F403" s="1" t="s">
        <v>22</v>
      </c>
      <c r="G403" s="1" t="s">
        <v>4</v>
      </c>
      <c r="H403" s="8"/>
      <c r="J403" t="b">
        <v>1</v>
      </c>
      <c r="K403" t="s">
        <v>872</v>
      </c>
      <c r="L403" s="13" t="str">
        <f>HYPERLINK("https://uk1.aconex.co.uk/hub/index.html?mainTarget=%2FSearchControlledDoc%3FSEARCH_ACTION%3D15%26tab%3D0%26searchMode%3D1%26searchQuery%3Ddocno:%22"&amp;RawData[[#This Row],[Document Number]]&amp;"%22%20%2Bcversion%253A1",RawData[[#This Row],[Document Number]])</f>
        <v>FS1018-CPM-ZZ-ZZ-D-A-2140</v>
      </c>
    </row>
    <row r="404" spans="1:12" ht="158.4" x14ac:dyDescent="0.3">
      <c r="A404" t="s">
        <v>873</v>
      </c>
      <c r="B404" t="s">
        <v>874</v>
      </c>
      <c r="C404" t="s">
        <v>10</v>
      </c>
      <c r="D404" t="s">
        <v>20</v>
      </c>
      <c r="E404" s="8">
        <v>45729</v>
      </c>
      <c r="F404" s="1" t="s">
        <v>12</v>
      </c>
      <c r="G404" s="1" t="s">
        <v>21</v>
      </c>
      <c r="H404" s="8">
        <v>45750</v>
      </c>
      <c r="I404" s="1" t="s">
        <v>1985</v>
      </c>
      <c r="J404" t="b">
        <v>1</v>
      </c>
      <c r="K404" t="s">
        <v>875</v>
      </c>
      <c r="L404" s="13" t="str">
        <f>HYPERLINK("https://uk1.aconex.co.uk/hub/index.html?mainTarget=%2FSearchControlledDoc%3FSEARCH_ACTION%3D15%26tab%3D0%26searchMode%3D1%26searchQuery%3Ddocno:%22"&amp;RawData[[#This Row],[Document Number]]&amp;"%22%20%2Bcversion%253A1",RawData[[#This Row],[Document Number]])</f>
        <v>FS1018-CPM-ZZ-ZZ-D-A-2141</v>
      </c>
    </row>
    <row r="405" spans="1:12" ht="28.8" x14ac:dyDescent="0.3">
      <c r="A405" t="s">
        <v>873</v>
      </c>
      <c r="B405" t="s">
        <v>874</v>
      </c>
      <c r="C405" t="s">
        <v>10</v>
      </c>
      <c r="D405" t="s">
        <v>20</v>
      </c>
      <c r="E405" s="8">
        <v>45750</v>
      </c>
      <c r="F405" s="1" t="s">
        <v>22</v>
      </c>
      <c r="G405" s="1" t="s">
        <v>4</v>
      </c>
      <c r="H405" s="8"/>
      <c r="J405" t="b">
        <v>1</v>
      </c>
      <c r="K405" t="s">
        <v>875</v>
      </c>
      <c r="L405" s="13" t="str">
        <f>HYPERLINK("https://uk1.aconex.co.uk/hub/index.html?mainTarget=%2FSearchControlledDoc%3FSEARCH_ACTION%3D15%26tab%3D0%26searchMode%3D1%26searchQuery%3Ddocno:%22"&amp;RawData[[#This Row],[Document Number]]&amp;"%22%20%2Bcversion%253A1",RawData[[#This Row],[Document Number]])</f>
        <v>FS1018-CPM-ZZ-ZZ-D-A-2141</v>
      </c>
    </row>
    <row r="406" spans="1:12" ht="43.2" x14ac:dyDescent="0.3">
      <c r="A406" t="s">
        <v>876</v>
      </c>
      <c r="B406" t="s">
        <v>877</v>
      </c>
      <c r="C406" t="s">
        <v>11</v>
      </c>
      <c r="D406" t="s">
        <v>20</v>
      </c>
      <c r="E406" s="8">
        <v>45729</v>
      </c>
      <c r="F406" s="1" t="s">
        <v>12</v>
      </c>
      <c r="G406" s="1" t="s">
        <v>21</v>
      </c>
      <c r="H406" s="8">
        <v>45750</v>
      </c>
      <c r="I406" s="1" t="s">
        <v>1986</v>
      </c>
      <c r="J406" t="b">
        <v>1</v>
      </c>
      <c r="K406" t="s">
        <v>878</v>
      </c>
      <c r="L406" s="13" t="str">
        <f>HYPERLINK("https://uk1.aconex.co.uk/hub/index.html?mainTarget=%2FSearchControlledDoc%3FSEARCH_ACTION%3D15%26tab%3D0%26searchMode%3D1%26searchQuery%3Ddocno:%22"&amp;RawData[[#This Row],[Document Number]]&amp;"%22%20%2Bcversion%253A1",RawData[[#This Row],[Document Number]])</f>
        <v>FS1018-CPM-ZZ-ZZ-D-A-2143</v>
      </c>
    </row>
    <row r="407" spans="1:12" ht="28.8" x14ac:dyDescent="0.3">
      <c r="A407" t="s">
        <v>876</v>
      </c>
      <c r="B407" t="s">
        <v>877</v>
      </c>
      <c r="C407" t="s">
        <v>11</v>
      </c>
      <c r="D407" t="s">
        <v>20</v>
      </c>
      <c r="E407" s="8">
        <v>45750</v>
      </c>
      <c r="F407" s="1" t="s">
        <v>22</v>
      </c>
      <c r="G407" s="1" t="s">
        <v>4</v>
      </c>
      <c r="H407" s="8"/>
      <c r="J407" t="b">
        <v>1</v>
      </c>
      <c r="K407" t="s">
        <v>878</v>
      </c>
      <c r="L407" s="13" t="str">
        <f>HYPERLINK("https://uk1.aconex.co.uk/hub/index.html?mainTarget=%2FSearchControlledDoc%3FSEARCH_ACTION%3D15%26tab%3D0%26searchMode%3D1%26searchQuery%3Ddocno:%22"&amp;RawData[[#This Row],[Document Number]]&amp;"%22%20%2Bcversion%253A1",RawData[[#This Row],[Document Number]])</f>
        <v>FS1018-CPM-ZZ-ZZ-D-A-2143</v>
      </c>
    </row>
    <row r="408" spans="1:12" ht="43.2" x14ac:dyDescent="0.3">
      <c r="A408" t="s">
        <v>879</v>
      </c>
      <c r="B408" t="s">
        <v>880</v>
      </c>
      <c r="C408" t="s">
        <v>10</v>
      </c>
      <c r="D408" t="s">
        <v>20</v>
      </c>
      <c r="E408" s="8">
        <v>45729</v>
      </c>
      <c r="F408" s="1" t="s">
        <v>12</v>
      </c>
      <c r="G408" s="1" t="s">
        <v>21</v>
      </c>
      <c r="H408" s="8">
        <v>45750</v>
      </c>
      <c r="I408" s="1" t="s">
        <v>1986</v>
      </c>
      <c r="J408" t="b">
        <v>1</v>
      </c>
      <c r="K408" t="s">
        <v>881</v>
      </c>
      <c r="L408" s="13" t="str">
        <f>HYPERLINK("https://uk1.aconex.co.uk/hub/index.html?mainTarget=%2FSearchControlledDoc%3FSEARCH_ACTION%3D15%26tab%3D0%26searchMode%3D1%26searchQuery%3Ddocno:%22"&amp;RawData[[#This Row],[Document Number]]&amp;"%22%20%2Bcversion%253A1",RawData[[#This Row],[Document Number]])</f>
        <v>FS1018-CPM-ZZ-ZZ-D-A-2144</v>
      </c>
    </row>
    <row r="409" spans="1:12" ht="28.8" x14ac:dyDescent="0.3">
      <c r="A409" t="s">
        <v>879</v>
      </c>
      <c r="B409" t="s">
        <v>880</v>
      </c>
      <c r="C409" t="s">
        <v>10</v>
      </c>
      <c r="D409" t="s">
        <v>20</v>
      </c>
      <c r="E409" s="8">
        <v>45750</v>
      </c>
      <c r="F409" s="1" t="s">
        <v>22</v>
      </c>
      <c r="G409" s="1" t="s">
        <v>4</v>
      </c>
      <c r="H409" s="8"/>
      <c r="J409" t="b">
        <v>1</v>
      </c>
      <c r="K409" t="s">
        <v>881</v>
      </c>
      <c r="L409" s="13" t="str">
        <f>HYPERLINK("https://uk1.aconex.co.uk/hub/index.html?mainTarget=%2FSearchControlledDoc%3FSEARCH_ACTION%3D15%26tab%3D0%26searchMode%3D1%26searchQuery%3Ddocno:%22"&amp;RawData[[#This Row],[Document Number]]&amp;"%22%20%2Bcversion%253A1",RawData[[#This Row],[Document Number]])</f>
        <v>FS1018-CPM-ZZ-ZZ-D-A-2144</v>
      </c>
    </row>
    <row r="410" spans="1:12" ht="43.2" x14ac:dyDescent="0.3">
      <c r="A410" t="s">
        <v>882</v>
      </c>
      <c r="B410" t="s">
        <v>883</v>
      </c>
      <c r="C410" t="s">
        <v>13</v>
      </c>
      <c r="D410" t="s">
        <v>20</v>
      </c>
      <c r="E410" s="8">
        <v>45729</v>
      </c>
      <c r="F410" s="1" t="s">
        <v>12</v>
      </c>
      <c r="G410" s="1" t="s">
        <v>21</v>
      </c>
      <c r="H410" s="8">
        <v>45750</v>
      </c>
      <c r="I410" s="1" t="s">
        <v>1987</v>
      </c>
      <c r="J410" t="b">
        <v>1</v>
      </c>
      <c r="K410" t="s">
        <v>884</v>
      </c>
      <c r="L410" s="13" t="str">
        <f>HYPERLINK("https://uk1.aconex.co.uk/hub/index.html?mainTarget=%2FSearchControlledDoc%3FSEARCH_ACTION%3D15%26tab%3D0%26searchMode%3D1%26searchQuery%3Ddocno:%22"&amp;RawData[[#This Row],[Document Number]]&amp;"%22%20%2Bcversion%253A1",RawData[[#This Row],[Document Number]])</f>
        <v>FS1018-CPM-ZZ-ZZ-D-A-2401</v>
      </c>
    </row>
    <row r="411" spans="1:12" ht="28.8" x14ac:dyDescent="0.3">
      <c r="A411" t="s">
        <v>882</v>
      </c>
      <c r="B411" t="s">
        <v>883</v>
      </c>
      <c r="C411" t="s">
        <v>13</v>
      </c>
      <c r="D411" t="s">
        <v>20</v>
      </c>
      <c r="E411" s="8">
        <v>45750</v>
      </c>
      <c r="F411" s="1" t="s">
        <v>22</v>
      </c>
      <c r="G411" s="1" t="s">
        <v>4</v>
      </c>
      <c r="H411" s="8"/>
      <c r="J411" t="b">
        <v>1</v>
      </c>
      <c r="K411" t="s">
        <v>884</v>
      </c>
      <c r="L411" s="13" t="str">
        <f>HYPERLINK("https://uk1.aconex.co.uk/hub/index.html?mainTarget=%2FSearchControlledDoc%3FSEARCH_ACTION%3D15%26tab%3D0%26searchMode%3D1%26searchQuery%3Ddocno:%22"&amp;RawData[[#This Row],[Document Number]]&amp;"%22%20%2Bcversion%253A1",RawData[[#This Row],[Document Number]])</f>
        <v>FS1018-CPM-ZZ-ZZ-D-A-2401</v>
      </c>
    </row>
    <row r="412" spans="1:12" ht="43.2" x14ac:dyDescent="0.3">
      <c r="A412" t="s">
        <v>885</v>
      </c>
      <c r="B412" t="s">
        <v>886</v>
      </c>
      <c r="C412" t="s">
        <v>13</v>
      </c>
      <c r="D412" t="s">
        <v>20</v>
      </c>
      <c r="E412" s="8">
        <v>45729</v>
      </c>
      <c r="F412" s="1" t="s">
        <v>12</v>
      </c>
      <c r="G412" s="1" t="s">
        <v>21</v>
      </c>
      <c r="H412" s="8">
        <v>45750</v>
      </c>
      <c r="I412" s="1" t="s">
        <v>1988</v>
      </c>
      <c r="J412" t="b">
        <v>1</v>
      </c>
      <c r="K412" t="s">
        <v>887</v>
      </c>
      <c r="L412" s="13" t="str">
        <f>HYPERLINK("https://uk1.aconex.co.uk/hub/index.html?mainTarget=%2FSearchControlledDoc%3FSEARCH_ACTION%3D15%26tab%3D0%26searchMode%3D1%26searchQuery%3Ddocno:%22"&amp;RawData[[#This Row],[Document Number]]&amp;"%22%20%2Bcversion%253A1",RawData[[#This Row],[Document Number]])</f>
        <v>FS1018-CPM-ZZ-ZZ-D-A-2402</v>
      </c>
    </row>
    <row r="413" spans="1:12" ht="28.8" x14ac:dyDescent="0.3">
      <c r="A413" t="s">
        <v>885</v>
      </c>
      <c r="B413" t="s">
        <v>886</v>
      </c>
      <c r="C413" t="s">
        <v>13</v>
      </c>
      <c r="D413" t="s">
        <v>20</v>
      </c>
      <c r="E413" s="8">
        <v>45750</v>
      </c>
      <c r="F413" s="1" t="s">
        <v>22</v>
      </c>
      <c r="G413" s="1" t="s">
        <v>4</v>
      </c>
      <c r="H413" s="8"/>
      <c r="J413" t="b">
        <v>1</v>
      </c>
      <c r="K413" t="s">
        <v>887</v>
      </c>
      <c r="L413" s="13" t="str">
        <f>HYPERLINK("https://uk1.aconex.co.uk/hub/index.html?mainTarget=%2FSearchControlledDoc%3FSEARCH_ACTION%3D15%26tab%3D0%26searchMode%3D1%26searchQuery%3Ddocno:%22"&amp;RawData[[#This Row],[Document Number]]&amp;"%22%20%2Bcversion%253A1",RawData[[#This Row],[Document Number]])</f>
        <v>FS1018-CPM-ZZ-ZZ-D-A-2402</v>
      </c>
    </row>
    <row r="414" spans="1:12" ht="43.2" x14ac:dyDescent="0.3">
      <c r="A414" t="s">
        <v>888</v>
      </c>
      <c r="B414" t="s">
        <v>889</v>
      </c>
      <c r="C414" t="s">
        <v>13</v>
      </c>
      <c r="D414" t="s">
        <v>20</v>
      </c>
      <c r="E414" s="8">
        <v>45729</v>
      </c>
      <c r="F414" s="1" t="s">
        <v>12</v>
      </c>
      <c r="G414" s="1" t="s">
        <v>21</v>
      </c>
      <c r="H414" s="8">
        <v>45750</v>
      </c>
      <c r="I414" s="1" t="s">
        <v>1989</v>
      </c>
      <c r="J414" t="b">
        <v>1</v>
      </c>
      <c r="K414" t="s">
        <v>890</v>
      </c>
      <c r="L414" s="13" t="str">
        <f>HYPERLINK("https://uk1.aconex.co.uk/hub/index.html?mainTarget=%2FSearchControlledDoc%3FSEARCH_ACTION%3D15%26tab%3D0%26searchMode%3D1%26searchQuery%3Ddocno:%22"&amp;RawData[[#This Row],[Document Number]]&amp;"%22%20%2Bcversion%253A1",RawData[[#This Row],[Document Number]])</f>
        <v>FS1018-CPM-ZZ-ZZ-D-A-2403</v>
      </c>
    </row>
    <row r="415" spans="1:12" ht="28.8" x14ac:dyDescent="0.3">
      <c r="A415" t="s">
        <v>888</v>
      </c>
      <c r="B415" t="s">
        <v>889</v>
      </c>
      <c r="C415" t="s">
        <v>13</v>
      </c>
      <c r="D415" t="s">
        <v>20</v>
      </c>
      <c r="E415" s="8">
        <v>45750</v>
      </c>
      <c r="F415" s="1" t="s">
        <v>22</v>
      </c>
      <c r="G415" s="1" t="s">
        <v>4</v>
      </c>
      <c r="H415" s="8"/>
      <c r="J415" t="b">
        <v>1</v>
      </c>
      <c r="K415" t="s">
        <v>890</v>
      </c>
      <c r="L415" s="13" t="str">
        <f>HYPERLINK("https://uk1.aconex.co.uk/hub/index.html?mainTarget=%2FSearchControlledDoc%3FSEARCH_ACTION%3D15%26tab%3D0%26searchMode%3D1%26searchQuery%3Ddocno:%22"&amp;RawData[[#This Row],[Document Number]]&amp;"%22%20%2Bcversion%253A1",RawData[[#This Row],[Document Number]])</f>
        <v>FS1018-CPM-ZZ-ZZ-D-A-2403</v>
      </c>
    </row>
    <row r="416" spans="1:12" ht="43.2" x14ac:dyDescent="0.3">
      <c r="A416" t="s">
        <v>891</v>
      </c>
      <c r="B416" t="s">
        <v>892</v>
      </c>
      <c r="C416" t="s">
        <v>13</v>
      </c>
      <c r="D416" t="s">
        <v>20</v>
      </c>
      <c r="E416" s="8">
        <v>45729</v>
      </c>
      <c r="F416" s="1" t="s">
        <v>12</v>
      </c>
      <c r="G416" s="1" t="s">
        <v>21</v>
      </c>
      <c r="H416" s="8">
        <v>45750</v>
      </c>
      <c r="I416" s="1" t="s">
        <v>1989</v>
      </c>
      <c r="J416" t="b">
        <v>1</v>
      </c>
      <c r="K416" t="s">
        <v>893</v>
      </c>
      <c r="L416" s="13" t="str">
        <f>HYPERLINK("https://uk1.aconex.co.uk/hub/index.html?mainTarget=%2FSearchControlledDoc%3FSEARCH_ACTION%3D15%26tab%3D0%26searchMode%3D1%26searchQuery%3Ddocno:%22"&amp;RawData[[#This Row],[Document Number]]&amp;"%22%20%2Bcversion%253A1",RawData[[#This Row],[Document Number]])</f>
        <v>FS1018-CPM-ZZ-ZZ-D-A-2404</v>
      </c>
    </row>
    <row r="417" spans="1:12" ht="28.8" x14ac:dyDescent="0.3">
      <c r="A417" t="s">
        <v>891</v>
      </c>
      <c r="B417" t="s">
        <v>892</v>
      </c>
      <c r="C417" t="s">
        <v>13</v>
      </c>
      <c r="D417" t="s">
        <v>20</v>
      </c>
      <c r="E417" s="8">
        <v>45750</v>
      </c>
      <c r="F417" s="1" t="s">
        <v>22</v>
      </c>
      <c r="G417" s="1" t="s">
        <v>4</v>
      </c>
      <c r="H417" s="8"/>
      <c r="J417" t="b">
        <v>1</v>
      </c>
      <c r="K417" t="s">
        <v>893</v>
      </c>
      <c r="L417" s="13" t="str">
        <f>HYPERLINK("https://uk1.aconex.co.uk/hub/index.html?mainTarget=%2FSearchControlledDoc%3FSEARCH_ACTION%3D15%26tab%3D0%26searchMode%3D1%26searchQuery%3Ddocno:%22"&amp;RawData[[#This Row],[Document Number]]&amp;"%22%20%2Bcversion%253A1",RawData[[#This Row],[Document Number]])</f>
        <v>FS1018-CPM-ZZ-ZZ-D-A-2404</v>
      </c>
    </row>
    <row r="418" spans="1:12" ht="129.6" x14ac:dyDescent="0.3">
      <c r="A418" t="s">
        <v>894</v>
      </c>
      <c r="B418" t="s">
        <v>895</v>
      </c>
      <c r="C418" t="s">
        <v>13</v>
      </c>
      <c r="D418" t="s">
        <v>20</v>
      </c>
      <c r="E418" s="8">
        <v>45729</v>
      </c>
      <c r="F418" s="1" t="s">
        <v>12</v>
      </c>
      <c r="G418" s="1" t="s">
        <v>21</v>
      </c>
      <c r="H418" s="8">
        <v>45750</v>
      </c>
      <c r="I418" s="1" t="s">
        <v>1990</v>
      </c>
      <c r="J418" t="b">
        <v>1</v>
      </c>
      <c r="K418" t="s">
        <v>896</v>
      </c>
      <c r="L418" s="13" t="str">
        <f>HYPERLINK("https://uk1.aconex.co.uk/hub/index.html?mainTarget=%2FSearchControlledDoc%3FSEARCH_ACTION%3D15%26tab%3D0%26searchMode%3D1%26searchQuery%3Ddocno:%22"&amp;RawData[[#This Row],[Document Number]]&amp;"%22%20%2Bcversion%253A1",RawData[[#This Row],[Document Number]])</f>
        <v>FS1018-CPM-ZZ-ZZ-D-A-2405</v>
      </c>
    </row>
    <row r="419" spans="1:12" ht="28.8" x14ac:dyDescent="0.3">
      <c r="A419" t="s">
        <v>894</v>
      </c>
      <c r="B419" t="s">
        <v>895</v>
      </c>
      <c r="C419" t="s">
        <v>13</v>
      </c>
      <c r="D419" t="s">
        <v>20</v>
      </c>
      <c r="E419" s="8">
        <v>45750</v>
      </c>
      <c r="F419" s="1" t="s">
        <v>22</v>
      </c>
      <c r="G419" s="1" t="s">
        <v>4</v>
      </c>
      <c r="H419" s="8"/>
      <c r="J419" t="b">
        <v>1</v>
      </c>
      <c r="K419" t="s">
        <v>896</v>
      </c>
      <c r="L419" s="13" t="str">
        <f>HYPERLINK("https://uk1.aconex.co.uk/hub/index.html?mainTarget=%2FSearchControlledDoc%3FSEARCH_ACTION%3D15%26tab%3D0%26searchMode%3D1%26searchQuery%3Ddocno:%22"&amp;RawData[[#This Row],[Document Number]]&amp;"%22%20%2Bcversion%253A1",RawData[[#This Row],[Document Number]])</f>
        <v>FS1018-CPM-ZZ-ZZ-D-A-2405</v>
      </c>
    </row>
    <row r="420" spans="1:12" ht="43.2" x14ac:dyDescent="0.3">
      <c r="A420" t="s">
        <v>897</v>
      </c>
      <c r="B420" t="s">
        <v>898</v>
      </c>
      <c r="C420" t="s">
        <v>13</v>
      </c>
      <c r="D420" t="s">
        <v>20</v>
      </c>
      <c r="E420" s="8">
        <v>45729</v>
      </c>
      <c r="F420" s="1" t="s">
        <v>12</v>
      </c>
      <c r="G420" s="1" t="s">
        <v>21</v>
      </c>
      <c r="H420" s="8">
        <v>45750</v>
      </c>
      <c r="I420" s="1" t="s">
        <v>1991</v>
      </c>
      <c r="J420" t="b">
        <v>1</v>
      </c>
      <c r="K420" t="s">
        <v>899</v>
      </c>
      <c r="L420" s="13" t="str">
        <f>HYPERLINK("https://uk1.aconex.co.uk/hub/index.html?mainTarget=%2FSearchControlledDoc%3FSEARCH_ACTION%3D15%26tab%3D0%26searchMode%3D1%26searchQuery%3Ddocno:%22"&amp;RawData[[#This Row],[Document Number]]&amp;"%22%20%2Bcversion%253A1",RawData[[#This Row],[Document Number]])</f>
        <v>FS1018-CPM-ZZ-ZZ-D-A-3002</v>
      </c>
    </row>
    <row r="421" spans="1:12" ht="28.8" x14ac:dyDescent="0.3">
      <c r="A421" t="s">
        <v>897</v>
      </c>
      <c r="B421" t="s">
        <v>898</v>
      </c>
      <c r="C421" t="s">
        <v>13</v>
      </c>
      <c r="D421" t="s">
        <v>20</v>
      </c>
      <c r="E421" s="8">
        <v>45750</v>
      </c>
      <c r="F421" s="1" t="s">
        <v>22</v>
      </c>
      <c r="G421" s="1" t="s">
        <v>4</v>
      </c>
      <c r="H421" s="8"/>
      <c r="J421" t="b">
        <v>1</v>
      </c>
      <c r="K421" t="s">
        <v>899</v>
      </c>
      <c r="L421" s="13" t="str">
        <f>HYPERLINK("https://uk1.aconex.co.uk/hub/index.html?mainTarget=%2FSearchControlledDoc%3FSEARCH_ACTION%3D15%26tab%3D0%26searchMode%3D1%26searchQuery%3Ddocno:%22"&amp;RawData[[#This Row],[Document Number]]&amp;"%22%20%2Bcversion%253A1",RawData[[#This Row],[Document Number]])</f>
        <v>FS1018-CPM-ZZ-ZZ-D-A-3002</v>
      </c>
    </row>
    <row r="422" spans="1:12" ht="43.2" x14ac:dyDescent="0.3">
      <c r="A422" t="s">
        <v>900</v>
      </c>
      <c r="B422" t="s">
        <v>901</v>
      </c>
      <c r="C422" t="s">
        <v>13</v>
      </c>
      <c r="D422" t="s">
        <v>20</v>
      </c>
      <c r="E422" s="8">
        <v>45729</v>
      </c>
      <c r="F422" s="1" t="s">
        <v>12</v>
      </c>
      <c r="G422" s="1" t="s">
        <v>21</v>
      </c>
      <c r="H422" s="8">
        <v>45750</v>
      </c>
      <c r="I422" s="1" t="s">
        <v>1992</v>
      </c>
      <c r="J422" t="b">
        <v>1</v>
      </c>
      <c r="K422" t="s">
        <v>902</v>
      </c>
      <c r="L422" s="13" t="str">
        <f>HYPERLINK("https://uk1.aconex.co.uk/hub/index.html?mainTarget=%2FSearchControlledDoc%3FSEARCH_ACTION%3D15%26tab%3D0%26searchMode%3D1%26searchQuery%3Ddocno:%22"&amp;RawData[[#This Row],[Document Number]]&amp;"%22%20%2Bcversion%253A1",RawData[[#This Row],[Document Number]])</f>
        <v>FS1018-CPM-ZZ-ZZ-D-A-3010</v>
      </c>
    </row>
    <row r="423" spans="1:12" ht="28.8" x14ac:dyDescent="0.3">
      <c r="A423" t="s">
        <v>900</v>
      </c>
      <c r="B423" t="s">
        <v>901</v>
      </c>
      <c r="C423" t="s">
        <v>13</v>
      </c>
      <c r="D423" t="s">
        <v>20</v>
      </c>
      <c r="E423" s="8">
        <v>45750</v>
      </c>
      <c r="F423" s="1" t="s">
        <v>22</v>
      </c>
      <c r="G423" s="1" t="s">
        <v>4</v>
      </c>
      <c r="H423" s="8"/>
      <c r="J423" t="b">
        <v>1</v>
      </c>
      <c r="K423" t="s">
        <v>902</v>
      </c>
      <c r="L423" s="13" t="str">
        <f>HYPERLINK("https://uk1.aconex.co.uk/hub/index.html?mainTarget=%2FSearchControlledDoc%3FSEARCH_ACTION%3D15%26tab%3D0%26searchMode%3D1%26searchQuery%3Ddocno:%22"&amp;RawData[[#This Row],[Document Number]]&amp;"%22%20%2Bcversion%253A1",RawData[[#This Row],[Document Number]])</f>
        <v>FS1018-CPM-ZZ-ZZ-D-A-3010</v>
      </c>
    </row>
    <row r="424" spans="1:12" ht="43.2" x14ac:dyDescent="0.3">
      <c r="A424" t="s">
        <v>903</v>
      </c>
      <c r="B424" t="s">
        <v>904</v>
      </c>
      <c r="C424" t="s">
        <v>13</v>
      </c>
      <c r="D424" t="s">
        <v>20</v>
      </c>
      <c r="E424" s="8">
        <v>45729</v>
      </c>
      <c r="F424" s="1" t="s">
        <v>12</v>
      </c>
      <c r="G424" s="1" t="s">
        <v>21</v>
      </c>
      <c r="H424" s="8">
        <v>45750</v>
      </c>
      <c r="I424" s="1" t="s">
        <v>1993</v>
      </c>
      <c r="J424" t="b">
        <v>1</v>
      </c>
      <c r="K424" t="s">
        <v>905</v>
      </c>
      <c r="L424" s="13" t="str">
        <f>HYPERLINK("https://uk1.aconex.co.uk/hub/index.html?mainTarget=%2FSearchControlledDoc%3FSEARCH_ACTION%3D15%26tab%3D0%26searchMode%3D1%26searchQuery%3Ddocno:%22"&amp;RawData[[#This Row],[Document Number]]&amp;"%22%20%2Bcversion%253A1",RawData[[#This Row],[Document Number]])</f>
        <v>FS1018-CPM-ZZ-ZZ-D-A-3011</v>
      </c>
    </row>
    <row r="425" spans="1:12" ht="28.8" x14ac:dyDescent="0.3">
      <c r="A425" t="s">
        <v>903</v>
      </c>
      <c r="B425" t="s">
        <v>904</v>
      </c>
      <c r="C425" t="s">
        <v>13</v>
      </c>
      <c r="D425" t="s">
        <v>20</v>
      </c>
      <c r="E425" s="8">
        <v>45750</v>
      </c>
      <c r="F425" s="1" t="s">
        <v>22</v>
      </c>
      <c r="G425" s="1" t="s">
        <v>4</v>
      </c>
      <c r="H425" s="8"/>
      <c r="J425" t="b">
        <v>1</v>
      </c>
      <c r="K425" t="s">
        <v>905</v>
      </c>
      <c r="L425" s="13" t="str">
        <f>HYPERLINK("https://uk1.aconex.co.uk/hub/index.html?mainTarget=%2FSearchControlledDoc%3FSEARCH_ACTION%3D15%26tab%3D0%26searchMode%3D1%26searchQuery%3Ddocno:%22"&amp;RawData[[#This Row],[Document Number]]&amp;"%22%20%2Bcversion%253A1",RawData[[#This Row],[Document Number]])</f>
        <v>FS1018-CPM-ZZ-ZZ-D-A-3011</v>
      </c>
    </row>
    <row r="426" spans="1:12" ht="259.2" x14ac:dyDescent="0.3">
      <c r="A426" t="s">
        <v>906</v>
      </c>
      <c r="B426" t="s">
        <v>907</v>
      </c>
      <c r="C426" t="s">
        <v>13</v>
      </c>
      <c r="D426" t="s">
        <v>20</v>
      </c>
      <c r="E426" s="8">
        <v>45729</v>
      </c>
      <c r="F426" s="1" t="s">
        <v>12</v>
      </c>
      <c r="G426" s="1" t="s">
        <v>21</v>
      </c>
      <c r="H426" s="8">
        <v>45750</v>
      </c>
      <c r="I426" s="1" t="s">
        <v>1994</v>
      </c>
      <c r="J426" t="b">
        <v>1</v>
      </c>
      <c r="K426" t="s">
        <v>908</v>
      </c>
      <c r="L426" s="13" t="str">
        <f>HYPERLINK("https://uk1.aconex.co.uk/hub/index.html?mainTarget=%2FSearchControlledDoc%3FSEARCH_ACTION%3D15%26tab%3D0%26searchMode%3D1%26searchQuery%3Ddocno:%22"&amp;RawData[[#This Row],[Document Number]]&amp;"%22%20%2Bcversion%253A1",RawData[[#This Row],[Document Number]])</f>
        <v>FS1018-CPM-ZZ-ZZ-D-A-3020</v>
      </c>
    </row>
    <row r="427" spans="1:12" ht="28.8" x14ac:dyDescent="0.3">
      <c r="A427" t="s">
        <v>906</v>
      </c>
      <c r="B427" t="s">
        <v>907</v>
      </c>
      <c r="C427" t="s">
        <v>13</v>
      </c>
      <c r="D427" t="s">
        <v>20</v>
      </c>
      <c r="E427" s="8">
        <v>45750</v>
      </c>
      <c r="F427" s="1" t="s">
        <v>22</v>
      </c>
      <c r="G427" s="1" t="s">
        <v>4</v>
      </c>
      <c r="H427" s="8"/>
      <c r="J427" t="b">
        <v>1</v>
      </c>
      <c r="K427" t="s">
        <v>908</v>
      </c>
      <c r="L427" s="13" t="str">
        <f>HYPERLINK("https://uk1.aconex.co.uk/hub/index.html?mainTarget=%2FSearchControlledDoc%3FSEARCH_ACTION%3D15%26tab%3D0%26searchMode%3D1%26searchQuery%3Ddocno:%22"&amp;RawData[[#This Row],[Document Number]]&amp;"%22%20%2Bcversion%253A1",RawData[[#This Row],[Document Number]])</f>
        <v>FS1018-CPM-ZZ-ZZ-D-A-3020</v>
      </c>
    </row>
    <row r="428" spans="1:12" ht="115.2" x14ac:dyDescent="0.3">
      <c r="A428" t="s">
        <v>909</v>
      </c>
      <c r="B428" t="s">
        <v>910</v>
      </c>
      <c r="C428" t="s">
        <v>13</v>
      </c>
      <c r="D428" t="s">
        <v>20</v>
      </c>
      <c r="E428" s="8">
        <v>45729</v>
      </c>
      <c r="F428" s="1" t="s">
        <v>12</v>
      </c>
      <c r="G428" s="1" t="s">
        <v>21</v>
      </c>
      <c r="H428" s="8">
        <v>45750</v>
      </c>
      <c r="I428" s="1" t="s">
        <v>1995</v>
      </c>
      <c r="J428" t="b">
        <v>1</v>
      </c>
      <c r="K428" t="s">
        <v>911</v>
      </c>
      <c r="L428" s="13" t="str">
        <f>HYPERLINK("https://uk1.aconex.co.uk/hub/index.html?mainTarget=%2FSearchControlledDoc%3FSEARCH_ACTION%3D15%26tab%3D0%26searchMode%3D1%26searchQuery%3Ddocno:%22"&amp;RawData[[#This Row],[Document Number]]&amp;"%22%20%2Bcversion%253A1",RawData[[#This Row],[Document Number]])</f>
        <v>FS1018-CPM-ZZ-ZZ-D-A-3021</v>
      </c>
    </row>
    <row r="429" spans="1:12" ht="28.8" x14ac:dyDescent="0.3">
      <c r="A429" t="s">
        <v>909</v>
      </c>
      <c r="B429" t="s">
        <v>910</v>
      </c>
      <c r="C429" t="s">
        <v>13</v>
      </c>
      <c r="D429" t="s">
        <v>20</v>
      </c>
      <c r="E429" s="8">
        <v>45750</v>
      </c>
      <c r="F429" s="1" t="s">
        <v>22</v>
      </c>
      <c r="G429" s="1" t="s">
        <v>4</v>
      </c>
      <c r="H429" s="8"/>
      <c r="J429" t="b">
        <v>1</v>
      </c>
      <c r="K429" t="s">
        <v>911</v>
      </c>
      <c r="L429" s="13" t="str">
        <f>HYPERLINK("https://uk1.aconex.co.uk/hub/index.html?mainTarget=%2FSearchControlledDoc%3FSEARCH_ACTION%3D15%26tab%3D0%26searchMode%3D1%26searchQuery%3Ddocno:%22"&amp;RawData[[#This Row],[Document Number]]&amp;"%22%20%2Bcversion%253A1",RawData[[#This Row],[Document Number]])</f>
        <v>FS1018-CPM-ZZ-ZZ-D-A-3021</v>
      </c>
    </row>
    <row r="430" spans="1:12" ht="57.6" x14ac:dyDescent="0.3">
      <c r="A430" t="s">
        <v>912</v>
      </c>
      <c r="B430" t="s">
        <v>913</v>
      </c>
      <c r="C430" t="s">
        <v>13</v>
      </c>
      <c r="D430" t="s">
        <v>20</v>
      </c>
      <c r="E430" s="8">
        <v>45729</v>
      </c>
      <c r="F430" s="1" t="s">
        <v>12</v>
      </c>
      <c r="G430" s="1" t="s">
        <v>21</v>
      </c>
      <c r="H430" s="8">
        <v>45750</v>
      </c>
      <c r="I430" s="1" t="s">
        <v>1996</v>
      </c>
      <c r="J430" t="b">
        <v>1</v>
      </c>
      <c r="K430" t="s">
        <v>914</v>
      </c>
      <c r="L430" s="13" t="str">
        <f>HYPERLINK("https://uk1.aconex.co.uk/hub/index.html?mainTarget=%2FSearchControlledDoc%3FSEARCH_ACTION%3D15%26tab%3D0%26searchMode%3D1%26searchQuery%3Ddocno:%22"&amp;RawData[[#This Row],[Document Number]]&amp;"%22%20%2Bcversion%253A1",RawData[[#This Row],[Document Number]])</f>
        <v>FS1018-CPM-ZZ-ZZ-D-A-3055</v>
      </c>
    </row>
    <row r="431" spans="1:12" ht="28.8" x14ac:dyDescent="0.3">
      <c r="A431" t="s">
        <v>912</v>
      </c>
      <c r="B431" t="s">
        <v>913</v>
      </c>
      <c r="C431" t="s">
        <v>13</v>
      </c>
      <c r="D431" t="s">
        <v>20</v>
      </c>
      <c r="E431" s="8">
        <v>45750</v>
      </c>
      <c r="F431" s="1" t="s">
        <v>22</v>
      </c>
      <c r="G431" s="1" t="s">
        <v>4</v>
      </c>
      <c r="H431" s="8"/>
      <c r="J431" t="b">
        <v>1</v>
      </c>
      <c r="K431" t="s">
        <v>914</v>
      </c>
      <c r="L431" s="13" t="str">
        <f>HYPERLINK("https://uk1.aconex.co.uk/hub/index.html?mainTarget=%2FSearchControlledDoc%3FSEARCH_ACTION%3D15%26tab%3D0%26searchMode%3D1%26searchQuery%3Ddocno:%22"&amp;RawData[[#This Row],[Document Number]]&amp;"%22%20%2Bcversion%253A1",RawData[[#This Row],[Document Number]])</f>
        <v>FS1018-CPM-ZZ-ZZ-D-A-3055</v>
      </c>
    </row>
    <row r="432" spans="1:12" ht="43.2" x14ac:dyDescent="0.3">
      <c r="A432" t="s">
        <v>915</v>
      </c>
      <c r="B432" t="s">
        <v>916</v>
      </c>
      <c r="C432" t="s">
        <v>13</v>
      </c>
      <c r="D432" t="s">
        <v>20</v>
      </c>
      <c r="E432" s="8">
        <v>45729</v>
      </c>
      <c r="F432" s="1" t="s">
        <v>12</v>
      </c>
      <c r="G432" s="1" t="s">
        <v>21</v>
      </c>
      <c r="H432" s="8">
        <v>45750</v>
      </c>
      <c r="I432" s="1" t="s">
        <v>1997</v>
      </c>
      <c r="J432" t="b">
        <v>1</v>
      </c>
      <c r="K432" t="s">
        <v>917</v>
      </c>
      <c r="L432" s="13" t="str">
        <f>HYPERLINK("https://uk1.aconex.co.uk/hub/index.html?mainTarget=%2FSearchControlledDoc%3FSEARCH_ACTION%3D15%26tab%3D0%26searchMode%3D1%26searchQuery%3Ddocno:%22"&amp;RawData[[#This Row],[Document Number]]&amp;"%22%20%2Bcversion%253A1",RawData[[#This Row],[Document Number]])</f>
        <v>FS1018-CPM-ZZ-ZZ-D-A-3062</v>
      </c>
    </row>
    <row r="433" spans="1:12" ht="28.8" x14ac:dyDescent="0.3">
      <c r="A433" t="s">
        <v>915</v>
      </c>
      <c r="B433" t="s">
        <v>916</v>
      </c>
      <c r="C433" t="s">
        <v>13</v>
      </c>
      <c r="D433" t="s">
        <v>20</v>
      </c>
      <c r="E433" s="8">
        <v>45750</v>
      </c>
      <c r="F433" s="1" t="s">
        <v>22</v>
      </c>
      <c r="G433" s="1" t="s">
        <v>4</v>
      </c>
      <c r="H433" s="8"/>
      <c r="J433" t="b">
        <v>1</v>
      </c>
      <c r="K433" t="s">
        <v>917</v>
      </c>
      <c r="L433" s="13" t="str">
        <f>HYPERLINK("https://uk1.aconex.co.uk/hub/index.html?mainTarget=%2FSearchControlledDoc%3FSEARCH_ACTION%3D15%26tab%3D0%26searchMode%3D1%26searchQuery%3Ddocno:%22"&amp;RawData[[#This Row],[Document Number]]&amp;"%22%20%2Bcversion%253A1",RawData[[#This Row],[Document Number]])</f>
        <v>FS1018-CPM-ZZ-ZZ-D-A-3062</v>
      </c>
    </row>
    <row r="434" spans="1:12" ht="409.6" x14ac:dyDescent="0.3">
      <c r="A434" t="s">
        <v>918</v>
      </c>
      <c r="B434" t="s">
        <v>919</v>
      </c>
      <c r="C434" t="s">
        <v>418</v>
      </c>
      <c r="D434" t="s">
        <v>20</v>
      </c>
      <c r="E434" s="8">
        <v>45729</v>
      </c>
      <c r="F434" s="1" t="s">
        <v>12</v>
      </c>
      <c r="G434" s="1" t="s">
        <v>21</v>
      </c>
      <c r="H434" s="8">
        <v>45750</v>
      </c>
      <c r="I434" s="1" t="s">
        <v>1998</v>
      </c>
      <c r="J434" t="b">
        <v>1</v>
      </c>
      <c r="K434" t="s">
        <v>920</v>
      </c>
      <c r="L434" s="13" t="str">
        <f>HYPERLINK("https://uk1.aconex.co.uk/hub/index.html?mainTarget=%2FSearchControlledDoc%3FSEARCH_ACTION%3D15%26tab%3D0%26searchMode%3D1%26searchQuery%3Ddocno:%22"&amp;RawData[[#This Row],[Document Number]]&amp;"%22%20%2Bcversion%253A1",RawData[[#This Row],[Document Number]])</f>
        <v>FS1018-CPM-ZZ-ZZ-D-A-4001</v>
      </c>
    </row>
    <row r="435" spans="1:12" ht="28.8" x14ac:dyDescent="0.3">
      <c r="A435" t="s">
        <v>918</v>
      </c>
      <c r="B435" t="s">
        <v>919</v>
      </c>
      <c r="C435" t="s">
        <v>418</v>
      </c>
      <c r="D435" t="s">
        <v>20</v>
      </c>
      <c r="E435" s="8">
        <v>45750</v>
      </c>
      <c r="F435" s="1" t="s">
        <v>22</v>
      </c>
      <c r="G435" s="1" t="s">
        <v>4</v>
      </c>
      <c r="H435" s="8"/>
      <c r="J435" t="b">
        <v>1</v>
      </c>
      <c r="K435" t="s">
        <v>920</v>
      </c>
      <c r="L435" s="13" t="str">
        <f>HYPERLINK("https://uk1.aconex.co.uk/hub/index.html?mainTarget=%2FSearchControlledDoc%3FSEARCH_ACTION%3D15%26tab%3D0%26searchMode%3D1%26searchQuery%3Ddocno:%22"&amp;RawData[[#This Row],[Document Number]]&amp;"%22%20%2Bcversion%253A1",RawData[[#This Row],[Document Number]])</f>
        <v>FS1018-CPM-ZZ-ZZ-D-A-4001</v>
      </c>
    </row>
    <row r="436" spans="1:12" ht="409.6" x14ac:dyDescent="0.3">
      <c r="A436" t="s">
        <v>921</v>
      </c>
      <c r="B436" t="s">
        <v>922</v>
      </c>
      <c r="C436" t="s">
        <v>418</v>
      </c>
      <c r="D436" t="s">
        <v>20</v>
      </c>
      <c r="E436" s="8">
        <v>45729</v>
      </c>
      <c r="F436" s="1" t="s">
        <v>12</v>
      </c>
      <c r="G436" s="1" t="s">
        <v>21</v>
      </c>
      <c r="H436" s="8">
        <v>45750</v>
      </c>
      <c r="I436" s="1" t="s">
        <v>1999</v>
      </c>
      <c r="J436" t="b">
        <v>1</v>
      </c>
      <c r="K436" t="s">
        <v>923</v>
      </c>
      <c r="L436" s="13" t="str">
        <f>HYPERLINK("https://uk1.aconex.co.uk/hub/index.html?mainTarget=%2FSearchControlledDoc%3FSEARCH_ACTION%3D15%26tab%3D0%26searchMode%3D1%26searchQuery%3Ddocno:%22"&amp;RawData[[#This Row],[Document Number]]&amp;"%22%20%2Bcversion%253A1",RawData[[#This Row],[Document Number]])</f>
        <v>FS1018-CPM-ZZ-ZZ-D-A-4004</v>
      </c>
    </row>
    <row r="437" spans="1:12" ht="28.8" x14ac:dyDescent="0.3">
      <c r="A437" t="s">
        <v>921</v>
      </c>
      <c r="B437" t="s">
        <v>922</v>
      </c>
      <c r="C437" t="s">
        <v>418</v>
      </c>
      <c r="D437" t="s">
        <v>20</v>
      </c>
      <c r="E437" s="8">
        <v>45750</v>
      </c>
      <c r="F437" s="1" t="s">
        <v>22</v>
      </c>
      <c r="G437" s="1" t="s">
        <v>4</v>
      </c>
      <c r="H437" s="8"/>
      <c r="J437" t="b">
        <v>1</v>
      </c>
      <c r="K437" t="s">
        <v>923</v>
      </c>
      <c r="L437" s="13" t="str">
        <f>HYPERLINK("https://uk1.aconex.co.uk/hub/index.html?mainTarget=%2FSearchControlledDoc%3FSEARCH_ACTION%3D15%26tab%3D0%26searchMode%3D1%26searchQuery%3Ddocno:%22"&amp;RawData[[#This Row],[Document Number]]&amp;"%22%20%2Bcversion%253A1",RawData[[#This Row],[Document Number]])</f>
        <v>FS1018-CPM-ZZ-ZZ-D-A-4004</v>
      </c>
    </row>
    <row r="438" spans="1:12" ht="331.2" x14ac:dyDescent="0.3">
      <c r="A438" t="s">
        <v>924</v>
      </c>
      <c r="B438" t="s">
        <v>925</v>
      </c>
      <c r="C438" t="s">
        <v>13</v>
      </c>
      <c r="D438" t="s">
        <v>20</v>
      </c>
      <c r="E438" s="8">
        <v>45729</v>
      </c>
      <c r="F438" s="1" t="s">
        <v>12</v>
      </c>
      <c r="G438" s="1" t="s">
        <v>21</v>
      </c>
      <c r="H438" s="8">
        <v>45750</v>
      </c>
      <c r="I438" s="1" t="s">
        <v>2000</v>
      </c>
      <c r="J438" t="b">
        <v>1</v>
      </c>
      <c r="K438" t="s">
        <v>926</v>
      </c>
      <c r="L438" s="13" t="str">
        <f>HYPERLINK("https://uk1.aconex.co.uk/hub/index.html?mainTarget=%2FSearchControlledDoc%3FSEARCH_ACTION%3D15%26tab%3D0%26searchMode%3D1%26searchQuery%3Ddocno:%22"&amp;RawData[[#This Row],[Document Number]]&amp;"%22%20%2Bcversion%253A1",RawData[[#This Row],[Document Number]])</f>
        <v>FS1018-CPM-ZZ-ZZ-D-A-6601</v>
      </c>
    </row>
    <row r="439" spans="1:12" ht="28.8" x14ac:dyDescent="0.3">
      <c r="A439" t="s">
        <v>924</v>
      </c>
      <c r="B439" t="s">
        <v>925</v>
      </c>
      <c r="C439" t="s">
        <v>13</v>
      </c>
      <c r="D439" t="s">
        <v>20</v>
      </c>
      <c r="E439" s="8">
        <v>45750</v>
      </c>
      <c r="F439" s="1" t="s">
        <v>22</v>
      </c>
      <c r="G439" s="1" t="s">
        <v>4</v>
      </c>
      <c r="H439" s="8"/>
      <c r="J439" t="b">
        <v>1</v>
      </c>
      <c r="K439" t="s">
        <v>926</v>
      </c>
      <c r="L439" s="13" t="str">
        <f>HYPERLINK("https://uk1.aconex.co.uk/hub/index.html?mainTarget=%2FSearchControlledDoc%3FSEARCH_ACTION%3D15%26tab%3D0%26searchMode%3D1%26searchQuery%3Ddocno:%22"&amp;RawData[[#This Row],[Document Number]]&amp;"%22%20%2Bcversion%253A1",RawData[[#This Row],[Document Number]])</f>
        <v>FS1018-CPM-ZZ-ZZ-D-A-6601</v>
      </c>
    </row>
    <row r="440" spans="1:12" ht="259.2" x14ac:dyDescent="0.3">
      <c r="A440" t="s">
        <v>927</v>
      </c>
      <c r="B440" t="s">
        <v>928</v>
      </c>
      <c r="C440" t="s">
        <v>10</v>
      </c>
      <c r="D440" t="s">
        <v>20</v>
      </c>
      <c r="E440" s="8">
        <v>45729</v>
      </c>
      <c r="F440" s="1" t="s">
        <v>12</v>
      </c>
      <c r="G440" s="1" t="s">
        <v>21</v>
      </c>
      <c r="H440" s="8">
        <v>45750</v>
      </c>
      <c r="I440" s="1" t="s">
        <v>2001</v>
      </c>
      <c r="J440" t="b">
        <v>1</v>
      </c>
      <c r="K440" t="s">
        <v>929</v>
      </c>
      <c r="L440" s="13" t="str">
        <f>HYPERLINK("https://uk1.aconex.co.uk/hub/index.html?mainTarget=%2FSearchControlledDoc%3FSEARCH_ACTION%3D15%26tab%3D0%26searchMode%3D1%26searchQuery%3Ddocno:%22"&amp;RawData[[#This Row],[Document Number]]&amp;"%22%20%2Bcversion%253A1",RawData[[#This Row],[Document Number]])</f>
        <v>FS1018-CPM-ZZ-ZZ-D-A-6801</v>
      </c>
    </row>
    <row r="441" spans="1:12" ht="28.8" x14ac:dyDescent="0.3">
      <c r="A441" t="s">
        <v>927</v>
      </c>
      <c r="B441" t="s">
        <v>928</v>
      </c>
      <c r="C441" t="s">
        <v>10</v>
      </c>
      <c r="D441" t="s">
        <v>20</v>
      </c>
      <c r="E441" s="8">
        <v>45750</v>
      </c>
      <c r="F441" s="1" t="s">
        <v>22</v>
      </c>
      <c r="G441" s="1" t="s">
        <v>4</v>
      </c>
      <c r="H441" s="8"/>
      <c r="J441" t="b">
        <v>1</v>
      </c>
      <c r="K441" t="s">
        <v>929</v>
      </c>
      <c r="L441" s="13" t="str">
        <f>HYPERLINK("https://uk1.aconex.co.uk/hub/index.html?mainTarget=%2FSearchControlledDoc%3FSEARCH_ACTION%3D15%26tab%3D0%26searchMode%3D1%26searchQuery%3Ddocno:%22"&amp;RawData[[#This Row],[Document Number]]&amp;"%22%20%2Bcversion%253A1",RawData[[#This Row],[Document Number]])</f>
        <v>FS1018-CPM-ZZ-ZZ-D-A-6801</v>
      </c>
    </row>
    <row r="442" spans="1:12" ht="216" x14ac:dyDescent="0.3">
      <c r="A442" t="s">
        <v>930</v>
      </c>
      <c r="B442" t="s">
        <v>931</v>
      </c>
      <c r="C442" t="s">
        <v>13</v>
      </c>
      <c r="D442" t="s">
        <v>20</v>
      </c>
      <c r="E442" s="8">
        <v>45729</v>
      </c>
      <c r="F442" s="1" t="s">
        <v>12</v>
      </c>
      <c r="G442" s="1" t="s">
        <v>21</v>
      </c>
      <c r="H442" s="8">
        <v>45750</v>
      </c>
      <c r="I442" s="1" t="s">
        <v>2002</v>
      </c>
      <c r="J442" t="b">
        <v>1</v>
      </c>
      <c r="K442" t="s">
        <v>932</v>
      </c>
      <c r="L442" s="13" t="str">
        <f>HYPERLINK("https://uk1.aconex.co.uk/hub/index.html?mainTarget=%2FSearchControlledDoc%3FSEARCH_ACTION%3D15%26tab%3D0%26searchMode%3D1%26searchQuery%3Ddocno:%22"&amp;RawData[[#This Row],[Document Number]]&amp;"%22%20%2Bcversion%253A1",RawData[[#This Row],[Document Number]])</f>
        <v>FS1018-CPM-ZZ-ZZ-D-A-6802</v>
      </c>
    </row>
    <row r="443" spans="1:12" ht="28.8" x14ac:dyDescent="0.3">
      <c r="A443" t="s">
        <v>930</v>
      </c>
      <c r="B443" t="s">
        <v>931</v>
      </c>
      <c r="C443" t="s">
        <v>13</v>
      </c>
      <c r="D443" t="s">
        <v>20</v>
      </c>
      <c r="E443" s="8">
        <v>45750</v>
      </c>
      <c r="F443" s="1" t="s">
        <v>22</v>
      </c>
      <c r="G443" s="1" t="s">
        <v>4</v>
      </c>
      <c r="H443" s="8"/>
      <c r="J443" t="b">
        <v>1</v>
      </c>
      <c r="K443" t="s">
        <v>932</v>
      </c>
      <c r="L443" s="13" t="str">
        <f>HYPERLINK("https://uk1.aconex.co.uk/hub/index.html?mainTarget=%2FSearchControlledDoc%3FSEARCH_ACTION%3D15%26tab%3D0%26searchMode%3D1%26searchQuery%3Ddocno:%22"&amp;RawData[[#This Row],[Document Number]]&amp;"%22%20%2Bcversion%253A1",RawData[[#This Row],[Document Number]])</f>
        <v>FS1018-CPM-ZZ-ZZ-D-A-6802</v>
      </c>
    </row>
    <row r="444" spans="1:12" ht="216" x14ac:dyDescent="0.3">
      <c r="A444" t="s">
        <v>933</v>
      </c>
      <c r="B444" t="s">
        <v>934</v>
      </c>
      <c r="C444" t="s">
        <v>10</v>
      </c>
      <c r="D444" t="s">
        <v>20</v>
      </c>
      <c r="E444" s="8">
        <v>45729</v>
      </c>
      <c r="F444" s="1" t="s">
        <v>12</v>
      </c>
      <c r="G444" s="1" t="s">
        <v>21</v>
      </c>
      <c r="H444" s="8">
        <v>45750</v>
      </c>
      <c r="I444" s="1" t="s">
        <v>2003</v>
      </c>
      <c r="J444" t="b">
        <v>1</v>
      </c>
      <c r="K444" t="s">
        <v>935</v>
      </c>
      <c r="L444" s="13" t="str">
        <f>HYPERLINK("https://uk1.aconex.co.uk/hub/index.html?mainTarget=%2FSearchControlledDoc%3FSEARCH_ACTION%3D15%26tab%3D0%26searchMode%3D1%26searchQuery%3Ddocno:%22"&amp;RawData[[#This Row],[Document Number]]&amp;"%22%20%2Bcversion%253A1",RawData[[#This Row],[Document Number]])</f>
        <v>FS1018-CPM-ZZ-ZZ-D-A-6803</v>
      </c>
    </row>
    <row r="445" spans="1:12" ht="28.8" x14ac:dyDescent="0.3">
      <c r="A445" t="s">
        <v>933</v>
      </c>
      <c r="B445" t="s">
        <v>934</v>
      </c>
      <c r="C445" t="s">
        <v>10</v>
      </c>
      <c r="D445" t="s">
        <v>20</v>
      </c>
      <c r="E445" s="8">
        <v>45750</v>
      </c>
      <c r="F445" s="1" t="s">
        <v>22</v>
      </c>
      <c r="G445" s="1" t="s">
        <v>4</v>
      </c>
      <c r="H445" s="8"/>
      <c r="J445" t="b">
        <v>1</v>
      </c>
      <c r="K445" t="s">
        <v>935</v>
      </c>
      <c r="L445" s="13" t="str">
        <f>HYPERLINK("https://uk1.aconex.co.uk/hub/index.html?mainTarget=%2FSearchControlledDoc%3FSEARCH_ACTION%3D15%26tab%3D0%26searchMode%3D1%26searchQuery%3Ddocno:%22"&amp;RawData[[#This Row],[Document Number]]&amp;"%22%20%2Bcversion%253A1",RawData[[#This Row],[Document Number]])</f>
        <v>FS1018-CPM-ZZ-ZZ-D-A-6803</v>
      </c>
    </row>
    <row r="446" spans="1:12" ht="129.6" x14ac:dyDescent="0.3">
      <c r="A446" t="s">
        <v>936</v>
      </c>
      <c r="B446" t="s">
        <v>937</v>
      </c>
      <c r="C446" t="s">
        <v>13</v>
      </c>
      <c r="D446" t="s">
        <v>20</v>
      </c>
      <c r="E446" s="8">
        <v>45729</v>
      </c>
      <c r="F446" s="1" t="s">
        <v>12</v>
      </c>
      <c r="G446" s="1" t="s">
        <v>21</v>
      </c>
      <c r="H446" s="8">
        <v>45750</v>
      </c>
      <c r="I446" s="1" t="s">
        <v>2004</v>
      </c>
      <c r="J446" t="b">
        <v>1</v>
      </c>
      <c r="K446" t="s">
        <v>938</v>
      </c>
      <c r="L446" s="13" t="str">
        <f>HYPERLINK("https://uk1.aconex.co.uk/hub/index.html?mainTarget=%2FSearchControlledDoc%3FSEARCH_ACTION%3D15%26tab%3D0%26searchMode%3D1%26searchQuery%3Ddocno:%22"&amp;RawData[[#This Row],[Document Number]]&amp;"%22%20%2Bcversion%253A1",RawData[[#This Row],[Document Number]])</f>
        <v>FS1018-CPM-ZZ-ZZ-D-A-6804</v>
      </c>
    </row>
    <row r="447" spans="1:12" ht="28.8" x14ac:dyDescent="0.3">
      <c r="A447" t="s">
        <v>936</v>
      </c>
      <c r="B447" t="s">
        <v>937</v>
      </c>
      <c r="C447" t="s">
        <v>13</v>
      </c>
      <c r="D447" t="s">
        <v>20</v>
      </c>
      <c r="E447" s="8">
        <v>45750</v>
      </c>
      <c r="F447" s="1" t="s">
        <v>22</v>
      </c>
      <c r="G447" s="1" t="s">
        <v>4</v>
      </c>
      <c r="H447" s="8"/>
      <c r="J447" t="b">
        <v>1</v>
      </c>
      <c r="K447" t="s">
        <v>938</v>
      </c>
      <c r="L447" s="13" t="str">
        <f>HYPERLINK("https://uk1.aconex.co.uk/hub/index.html?mainTarget=%2FSearchControlledDoc%3FSEARCH_ACTION%3D15%26tab%3D0%26searchMode%3D1%26searchQuery%3Ddocno:%22"&amp;RawData[[#This Row],[Document Number]]&amp;"%22%20%2Bcversion%253A1",RawData[[#This Row],[Document Number]])</f>
        <v>FS1018-CPM-ZZ-ZZ-D-A-6804</v>
      </c>
    </row>
    <row r="448" spans="1:12" ht="288" x14ac:dyDescent="0.3">
      <c r="A448" t="s">
        <v>939</v>
      </c>
      <c r="B448" t="s">
        <v>940</v>
      </c>
      <c r="C448" t="s">
        <v>13</v>
      </c>
      <c r="D448" t="s">
        <v>20</v>
      </c>
      <c r="E448" s="8">
        <v>45729</v>
      </c>
      <c r="F448" s="1" t="s">
        <v>12</v>
      </c>
      <c r="G448" s="1" t="s">
        <v>21</v>
      </c>
      <c r="H448" s="8">
        <v>45750</v>
      </c>
      <c r="I448" s="1" t="s">
        <v>2005</v>
      </c>
      <c r="J448" t="b">
        <v>1</v>
      </c>
      <c r="K448" t="s">
        <v>941</v>
      </c>
      <c r="L448" s="13" t="str">
        <f>HYPERLINK("https://uk1.aconex.co.uk/hub/index.html?mainTarget=%2FSearchControlledDoc%3FSEARCH_ACTION%3D15%26tab%3D0%26searchMode%3D1%26searchQuery%3Ddocno:%22"&amp;RawData[[#This Row],[Document Number]]&amp;"%22%20%2Bcversion%253A1",RawData[[#This Row],[Document Number]])</f>
        <v>FS1018-CPM-ZZ-ZZ-D-A-6805</v>
      </c>
    </row>
    <row r="449" spans="1:12" ht="28.8" x14ac:dyDescent="0.3">
      <c r="A449" t="s">
        <v>939</v>
      </c>
      <c r="B449" t="s">
        <v>940</v>
      </c>
      <c r="C449" t="s">
        <v>13</v>
      </c>
      <c r="D449" t="s">
        <v>20</v>
      </c>
      <c r="E449" s="8">
        <v>45750</v>
      </c>
      <c r="F449" s="1" t="s">
        <v>22</v>
      </c>
      <c r="G449" s="1" t="s">
        <v>4</v>
      </c>
      <c r="H449" s="8"/>
      <c r="J449" t="b">
        <v>1</v>
      </c>
      <c r="K449" t="s">
        <v>941</v>
      </c>
      <c r="L449" s="13" t="str">
        <f>HYPERLINK("https://uk1.aconex.co.uk/hub/index.html?mainTarget=%2FSearchControlledDoc%3FSEARCH_ACTION%3D15%26tab%3D0%26searchMode%3D1%26searchQuery%3Ddocno:%22"&amp;RawData[[#This Row],[Document Number]]&amp;"%22%20%2Bcversion%253A1",RawData[[#This Row],[Document Number]])</f>
        <v>FS1018-CPM-ZZ-ZZ-D-A-6805</v>
      </c>
    </row>
    <row r="450" spans="1:12" ht="158.4" x14ac:dyDescent="0.3">
      <c r="A450" t="s">
        <v>942</v>
      </c>
      <c r="B450" t="s">
        <v>943</v>
      </c>
      <c r="C450" t="s">
        <v>13</v>
      </c>
      <c r="D450" t="s">
        <v>20</v>
      </c>
      <c r="E450" s="8">
        <v>45729</v>
      </c>
      <c r="F450" s="1" t="s">
        <v>12</v>
      </c>
      <c r="G450" s="1" t="s">
        <v>21</v>
      </c>
      <c r="H450" s="8">
        <v>45750</v>
      </c>
      <c r="I450" s="1" t="s">
        <v>2006</v>
      </c>
      <c r="J450" t="b">
        <v>1</v>
      </c>
      <c r="K450" t="s">
        <v>944</v>
      </c>
      <c r="L450" s="13" t="str">
        <f>HYPERLINK("https://uk1.aconex.co.uk/hub/index.html?mainTarget=%2FSearchControlledDoc%3FSEARCH_ACTION%3D15%26tab%3D0%26searchMode%3D1%26searchQuery%3Ddocno:%22"&amp;RawData[[#This Row],[Document Number]]&amp;"%22%20%2Bcversion%253A1",RawData[[#This Row],[Document Number]])</f>
        <v>FS1018-CPM-ZZ-ZZ-D-A-6806</v>
      </c>
    </row>
    <row r="451" spans="1:12" ht="28.8" x14ac:dyDescent="0.3">
      <c r="A451" t="s">
        <v>942</v>
      </c>
      <c r="B451" t="s">
        <v>943</v>
      </c>
      <c r="C451" t="s">
        <v>13</v>
      </c>
      <c r="D451" t="s">
        <v>20</v>
      </c>
      <c r="E451" s="8">
        <v>45750</v>
      </c>
      <c r="F451" s="1" t="s">
        <v>22</v>
      </c>
      <c r="G451" s="1" t="s">
        <v>4</v>
      </c>
      <c r="H451" s="8"/>
      <c r="J451" t="b">
        <v>1</v>
      </c>
      <c r="K451" t="s">
        <v>944</v>
      </c>
      <c r="L451" s="13" t="str">
        <f>HYPERLINK("https://uk1.aconex.co.uk/hub/index.html?mainTarget=%2FSearchControlledDoc%3FSEARCH_ACTION%3D15%26tab%3D0%26searchMode%3D1%26searchQuery%3Ddocno:%22"&amp;RawData[[#This Row],[Document Number]]&amp;"%22%20%2Bcversion%253A1",RawData[[#This Row],[Document Number]])</f>
        <v>FS1018-CPM-ZZ-ZZ-D-A-6806</v>
      </c>
    </row>
    <row r="452" spans="1:12" ht="288" x14ac:dyDescent="0.3">
      <c r="A452" t="s">
        <v>945</v>
      </c>
      <c r="B452" t="s">
        <v>946</v>
      </c>
      <c r="C452" t="s">
        <v>13</v>
      </c>
      <c r="D452" t="s">
        <v>20</v>
      </c>
      <c r="E452" s="8">
        <v>45729</v>
      </c>
      <c r="F452" s="1" t="s">
        <v>12</v>
      </c>
      <c r="G452" s="1" t="s">
        <v>21</v>
      </c>
      <c r="H452" s="8">
        <v>45750</v>
      </c>
      <c r="I452" s="1" t="s">
        <v>2007</v>
      </c>
      <c r="J452" t="b">
        <v>1</v>
      </c>
      <c r="K452" t="s">
        <v>947</v>
      </c>
      <c r="L452" s="13" t="str">
        <f>HYPERLINK("https://uk1.aconex.co.uk/hub/index.html?mainTarget=%2FSearchControlledDoc%3FSEARCH_ACTION%3D15%26tab%3D0%26searchMode%3D1%26searchQuery%3Ddocno:%22"&amp;RawData[[#This Row],[Document Number]]&amp;"%22%20%2Bcversion%253A1",RawData[[#This Row],[Document Number]])</f>
        <v>FS1018-CPM-ZZ-ZZ-D-A-6813</v>
      </c>
    </row>
    <row r="453" spans="1:12" ht="28.8" x14ac:dyDescent="0.3">
      <c r="A453" t="s">
        <v>945</v>
      </c>
      <c r="B453" t="s">
        <v>946</v>
      </c>
      <c r="C453" t="s">
        <v>13</v>
      </c>
      <c r="D453" t="s">
        <v>20</v>
      </c>
      <c r="E453" s="8">
        <v>45750</v>
      </c>
      <c r="F453" s="1" t="s">
        <v>22</v>
      </c>
      <c r="G453" s="1" t="s">
        <v>4</v>
      </c>
      <c r="H453" s="8"/>
      <c r="J453" t="b">
        <v>1</v>
      </c>
      <c r="K453" t="s">
        <v>947</v>
      </c>
      <c r="L453" s="13" t="str">
        <f>HYPERLINK("https://uk1.aconex.co.uk/hub/index.html?mainTarget=%2FSearchControlledDoc%3FSEARCH_ACTION%3D15%26tab%3D0%26searchMode%3D1%26searchQuery%3Ddocno:%22"&amp;RawData[[#This Row],[Document Number]]&amp;"%22%20%2Bcversion%253A1",RawData[[#This Row],[Document Number]])</f>
        <v>FS1018-CPM-ZZ-ZZ-D-A-6813</v>
      </c>
    </row>
    <row r="454" spans="1:12" ht="57.6" x14ac:dyDescent="0.3">
      <c r="A454" t="s">
        <v>948</v>
      </c>
      <c r="B454" t="s">
        <v>949</v>
      </c>
      <c r="C454" t="s">
        <v>11</v>
      </c>
      <c r="D454" t="s">
        <v>20</v>
      </c>
      <c r="E454" s="8">
        <v>45729</v>
      </c>
      <c r="F454" s="1" t="s">
        <v>12</v>
      </c>
      <c r="G454" s="1" t="s">
        <v>21</v>
      </c>
      <c r="H454" s="8">
        <v>45750</v>
      </c>
      <c r="I454" s="1" t="s">
        <v>2008</v>
      </c>
      <c r="J454" t="b">
        <v>1</v>
      </c>
      <c r="K454" t="s">
        <v>950</v>
      </c>
      <c r="L454" s="13" t="str">
        <f>HYPERLINK("https://uk1.aconex.co.uk/hub/index.html?mainTarget=%2FSearchControlledDoc%3FSEARCH_ACTION%3D15%26tab%3D0%26searchMode%3D1%26searchQuery%3Ddocno:%22"&amp;RawData[[#This Row],[Document Number]]&amp;"%22%20%2Bcversion%253A1",RawData[[#This Row],[Document Number]])</f>
        <v>FS1018-CPM-ZZ-ZZ-L-A-0001</v>
      </c>
    </row>
    <row r="455" spans="1:12" ht="28.8" x14ac:dyDescent="0.3">
      <c r="A455" t="s">
        <v>948</v>
      </c>
      <c r="B455" t="s">
        <v>949</v>
      </c>
      <c r="C455" t="s">
        <v>11</v>
      </c>
      <c r="D455" t="s">
        <v>20</v>
      </c>
      <c r="E455" s="8">
        <v>45750</v>
      </c>
      <c r="F455" s="1" t="s">
        <v>22</v>
      </c>
      <c r="G455" s="1" t="s">
        <v>4</v>
      </c>
      <c r="H455" s="8"/>
      <c r="J455" t="b">
        <v>1</v>
      </c>
      <c r="K455" t="s">
        <v>950</v>
      </c>
      <c r="L455" s="13" t="str">
        <f>HYPERLINK("https://uk1.aconex.co.uk/hub/index.html?mainTarget=%2FSearchControlledDoc%3FSEARCH_ACTION%3D15%26tab%3D0%26searchMode%3D1%26searchQuery%3Ddocno:%22"&amp;RawData[[#This Row],[Document Number]]&amp;"%22%20%2Bcversion%253A1",RawData[[#This Row],[Document Number]])</f>
        <v>FS1018-CPM-ZZ-ZZ-L-A-0001</v>
      </c>
    </row>
    <row r="456" spans="1:12" ht="100.8" x14ac:dyDescent="0.3">
      <c r="A456" t="s">
        <v>951</v>
      </c>
      <c r="B456" t="s">
        <v>952</v>
      </c>
      <c r="C456" t="s">
        <v>13</v>
      </c>
      <c r="D456" t="s">
        <v>20</v>
      </c>
      <c r="E456" s="8">
        <v>45729</v>
      </c>
      <c r="F456" s="1" t="s">
        <v>12</v>
      </c>
      <c r="G456" s="1" t="s">
        <v>21</v>
      </c>
      <c r="H456" s="8">
        <v>45750</v>
      </c>
      <c r="I456" s="1" t="s">
        <v>2009</v>
      </c>
      <c r="J456" t="b">
        <v>1</v>
      </c>
      <c r="K456" t="s">
        <v>953</v>
      </c>
      <c r="L456" s="13" t="str">
        <f>HYPERLINK("https://uk1.aconex.co.uk/hub/index.html?mainTarget=%2FSearchControlledDoc%3FSEARCH_ACTION%3D15%26tab%3D0%26searchMode%3D1%26searchQuery%3Ddocno:%22"&amp;RawData[[#This Row],[Document Number]]&amp;"%22%20%2Bcversion%253A1",RawData[[#This Row],[Document Number]])</f>
        <v>FS1018-CPM-ZZ-ZZ-L-A-3060</v>
      </c>
    </row>
    <row r="457" spans="1:12" ht="28.8" x14ac:dyDescent="0.3">
      <c r="A457" t="s">
        <v>951</v>
      </c>
      <c r="B457" t="s">
        <v>952</v>
      </c>
      <c r="C457" t="s">
        <v>13</v>
      </c>
      <c r="D457" t="s">
        <v>20</v>
      </c>
      <c r="E457" s="8">
        <v>45750</v>
      </c>
      <c r="F457" s="1" t="s">
        <v>22</v>
      </c>
      <c r="G457" s="1" t="s">
        <v>4</v>
      </c>
      <c r="H457" s="8"/>
      <c r="J457" t="b">
        <v>1</v>
      </c>
      <c r="K457" t="s">
        <v>953</v>
      </c>
      <c r="L457" s="13" t="str">
        <f>HYPERLINK("https://uk1.aconex.co.uk/hub/index.html?mainTarget=%2FSearchControlledDoc%3FSEARCH_ACTION%3D15%26tab%3D0%26searchMode%3D1%26searchQuery%3Ddocno:%22"&amp;RawData[[#This Row],[Document Number]]&amp;"%22%20%2Bcversion%253A1",RawData[[#This Row],[Document Number]])</f>
        <v>FS1018-CPM-ZZ-ZZ-L-A-3060</v>
      </c>
    </row>
    <row r="458" spans="1:12" ht="129.6" x14ac:dyDescent="0.3">
      <c r="A458" t="s">
        <v>954</v>
      </c>
      <c r="B458" t="s">
        <v>955</v>
      </c>
      <c r="C458" t="s">
        <v>13</v>
      </c>
      <c r="D458" t="s">
        <v>20</v>
      </c>
      <c r="E458" s="8">
        <v>45729</v>
      </c>
      <c r="F458" s="1" t="s">
        <v>12</v>
      </c>
      <c r="G458" s="1" t="s">
        <v>21</v>
      </c>
      <c r="H458" s="8">
        <v>45750</v>
      </c>
      <c r="I458" s="1" t="s">
        <v>2010</v>
      </c>
      <c r="J458" t="b">
        <v>1</v>
      </c>
      <c r="K458" t="s">
        <v>956</v>
      </c>
      <c r="L458" s="13" t="str">
        <f>HYPERLINK("https://uk1.aconex.co.uk/hub/index.html?mainTarget=%2FSearchControlledDoc%3FSEARCH_ACTION%3D15%26tab%3D0%26searchMode%3D1%26searchQuery%3Ddocno:%22"&amp;RawData[[#This Row],[Document Number]]&amp;"%22%20%2Bcversion%253A1",RawData[[#This Row],[Document Number]])</f>
        <v>FS1018-CPM-ZZ-ZZ-L-A-3061</v>
      </c>
    </row>
    <row r="459" spans="1:12" ht="28.8" x14ac:dyDescent="0.3">
      <c r="A459" t="s">
        <v>954</v>
      </c>
      <c r="B459" t="s">
        <v>955</v>
      </c>
      <c r="C459" t="s">
        <v>13</v>
      </c>
      <c r="D459" t="s">
        <v>20</v>
      </c>
      <c r="E459" s="8">
        <v>45750</v>
      </c>
      <c r="F459" s="1" t="s">
        <v>22</v>
      </c>
      <c r="G459" s="1" t="s">
        <v>4</v>
      </c>
      <c r="H459" s="8"/>
      <c r="J459" t="b">
        <v>1</v>
      </c>
      <c r="K459" t="s">
        <v>956</v>
      </c>
      <c r="L459" s="13" t="str">
        <f>HYPERLINK("https://uk1.aconex.co.uk/hub/index.html?mainTarget=%2FSearchControlledDoc%3FSEARCH_ACTION%3D15%26tab%3D0%26searchMode%3D1%26searchQuery%3Ddocno:%22"&amp;RawData[[#This Row],[Document Number]]&amp;"%22%20%2Bcversion%253A1",RawData[[#This Row],[Document Number]])</f>
        <v>FS1018-CPM-ZZ-ZZ-L-A-3061</v>
      </c>
    </row>
    <row r="460" spans="1:12" ht="28.8" x14ac:dyDescent="0.3">
      <c r="A460" t="s">
        <v>957</v>
      </c>
      <c r="B460" t="s">
        <v>958</v>
      </c>
      <c r="C460" t="s">
        <v>11</v>
      </c>
      <c r="D460" t="s">
        <v>20</v>
      </c>
      <c r="E460" s="8">
        <v>45729</v>
      </c>
      <c r="F460" s="1" t="s">
        <v>12</v>
      </c>
      <c r="G460" s="1" t="s">
        <v>21</v>
      </c>
      <c r="H460" s="8">
        <v>45763</v>
      </c>
      <c r="I460" s="1" t="s">
        <v>2011</v>
      </c>
      <c r="J460" t="b">
        <v>1</v>
      </c>
      <c r="K460" t="s">
        <v>959</v>
      </c>
      <c r="L460" s="13" t="str">
        <f>HYPERLINK("https://uk1.aconex.co.uk/hub/index.html?mainTarget=%2FSearchControlledDoc%3FSEARCH_ACTION%3D15%26tab%3D0%26searchMode%3D1%26searchQuery%3Ddocno:%22"&amp;RawData[[#This Row],[Document Number]]&amp;"%22%20%2Bcversion%253A1",RawData[[#This Row],[Document Number]])</f>
        <v>FS1018-CPM-ZZ-ZZ-M-A-0002</v>
      </c>
    </row>
    <row r="461" spans="1:12" ht="28.8" x14ac:dyDescent="0.3">
      <c r="A461" t="s">
        <v>957</v>
      </c>
      <c r="B461" t="s">
        <v>958</v>
      </c>
      <c r="C461" t="s">
        <v>11</v>
      </c>
      <c r="D461" t="s">
        <v>20</v>
      </c>
      <c r="E461" s="8">
        <v>45763</v>
      </c>
      <c r="F461" s="1" t="s">
        <v>22</v>
      </c>
      <c r="G461" s="1" t="s">
        <v>4</v>
      </c>
      <c r="H461" s="8"/>
      <c r="J461" t="b">
        <v>1</v>
      </c>
      <c r="K461" t="s">
        <v>959</v>
      </c>
      <c r="L461" s="13" t="str">
        <f>HYPERLINK("https://uk1.aconex.co.uk/hub/index.html?mainTarget=%2FSearchControlledDoc%3FSEARCH_ACTION%3D15%26tab%3D0%26searchMode%3D1%26searchQuery%3Ddocno:%22"&amp;RawData[[#This Row],[Document Number]]&amp;"%22%20%2Bcversion%253A1",RawData[[#This Row],[Document Number]])</f>
        <v>FS1018-CPM-ZZ-ZZ-M-A-0002</v>
      </c>
    </row>
    <row r="462" spans="1:12" x14ac:dyDescent="0.3">
      <c r="A462" t="s">
        <v>960</v>
      </c>
      <c r="B462" t="s">
        <v>961</v>
      </c>
      <c r="C462" t="s">
        <v>707</v>
      </c>
      <c r="D462" t="s">
        <v>19</v>
      </c>
      <c r="E462" s="8">
        <v>45729</v>
      </c>
      <c r="F462" s="1" t="s">
        <v>12</v>
      </c>
      <c r="G462" s="1" t="s">
        <v>24</v>
      </c>
      <c r="H462" s="8">
        <v>45763</v>
      </c>
      <c r="I462" s="1" t="s">
        <v>1785</v>
      </c>
      <c r="J462" t="b">
        <v>1</v>
      </c>
      <c r="K462" t="s">
        <v>962</v>
      </c>
      <c r="L462" s="13" t="str">
        <f>HYPERLINK("https://uk1.aconex.co.uk/hub/index.html?mainTarget=%2FSearchControlledDoc%3FSEARCH_ACTION%3D15%26tab%3D0%26searchMode%3D1%26searchQuery%3Ddocno:%22"&amp;RawData[[#This Row],[Document Number]]&amp;"%22%20%2Bcversion%253A1",RawData[[#This Row],[Document Number]])</f>
        <v>FS1018-CPM-ZZ-ZZ-M-A-0003</v>
      </c>
    </row>
    <row r="463" spans="1:12" x14ac:dyDescent="0.3">
      <c r="A463" t="s">
        <v>963</v>
      </c>
      <c r="B463" t="s">
        <v>964</v>
      </c>
      <c r="C463" t="s">
        <v>707</v>
      </c>
      <c r="D463" t="s">
        <v>19</v>
      </c>
      <c r="E463" s="8">
        <v>45729</v>
      </c>
      <c r="F463" s="1" t="s">
        <v>12</v>
      </c>
      <c r="G463" s="1" t="s">
        <v>24</v>
      </c>
      <c r="H463" s="8">
        <v>45763</v>
      </c>
      <c r="I463" s="1" t="s">
        <v>1785</v>
      </c>
      <c r="J463" t="b">
        <v>1</v>
      </c>
      <c r="K463" t="s">
        <v>965</v>
      </c>
      <c r="L463" s="13" t="str">
        <f>HYPERLINK("https://uk1.aconex.co.uk/hub/index.html?mainTarget=%2FSearchControlledDoc%3FSEARCH_ACTION%3D15%26tab%3D0%26searchMode%3D1%26searchQuery%3Ddocno:%22"&amp;RawData[[#This Row],[Document Number]]&amp;"%22%20%2Bcversion%253A1",RawData[[#This Row],[Document Number]])</f>
        <v>FS1018-CPM-ZZ-ZZ-M-A-0004</v>
      </c>
    </row>
    <row r="464" spans="1:12" x14ac:dyDescent="0.3">
      <c r="A464" t="s">
        <v>966</v>
      </c>
      <c r="B464" t="s">
        <v>967</v>
      </c>
      <c r="C464" t="s">
        <v>707</v>
      </c>
      <c r="D464" t="s">
        <v>19</v>
      </c>
      <c r="E464" s="8">
        <v>45756</v>
      </c>
      <c r="F464" s="1" t="s">
        <v>12</v>
      </c>
      <c r="G464" s="1" t="s">
        <v>24</v>
      </c>
      <c r="H464" s="8">
        <v>45763</v>
      </c>
      <c r="I464" s="1" t="s">
        <v>1785</v>
      </c>
      <c r="J464" t="b">
        <v>1</v>
      </c>
      <c r="K464" t="s">
        <v>968</v>
      </c>
      <c r="L464" s="13" t="str">
        <f>HYPERLINK("https://uk1.aconex.co.uk/hub/index.html?mainTarget=%2FSearchControlledDoc%3FSEARCH_ACTION%3D15%26tab%3D0%26searchMode%3D1%26searchQuery%3Ddocno:%22"&amp;RawData[[#This Row],[Document Number]]&amp;"%22%20%2Bcversion%253A1",RawData[[#This Row],[Document Number]])</f>
        <v>FS1018-CPM-ZZ-ZZ-M-A-0005</v>
      </c>
    </row>
    <row r="465" spans="1:12" x14ac:dyDescent="0.3">
      <c r="A465" t="s">
        <v>969</v>
      </c>
      <c r="B465" t="s">
        <v>970</v>
      </c>
      <c r="C465" t="s">
        <v>13</v>
      </c>
      <c r="D465" t="s">
        <v>19</v>
      </c>
      <c r="E465" s="8">
        <v>45730</v>
      </c>
      <c r="F465" s="1" t="s">
        <v>12</v>
      </c>
      <c r="G465" s="1" t="s">
        <v>24</v>
      </c>
      <c r="H465" s="8">
        <v>45750</v>
      </c>
      <c r="I465" s="1" t="s">
        <v>1966</v>
      </c>
      <c r="J465" t="b">
        <v>1</v>
      </c>
      <c r="K465" t="s">
        <v>971</v>
      </c>
      <c r="L465" s="13" t="str">
        <f>HYPERLINK("https://uk1.aconex.co.uk/hub/index.html?mainTarget=%2FSearchControlledDoc%3FSEARCH_ACTION%3D15%26tab%3D0%26searchMode%3D1%26searchQuery%3Ddocno:%22"&amp;RawData[[#This Row],[Document Number]]&amp;"%22%20%2Bcversion%253A1",RawData[[#This Row],[Document Number]])</f>
        <v>FS1018-CPM-ZZ-ZZ-V-A-0001</v>
      </c>
    </row>
    <row r="466" spans="1:12" ht="86.4" x14ac:dyDescent="0.3">
      <c r="A466" t="s">
        <v>972</v>
      </c>
      <c r="B466" t="s">
        <v>973</v>
      </c>
      <c r="C466" t="s">
        <v>13</v>
      </c>
      <c r="D466" t="s">
        <v>20</v>
      </c>
      <c r="E466" s="8">
        <v>45730</v>
      </c>
      <c r="F466" s="1" t="s">
        <v>12</v>
      </c>
      <c r="G466" s="1" t="s">
        <v>21</v>
      </c>
      <c r="H466" s="8">
        <v>45750</v>
      </c>
      <c r="I466" s="1" t="s">
        <v>2012</v>
      </c>
      <c r="J466" t="b">
        <v>1</v>
      </c>
      <c r="K466" t="s">
        <v>974</v>
      </c>
      <c r="L466" s="13" t="str">
        <f>HYPERLINK("https://uk1.aconex.co.uk/hub/index.html?mainTarget=%2FSearchControlledDoc%3FSEARCH_ACTION%3D15%26tab%3D0%26searchMode%3D1%26searchQuery%3Ddocno:%22"&amp;RawData[[#This Row],[Document Number]]&amp;"%22%20%2Bcversion%253A1",RawData[[#This Row],[Document Number]])</f>
        <v>FS1018-CPM-ZZ-ZZ-V-A-0002</v>
      </c>
    </row>
    <row r="467" spans="1:12" ht="28.8" x14ac:dyDescent="0.3">
      <c r="A467" t="s">
        <v>972</v>
      </c>
      <c r="B467" t="s">
        <v>973</v>
      </c>
      <c r="C467" t="s">
        <v>13</v>
      </c>
      <c r="D467" t="s">
        <v>20</v>
      </c>
      <c r="E467" s="8">
        <v>45750</v>
      </c>
      <c r="F467" s="1" t="s">
        <v>22</v>
      </c>
      <c r="G467" s="1" t="s">
        <v>4</v>
      </c>
      <c r="H467" s="8"/>
      <c r="J467" t="b">
        <v>1</v>
      </c>
      <c r="K467" t="s">
        <v>974</v>
      </c>
      <c r="L467" s="13" t="str">
        <f>HYPERLINK("https://uk1.aconex.co.uk/hub/index.html?mainTarget=%2FSearchControlledDoc%3FSEARCH_ACTION%3D15%26tab%3D0%26searchMode%3D1%26searchQuery%3Ddocno:%22"&amp;RawData[[#This Row],[Document Number]]&amp;"%22%20%2Bcversion%253A1",RawData[[#This Row],[Document Number]])</f>
        <v>FS1018-CPM-ZZ-ZZ-V-A-0002</v>
      </c>
    </row>
    <row r="468" spans="1:12" x14ac:dyDescent="0.3">
      <c r="A468" t="s">
        <v>975</v>
      </c>
      <c r="B468" t="s">
        <v>976</v>
      </c>
      <c r="C468" t="s">
        <v>11</v>
      </c>
      <c r="D468" t="s">
        <v>20</v>
      </c>
      <c r="E468" s="8">
        <v>45729</v>
      </c>
      <c r="F468" s="1" t="s">
        <v>12</v>
      </c>
      <c r="G468" s="1" t="s">
        <v>4</v>
      </c>
      <c r="H468" s="8"/>
      <c r="J468" t="b">
        <v>1</v>
      </c>
      <c r="K468" t="s">
        <v>977</v>
      </c>
      <c r="L468" s="13" t="str">
        <f>HYPERLINK("https://uk1.aconex.co.uk/hub/index.html?mainTarget=%2FSearchControlledDoc%3FSEARCH_ACTION%3D15%26tab%3D0%26searchMode%3D1%26searchQuery%3Ddocno:%22"&amp;RawData[[#This Row],[Document Number]]&amp;"%22%20%2Bcversion%253A1",RawData[[#This Row],[Document Number]])</f>
        <v>FS1018-EVR-XX-XX-D-O-0001</v>
      </c>
    </row>
    <row r="469" spans="1:12" x14ac:dyDescent="0.3">
      <c r="A469" t="s">
        <v>978</v>
      </c>
      <c r="B469" t="s">
        <v>979</v>
      </c>
      <c r="C469" t="s">
        <v>11</v>
      </c>
      <c r="D469" t="s">
        <v>20</v>
      </c>
      <c r="E469" s="8">
        <v>45729</v>
      </c>
      <c r="F469" s="1" t="s">
        <v>12</v>
      </c>
      <c r="G469" s="1" t="s">
        <v>4</v>
      </c>
      <c r="H469" s="8"/>
      <c r="J469" t="b">
        <v>1</v>
      </c>
      <c r="K469" t="s">
        <v>980</v>
      </c>
      <c r="L469" s="13" t="str">
        <f>HYPERLINK("https://uk1.aconex.co.uk/hub/index.html?mainTarget=%2FSearchControlledDoc%3FSEARCH_ACTION%3D15%26tab%3D0%26searchMode%3D1%26searchQuery%3Ddocno:%22"&amp;RawData[[#This Row],[Document Number]]&amp;"%22%20%2Bcversion%253A1",RawData[[#This Row],[Document Number]])</f>
        <v>FS1018-EVR-XX-XX-D-O-0002</v>
      </c>
    </row>
    <row r="470" spans="1:12" x14ac:dyDescent="0.3">
      <c r="A470" t="s">
        <v>981</v>
      </c>
      <c r="B470" t="s">
        <v>982</v>
      </c>
      <c r="C470" t="s">
        <v>13</v>
      </c>
      <c r="D470" t="s">
        <v>20</v>
      </c>
      <c r="E470" s="8">
        <v>45729</v>
      </c>
      <c r="F470" s="1" t="s">
        <v>12</v>
      </c>
      <c r="G470" s="1" t="s">
        <v>4</v>
      </c>
      <c r="H470" s="8"/>
      <c r="J470" t="b">
        <v>1</v>
      </c>
      <c r="K470" t="s">
        <v>983</v>
      </c>
      <c r="L470" s="13" t="str">
        <f>HYPERLINK("https://uk1.aconex.co.uk/hub/index.html?mainTarget=%2FSearchControlledDoc%3FSEARCH_ACTION%3D15%26tab%3D0%26searchMode%3D1%26searchQuery%3Ddocno:%22"&amp;RawData[[#This Row],[Document Number]]&amp;"%22%20%2Bcversion%253A1",RawData[[#This Row],[Document Number]])</f>
        <v>FS1018-EVR-XX-XX-D-O-0003</v>
      </c>
    </row>
    <row r="471" spans="1:12" x14ac:dyDescent="0.3">
      <c r="A471" t="s">
        <v>984</v>
      </c>
      <c r="B471" t="s">
        <v>985</v>
      </c>
      <c r="C471" t="s">
        <v>13</v>
      </c>
      <c r="D471" t="s">
        <v>20</v>
      </c>
      <c r="E471" s="8">
        <v>45729</v>
      </c>
      <c r="F471" s="1" t="s">
        <v>12</v>
      </c>
      <c r="G471" s="1" t="s">
        <v>4</v>
      </c>
      <c r="H471" s="8"/>
      <c r="J471" t="b">
        <v>1</v>
      </c>
      <c r="K471" t="s">
        <v>986</v>
      </c>
      <c r="L471" s="13" t="str">
        <f>HYPERLINK("https://uk1.aconex.co.uk/hub/index.html?mainTarget=%2FSearchControlledDoc%3FSEARCH_ACTION%3D15%26tab%3D0%26searchMode%3D1%26searchQuery%3Ddocno:%22"&amp;RawData[[#This Row],[Document Number]]&amp;"%22%20%2Bcversion%253A1",RawData[[#This Row],[Document Number]])</f>
        <v>FS1018-EVR-XX-XX-D-O-0004</v>
      </c>
    </row>
    <row r="472" spans="1:12" x14ac:dyDescent="0.3">
      <c r="A472" t="s">
        <v>987</v>
      </c>
      <c r="B472" t="s">
        <v>988</v>
      </c>
      <c r="C472" t="s">
        <v>10</v>
      </c>
      <c r="D472" t="s">
        <v>20</v>
      </c>
      <c r="E472" s="8">
        <v>45729</v>
      </c>
      <c r="F472" s="1" t="s">
        <v>12</v>
      </c>
      <c r="G472" s="1" t="s">
        <v>4</v>
      </c>
      <c r="H472" s="8"/>
      <c r="J472" t="b">
        <v>1</v>
      </c>
      <c r="K472" t="s">
        <v>989</v>
      </c>
      <c r="L472" s="13" t="str">
        <f>HYPERLINK("https://uk1.aconex.co.uk/hub/index.html?mainTarget=%2FSearchControlledDoc%3FSEARCH_ACTION%3D15%26tab%3D0%26searchMode%3D1%26searchQuery%3Ddocno:%22"&amp;RawData[[#This Row],[Document Number]]&amp;"%22%20%2Bcversion%253A1",RawData[[#This Row],[Document Number]])</f>
        <v>FS1018-EVR-XX-XX-G-O-0001</v>
      </c>
    </row>
    <row r="473" spans="1:12" x14ac:dyDescent="0.3">
      <c r="A473" t="s">
        <v>990</v>
      </c>
      <c r="B473" t="s">
        <v>991</v>
      </c>
      <c r="C473" t="s">
        <v>10</v>
      </c>
      <c r="D473" t="s">
        <v>20</v>
      </c>
      <c r="E473" s="8">
        <v>45729</v>
      </c>
      <c r="F473" s="1" t="s">
        <v>12</v>
      </c>
      <c r="G473" s="1" t="s">
        <v>4</v>
      </c>
      <c r="H473" s="8"/>
      <c r="J473" t="b">
        <v>1</v>
      </c>
      <c r="K473" t="s">
        <v>992</v>
      </c>
      <c r="L473" s="13" t="str">
        <f>HYPERLINK("https://uk1.aconex.co.uk/hub/index.html?mainTarget=%2FSearchControlledDoc%3FSEARCH_ACTION%3D15%26tab%3D0%26searchMode%3D1%26searchQuery%3Ddocno:%22"&amp;RawData[[#This Row],[Document Number]]&amp;"%22%20%2Bcversion%253A1",RawData[[#This Row],[Document Number]])</f>
        <v>FS1018-EVR-XX-XX-L-O-0001</v>
      </c>
    </row>
    <row r="474" spans="1:12" x14ac:dyDescent="0.3">
      <c r="A474" t="s">
        <v>993</v>
      </c>
      <c r="B474" t="s">
        <v>994</v>
      </c>
      <c r="C474" t="s">
        <v>10</v>
      </c>
      <c r="D474" t="s">
        <v>20</v>
      </c>
      <c r="E474" s="8">
        <v>45729</v>
      </c>
      <c r="F474" s="1" t="s">
        <v>12</v>
      </c>
      <c r="G474" s="1" t="s">
        <v>4</v>
      </c>
      <c r="H474" s="8"/>
      <c r="J474" t="b">
        <v>1</v>
      </c>
      <c r="K474" t="s">
        <v>995</v>
      </c>
      <c r="L474" s="13" t="str">
        <f>HYPERLINK("https://uk1.aconex.co.uk/hub/index.html?mainTarget=%2FSearchControlledDoc%3FSEARCH_ACTION%3D15%26tab%3D0%26searchMode%3D1%26searchQuery%3Ddocno:%22"&amp;RawData[[#This Row],[Document Number]]&amp;"%22%20%2Bcversion%253A1",RawData[[#This Row],[Document Number]])</f>
        <v>FS1018-EVR-XX-XX-L-O-0002</v>
      </c>
    </row>
    <row r="475" spans="1:12" x14ac:dyDescent="0.3">
      <c r="A475" t="s">
        <v>996</v>
      </c>
      <c r="B475" t="s">
        <v>997</v>
      </c>
      <c r="C475" t="s">
        <v>13</v>
      </c>
      <c r="D475" t="s">
        <v>20</v>
      </c>
      <c r="E475" s="8">
        <v>45729</v>
      </c>
      <c r="F475" s="1" t="s">
        <v>12</v>
      </c>
      <c r="G475" s="1" t="s">
        <v>4</v>
      </c>
      <c r="H475" s="8"/>
      <c r="J475" t="b">
        <v>1</v>
      </c>
      <c r="K475" t="s">
        <v>998</v>
      </c>
      <c r="L475" s="13" t="str">
        <f>HYPERLINK("https://uk1.aconex.co.uk/hub/index.html?mainTarget=%2FSearchControlledDoc%3FSEARCH_ACTION%3D15%26tab%3D0%26searchMode%3D1%26searchQuery%3Ddocno:%22"&amp;RawData[[#This Row],[Document Number]]&amp;"%22%20%2Bcversion%253A1",RawData[[#This Row],[Document Number]])</f>
        <v>FS1018-EVR-XX-XX-L-O-0003</v>
      </c>
    </row>
    <row r="476" spans="1:12" x14ac:dyDescent="0.3">
      <c r="A476" t="s">
        <v>999</v>
      </c>
      <c r="B476" t="s">
        <v>1000</v>
      </c>
      <c r="C476" t="s">
        <v>10</v>
      </c>
      <c r="D476" t="s">
        <v>20</v>
      </c>
      <c r="E476" s="8">
        <v>45729</v>
      </c>
      <c r="F476" s="1" t="s">
        <v>12</v>
      </c>
      <c r="G476" s="1" t="s">
        <v>4</v>
      </c>
      <c r="H476" s="8"/>
      <c r="J476" t="b">
        <v>1</v>
      </c>
      <c r="K476" t="s">
        <v>1001</v>
      </c>
      <c r="L476" s="13" t="str">
        <f>HYPERLINK("https://uk1.aconex.co.uk/hub/index.html?mainTarget=%2FSearchControlledDoc%3FSEARCH_ACTION%3D15%26tab%3D0%26searchMode%3D1%26searchQuery%3Ddocno:%22"&amp;RawData[[#This Row],[Document Number]]&amp;"%22%20%2Bcversion%253A1",RawData[[#This Row],[Document Number]])</f>
        <v>FS1018-EVR-XX-XX-L-O-0004</v>
      </c>
    </row>
    <row r="477" spans="1:12" x14ac:dyDescent="0.3">
      <c r="A477" t="s">
        <v>1002</v>
      </c>
      <c r="B477" t="s">
        <v>1003</v>
      </c>
      <c r="C477" t="s">
        <v>13</v>
      </c>
      <c r="D477" t="s">
        <v>20</v>
      </c>
      <c r="E477" s="8">
        <v>45729</v>
      </c>
      <c r="F477" s="1" t="s">
        <v>12</v>
      </c>
      <c r="G477" s="1" t="s">
        <v>4</v>
      </c>
      <c r="H477" s="8"/>
      <c r="J477" t="b">
        <v>1</v>
      </c>
      <c r="K477" t="s">
        <v>1004</v>
      </c>
      <c r="L477" s="13" t="str">
        <f>HYPERLINK("https://uk1.aconex.co.uk/hub/index.html?mainTarget=%2FSearchControlledDoc%3FSEARCH_ACTION%3D15%26tab%3D0%26searchMode%3D1%26searchQuery%3Ddocno:%22"&amp;RawData[[#This Row],[Document Number]]&amp;"%22%20%2Bcversion%253A1",RawData[[#This Row],[Document Number]])</f>
        <v>FS1018-EVR-XX-XX-T-O-0002</v>
      </c>
    </row>
    <row r="478" spans="1:12" x14ac:dyDescent="0.3">
      <c r="A478" t="s">
        <v>1005</v>
      </c>
      <c r="B478" t="s">
        <v>1006</v>
      </c>
      <c r="C478" t="s">
        <v>13</v>
      </c>
      <c r="D478" t="s">
        <v>20</v>
      </c>
      <c r="E478" s="8">
        <v>45729</v>
      </c>
      <c r="F478" s="1" t="s">
        <v>12</v>
      </c>
      <c r="G478" s="1" t="s">
        <v>4</v>
      </c>
      <c r="H478" s="8"/>
      <c r="J478" t="b">
        <v>1</v>
      </c>
      <c r="K478" t="s">
        <v>1007</v>
      </c>
      <c r="L478" s="13" t="str">
        <f>HYPERLINK("https://uk1.aconex.co.uk/hub/index.html?mainTarget=%2FSearchControlledDoc%3FSEARCH_ACTION%3D15%26tab%3D0%26searchMode%3D1%26searchQuery%3Ddocno:%22"&amp;RawData[[#This Row],[Document Number]]&amp;"%22%20%2Bcversion%253A1",RawData[[#This Row],[Document Number]])</f>
        <v>FS1018-EVR-XX-XX-T-O-0004</v>
      </c>
    </row>
    <row r="479" spans="1:12" x14ac:dyDescent="0.3">
      <c r="A479" t="s">
        <v>1008</v>
      </c>
      <c r="B479" t="s">
        <v>1009</v>
      </c>
      <c r="C479" t="s">
        <v>13</v>
      </c>
      <c r="D479" t="s">
        <v>20</v>
      </c>
      <c r="E479" s="8">
        <v>45729</v>
      </c>
      <c r="F479" s="1" t="s">
        <v>12</v>
      </c>
      <c r="G479" s="1" t="s">
        <v>4</v>
      </c>
      <c r="H479" s="8"/>
      <c r="J479" t="b">
        <v>1</v>
      </c>
      <c r="K479" t="s">
        <v>1010</v>
      </c>
      <c r="L479" s="13" t="str">
        <f>HYPERLINK("https://uk1.aconex.co.uk/hub/index.html?mainTarget=%2FSearchControlledDoc%3FSEARCH_ACTION%3D15%26tab%3D0%26searchMode%3D1%26searchQuery%3Ddocno:%22"&amp;RawData[[#This Row],[Document Number]]&amp;"%22%20%2Bcversion%253A1",RawData[[#This Row],[Document Number]])</f>
        <v>FS1018-EVR-XX-XX-T-O-0005</v>
      </c>
    </row>
    <row r="480" spans="1:12" x14ac:dyDescent="0.3">
      <c r="A480" t="s">
        <v>1011</v>
      </c>
      <c r="B480" t="s">
        <v>1012</v>
      </c>
      <c r="C480" t="s">
        <v>13</v>
      </c>
      <c r="D480" t="s">
        <v>20</v>
      </c>
      <c r="E480" s="8">
        <v>45729</v>
      </c>
      <c r="F480" s="1" t="s">
        <v>12</v>
      </c>
      <c r="G480" s="1" t="s">
        <v>4</v>
      </c>
      <c r="H480" s="8"/>
      <c r="J480" t="b">
        <v>1</v>
      </c>
      <c r="K480" t="s">
        <v>1013</v>
      </c>
      <c r="L480" s="13" t="str">
        <f>HYPERLINK("https://uk1.aconex.co.uk/hub/index.html?mainTarget=%2FSearchControlledDoc%3FSEARCH_ACTION%3D15%26tab%3D0%26searchMode%3D1%26searchQuery%3Ddocno:%22"&amp;RawData[[#This Row],[Document Number]]&amp;"%22%20%2Bcversion%253A1",RawData[[#This Row],[Document Number]])</f>
        <v>FS1018-EVR-XX-XX-T-O-0006</v>
      </c>
    </row>
    <row r="481" spans="1:12" x14ac:dyDescent="0.3">
      <c r="A481" t="s">
        <v>1014</v>
      </c>
      <c r="B481" t="s">
        <v>1015</v>
      </c>
      <c r="C481" t="s">
        <v>13</v>
      </c>
      <c r="D481" t="s">
        <v>20</v>
      </c>
      <c r="E481" s="8">
        <v>45729</v>
      </c>
      <c r="F481" s="1" t="s">
        <v>12</v>
      </c>
      <c r="G481" s="1" t="s">
        <v>4</v>
      </c>
      <c r="H481" s="8"/>
      <c r="J481" t="b">
        <v>1</v>
      </c>
      <c r="K481" t="s">
        <v>1016</v>
      </c>
      <c r="L481" s="13" t="str">
        <f>HYPERLINK("https://uk1.aconex.co.uk/hub/index.html?mainTarget=%2FSearchControlledDoc%3FSEARCH_ACTION%3D15%26tab%3D0%26searchMode%3D1%26searchQuery%3Ddocno:%22"&amp;RawData[[#This Row],[Document Number]]&amp;"%22%20%2Bcversion%253A1",RawData[[#This Row],[Document Number]])</f>
        <v>FS1018-EVR-XX-XX-T-O-0007</v>
      </c>
    </row>
    <row r="482" spans="1:12" x14ac:dyDescent="0.3">
      <c r="A482" t="s">
        <v>1017</v>
      </c>
      <c r="B482" t="s">
        <v>1018</v>
      </c>
      <c r="C482" t="s">
        <v>13</v>
      </c>
      <c r="D482" t="s">
        <v>20</v>
      </c>
      <c r="E482" s="8">
        <v>45742</v>
      </c>
      <c r="F482" s="1" t="s">
        <v>12</v>
      </c>
      <c r="G482" s="1" t="s">
        <v>4</v>
      </c>
      <c r="H482" s="8"/>
      <c r="J482" t="b">
        <v>1</v>
      </c>
      <c r="K482" t="s">
        <v>1019</v>
      </c>
      <c r="L482" s="13" t="str">
        <f>HYPERLINK("https://uk1.aconex.co.uk/hub/index.html?mainTarget=%2FSearchControlledDoc%3FSEARCH_ACTION%3D15%26tab%3D0%26searchMode%3D1%26searchQuery%3Ddocno:%22"&amp;RawData[[#This Row],[Document Number]]&amp;"%22%20%2Bcversion%253A1",RawData[[#This Row],[Document Number]])</f>
        <v>FS1018-HBC-XX-XX-D-X-0001</v>
      </c>
    </row>
    <row r="483" spans="1:12" ht="28.8" x14ac:dyDescent="0.3">
      <c r="A483" t="s">
        <v>1020</v>
      </c>
      <c r="B483" t="s">
        <v>1021</v>
      </c>
      <c r="C483" t="s">
        <v>10</v>
      </c>
      <c r="D483" t="s">
        <v>19</v>
      </c>
      <c r="E483" s="8">
        <v>45729</v>
      </c>
      <c r="F483" s="1" t="s">
        <v>12</v>
      </c>
      <c r="G483" s="1" t="s">
        <v>24</v>
      </c>
      <c r="H483" s="8">
        <v>45735</v>
      </c>
      <c r="I483" s="1" t="s">
        <v>1023</v>
      </c>
      <c r="J483" t="b">
        <v>1</v>
      </c>
      <c r="K483" t="s">
        <v>1022</v>
      </c>
      <c r="L483" s="13" t="str">
        <f>HYPERLINK("https://uk1.aconex.co.uk/hub/index.html?mainTarget=%2FSearchControlledDoc%3FSEARCH_ACTION%3D15%26tab%3D0%26searchMode%3D1%26searchQuery%3Ddocno:%22"&amp;RawData[[#This Row],[Document Number]]&amp;"%22%20%2Bcversion%253A1",RawData[[#This Row],[Document Number]])</f>
        <v>FS1018-HBC-XX-XX-D-X-0003</v>
      </c>
    </row>
    <row r="484" spans="1:12" x14ac:dyDescent="0.3">
      <c r="A484" t="s">
        <v>1020</v>
      </c>
      <c r="B484" t="s">
        <v>1021</v>
      </c>
      <c r="C484" t="s">
        <v>10</v>
      </c>
      <c r="D484" t="s">
        <v>20</v>
      </c>
      <c r="E484" s="8">
        <v>45742</v>
      </c>
      <c r="F484" s="1" t="s">
        <v>12</v>
      </c>
      <c r="G484" s="1" t="s">
        <v>4</v>
      </c>
      <c r="H484" s="8"/>
      <c r="J484" t="b">
        <v>1</v>
      </c>
      <c r="K484" t="s">
        <v>1022</v>
      </c>
      <c r="L484" s="13" t="str">
        <f>HYPERLINK("https://uk1.aconex.co.uk/hub/index.html?mainTarget=%2FSearchControlledDoc%3FSEARCH_ACTION%3D15%26tab%3D0%26searchMode%3D1%26searchQuery%3Ddocno:%22"&amp;RawData[[#This Row],[Document Number]]&amp;"%22%20%2Bcversion%253A1",RawData[[#This Row],[Document Number]])</f>
        <v>FS1018-HBC-XX-XX-D-X-0003</v>
      </c>
    </row>
    <row r="485" spans="1:12" x14ac:dyDescent="0.3">
      <c r="A485" t="s">
        <v>1024</v>
      </c>
      <c r="B485" t="s">
        <v>1025</v>
      </c>
      <c r="C485" t="s">
        <v>10</v>
      </c>
      <c r="D485" t="s">
        <v>20</v>
      </c>
      <c r="E485" s="8">
        <v>45742</v>
      </c>
      <c r="F485" s="1" t="s">
        <v>12</v>
      </c>
      <c r="G485" s="1" t="s">
        <v>4</v>
      </c>
      <c r="H485" s="8"/>
      <c r="J485" t="b">
        <v>1</v>
      </c>
      <c r="K485" t="s">
        <v>1026</v>
      </c>
      <c r="L485" s="13" t="str">
        <f>HYPERLINK("https://uk1.aconex.co.uk/hub/index.html?mainTarget=%2FSearchControlledDoc%3FSEARCH_ACTION%3D15%26tab%3D0%26searchMode%3D1%26searchQuery%3Ddocno:%22"&amp;RawData[[#This Row],[Document Number]]&amp;"%22%20%2Bcversion%253A1",RawData[[#This Row],[Document Number]])</f>
        <v>FS1018-HBC-XX-XX-D-X-0004</v>
      </c>
    </row>
    <row r="486" spans="1:12" x14ac:dyDescent="0.3">
      <c r="A486" t="s">
        <v>1028</v>
      </c>
      <c r="B486" t="s">
        <v>1029</v>
      </c>
      <c r="C486" t="s">
        <v>13</v>
      </c>
      <c r="D486" t="s">
        <v>20</v>
      </c>
      <c r="E486" s="8">
        <v>45742</v>
      </c>
      <c r="F486" s="1" t="s">
        <v>12</v>
      </c>
      <c r="G486" s="1" t="s">
        <v>4</v>
      </c>
      <c r="H486" s="8"/>
      <c r="J486" t="b">
        <v>1</v>
      </c>
      <c r="K486" t="s">
        <v>1030</v>
      </c>
      <c r="L486" s="13" t="str">
        <f>HYPERLINK("https://uk1.aconex.co.uk/hub/index.html?mainTarget=%2FSearchControlledDoc%3FSEARCH_ACTION%3D15%26tab%3D0%26searchMode%3D1%26searchQuery%3Ddocno:%22"&amp;RawData[[#This Row],[Document Number]]&amp;"%22%20%2Bcversion%253A1",RawData[[#This Row],[Document Number]])</f>
        <v>FS1018-HBC-XX-XX-D-X-0005</v>
      </c>
    </row>
    <row r="487" spans="1:12" x14ac:dyDescent="0.3">
      <c r="A487" t="s">
        <v>1031</v>
      </c>
      <c r="B487" t="s">
        <v>1032</v>
      </c>
      <c r="C487" t="s">
        <v>13</v>
      </c>
      <c r="D487" t="s">
        <v>20</v>
      </c>
      <c r="E487" s="8">
        <v>45742</v>
      </c>
      <c r="F487" s="1" t="s">
        <v>12</v>
      </c>
      <c r="G487" s="1" t="s">
        <v>4</v>
      </c>
      <c r="H487" s="8"/>
      <c r="J487" t="b">
        <v>1</v>
      </c>
      <c r="K487" t="s">
        <v>1033</v>
      </c>
      <c r="L487" s="13" t="str">
        <f>HYPERLINK("https://uk1.aconex.co.uk/hub/index.html?mainTarget=%2FSearchControlledDoc%3FSEARCH_ACTION%3D15%26tab%3D0%26searchMode%3D1%26searchQuery%3Ddocno:%22"&amp;RawData[[#This Row],[Document Number]]&amp;"%22%20%2Bcversion%253A1",RawData[[#This Row],[Document Number]])</f>
        <v>FS1018-HBC-XX-XX-D-X-0006</v>
      </c>
    </row>
    <row r="488" spans="1:12" x14ac:dyDescent="0.3">
      <c r="A488" t="s">
        <v>1034</v>
      </c>
      <c r="B488" t="s">
        <v>1035</v>
      </c>
      <c r="C488" t="s">
        <v>676</v>
      </c>
      <c r="D488" t="s">
        <v>20</v>
      </c>
      <c r="E488" s="8">
        <v>45729</v>
      </c>
      <c r="F488" s="1" t="s">
        <v>12</v>
      </c>
      <c r="G488" s="1" t="s">
        <v>4</v>
      </c>
      <c r="H488" s="8"/>
      <c r="J488" t="b">
        <v>1</v>
      </c>
      <c r="K488" t="s">
        <v>1036</v>
      </c>
      <c r="L488" s="13" t="str">
        <f>HYPERLINK("https://uk1.aconex.co.uk/hub/index.html?mainTarget=%2FSearchControlledDoc%3FSEARCH_ACTION%3D15%26tab%3D0%26searchMode%3D1%26searchQuery%3Ddocno:%22"&amp;RawData[[#This Row],[Document Number]]&amp;"%22%20%2Bcversion%253A1",RawData[[#This Row],[Document Number]])</f>
        <v>FS1018-HBC-XX-XX-L-X-0001</v>
      </c>
    </row>
    <row r="489" spans="1:12" x14ac:dyDescent="0.3">
      <c r="A489" t="s">
        <v>1037</v>
      </c>
      <c r="B489" t="s">
        <v>1038</v>
      </c>
      <c r="C489" t="s">
        <v>10</v>
      </c>
      <c r="D489" t="s">
        <v>20</v>
      </c>
      <c r="E489" s="8">
        <v>45742</v>
      </c>
      <c r="F489" s="1" t="s">
        <v>12</v>
      </c>
      <c r="G489" s="1" t="s">
        <v>4</v>
      </c>
      <c r="H489" s="8"/>
      <c r="J489" t="b">
        <v>1</v>
      </c>
      <c r="K489" t="s">
        <v>1039</v>
      </c>
      <c r="L489" s="13" t="str">
        <f>HYPERLINK("https://uk1.aconex.co.uk/hub/index.html?mainTarget=%2FSearchControlledDoc%3FSEARCH_ACTION%3D15%26tab%3D0%26searchMode%3D1%26searchQuery%3Ddocno:%22"&amp;RawData[[#This Row],[Document Number]]&amp;"%22%20%2Bcversion%253A1",RawData[[#This Row],[Document Number]])</f>
        <v>FS1018-HBC-XX-XX-L-X-0003</v>
      </c>
    </row>
    <row r="490" spans="1:12" x14ac:dyDescent="0.3">
      <c r="A490" t="s">
        <v>1040</v>
      </c>
      <c r="B490" t="s">
        <v>1041</v>
      </c>
      <c r="C490" t="s">
        <v>10</v>
      </c>
      <c r="D490" t="s">
        <v>20</v>
      </c>
      <c r="E490" s="8">
        <v>45742</v>
      </c>
      <c r="F490" s="1" t="s">
        <v>12</v>
      </c>
      <c r="G490" s="1" t="s">
        <v>4</v>
      </c>
      <c r="H490" s="8"/>
      <c r="J490" t="b">
        <v>1</v>
      </c>
      <c r="K490" t="s">
        <v>1042</v>
      </c>
      <c r="L490" s="13" t="str">
        <f>HYPERLINK("https://uk1.aconex.co.uk/hub/index.html?mainTarget=%2FSearchControlledDoc%3FSEARCH_ACTION%3D15%26tab%3D0%26searchMode%3D1%26searchQuery%3Ddocno:%22"&amp;RawData[[#This Row],[Document Number]]&amp;"%22%20%2Bcversion%253A1",RawData[[#This Row],[Document Number]])</f>
        <v>FS1018-HBC-XX-XX-L-X-0004</v>
      </c>
    </row>
    <row r="491" spans="1:12" x14ac:dyDescent="0.3">
      <c r="A491" t="s">
        <v>1043</v>
      </c>
      <c r="B491" t="s">
        <v>1044</v>
      </c>
      <c r="C491" t="s">
        <v>10</v>
      </c>
      <c r="D491" t="s">
        <v>20</v>
      </c>
      <c r="E491" s="8">
        <v>45742</v>
      </c>
      <c r="F491" s="1" t="s">
        <v>12</v>
      </c>
      <c r="G491" s="1" t="s">
        <v>4</v>
      </c>
      <c r="H491" s="8"/>
      <c r="J491" t="b">
        <v>1</v>
      </c>
      <c r="K491" t="s">
        <v>1045</v>
      </c>
      <c r="L491" s="13" t="str">
        <f>HYPERLINK("https://uk1.aconex.co.uk/hub/index.html?mainTarget=%2FSearchControlledDoc%3FSEARCH_ACTION%3D15%26tab%3D0%26searchMode%3D1%26searchQuery%3Ddocno:%22"&amp;RawData[[#This Row],[Document Number]]&amp;"%22%20%2Bcversion%253A1",RawData[[#This Row],[Document Number]])</f>
        <v>FS1018-HBC-XX-XX-L-X-0005</v>
      </c>
    </row>
    <row r="492" spans="1:12" x14ac:dyDescent="0.3">
      <c r="A492" t="s">
        <v>1046</v>
      </c>
      <c r="B492" t="s">
        <v>1047</v>
      </c>
      <c r="C492" t="s">
        <v>10</v>
      </c>
      <c r="D492" t="s">
        <v>20</v>
      </c>
      <c r="E492" s="8">
        <v>45729</v>
      </c>
      <c r="F492" s="1" t="s">
        <v>12</v>
      </c>
      <c r="G492" s="1" t="s">
        <v>4</v>
      </c>
      <c r="H492" s="8"/>
      <c r="J492" t="b">
        <v>1</v>
      </c>
      <c r="K492" t="s">
        <v>1048</v>
      </c>
      <c r="L492" s="13" t="str">
        <f>HYPERLINK("https://uk1.aconex.co.uk/hub/index.html?mainTarget=%2FSearchControlledDoc%3FSEARCH_ACTION%3D15%26tab%3D0%26searchMode%3D1%26searchQuery%3Ddocno:%22"&amp;RawData[[#This Row],[Document Number]]&amp;"%22%20%2Bcversion%253A1",RawData[[#This Row],[Document Number]])</f>
        <v>FS1018-HBC-XX-XX-L-X-0006</v>
      </c>
    </row>
    <row r="493" spans="1:12" x14ac:dyDescent="0.3">
      <c r="A493" t="s">
        <v>1049</v>
      </c>
      <c r="B493" t="s">
        <v>54</v>
      </c>
      <c r="C493" t="s">
        <v>10</v>
      </c>
      <c r="D493" t="s">
        <v>20</v>
      </c>
      <c r="E493" s="8">
        <v>45742</v>
      </c>
      <c r="F493" s="1" t="s">
        <v>12</v>
      </c>
      <c r="G493" s="1" t="s">
        <v>4</v>
      </c>
      <c r="H493" s="8"/>
      <c r="J493" t="b">
        <v>1</v>
      </c>
      <c r="K493" t="s">
        <v>1050</v>
      </c>
      <c r="L493" s="13" t="str">
        <f>HYPERLINK("https://uk1.aconex.co.uk/hub/index.html?mainTarget=%2FSearchControlledDoc%3FSEARCH_ACTION%3D15%26tab%3D0%26searchMode%3D1%26searchQuery%3Ddocno:%22"&amp;RawData[[#This Row],[Document Number]]&amp;"%22%20%2Bcversion%253A1",RawData[[#This Row],[Document Number]])</f>
        <v>FS1018-HBC-XX-XX-L-X-0007</v>
      </c>
    </row>
    <row r="494" spans="1:12" x14ac:dyDescent="0.3">
      <c r="A494" t="s">
        <v>1797</v>
      </c>
      <c r="B494" t="s">
        <v>1798</v>
      </c>
      <c r="C494" t="s">
        <v>10</v>
      </c>
      <c r="D494" t="s">
        <v>19</v>
      </c>
      <c r="E494" s="8">
        <v>45744</v>
      </c>
      <c r="F494" s="1" t="s">
        <v>12</v>
      </c>
      <c r="G494" s="1" t="s">
        <v>24</v>
      </c>
      <c r="H494" s="8">
        <v>45748</v>
      </c>
      <c r="J494" t="b">
        <v>1</v>
      </c>
      <c r="K494" t="s">
        <v>1799</v>
      </c>
      <c r="L494" s="13" t="str">
        <f>HYPERLINK("https://uk1.aconex.co.uk/hub/index.html?mainTarget=%2FSearchControlledDoc%3FSEARCH_ACTION%3D15%26tab%3D0%26searchMode%3D1%26searchQuery%3Ddocno:%22"&amp;RawData[[#This Row],[Document Number]]&amp;"%22%20%2Bcversion%253A1",RawData[[#This Row],[Document Number]])</f>
        <v>FS1018-HBC-XX-XX-L-X-0008</v>
      </c>
    </row>
    <row r="495" spans="1:12" x14ac:dyDescent="0.3">
      <c r="A495" t="s">
        <v>1800</v>
      </c>
      <c r="B495" t="s">
        <v>1801</v>
      </c>
      <c r="C495" t="s">
        <v>10</v>
      </c>
      <c r="D495" t="s">
        <v>19</v>
      </c>
      <c r="E495" s="8">
        <v>45744</v>
      </c>
      <c r="F495" s="1" t="s">
        <v>12</v>
      </c>
      <c r="G495" s="1" t="s">
        <v>24</v>
      </c>
      <c r="H495" s="8">
        <v>45748</v>
      </c>
      <c r="I495" s="1" t="s">
        <v>1832</v>
      </c>
      <c r="J495" t="b">
        <v>1</v>
      </c>
      <c r="K495" t="s">
        <v>1802</v>
      </c>
      <c r="L495" s="13" t="str">
        <f>HYPERLINK("https://uk1.aconex.co.uk/hub/index.html?mainTarget=%2FSearchControlledDoc%3FSEARCH_ACTION%3D15%26tab%3D0%26searchMode%3D1%26searchQuery%3Ddocno:%22"&amp;RawData[[#This Row],[Document Number]]&amp;"%22%20%2Bcversion%253A1",RawData[[#This Row],[Document Number]])</f>
        <v>FS1018-HBC-XX-XX-L-X-0009</v>
      </c>
    </row>
    <row r="496" spans="1:12" x14ac:dyDescent="0.3">
      <c r="A496" t="s">
        <v>1803</v>
      </c>
      <c r="B496" t="s">
        <v>1804</v>
      </c>
      <c r="C496" t="s">
        <v>10</v>
      </c>
      <c r="D496" t="s">
        <v>19</v>
      </c>
      <c r="E496" s="8">
        <v>45744</v>
      </c>
      <c r="F496" s="1" t="s">
        <v>12</v>
      </c>
      <c r="G496" s="1" t="s">
        <v>24</v>
      </c>
      <c r="H496" s="8">
        <v>45747</v>
      </c>
      <c r="J496" t="b">
        <v>1</v>
      </c>
      <c r="K496" t="s">
        <v>1805</v>
      </c>
      <c r="L496" s="13" t="str">
        <f>HYPERLINK("https://uk1.aconex.co.uk/hub/index.html?mainTarget=%2FSearchControlledDoc%3FSEARCH_ACTION%3D15%26tab%3D0%26searchMode%3D1%26searchQuery%3Ddocno:%22"&amp;RawData[[#This Row],[Document Number]]&amp;"%22%20%2Bcversion%253A1",RawData[[#This Row],[Document Number]])</f>
        <v>FS1018-HBC-XX-XX-L-X-0010</v>
      </c>
    </row>
    <row r="497" spans="1:12" x14ac:dyDescent="0.3">
      <c r="A497" t="s">
        <v>1928</v>
      </c>
      <c r="B497" t="s">
        <v>1929</v>
      </c>
      <c r="C497" t="s">
        <v>10</v>
      </c>
      <c r="D497" t="s">
        <v>19</v>
      </c>
      <c r="E497" s="8">
        <v>45748</v>
      </c>
      <c r="F497" s="1" t="s">
        <v>12</v>
      </c>
      <c r="G497" s="1" t="s">
        <v>24</v>
      </c>
      <c r="H497" s="8">
        <v>45748</v>
      </c>
      <c r="I497" s="1" t="s">
        <v>1930</v>
      </c>
      <c r="J497" t="b">
        <v>1</v>
      </c>
      <c r="K497" t="s">
        <v>1931</v>
      </c>
      <c r="L497" s="13" t="str">
        <f>HYPERLINK("https://uk1.aconex.co.uk/hub/index.html?mainTarget=%2FSearchControlledDoc%3FSEARCH_ACTION%3D15%26tab%3D0%26searchMode%3D1%26searchQuery%3Ddocno:%22"&amp;RawData[[#This Row],[Document Number]]&amp;"%22%20%2Bcversion%253A1",RawData[[#This Row],[Document Number]])</f>
        <v>FS1018-HBC-XX-XX-L-X-0011</v>
      </c>
    </row>
    <row r="498" spans="1:12" ht="43.2" x14ac:dyDescent="0.3">
      <c r="A498" t="s">
        <v>1806</v>
      </c>
      <c r="B498" t="s">
        <v>1807</v>
      </c>
      <c r="C498" t="s">
        <v>11</v>
      </c>
      <c r="D498" t="s">
        <v>19</v>
      </c>
      <c r="E498" s="8">
        <v>45744</v>
      </c>
      <c r="F498" s="1" t="s">
        <v>12</v>
      </c>
      <c r="G498" s="1" t="s">
        <v>21</v>
      </c>
      <c r="H498" s="8">
        <v>45747</v>
      </c>
      <c r="I498" s="1" t="s">
        <v>1819</v>
      </c>
      <c r="J498" t="b">
        <v>0</v>
      </c>
      <c r="K498" t="s">
        <v>1808</v>
      </c>
      <c r="L498" s="13" t="str">
        <f>HYPERLINK("https://uk1.aconex.co.uk/hub/index.html?mainTarget=%2FSearchControlledDoc%3FSEARCH_ACTION%3D15%26tab%3D0%26searchMode%3D1%26searchQuery%3Ddocno:%22"&amp;RawData[[#This Row],[Document Number]]&amp;"%22%20%2Bcversion%253A1",RawData[[#This Row],[Document Number]])</f>
        <v>FS1018-HBC-XX-XX-L-X-0012</v>
      </c>
    </row>
    <row r="499" spans="1:12" ht="28.8" x14ac:dyDescent="0.3">
      <c r="A499" t="s">
        <v>1806</v>
      </c>
      <c r="B499" t="s">
        <v>1807</v>
      </c>
      <c r="C499" t="s">
        <v>11</v>
      </c>
      <c r="D499" t="s">
        <v>19</v>
      </c>
      <c r="E499" s="8">
        <v>45757</v>
      </c>
      <c r="F499" s="1" t="s">
        <v>2013</v>
      </c>
      <c r="G499" s="1" t="s">
        <v>21</v>
      </c>
      <c r="H499" s="8">
        <v>45757</v>
      </c>
      <c r="I499" s="1" t="s">
        <v>1785</v>
      </c>
      <c r="J499" t="b">
        <v>0</v>
      </c>
      <c r="K499" t="s">
        <v>1808</v>
      </c>
      <c r="L499" s="13" t="str">
        <f>HYPERLINK("https://uk1.aconex.co.uk/hub/index.html?mainTarget=%2FSearchControlledDoc%3FSEARCH_ACTION%3D15%26tab%3D0%26searchMode%3D1%26searchQuery%3Ddocno:%22"&amp;RawData[[#This Row],[Document Number]]&amp;"%22%20%2Bcversion%253A1",RawData[[#This Row],[Document Number]])</f>
        <v>FS1018-HBC-XX-XX-L-X-0012</v>
      </c>
    </row>
    <row r="500" spans="1:12" x14ac:dyDescent="0.3">
      <c r="A500" t="s">
        <v>1806</v>
      </c>
      <c r="B500" t="s">
        <v>1807</v>
      </c>
      <c r="C500" t="s">
        <v>418</v>
      </c>
      <c r="D500" t="s">
        <v>20</v>
      </c>
      <c r="E500" s="8">
        <v>45757</v>
      </c>
      <c r="F500" s="1" t="s">
        <v>12</v>
      </c>
      <c r="G500" s="1" t="s">
        <v>4</v>
      </c>
      <c r="H500" s="8"/>
      <c r="J500" t="b">
        <v>1</v>
      </c>
      <c r="K500" t="s">
        <v>1808</v>
      </c>
      <c r="L500" s="13" t="str">
        <f>HYPERLINK("https://uk1.aconex.co.uk/hub/index.html?mainTarget=%2FSearchControlledDoc%3FSEARCH_ACTION%3D15%26tab%3D0%26searchMode%3D1%26searchQuery%3Ddocno:%22"&amp;RawData[[#This Row],[Document Number]]&amp;"%22%20%2Bcversion%253A1",RawData[[#This Row],[Document Number]])</f>
        <v>FS1018-HBC-XX-XX-L-X-0012</v>
      </c>
    </row>
    <row r="501" spans="1:12" x14ac:dyDescent="0.3">
      <c r="A501" t="s">
        <v>1051</v>
      </c>
      <c r="B501" t="s">
        <v>1052</v>
      </c>
      <c r="C501" t="s">
        <v>10</v>
      </c>
      <c r="D501" t="s">
        <v>20</v>
      </c>
      <c r="E501" s="8">
        <v>45729</v>
      </c>
      <c r="F501" s="1" t="s">
        <v>12</v>
      </c>
      <c r="G501" s="1" t="s">
        <v>4</v>
      </c>
      <c r="H501" s="8"/>
      <c r="J501" t="b">
        <v>1</v>
      </c>
      <c r="K501" t="s">
        <v>1053</v>
      </c>
      <c r="L501" s="13" t="str">
        <f>HYPERLINK("https://uk1.aconex.co.uk/hub/index.html?mainTarget=%2FSearchControlledDoc%3FSEARCH_ACTION%3D15%26tab%3D0%26searchMode%3D1%26searchQuery%3Ddocno:%22"&amp;RawData[[#This Row],[Document Number]]&amp;"%22%20%2Bcversion%253A1",RawData[[#This Row],[Document Number]])</f>
        <v>FS1018-HBC-XX-XX-L-X-0013</v>
      </c>
    </row>
    <row r="502" spans="1:12" x14ac:dyDescent="0.3">
      <c r="A502" t="s">
        <v>1054</v>
      </c>
      <c r="B502" t="s">
        <v>1055</v>
      </c>
      <c r="C502" t="s">
        <v>11</v>
      </c>
      <c r="D502" t="s">
        <v>20</v>
      </c>
      <c r="E502" s="8">
        <v>45729</v>
      </c>
      <c r="F502" s="1" t="s">
        <v>12</v>
      </c>
      <c r="G502" s="1" t="s">
        <v>4</v>
      </c>
      <c r="H502" s="8"/>
      <c r="J502" t="b">
        <v>1</v>
      </c>
      <c r="K502" t="s">
        <v>1056</v>
      </c>
      <c r="L502" s="13" t="str">
        <f>HYPERLINK("https://uk1.aconex.co.uk/hub/index.html?mainTarget=%2FSearchControlledDoc%3FSEARCH_ACTION%3D15%26tab%3D0%26searchMode%3D1%26searchQuery%3Ddocno:%22"&amp;RawData[[#This Row],[Document Number]]&amp;"%22%20%2Bcversion%253A1",RawData[[#This Row],[Document Number]])</f>
        <v>FS1018-HBC-XX-XX-L-X-0014</v>
      </c>
    </row>
    <row r="503" spans="1:12" x14ac:dyDescent="0.3">
      <c r="A503" t="s">
        <v>1057</v>
      </c>
      <c r="B503" t="s">
        <v>1058</v>
      </c>
      <c r="C503" t="s">
        <v>10</v>
      </c>
      <c r="D503" t="s">
        <v>20</v>
      </c>
      <c r="E503" s="8">
        <v>45729</v>
      </c>
      <c r="F503" s="1" t="s">
        <v>12</v>
      </c>
      <c r="G503" s="1" t="s">
        <v>4</v>
      </c>
      <c r="H503" s="8"/>
      <c r="J503" t="b">
        <v>1</v>
      </c>
      <c r="K503" t="s">
        <v>1059</v>
      </c>
      <c r="L503" s="13" t="str">
        <f>HYPERLINK("https://uk1.aconex.co.uk/hub/index.html?mainTarget=%2FSearchControlledDoc%3FSEARCH_ACTION%3D15%26tab%3D0%26searchMode%3D1%26searchQuery%3Ddocno:%22"&amp;RawData[[#This Row],[Document Number]]&amp;"%22%20%2Bcversion%253A1",RawData[[#This Row],[Document Number]])</f>
        <v>FS1018-HBC-XX-XX-L-X-0016</v>
      </c>
    </row>
    <row r="504" spans="1:12" x14ac:dyDescent="0.3">
      <c r="A504" t="s">
        <v>1060</v>
      </c>
      <c r="B504" t="s">
        <v>1061</v>
      </c>
      <c r="C504" t="s">
        <v>10</v>
      </c>
      <c r="D504" t="s">
        <v>20</v>
      </c>
      <c r="E504" s="8">
        <v>45729</v>
      </c>
      <c r="F504" s="1" t="s">
        <v>12</v>
      </c>
      <c r="G504" s="1" t="s">
        <v>4</v>
      </c>
      <c r="H504" s="8"/>
      <c r="J504" t="b">
        <v>1</v>
      </c>
      <c r="K504" t="s">
        <v>1062</v>
      </c>
      <c r="L504" s="13" t="str">
        <f>HYPERLINK("https://uk1.aconex.co.uk/hub/index.html?mainTarget=%2FSearchControlledDoc%3FSEARCH_ACTION%3D15%26tab%3D0%26searchMode%3D1%26searchQuery%3Ddocno:%22"&amp;RawData[[#This Row],[Document Number]]&amp;"%22%20%2Bcversion%253A1",RawData[[#This Row],[Document Number]])</f>
        <v>FS1018-HBC-XX-XX-L-X-0018</v>
      </c>
    </row>
    <row r="505" spans="1:12" x14ac:dyDescent="0.3">
      <c r="A505" t="s">
        <v>1063</v>
      </c>
      <c r="B505" t="s">
        <v>1064</v>
      </c>
      <c r="C505" t="s">
        <v>13</v>
      </c>
      <c r="D505" t="s">
        <v>20</v>
      </c>
      <c r="E505" s="8">
        <v>45729</v>
      </c>
      <c r="F505" s="1" t="s">
        <v>12</v>
      </c>
      <c r="G505" s="1" t="s">
        <v>4</v>
      </c>
      <c r="H505" s="8"/>
      <c r="J505" t="b">
        <v>1</v>
      </c>
      <c r="K505" t="s">
        <v>1065</v>
      </c>
      <c r="L505" s="13" t="str">
        <f>HYPERLINK("https://uk1.aconex.co.uk/hub/index.html?mainTarget=%2FSearchControlledDoc%3FSEARCH_ACTION%3D15%26tab%3D0%26searchMode%3D1%26searchQuery%3Ddocno:%22"&amp;RawData[[#This Row],[Document Number]]&amp;"%22%20%2Bcversion%253A1",RawData[[#This Row],[Document Number]])</f>
        <v>FS1018-HBC-XX-XX-L-X-0019</v>
      </c>
    </row>
    <row r="506" spans="1:12" x14ac:dyDescent="0.3">
      <c r="A506" t="s">
        <v>1066</v>
      </c>
      <c r="B506" t="s">
        <v>1067</v>
      </c>
      <c r="C506" t="s">
        <v>13</v>
      </c>
      <c r="D506" t="s">
        <v>20</v>
      </c>
      <c r="E506" s="8">
        <v>45729</v>
      </c>
      <c r="F506" s="1" t="s">
        <v>12</v>
      </c>
      <c r="G506" s="1" t="s">
        <v>4</v>
      </c>
      <c r="H506" s="8"/>
      <c r="J506" t="b">
        <v>1</v>
      </c>
      <c r="K506" t="s">
        <v>1068</v>
      </c>
      <c r="L506" s="13" t="str">
        <f>HYPERLINK("https://uk1.aconex.co.uk/hub/index.html?mainTarget=%2FSearchControlledDoc%3FSEARCH_ACTION%3D15%26tab%3D0%26searchMode%3D1%26searchQuery%3Ddocno:%22"&amp;RawData[[#This Row],[Document Number]]&amp;"%22%20%2Bcversion%253A1",RawData[[#This Row],[Document Number]])</f>
        <v>FS1018-HBC-XX-XX-L-X-0020</v>
      </c>
    </row>
    <row r="507" spans="1:12" x14ac:dyDescent="0.3">
      <c r="A507" t="s">
        <v>1069</v>
      </c>
      <c r="B507" t="s">
        <v>1070</v>
      </c>
      <c r="C507" t="s">
        <v>10</v>
      </c>
      <c r="D507" t="s">
        <v>19</v>
      </c>
      <c r="E507" s="8">
        <v>45729</v>
      </c>
      <c r="F507" s="1" t="s">
        <v>12</v>
      </c>
      <c r="G507" s="1" t="s">
        <v>24</v>
      </c>
      <c r="H507" s="8">
        <v>45748</v>
      </c>
      <c r="J507" t="b">
        <v>1</v>
      </c>
      <c r="K507" t="s">
        <v>1071</v>
      </c>
      <c r="L507" s="13" t="str">
        <f>HYPERLINK("https://uk1.aconex.co.uk/hub/index.html?mainTarget=%2FSearchControlledDoc%3FSEARCH_ACTION%3D15%26tab%3D0%26searchMode%3D1%26searchQuery%3Ddocno:%22"&amp;RawData[[#This Row],[Document Number]]&amp;"%22%20%2Bcversion%253A1",RawData[[#This Row],[Document Number]])</f>
        <v>FS1018-HBC-XX-XX-L-X-1001</v>
      </c>
    </row>
    <row r="508" spans="1:12" ht="28.8" x14ac:dyDescent="0.3">
      <c r="A508" t="s">
        <v>1072</v>
      </c>
      <c r="B508" t="s">
        <v>1073</v>
      </c>
      <c r="C508" t="s">
        <v>11</v>
      </c>
      <c r="D508" t="s">
        <v>20</v>
      </c>
      <c r="E508" s="8">
        <v>45729</v>
      </c>
      <c r="F508" s="1" t="s">
        <v>12</v>
      </c>
      <c r="G508" s="1" t="s">
        <v>21</v>
      </c>
      <c r="H508" s="8">
        <v>45748</v>
      </c>
      <c r="I508" s="1" t="s">
        <v>1833</v>
      </c>
      <c r="J508" t="b">
        <v>1</v>
      </c>
      <c r="K508" t="s">
        <v>1074</v>
      </c>
      <c r="L508" s="13" t="str">
        <f>HYPERLINK("https://uk1.aconex.co.uk/hub/index.html?mainTarget=%2FSearchControlledDoc%3FSEARCH_ACTION%3D15%26tab%3D0%26searchMode%3D1%26searchQuery%3Ddocno:%22"&amp;RawData[[#This Row],[Document Number]]&amp;"%22%20%2Bcversion%253A1",RawData[[#This Row],[Document Number]])</f>
        <v>FS1018-HBC-XX-XX-L-X-1002</v>
      </c>
    </row>
    <row r="509" spans="1:12" ht="28.8" x14ac:dyDescent="0.3">
      <c r="A509" t="s">
        <v>1072</v>
      </c>
      <c r="B509" t="s">
        <v>1073</v>
      </c>
      <c r="C509" t="s">
        <v>11</v>
      </c>
      <c r="D509" t="s">
        <v>20</v>
      </c>
      <c r="E509" s="8">
        <v>45748</v>
      </c>
      <c r="F509" s="1" t="s">
        <v>22</v>
      </c>
      <c r="G509" s="1" t="s">
        <v>4</v>
      </c>
      <c r="H509" s="8"/>
      <c r="J509" t="b">
        <v>1</v>
      </c>
      <c r="K509" t="s">
        <v>1074</v>
      </c>
      <c r="L509" s="13" t="str">
        <f>HYPERLINK("https://uk1.aconex.co.uk/hub/index.html?mainTarget=%2FSearchControlledDoc%3FSEARCH_ACTION%3D15%26tab%3D0%26searchMode%3D1%26searchQuery%3Ddocno:%22"&amp;RawData[[#This Row],[Document Number]]&amp;"%22%20%2Bcversion%253A1",RawData[[#This Row],[Document Number]])</f>
        <v>FS1018-HBC-XX-XX-L-X-1002</v>
      </c>
    </row>
    <row r="510" spans="1:12" x14ac:dyDescent="0.3">
      <c r="A510" t="s">
        <v>1075</v>
      </c>
      <c r="B510" t="s">
        <v>1076</v>
      </c>
      <c r="C510" t="s">
        <v>13</v>
      </c>
      <c r="D510" t="s">
        <v>20</v>
      </c>
      <c r="E510" s="8">
        <v>45742</v>
      </c>
      <c r="F510" s="1" t="s">
        <v>12</v>
      </c>
      <c r="G510" s="1" t="s">
        <v>4</v>
      </c>
      <c r="H510" s="8"/>
      <c r="J510" t="b">
        <v>1</v>
      </c>
      <c r="K510" t="s">
        <v>1077</v>
      </c>
      <c r="L510" s="13" t="str">
        <f>HYPERLINK("https://uk1.aconex.co.uk/hub/index.html?mainTarget=%2FSearchControlledDoc%3FSEARCH_ACTION%3D15%26tab%3D0%26searchMode%3D1%26searchQuery%3Ddocno:%22"&amp;RawData[[#This Row],[Document Number]]&amp;"%22%20%2Bcversion%253A1",RawData[[#This Row],[Document Number]])</f>
        <v>FS1018-HBC-XX-XX-L-X-1003</v>
      </c>
    </row>
    <row r="511" spans="1:12" x14ac:dyDescent="0.3">
      <c r="A511" t="s">
        <v>1078</v>
      </c>
      <c r="B511" t="s">
        <v>1079</v>
      </c>
      <c r="C511" t="s">
        <v>10</v>
      </c>
      <c r="D511" t="s">
        <v>20</v>
      </c>
      <c r="E511" s="8">
        <v>45729</v>
      </c>
      <c r="F511" s="1" t="s">
        <v>12</v>
      </c>
      <c r="G511" s="1" t="s">
        <v>4</v>
      </c>
      <c r="H511" s="8"/>
      <c r="J511" t="b">
        <v>1</v>
      </c>
      <c r="K511" t="s">
        <v>1080</v>
      </c>
      <c r="L511" s="13" t="str">
        <f>HYPERLINK("https://uk1.aconex.co.uk/hub/index.html?mainTarget=%2FSearchControlledDoc%3FSEARCH_ACTION%3D15%26tab%3D0%26searchMode%3D1%26searchQuery%3Ddocno:%22"&amp;RawData[[#This Row],[Document Number]]&amp;"%22%20%2Bcversion%253A1",RawData[[#This Row],[Document Number]])</f>
        <v>FS1018-HBC-XX-XX-L-X-1004</v>
      </c>
    </row>
    <row r="512" spans="1:12" x14ac:dyDescent="0.3">
      <c r="A512" t="s">
        <v>1081</v>
      </c>
      <c r="B512" t="s">
        <v>1082</v>
      </c>
      <c r="C512" t="s">
        <v>835</v>
      </c>
      <c r="D512" t="s">
        <v>20</v>
      </c>
      <c r="E512" s="8">
        <v>45764</v>
      </c>
      <c r="F512" s="1" t="s">
        <v>12</v>
      </c>
      <c r="G512" s="1" t="s">
        <v>4</v>
      </c>
      <c r="H512" s="8"/>
      <c r="J512" t="b">
        <v>1</v>
      </c>
      <c r="K512" t="s">
        <v>1083</v>
      </c>
      <c r="L512" s="13" t="str">
        <f>HYPERLINK("https://uk1.aconex.co.uk/hub/index.html?mainTarget=%2FSearchControlledDoc%3FSEARCH_ACTION%3D15%26tab%3D0%26searchMode%3D1%26searchQuery%3Ddocno:%22"&amp;RawData[[#This Row],[Document Number]]&amp;"%22%20%2Bcversion%253A1",RawData[[#This Row],[Document Number]])</f>
        <v>FS1018-HBC-XX-XX-L-X-3000</v>
      </c>
    </row>
    <row r="513" spans="1:12" x14ac:dyDescent="0.3">
      <c r="A513" t="s">
        <v>1084</v>
      </c>
      <c r="B513" t="s">
        <v>1085</v>
      </c>
      <c r="C513" t="s">
        <v>13</v>
      </c>
      <c r="D513" t="s">
        <v>20</v>
      </c>
      <c r="E513" s="8">
        <v>45742</v>
      </c>
      <c r="F513" s="1" t="s">
        <v>12</v>
      </c>
      <c r="G513" s="1" t="s">
        <v>4</v>
      </c>
      <c r="H513" s="8"/>
      <c r="J513" t="b">
        <v>1</v>
      </c>
      <c r="K513" t="s">
        <v>1086</v>
      </c>
      <c r="L513" s="13" t="str">
        <f>HYPERLINK("https://uk1.aconex.co.uk/hub/index.html?mainTarget=%2FSearchControlledDoc%3FSEARCH_ACTION%3D15%26tab%3D0%26searchMode%3D1%26searchQuery%3Ddocno:%22"&amp;RawData[[#This Row],[Document Number]]&amp;"%22%20%2Bcversion%253A1",RawData[[#This Row],[Document Number]])</f>
        <v>FS1018-HBC-XX-XX-L-X-4000</v>
      </c>
    </row>
    <row r="514" spans="1:12" x14ac:dyDescent="0.3">
      <c r="A514" t="s">
        <v>1087</v>
      </c>
      <c r="B514" t="s">
        <v>1088</v>
      </c>
      <c r="C514" t="s">
        <v>11</v>
      </c>
      <c r="D514" t="s">
        <v>20</v>
      </c>
      <c r="E514" s="8">
        <v>45729</v>
      </c>
      <c r="F514" s="1" t="s">
        <v>12</v>
      </c>
      <c r="G514" s="1" t="s">
        <v>4</v>
      </c>
      <c r="H514" s="8"/>
      <c r="J514" t="b">
        <v>1</v>
      </c>
      <c r="K514" t="s">
        <v>1089</v>
      </c>
      <c r="L514" s="13" t="str">
        <f>HYPERLINK("https://uk1.aconex.co.uk/hub/index.html?mainTarget=%2FSearchControlledDoc%3FSEARCH_ACTION%3D15%26tab%3D0%26searchMode%3D1%26searchQuery%3Ddocno:%22"&amp;RawData[[#This Row],[Document Number]]&amp;"%22%20%2Bcversion%253A1",RawData[[#This Row],[Document Number]])</f>
        <v>FS1018-HBC-XX-XX-T-X-0001</v>
      </c>
    </row>
    <row r="515" spans="1:12" x14ac:dyDescent="0.3">
      <c r="A515" t="s">
        <v>2014</v>
      </c>
      <c r="B515" t="s">
        <v>2015</v>
      </c>
      <c r="C515" t="s">
        <v>13</v>
      </c>
      <c r="D515" t="s">
        <v>20</v>
      </c>
      <c r="E515" s="8">
        <v>45757</v>
      </c>
      <c r="F515" s="1" t="s">
        <v>12</v>
      </c>
      <c r="G515" s="1" t="s">
        <v>4</v>
      </c>
      <c r="H515" s="8"/>
      <c r="J515" t="b">
        <v>1</v>
      </c>
      <c r="K515" t="s">
        <v>2016</v>
      </c>
      <c r="L515" s="13" t="str">
        <f>HYPERLINK("https://uk1.aconex.co.uk/hub/index.html?mainTarget=%2FSearchControlledDoc%3FSEARCH_ACTION%3D15%26tab%3D0%26searchMode%3D1%26searchQuery%3Ddocno:%22"&amp;RawData[[#This Row],[Document Number]]&amp;"%22%20%2Bcversion%253A1",RawData[[#This Row],[Document Number]])</f>
        <v>FS1018-HBC-XX-XX-T-X-0012</v>
      </c>
    </row>
    <row r="516" spans="1:12" x14ac:dyDescent="0.3">
      <c r="A516" t="s">
        <v>1090</v>
      </c>
      <c r="B516" t="s">
        <v>1091</v>
      </c>
      <c r="C516" t="s">
        <v>13</v>
      </c>
      <c r="D516" t="s">
        <v>19</v>
      </c>
      <c r="E516" s="8">
        <v>45729</v>
      </c>
      <c r="F516" s="1" t="s">
        <v>12</v>
      </c>
      <c r="G516" s="1" t="s">
        <v>24</v>
      </c>
      <c r="H516" s="8">
        <v>45748</v>
      </c>
      <c r="I516" s="1" t="s">
        <v>1785</v>
      </c>
      <c r="J516" t="b">
        <v>1</v>
      </c>
      <c r="K516" t="s">
        <v>1092</v>
      </c>
      <c r="L516" s="13" t="str">
        <f>HYPERLINK("https://uk1.aconex.co.uk/hub/index.html?mainTarget=%2FSearchControlledDoc%3FSEARCH_ACTION%3D15%26tab%3D0%26searchMode%3D1%26searchQuery%3Ddocno:%22"&amp;RawData[[#This Row],[Document Number]]&amp;"%22%20%2Bcversion%253A1",RawData[[#This Row],[Document Number]])</f>
        <v>FS1018-HBC-XX-XX-T-X-0024</v>
      </c>
    </row>
    <row r="517" spans="1:12" x14ac:dyDescent="0.3">
      <c r="A517" t="s">
        <v>1093</v>
      </c>
      <c r="B517" t="s">
        <v>1094</v>
      </c>
      <c r="C517" t="s">
        <v>13</v>
      </c>
      <c r="D517" t="s">
        <v>19</v>
      </c>
      <c r="E517" s="8">
        <v>45729</v>
      </c>
      <c r="F517" s="1" t="s">
        <v>12</v>
      </c>
      <c r="G517" s="1" t="s">
        <v>24</v>
      </c>
      <c r="H517" s="8">
        <v>45748</v>
      </c>
      <c r="I517" s="1" t="s">
        <v>1785</v>
      </c>
      <c r="J517" t="b">
        <v>1</v>
      </c>
      <c r="K517" t="s">
        <v>1095</v>
      </c>
      <c r="L517" s="13" t="str">
        <f>HYPERLINK("https://uk1.aconex.co.uk/hub/index.html?mainTarget=%2FSearchControlledDoc%3FSEARCH_ACTION%3D15%26tab%3D0%26searchMode%3D1%26searchQuery%3Ddocno:%22"&amp;RawData[[#This Row],[Document Number]]&amp;"%22%20%2Bcversion%253A1",RawData[[#This Row],[Document Number]])</f>
        <v>FS1018-HBC-XX-XX-T-X-0025</v>
      </c>
    </row>
    <row r="518" spans="1:12" x14ac:dyDescent="0.3">
      <c r="A518" t="s">
        <v>1096</v>
      </c>
      <c r="B518" t="s">
        <v>1097</v>
      </c>
      <c r="C518" t="s">
        <v>13</v>
      </c>
      <c r="D518" t="s">
        <v>19</v>
      </c>
      <c r="E518" s="8">
        <v>45729</v>
      </c>
      <c r="F518" s="1" t="s">
        <v>12</v>
      </c>
      <c r="G518" s="1" t="s">
        <v>24</v>
      </c>
      <c r="H518" s="8">
        <v>45748</v>
      </c>
      <c r="I518" s="1" t="s">
        <v>1785</v>
      </c>
      <c r="J518" t="b">
        <v>1</v>
      </c>
      <c r="K518" t="s">
        <v>1098</v>
      </c>
      <c r="L518" s="13" t="str">
        <f>HYPERLINK("https://uk1.aconex.co.uk/hub/index.html?mainTarget=%2FSearchControlledDoc%3FSEARCH_ACTION%3D15%26tab%3D0%26searchMode%3D1%26searchQuery%3Ddocno:%22"&amp;RawData[[#This Row],[Document Number]]&amp;"%22%20%2Bcversion%253A1",RawData[[#This Row],[Document Number]])</f>
        <v>FS1018-HBC-XX-XX-T-X-0026</v>
      </c>
    </row>
    <row r="519" spans="1:12" x14ac:dyDescent="0.3">
      <c r="A519" t="s">
        <v>1099</v>
      </c>
      <c r="B519" t="s">
        <v>1100</v>
      </c>
      <c r="C519" t="s">
        <v>13</v>
      </c>
      <c r="D519" t="s">
        <v>19</v>
      </c>
      <c r="E519" s="8">
        <v>45729</v>
      </c>
      <c r="F519" s="1" t="s">
        <v>12</v>
      </c>
      <c r="G519" s="1" t="s">
        <v>24</v>
      </c>
      <c r="H519" s="8">
        <v>45748</v>
      </c>
      <c r="I519" s="1" t="s">
        <v>1785</v>
      </c>
      <c r="J519" t="b">
        <v>1</v>
      </c>
      <c r="K519" t="s">
        <v>1101</v>
      </c>
      <c r="L519" s="13" t="str">
        <f>HYPERLINK("https://uk1.aconex.co.uk/hub/index.html?mainTarget=%2FSearchControlledDoc%3FSEARCH_ACTION%3D15%26tab%3D0%26searchMode%3D1%26searchQuery%3Ddocno:%22"&amp;RawData[[#This Row],[Document Number]]&amp;"%22%20%2Bcversion%253A1",RawData[[#This Row],[Document Number]])</f>
        <v>FS1018-HBC-XX-XX-T-X-0027</v>
      </c>
    </row>
    <row r="520" spans="1:12" x14ac:dyDescent="0.3">
      <c r="A520" t="s">
        <v>1102</v>
      </c>
      <c r="B520" t="s">
        <v>1103</v>
      </c>
      <c r="C520" t="s">
        <v>13</v>
      </c>
      <c r="D520" t="s">
        <v>19</v>
      </c>
      <c r="E520" s="8">
        <v>45729</v>
      </c>
      <c r="F520" s="1" t="s">
        <v>12</v>
      </c>
      <c r="G520" s="1" t="s">
        <v>24</v>
      </c>
      <c r="H520" s="8">
        <v>45748</v>
      </c>
      <c r="I520" s="1" t="s">
        <v>1785</v>
      </c>
      <c r="J520" t="b">
        <v>1</v>
      </c>
      <c r="K520" t="s">
        <v>1104</v>
      </c>
      <c r="L520" s="13" t="str">
        <f>HYPERLINK("https://uk1.aconex.co.uk/hub/index.html?mainTarget=%2FSearchControlledDoc%3FSEARCH_ACTION%3D15%26tab%3D0%26searchMode%3D1%26searchQuery%3Ddocno:%22"&amp;RawData[[#This Row],[Document Number]]&amp;"%22%20%2Bcversion%253A1",RawData[[#This Row],[Document Number]])</f>
        <v>FS1018-HBC-XX-XX-T-X-0028</v>
      </c>
    </row>
    <row r="521" spans="1:12" x14ac:dyDescent="0.3">
      <c r="A521" t="s">
        <v>1105</v>
      </c>
      <c r="B521" t="s">
        <v>1106</v>
      </c>
      <c r="C521" t="s">
        <v>13</v>
      </c>
      <c r="D521" t="s">
        <v>19</v>
      </c>
      <c r="E521" s="8">
        <v>45729</v>
      </c>
      <c r="F521" s="1" t="s">
        <v>12</v>
      </c>
      <c r="G521" s="1" t="s">
        <v>24</v>
      </c>
      <c r="H521" s="8">
        <v>45748</v>
      </c>
      <c r="I521" s="1" t="s">
        <v>1785</v>
      </c>
      <c r="J521" t="b">
        <v>1</v>
      </c>
      <c r="K521" t="s">
        <v>1107</v>
      </c>
      <c r="L521" s="13" t="str">
        <f>HYPERLINK("https://uk1.aconex.co.uk/hub/index.html?mainTarget=%2FSearchControlledDoc%3FSEARCH_ACTION%3D15%26tab%3D0%26searchMode%3D1%26searchQuery%3Ddocno:%22"&amp;RawData[[#This Row],[Document Number]]&amp;"%22%20%2Bcversion%253A1",RawData[[#This Row],[Document Number]])</f>
        <v>FS1018-HBC-XX-XX-T-X-0029</v>
      </c>
    </row>
    <row r="522" spans="1:12" x14ac:dyDescent="0.3">
      <c r="A522" t="s">
        <v>1108</v>
      </c>
      <c r="B522" t="s">
        <v>1109</v>
      </c>
      <c r="C522" t="s">
        <v>13</v>
      </c>
      <c r="D522" t="s">
        <v>19</v>
      </c>
      <c r="E522" s="8">
        <v>45729</v>
      </c>
      <c r="F522" s="1" t="s">
        <v>12</v>
      </c>
      <c r="G522" s="1" t="s">
        <v>24</v>
      </c>
      <c r="H522" s="8">
        <v>45748</v>
      </c>
      <c r="I522" s="1" t="s">
        <v>1785</v>
      </c>
      <c r="J522" t="b">
        <v>1</v>
      </c>
      <c r="K522" t="s">
        <v>1110</v>
      </c>
      <c r="L522" s="13" t="str">
        <f>HYPERLINK("https://uk1.aconex.co.uk/hub/index.html?mainTarget=%2FSearchControlledDoc%3FSEARCH_ACTION%3D15%26tab%3D0%26searchMode%3D1%26searchQuery%3Ddocno:%22"&amp;RawData[[#This Row],[Document Number]]&amp;"%22%20%2Bcversion%253A1",RawData[[#This Row],[Document Number]])</f>
        <v>FS1018-HBC-XX-XX-T-X-0030</v>
      </c>
    </row>
    <row r="523" spans="1:12" x14ac:dyDescent="0.3">
      <c r="A523" t="s">
        <v>1111</v>
      </c>
      <c r="B523" t="s">
        <v>1112</v>
      </c>
      <c r="C523" t="s">
        <v>13</v>
      </c>
      <c r="D523" t="s">
        <v>19</v>
      </c>
      <c r="E523" s="8">
        <v>45729</v>
      </c>
      <c r="F523" s="1" t="s">
        <v>12</v>
      </c>
      <c r="G523" s="1" t="s">
        <v>24</v>
      </c>
      <c r="H523" s="8">
        <v>45748</v>
      </c>
      <c r="I523" s="1" t="s">
        <v>1785</v>
      </c>
      <c r="J523" t="b">
        <v>1</v>
      </c>
      <c r="K523" t="s">
        <v>1113</v>
      </c>
      <c r="L523" s="13" t="str">
        <f>HYPERLINK("https://uk1.aconex.co.uk/hub/index.html?mainTarget=%2FSearchControlledDoc%3FSEARCH_ACTION%3D15%26tab%3D0%26searchMode%3D1%26searchQuery%3Ddocno:%22"&amp;RawData[[#This Row],[Document Number]]&amp;"%22%20%2Bcversion%253A1",RawData[[#This Row],[Document Number]])</f>
        <v>FS1018-HBC-XX-XX-T-X-0031</v>
      </c>
    </row>
    <row r="524" spans="1:12" x14ac:dyDescent="0.3">
      <c r="A524" t="s">
        <v>1114</v>
      </c>
      <c r="B524" t="s">
        <v>1115</v>
      </c>
      <c r="C524" t="s">
        <v>13</v>
      </c>
      <c r="D524" t="s">
        <v>19</v>
      </c>
      <c r="E524" s="8">
        <v>45729</v>
      </c>
      <c r="F524" s="1" t="s">
        <v>12</v>
      </c>
      <c r="G524" s="1" t="s">
        <v>24</v>
      </c>
      <c r="H524" s="8">
        <v>45748</v>
      </c>
      <c r="I524" s="1" t="s">
        <v>1785</v>
      </c>
      <c r="J524" t="b">
        <v>1</v>
      </c>
      <c r="K524" t="s">
        <v>1116</v>
      </c>
      <c r="L524" s="13" t="str">
        <f>HYPERLINK("https://uk1.aconex.co.uk/hub/index.html?mainTarget=%2FSearchControlledDoc%3FSEARCH_ACTION%3D15%26tab%3D0%26searchMode%3D1%26searchQuery%3Ddocno:%22"&amp;RawData[[#This Row],[Document Number]]&amp;"%22%20%2Bcversion%253A1",RawData[[#This Row],[Document Number]])</f>
        <v>FS1018-HBC-XX-XX-T-X-0033</v>
      </c>
    </row>
    <row r="525" spans="1:12" x14ac:dyDescent="0.3">
      <c r="A525" t="s">
        <v>1117</v>
      </c>
      <c r="B525" t="s">
        <v>1118</v>
      </c>
      <c r="C525" t="s">
        <v>13</v>
      </c>
      <c r="D525" t="s">
        <v>19</v>
      </c>
      <c r="E525" s="8">
        <v>45729</v>
      </c>
      <c r="F525" s="1" t="s">
        <v>12</v>
      </c>
      <c r="G525" s="1" t="s">
        <v>24</v>
      </c>
      <c r="H525" s="8">
        <v>45748</v>
      </c>
      <c r="I525" s="1" t="s">
        <v>1785</v>
      </c>
      <c r="J525" t="b">
        <v>1</v>
      </c>
      <c r="K525" t="s">
        <v>1119</v>
      </c>
      <c r="L525" s="13" t="str">
        <f>HYPERLINK("https://uk1.aconex.co.uk/hub/index.html?mainTarget=%2FSearchControlledDoc%3FSEARCH_ACTION%3D15%26tab%3D0%26searchMode%3D1%26searchQuery%3Ddocno:%22"&amp;RawData[[#This Row],[Document Number]]&amp;"%22%20%2Bcversion%253A1",RawData[[#This Row],[Document Number]])</f>
        <v>FS1018-HBC-XX-XX-T-X-0034</v>
      </c>
    </row>
    <row r="526" spans="1:12" x14ac:dyDescent="0.3">
      <c r="A526" t="s">
        <v>1120</v>
      </c>
      <c r="B526" t="s">
        <v>1121</v>
      </c>
      <c r="C526" t="s">
        <v>13</v>
      </c>
      <c r="D526" t="s">
        <v>19</v>
      </c>
      <c r="E526" s="8">
        <v>45729</v>
      </c>
      <c r="F526" s="1" t="s">
        <v>12</v>
      </c>
      <c r="G526" s="1" t="s">
        <v>24</v>
      </c>
      <c r="H526" s="8">
        <v>45748</v>
      </c>
      <c r="I526" s="1" t="s">
        <v>1785</v>
      </c>
      <c r="J526" t="b">
        <v>1</v>
      </c>
      <c r="K526" t="s">
        <v>1122</v>
      </c>
      <c r="L526" s="13" t="str">
        <f>HYPERLINK("https://uk1.aconex.co.uk/hub/index.html?mainTarget=%2FSearchControlledDoc%3FSEARCH_ACTION%3D15%26tab%3D0%26searchMode%3D1%26searchQuery%3Ddocno:%22"&amp;RawData[[#This Row],[Document Number]]&amp;"%22%20%2Bcversion%253A1",RawData[[#This Row],[Document Number]])</f>
        <v>FS1018-HBC-XX-XX-T-X-0035</v>
      </c>
    </row>
    <row r="527" spans="1:12" x14ac:dyDescent="0.3">
      <c r="A527" t="s">
        <v>1123</v>
      </c>
      <c r="B527" t="s">
        <v>1124</v>
      </c>
      <c r="C527" t="s">
        <v>13</v>
      </c>
      <c r="D527" t="s">
        <v>19</v>
      </c>
      <c r="E527" s="8">
        <v>45729</v>
      </c>
      <c r="F527" s="1" t="s">
        <v>12</v>
      </c>
      <c r="G527" s="1" t="s">
        <v>24</v>
      </c>
      <c r="H527" s="8">
        <v>45748</v>
      </c>
      <c r="I527" s="1" t="s">
        <v>1785</v>
      </c>
      <c r="J527" t="b">
        <v>1</v>
      </c>
      <c r="K527" t="s">
        <v>1125</v>
      </c>
      <c r="L527" s="13" t="str">
        <f>HYPERLINK("https://uk1.aconex.co.uk/hub/index.html?mainTarget=%2FSearchControlledDoc%3FSEARCH_ACTION%3D15%26tab%3D0%26searchMode%3D1%26searchQuery%3Ddocno:%22"&amp;RawData[[#This Row],[Document Number]]&amp;"%22%20%2Bcversion%253A1",RawData[[#This Row],[Document Number]])</f>
        <v>FS1018-HBC-XX-XX-T-X-0036</v>
      </c>
    </row>
    <row r="528" spans="1:12" x14ac:dyDescent="0.3">
      <c r="A528" t="s">
        <v>1126</v>
      </c>
      <c r="B528" t="s">
        <v>1127</v>
      </c>
      <c r="C528" t="s">
        <v>13</v>
      </c>
      <c r="D528" t="s">
        <v>19</v>
      </c>
      <c r="E528" s="8">
        <v>45729</v>
      </c>
      <c r="F528" s="1" t="s">
        <v>12</v>
      </c>
      <c r="G528" s="1" t="s">
        <v>24</v>
      </c>
      <c r="H528" s="8">
        <v>45748</v>
      </c>
      <c r="I528" s="1" t="s">
        <v>1785</v>
      </c>
      <c r="J528" t="b">
        <v>1</v>
      </c>
      <c r="K528" t="s">
        <v>1128</v>
      </c>
      <c r="L528" s="13" t="str">
        <f>HYPERLINK("https://uk1.aconex.co.uk/hub/index.html?mainTarget=%2FSearchControlledDoc%3FSEARCH_ACTION%3D15%26tab%3D0%26searchMode%3D1%26searchQuery%3Ddocno:%22"&amp;RawData[[#This Row],[Document Number]]&amp;"%22%20%2Bcversion%253A1",RawData[[#This Row],[Document Number]])</f>
        <v>FS1018-HBC-XX-XX-T-X-0037</v>
      </c>
    </row>
    <row r="529" spans="1:12" x14ac:dyDescent="0.3">
      <c r="A529" t="s">
        <v>1129</v>
      </c>
      <c r="B529" t="s">
        <v>1130</v>
      </c>
      <c r="C529" t="s">
        <v>13</v>
      </c>
      <c r="D529" t="s">
        <v>19</v>
      </c>
      <c r="E529" s="8">
        <v>45729</v>
      </c>
      <c r="F529" s="1" t="s">
        <v>12</v>
      </c>
      <c r="G529" s="1" t="s">
        <v>24</v>
      </c>
      <c r="H529" s="8">
        <v>45748</v>
      </c>
      <c r="I529" s="1" t="s">
        <v>1785</v>
      </c>
      <c r="J529" t="b">
        <v>1</v>
      </c>
      <c r="K529" t="s">
        <v>1131</v>
      </c>
      <c r="L529" s="13" t="str">
        <f>HYPERLINK("https://uk1.aconex.co.uk/hub/index.html?mainTarget=%2FSearchControlledDoc%3FSEARCH_ACTION%3D15%26tab%3D0%26searchMode%3D1%26searchQuery%3Ddocno:%22"&amp;RawData[[#This Row],[Document Number]]&amp;"%22%20%2Bcversion%253A1",RawData[[#This Row],[Document Number]])</f>
        <v>FS1018-HBC-XX-XX-T-X-0038</v>
      </c>
    </row>
    <row r="530" spans="1:12" x14ac:dyDescent="0.3">
      <c r="A530" t="s">
        <v>1132</v>
      </c>
      <c r="B530" t="s">
        <v>1133</v>
      </c>
      <c r="C530" t="s">
        <v>13</v>
      </c>
      <c r="D530" t="s">
        <v>19</v>
      </c>
      <c r="E530" s="8">
        <v>45729</v>
      </c>
      <c r="F530" s="1" t="s">
        <v>12</v>
      </c>
      <c r="G530" s="1" t="s">
        <v>24</v>
      </c>
      <c r="H530" s="8">
        <v>45748</v>
      </c>
      <c r="I530" s="1" t="s">
        <v>1785</v>
      </c>
      <c r="J530" t="b">
        <v>1</v>
      </c>
      <c r="K530" t="s">
        <v>1134</v>
      </c>
      <c r="L530" s="13" t="str">
        <f>HYPERLINK("https://uk1.aconex.co.uk/hub/index.html?mainTarget=%2FSearchControlledDoc%3FSEARCH_ACTION%3D15%26tab%3D0%26searchMode%3D1%26searchQuery%3Ddocno:%22"&amp;RawData[[#This Row],[Document Number]]&amp;"%22%20%2Bcversion%253A1",RawData[[#This Row],[Document Number]])</f>
        <v>FS1018-HBC-XX-XX-T-X-0039</v>
      </c>
    </row>
    <row r="531" spans="1:12" x14ac:dyDescent="0.3">
      <c r="A531" t="s">
        <v>1135</v>
      </c>
      <c r="B531" t="s">
        <v>1136</v>
      </c>
      <c r="C531" t="s">
        <v>13</v>
      </c>
      <c r="D531" t="s">
        <v>19</v>
      </c>
      <c r="E531" s="8">
        <v>45729</v>
      </c>
      <c r="F531" s="1" t="s">
        <v>12</v>
      </c>
      <c r="G531" s="1" t="s">
        <v>24</v>
      </c>
      <c r="H531" s="8">
        <v>45748</v>
      </c>
      <c r="I531" s="1" t="s">
        <v>1785</v>
      </c>
      <c r="J531" t="b">
        <v>1</v>
      </c>
      <c r="K531" t="s">
        <v>1137</v>
      </c>
      <c r="L531" s="13" t="str">
        <f>HYPERLINK("https://uk1.aconex.co.uk/hub/index.html?mainTarget=%2FSearchControlledDoc%3FSEARCH_ACTION%3D15%26tab%3D0%26searchMode%3D1%26searchQuery%3Ddocno:%22"&amp;RawData[[#This Row],[Document Number]]&amp;"%22%20%2Bcversion%253A1",RawData[[#This Row],[Document Number]])</f>
        <v>FS1018-HBC-XX-XX-T-X-0040</v>
      </c>
    </row>
    <row r="532" spans="1:12" x14ac:dyDescent="0.3">
      <c r="A532" t="s">
        <v>1138</v>
      </c>
      <c r="B532" t="s">
        <v>1139</v>
      </c>
      <c r="C532" t="s">
        <v>13</v>
      </c>
      <c r="D532" t="s">
        <v>20</v>
      </c>
      <c r="E532" s="8">
        <v>45742</v>
      </c>
      <c r="F532" s="1" t="s">
        <v>12</v>
      </c>
      <c r="G532" s="1" t="s">
        <v>4</v>
      </c>
      <c r="H532" s="8"/>
      <c r="J532" t="b">
        <v>1</v>
      </c>
      <c r="K532" t="s">
        <v>1140</v>
      </c>
      <c r="L532" s="13" t="str">
        <f>HYPERLINK("https://uk1.aconex.co.uk/hub/index.html?mainTarget=%2FSearchControlledDoc%3FSEARCH_ACTION%3D15%26tab%3D0%26searchMode%3D1%26searchQuery%3Ddocno:%22"&amp;RawData[[#This Row],[Document Number]]&amp;"%22%20%2Bcversion%253A1",RawData[[#This Row],[Document Number]])</f>
        <v>FS1018-HBC-XX-XX-T-X-0042</v>
      </c>
    </row>
    <row r="533" spans="1:12" x14ac:dyDescent="0.3">
      <c r="A533" t="s">
        <v>1141</v>
      </c>
      <c r="B533" t="s">
        <v>1142</v>
      </c>
      <c r="C533" t="s">
        <v>13</v>
      </c>
      <c r="D533" t="s">
        <v>20</v>
      </c>
      <c r="E533" s="8">
        <v>45729</v>
      </c>
      <c r="F533" s="1" t="s">
        <v>12</v>
      </c>
      <c r="G533" s="1" t="s">
        <v>4</v>
      </c>
      <c r="H533" s="8"/>
      <c r="J533" t="b">
        <v>1</v>
      </c>
      <c r="K533" t="s">
        <v>1143</v>
      </c>
      <c r="L533" s="13" t="str">
        <f>HYPERLINK("https://uk1.aconex.co.uk/hub/index.html?mainTarget=%2FSearchControlledDoc%3FSEARCH_ACTION%3D15%26tab%3D0%26searchMode%3D1%26searchQuery%3Ddocno:%22"&amp;RawData[[#This Row],[Document Number]]&amp;"%22%20%2Bcversion%253A1",RawData[[#This Row],[Document Number]])</f>
        <v>FS1018-HBC-XX-XX-T-X-0043</v>
      </c>
    </row>
    <row r="534" spans="1:12" x14ac:dyDescent="0.3">
      <c r="A534" t="s">
        <v>1144</v>
      </c>
      <c r="B534" t="s">
        <v>1145</v>
      </c>
      <c r="C534" t="s">
        <v>13</v>
      </c>
      <c r="D534" t="s">
        <v>20</v>
      </c>
      <c r="E534" s="8">
        <v>45729</v>
      </c>
      <c r="F534" s="1" t="s">
        <v>12</v>
      </c>
      <c r="G534" s="1" t="s">
        <v>4</v>
      </c>
      <c r="H534" s="8"/>
      <c r="J534" t="b">
        <v>1</v>
      </c>
      <c r="K534" t="s">
        <v>1146</v>
      </c>
      <c r="L534" s="13" t="str">
        <f>HYPERLINK("https://uk1.aconex.co.uk/hub/index.html?mainTarget=%2FSearchControlledDoc%3FSEARCH_ACTION%3D15%26tab%3D0%26searchMode%3D1%26searchQuery%3Ddocno:%22"&amp;RawData[[#This Row],[Document Number]]&amp;"%22%20%2Bcversion%253A1",RawData[[#This Row],[Document Number]])</f>
        <v>FS1018-HBC-XX-XX-T-X-0044</v>
      </c>
    </row>
    <row r="535" spans="1:12" x14ac:dyDescent="0.3">
      <c r="A535" t="s">
        <v>1147</v>
      </c>
      <c r="B535" t="s">
        <v>1148</v>
      </c>
      <c r="C535" t="s">
        <v>13</v>
      </c>
      <c r="D535" t="s">
        <v>19</v>
      </c>
      <c r="E535" s="8">
        <v>45729</v>
      </c>
      <c r="F535" s="1" t="s">
        <v>12</v>
      </c>
      <c r="G535" s="1" t="s">
        <v>24</v>
      </c>
      <c r="H535" s="8">
        <v>45748</v>
      </c>
      <c r="J535" t="b">
        <v>1</v>
      </c>
      <c r="K535" t="s">
        <v>1149</v>
      </c>
      <c r="L535" s="13" t="str">
        <f>HYPERLINK("https://uk1.aconex.co.uk/hub/index.html?mainTarget=%2FSearchControlledDoc%3FSEARCH_ACTION%3D15%26tab%3D0%26searchMode%3D1%26searchQuery%3Ddocno:%22"&amp;RawData[[#This Row],[Document Number]]&amp;"%22%20%2Bcversion%253A1",RawData[[#This Row],[Document Number]])</f>
        <v>FS1018-HBC-XX-XX-T-X-0045</v>
      </c>
    </row>
    <row r="536" spans="1:12" ht="409.6" x14ac:dyDescent="0.3">
      <c r="A536" t="s">
        <v>1150</v>
      </c>
      <c r="B536" t="s">
        <v>1151</v>
      </c>
      <c r="C536" t="s">
        <v>10</v>
      </c>
      <c r="D536" t="s">
        <v>20</v>
      </c>
      <c r="E536" s="8">
        <v>45729</v>
      </c>
      <c r="F536" s="1" t="s">
        <v>12</v>
      </c>
      <c r="G536" s="1" t="s">
        <v>21</v>
      </c>
      <c r="H536" s="8">
        <v>45741</v>
      </c>
      <c r="I536" s="1" t="s">
        <v>1809</v>
      </c>
      <c r="J536" t="b">
        <v>1</v>
      </c>
      <c r="K536" t="s">
        <v>1152</v>
      </c>
      <c r="L536" s="13" t="str">
        <f>HYPERLINK("https://uk1.aconex.co.uk/hub/index.html?mainTarget=%2FSearchControlledDoc%3FSEARCH_ACTION%3D15%26tab%3D0%26searchMode%3D1%26searchQuery%3Ddocno:%22"&amp;RawData[[#This Row],[Document Number]]&amp;"%22%20%2Bcversion%253A1",RawData[[#This Row],[Document Number]])</f>
        <v>FS1018-HEX-XX-XX-T-C-0004</v>
      </c>
    </row>
    <row r="537" spans="1:12" ht="28.8" x14ac:dyDescent="0.3">
      <c r="A537" t="s">
        <v>1150</v>
      </c>
      <c r="B537" t="s">
        <v>1151</v>
      </c>
      <c r="C537" t="s">
        <v>10</v>
      </c>
      <c r="D537" t="s">
        <v>20</v>
      </c>
      <c r="E537" s="8">
        <v>45741</v>
      </c>
      <c r="F537" s="1" t="s">
        <v>22</v>
      </c>
      <c r="G537" s="1" t="s">
        <v>4</v>
      </c>
      <c r="H537" s="8"/>
      <c r="J537" t="b">
        <v>1</v>
      </c>
      <c r="K537" t="s">
        <v>1152</v>
      </c>
      <c r="L537" s="13" t="str">
        <f>HYPERLINK("https://uk1.aconex.co.uk/hub/index.html?mainTarget=%2FSearchControlledDoc%3FSEARCH_ACTION%3D15%26tab%3D0%26searchMode%3D1%26searchQuery%3Ddocno:%22"&amp;RawData[[#This Row],[Document Number]]&amp;"%22%20%2Bcversion%253A1",RawData[[#This Row],[Document Number]])</f>
        <v>FS1018-HEX-XX-XX-T-C-0004</v>
      </c>
    </row>
    <row r="538" spans="1:12" ht="43.2" x14ac:dyDescent="0.3">
      <c r="A538" t="s">
        <v>1153</v>
      </c>
      <c r="B538" t="s">
        <v>54</v>
      </c>
      <c r="C538" t="s">
        <v>11</v>
      </c>
      <c r="D538" t="s">
        <v>20</v>
      </c>
      <c r="E538" s="8">
        <v>45729</v>
      </c>
      <c r="F538" s="1" t="s">
        <v>12</v>
      </c>
      <c r="G538" s="1" t="s">
        <v>21</v>
      </c>
      <c r="H538" s="8">
        <v>45741</v>
      </c>
      <c r="I538" s="1" t="s">
        <v>1810</v>
      </c>
      <c r="J538" t="b">
        <v>1</v>
      </c>
      <c r="K538" t="s">
        <v>1154</v>
      </c>
      <c r="L538" s="13" t="str">
        <f>HYPERLINK("https://uk1.aconex.co.uk/hub/index.html?mainTarget=%2FSearchControlledDoc%3FSEARCH_ACTION%3D15%26tab%3D0%26searchMode%3D1%26searchQuery%3Ddocno:%22"&amp;RawData[[#This Row],[Document Number]]&amp;"%22%20%2Bcversion%253A1",RawData[[#This Row],[Document Number]])</f>
        <v>FS1018-HEX-XX-XX-T-C-0010</v>
      </c>
    </row>
    <row r="539" spans="1:12" ht="28.8" x14ac:dyDescent="0.3">
      <c r="A539" t="s">
        <v>1153</v>
      </c>
      <c r="B539" t="s">
        <v>54</v>
      </c>
      <c r="C539" t="s">
        <v>11</v>
      </c>
      <c r="D539" t="s">
        <v>20</v>
      </c>
      <c r="E539" s="8">
        <v>45741</v>
      </c>
      <c r="F539" s="1" t="s">
        <v>22</v>
      </c>
      <c r="G539" s="1" t="s">
        <v>4</v>
      </c>
      <c r="H539" s="8"/>
      <c r="J539" t="b">
        <v>1</v>
      </c>
      <c r="K539" t="s">
        <v>1154</v>
      </c>
      <c r="L539" s="13" t="str">
        <f>HYPERLINK("https://uk1.aconex.co.uk/hub/index.html?mainTarget=%2FSearchControlledDoc%3FSEARCH_ACTION%3D15%26tab%3D0%26searchMode%3D1%26searchQuery%3Ddocno:%22"&amp;RawData[[#This Row],[Document Number]]&amp;"%22%20%2Bcversion%253A1",RawData[[#This Row],[Document Number]])</f>
        <v>FS1018-HEX-XX-XX-T-C-0010</v>
      </c>
    </row>
    <row r="540" spans="1:12" ht="100.8" x14ac:dyDescent="0.3">
      <c r="A540" t="s">
        <v>1155</v>
      </c>
      <c r="B540" t="s">
        <v>1156</v>
      </c>
      <c r="C540" t="s">
        <v>13</v>
      </c>
      <c r="D540" t="s">
        <v>20</v>
      </c>
      <c r="E540" s="8">
        <v>45729</v>
      </c>
      <c r="F540" s="1" t="s">
        <v>12</v>
      </c>
      <c r="G540" s="1" t="s">
        <v>21</v>
      </c>
      <c r="H540" s="8">
        <v>45741</v>
      </c>
      <c r="I540" s="1" t="s">
        <v>1811</v>
      </c>
      <c r="J540" t="b">
        <v>1</v>
      </c>
      <c r="K540" t="s">
        <v>1157</v>
      </c>
      <c r="L540" s="13" t="str">
        <f>HYPERLINK("https://uk1.aconex.co.uk/hub/index.html?mainTarget=%2FSearchControlledDoc%3FSEARCH_ACTION%3D15%26tab%3D0%26searchMode%3D1%26searchQuery%3Ddocno:%22"&amp;RawData[[#This Row],[Document Number]]&amp;"%22%20%2Bcversion%253A1",RawData[[#This Row],[Document Number]])</f>
        <v>FS1018-HEX-XX-XX-T-C-0011</v>
      </c>
    </row>
    <row r="541" spans="1:12" ht="28.8" x14ac:dyDescent="0.3">
      <c r="A541" t="s">
        <v>1155</v>
      </c>
      <c r="B541" t="s">
        <v>1156</v>
      </c>
      <c r="C541" t="s">
        <v>13</v>
      </c>
      <c r="D541" t="s">
        <v>20</v>
      </c>
      <c r="E541" s="8">
        <v>45741</v>
      </c>
      <c r="F541" s="1" t="s">
        <v>22</v>
      </c>
      <c r="G541" s="1" t="s">
        <v>4</v>
      </c>
      <c r="H541" s="8"/>
      <c r="J541" t="b">
        <v>1</v>
      </c>
      <c r="K541" t="s">
        <v>1157</v>
      </c>
      <c r="L541" s="13" t="str">
        <f>HYPERLINK("https://uk1.aconex.co.uk/hub/index.html?mainTarget=%2FSearchControlledDoc%3FSEARCH_ACTION%3D15%26tab%3D0%26searchMode%3D1%26searchQuery%3Ddocno:%22"&amp;RawData[[#This Row],[Document Number]]&amp;"%22%20%2Bcversion%253A1",RawData[[#This Row],[Document Number]])</f>
        <v>FS1018-HEX-XX-XX-T-C-0011</v>
      </c>
    </row>
    <row r="542" spans="1:12" x14ac:dyDescent="0.3">
      <c r="A542" t="s">
        <v>1158</v>
      </c>
      <c r="B542" t="s">
        <v>1159</v>
      </c>
      <c r="C542" t="s">
        <v>13</v>
      </c>
      <c r="D542" t="s">
        <v>20</v>
      </c>
      <c r="E542" s="8">
        <v>45729</v>
      </c>
      <c r="F542" s="1" t="s">
        <v>12</v>
      </c>
      <c r="G542" s="1" t="s">
        <v>4</v>
      </c>
      <c r="H542" s="8"/>
      <c r="J542" t="b">
        <v>1</v>
      </c>
      <c r="K542" t="s">
        <v>1160</v>
      </c>
      <c r="L542" s="13" t="str">
        <f>HYPERLINK("https://uk1.aconex.co.uk/hub/index.html?mainTarget=%2FSearchControlledDoc%3FSEARCH_ACTION%3D15%26tab%3D0%26searchMode%3D1%26searchQuery%3Ddocno:%22"&amp;RawData[[#This Row],[Document Number]]&amp;"%22%20%2Bcversion%253A1",RawData[[#This Row],[Document Number]])</f>
        <v>FS1018-HEX-XX-XX-T-C-0012</v>
      </c>
    </row>
    <row r="543" spans="1:12" x14ac:dyDescent="0.3">
      <c r="A543" t="s">
        <v>1161</v>
      </c>
      <c r="B543" t="s">
        <v>1162</v>
      </c>
      <c r="C543" t="s">
        <v>10</v>
      </c>
      <c r="D543" t="s">
        <v>20</v>
      </c>
      <c r="E543" s="8">
        <v>45729</v>
      </c>
      <c r="F543" s="1" t="s">
        <v>12</v>
      </c>
      <c r="G543" s="1" t="s">
        <v>4</v>
      </c>
      <c r="H543" s="8"/>
      <c r="J543" t="b">
        <v>1</v>
      </c>
      <c r="K543" t="s">
        <v>1163</v>
      </c>
      <c r="L543" s="13" t="str">
        <f>HYPERLINK("https://uk1.aconex.co.uk/hub/index.html?mainTarget=%2FSearchControlledDoc%3FSEARCH_ACTION%3D15%26tab%3D0%26searchMode%3D1%26searchQuery%3Ddocno:%22"&amp;RawData[[#This Row],[Document Number]]&amp;"%22%20%2Bcversion%253A1",RawData[[#This Row],[Document Number]])</f>
        <v>FS1018-HEX-XX-XX-T-H-0001</v>
      </c>
    </row>
    <row r="544" spans="1:12" x14ac:dyDescent="0.3">
      <c r="A544" t="s">
        <v>1164</v>
      </c>
      <c r="B544" t="s">
        <v>1165</v>
      </c>
      <c r="C544" t="s">
        <v>10</v>
      </c>
      <c r="D544" t="s">
        <v>20</v>
      </c>
      <c r="E544" s="8">
        <v>45729</v>
      </c>
      <c r="F544" s="1" t="s">
        <v>12</v>
      </c>
      <c r="G544" s="1" t="s">
        <v>21</v>
      </c>
      <c r="H544" s="8">
        <v>45744</v>
      </c>
      <c r="I544" s="1" t="s">
        <v>1820</v>
      </c>
      <c r="J544" t="b">
        <v>1</v>
      </c>
      <c r="K544" t="s">
        <v>1166</v>
      </c>
      <c r="L544" s="13" t="str">
        <f>HYPERLINK("https://uk1.aconex.co.uk/hub/index.html?mainTarget=%2FSearchControlledDoc%3FSEARCH_ACTION%3D15%26tab%3D0%26searchMode%3D1%26searchQuery%3Ddocno:%22"&amp;RawData[[#This Row],[Document Number]]&amp;"%22%20%2Bcversion%253A1",RawData[[#This Row],[Document Number]])</f>
        <v>FS1018-HEX-XX-XX-T-S-0003</v>
      </c>
    </row>
    <row r="545" spans="1:12" ht="28.8" x14ac:dyDescent="0.3">
      <c r="A545" t="s">
        <v>1164</v>
      </c>
      <c r="B545" t="s">
        <v>1165</v>
      </c>
      <c r="C545" t="s">
        <v>10</v>
      </c>
      <c r="D545" t="s">
        <v>20</v>
      </c>
      <c r="E545" s="8">
        <v>45744</v>
      </c>
      <c r="F545" s="1" t="s">
        <v>22</v>
      </c>
      <c r="G545" s="1" t="s">
        <v>4</v>
      </c>
      <c r="H545" s="8"/>
      <c r="J545" t="b">
        <v>1</v>
      </c>
      <c r="K545" t="s">
        <v>1166</v>
      </c>
      <c r="L545" s="13" t="str">
        <f>HYPERLINK("https://uk1.aconex.co.uk/hub/index.html?mainTarget=%2FSearchControlledDoc%3FSEARCH_ACTION%3D15%26tab%3D0%26searchMode%3D1%26searchQuery%3Ddocno:%22"&amp;RawData[[#This Row],[Document Number]]&amp;"%22%20%2Bcversion%253A1",RawData[[#This Row],[Document Number]])</f>
        <v>FS1018-HEX-XX-XX-T-S-0003</v>
      </c>
    </row>
    <row r="546" spans="1:12" x14ac:dyDescent="0.3">
      <c r="A546" t="s">
        <v>1167</v>
      </c>
      <c r="B546" t="s">
        <v>1168</v>
      </c>
      <c r="C546" t="s">
        <v>13</v>
      </c>
      <c r="D546" t="s">
        <v>20</v>
      </c>
      <c r="E546" s="8">
        <v>45729</v>
      </c>
      <c r="F546" s="1" t="s">
        <v>12</v>
      </c>
      <c r="G546" s="1" t="s">
        <v>21</v>
      </c>
      <c r="H546" s="8">
        <v>45744</v>
      </c>
      <c r="I546" s="1" t="s">
        <v>1821</v>
      </c>
      <c r="J546" t="b">
        <v>1</v>
      </c>
      <c r="K546" t="s">
        <v>1169</v>
      </c>
      <c r="L546" s="13" t="str">
        <f>HYPERLINK("https://uk1.aconex.co.uk/hub/index.html?mainTarget=%2FSearchControlledDoc%3FSEARCH_ACTION%3D15%26tab%3D0%26searchMode%3D1%26searchQuery%3Ddocno:%22"&amp;RawData[[#This Row],[Document Number]]&amp;"%22%20%2Bcversion%253A1",RawData[[#This Row],[Document Number]])</f>
        <v>FS1018-HEX-XX-XX-T-S-0004</v>
      </c>
    </row>
    <row r="547" spans="1:12" ht="28.8" x14ac:dyDescent="0.3">
      <c r="A547" t="s">
        <v>1167</v>
      </c>
      <c r="B547" t="s">
        <v>1168</v>
      </c>
      <c r="C547" t="s">
        <v>13</v>
      </c>
      <c r="D547" t="s">
        <v>20</v>
      </c>
      <c r="E547" s="8">
        <v>45744</v>
      </c>
      <c r="F547" s="1" t="s">
        <v>22</v>
      </c>
      <c r="G547" s="1" t="s">
        <v>4</v>
      </c>
      <c r="H547" s="8"/>
      <c r="J547" t="b">
        <v>1</v>
      </c>
      <c r="K547" t="s">
        <v>1169</v>
      </c>
      <c r="L547" s="13" t="str">
        <f>HYPERLINK("https://uk1.aconex.co.uk/hub/index.html?mainTarget=%2FSearchControlledDoc%3FSEARCH_ACTION%3D15%26tab%3D0%26searchMode%3D1%26searchQuery%3Ddocno:%22"&amp;RawData[[#This Row],[Document Number]]&amp;"%22%20%2Bcversion%253A1",RawData[[#This Row],[Document Number]])</f>
        <v>FS1018-HEX-XX-XX-T-S-0004</v>
      </c>
    </row>
    <row r="548" spans="1:12" x14ac:dyDescent="0.3">
      <c r="A548" t="s">
        <v>1170</v>
      </c>
      <c r="B548" t="s">
        <v>1171</v>
      </c>
      <c r="C548" t="s">
        <v>13</v>
      </c>
      <c r="D548" t="s">
        <v>20</v>
      </c>
      <c r="E548" s="8">
        <v>45729</v>
      </c>
      <c r="F548" s="1" t="s">
        <v>12</v>
      </c>
      <c r="G548" s="1" t="s">
        <v>21</v>
      </c>
      <c r="H548" s="8">
        <v>45744</v>
      </c>
      <c r="I548" s="1" t="s">
        <v>1785</v>
      </c>
      <c r="J548" t="b">
        <v>1</v>
      </c>
      <c r="K548" t="s">
        <v>1172</v>
      </c>
      <c r="L548" s="13" t="str">
        <f>HYPERLINK("https://uk1.aconex.co.uk/hub/index.html?mainTarget=%2FSearchControlledDoc%3FSEARCH_ACTION%3D15%26tab%3D0%26searchMode%3D1%26searchQuery%3Ddocno:%22"&amp;RawData[[#This Row],[Document Number]]&amp;"%22%20%2Bcversion%253A1",RawData[[#This Row],[Document Number]])</f>
        <v>FS1018-HEX-XX-XX-T-S-0005</v>
      </c>
    </row>
    <row r="549" spans="1:12" ht="28.8" x14ac:dyDescent="0.3">
      <c r="A549" t="s">
        <v>1170</v>
      </c>
      <c r="B549" t="s">
        <v>1171</v>
      </c>
      <c r="C549" t="s">
        <v>13</v>
      </c>
      <c r="D549" t="s">
        <v>20</v>
      </c>
      <c r="E549" s="8">
        <v>45744</v>
      </c>
      <c r="F549" s="1" t="s">
        <v>22</v>
      </c>
      <c r="G549" s="1" t="s">
        <v>4</v>
      </c>
      <c r="H549" s="8"/>
      <c r="J549" t="b">
        <v>1</v>
      </c>
      <c r="K549" t="s">
        <v>1172</v>
      </c>
      <c r="L549" s="13" t="str">
        <f>HYPERLINK("https://uk1.aconex.co.uk/hub/index.html?mainTarget=%2FSearchControlledDoc%3FSEARCH_ACTION%3D15%26tab%3D0%26searchMode%3D1%26searchQuery%3Ddocno:%22"&amp;RawData[[#This Row],[Document Number]]&amp;"%22%20%2Bcversion%253A1",RawData[[#This Row],[Document Number]])</f>
        <v>FS1018-HEX-XX-XX-T-S-0005</v>
      </c>
    </row>
    <row r="550" spans="1:12" x14ac:dyDescent="0.3">
      <c r="A550" t="s">
        <v>1173</v>
      </c>
      <c r="B550" t="s">
        <v>1174</v>
      </c>
      <c r="C550" t="s">
        <v>13</v>
      </c>
      <c r="D550" t="s">
        <v>20</v>
      </c>
      <c r="E550" s="8">
        <v>45729</v>
      </c>
      <c r="F550" s="1" t="s">
        <v>12</v>
      </c>
      <c r="G550" s="1" t="s">
        <v>21</v>
      </c>
      <c r="H550" s="8">
        <v>45744</v>
      </c>
      <c r="I550" s="1" t="s">
        <v>1821</v>
      </c>
      <c r="J550" t="b">
        <v>1</v>
      </c>
      <c r="K550" t="s">
        <v>1175</v>
      </c>
      <c r="L550" s="13" t="str">
        <f>HYPERLINK("https://uk1.aconex.co.uk/hub/index.html?mainTarget=%2FSearchControlledDoc%3FSEARCH_ACTION%3D15%26tab%3D0%26searchMode%3D1%26searchQuery%3Ddocno:%22"&amp;RawData[[#This Row],[Document Number]]&amp;"%22%20%2Bcversion%253A1",RawData[[#This Row],[Document Number]])</f>
        <v>FS1018-HEX-XX-XX-T-S-0006</v>
      </c>
    </row>
    <row r="551" spans="1:12" ht="28.8" x14ac:dyDescent="0.3">
      <c r="A551" t="s">
        <v>1173</v>
      </c>
      <c r="B551" t="s">
        <v>1174</v>
      </c>
      <c r="C551" t="s">
        <v>13</v>
      </c>
      <c r="D551" t="s">
        <v>20</v>
      </c>
      <c r="E551" s="8">
        <v>45744</v>
      </c>
      <c r="F551" s="1" t="s">
        <v>22</v>
      </c>
      <c r="G551" s="1" t="s">
        <v>4</v>
      </c>
      <c r="H551" s="8"/>
      <c r="J551" t="b">
        <v>1</v>
      </c>
      <c r="K551" t="s">
        <v>1175</v>
      </c>
      <c r="L551" s="13" t="str">
        <f>HYPERLINK("https://uk1.aconex.co.uk/hub/index.html?mainTarget=%2FSearchControlledDoc%3FSEARCH_ACTION%3D15%26tab%3D0%26searchMode%3D1%26searchQuery%3Ddocno:%22"&amp;RawData[[#This Row],[Document Number]]&amp;"%22%20%2Bcversion%253A1",RawData[[#This Row],[Document Number]])</f>
        <v>FS1018-HEX-XX-XX-T-S-0006</v>
      </c>
    </row>
    <row r="552" spans="1:12" x14ac:dyDescent="0.3">
      <c r="A552" t="s">
        <v>1176</v>
      </c>
      <c r="B552" t="s">
        <v>1177</v>
      </c>
      <c r="C552" t="s">
        <v>11</v>
      </c>
      <c r="D552" t="s">
        <v>20</v>
      </c>
      <c r="E552" s="8">
        <v>45729</v>
      </c>
      <c r="F552" s="1" t="s">
        <v>12</v>
      </c>
      <c r="G552" s="1" t="s">
        <v>21</v>
      </c>
      <c r="H552" s="8">
        <v>45744</v>
      </c>
      <c r="I552" s="1" t="s">
        <v>1785</v>
      </c>
      <c r="J552" t="b">
        <v>1</v>
      </c>
      <c r="K552" t="s">
        <v>1178</v>
      </c>
      <c r="L552" s="13" t="str">
        <f>HYPERLINK("https://uk1.aconex.co.uk/hub/index.html?mainTarget=%2FSearchControlledDoc%3FSEARCH_ACTION%3D15%26tab%3D0%26searchMode%3D1%26searchQuery%3Ddocno:%22"&amp;RawData[[#This Row],[Document Number]]&amp;"%22%20%2Bcversion%253A1",RawData[[#This Row],[Document Number]])</f>
        <v>FS1018-HEX-ZZ-00-D-S-0101</v>
      </c>
    </row>
    <row r="553" spans="1:12" ht="28.8" x14ac:dyDescent="0.3">
      <c r="A553" t="s">
        <v>1176</v>
      </c>
      <c r="B553" t="s">
        <v>1177</v>
      </c>
      <c r="C553" t="s">
        <v>11</v>
      </c>
      <c r="D553" t="s">
        <v>20</v>
      </c>
      <c r="E553" s="8">
        <v>45744</v>
      </c>
      <c r="F553" s="1" t="s">
        <v>22</v>
      </c>
      <c r="G553" s="1" t="s">
        <v>4</v>
      </c>
      <c r="H553" s="8"/>
      <c r="J553" t="b">
        <v>1</v>
      </c>
      <c r="K553" t="s">
        <v>1178</v>
      </c>
      <c r="L553" s="13" t="str">
        <f>HYPERLINK("https://uk1.aconex.co.uk/hub/index.html?mainTarget=%2FSearchControlledDoc%3FSEARCH_ACTION%3D15%26tab%3D0%26searchMode%3D1%26searchQuery%3Ddocno:%22"&amp;RawData[[#This Row],[Document Number]]&amp;"%22%20%2Bcversion%253A1",RawData[[#This Row],[Document Number]])</f>
        <v>FS1018-HEX-ZZ-00-D-S-0101</v>
      </c>
    </row>
    <row r="554" spans="1:12" x14ac:dyDescent="0.3">
      <c r="A554" t="s">
        <v>1179</v>
      </c>
      <c r="B554" t="s">
        <v>1180</v>
      </c>
      <c r="C554" t="s">
        <v>13</v>
      </c>
      <c r="D554" t="s">
        <v>20</v>
      </c>
      <c r="E554" s="8">
        <v>45729</v>
      </c>
      <c r="F554" s="1" t="s">
        <v>12</v>
      </c>
      <c r="G554" s="1" t="s">
        <v>21</v>
      </c>
      <c r="H554" s="8">
        <v>45744</v>
      </c>
      <c r="I554" s="1" t="s">
        <v>1785</v>
      </c>
      <c r="J554" t="b">
        <v>1</v>
      </c>
      <c r="K554" t="s">
        <v>1181</v>
      </c>
      <c r="L554" s="13" t="str">
        <f>HYPERLINK("https://uk1.aconex.co.uk/hub/index.html?mainTarget=%2FSearchControlledDoc%3FSEARCH_ACTION%3D15%26tab%3D0%26searchMode%3D1%26searchQuery%3Ddocno:%22"&amp;RawData[[#This Row],[Document Number]]&amp;"%22%20%2Bcversion%253A1",RawData[[#This Row],[Document Number]])</f>
        <v>FS1018-HEX-ZZ-00-D-S-0102</v>
      </c>
    </row>
    <row r="555" spans="1:12" ht="28.8" x14ac:dyDescent="0.3">
      <c r="A555" t="s">
        <v>1179</v>
      </c>
      <c r="B555" t="s">
        <v>1180</v>
      </c>
      <c r="C555" t="s">
        <v>13</v>
      </c>
      <c r="D555" t="s">
        <v>20</v>
      </c>
      <c r="E555" s="8">
        <v>45744</v>
      </c>
      <c r="F555" s="1" t="s">
        <v>22</v>
      </c>
      <c r="G555" s="1" t="s">
        <v>4</v>
      </c>
      <c r="H555" s="8"/>
      <c r="J555" t="b">
        <v>1</v>
      </c>
      <c r="K555" t="s">
        <v>1181</v>
      </c>
      <c r="L555" s="13" t="str">
        <f>HYPERLINK("https://uk1.aconex.co.uk/hub/index.html?mainTarget=%2FSearchControlledDoc%3FSEARCH_ACTION%3D15%26tab%3D0%26searchMode%3D1%26searchQuery%3Ddocno:%22"&amp;RawData[[#This Row],[Document Number]]&amp;"%22%20%2Bcversion%253A1",RawData[[#This Row],[Document Number]])</f>
        <v>FS1018-HEX-ZZ-00-D-S-0102</v>
      </c>
    </row>
    <row r="556" spans="1:12" ht="144" x14ac:dyDescent="0.3">
      <c r="A556" t="s">
        <v>1182</v>
      </c>
      <c r="B556" t="s">
        <v>1183</v>
      </c>
      <c r="C556" t="s">
        <v>11</v>
      </c>
      <c r="D556" t="s">
        <v>20</v>
      </c>
      <c r="E556" s="8">
        <v>45729</v>
      </c>
      <c r="F556" s="1" t="s">
        <v>12</v>
      </c>
      <c r="G556" s="1" t="s">
        <v>21</v>
      </c>
      <c r="H556" s="8">
        <v>45744</v>
      </c>
      <c r="I556" s="1" t="s">
        <v>1822</v>
      </c>
      <c r="J556" t="b">
        <v>1</v>
      </c>
      <c r="K556" t="s">
        <v>1184</v>
      </c>
      <c r="L556" s="13" t="str">
        <f>HYPERLINK("https://uk1.aconex.co.uk/hub/index.html?mainTarget=%2FSearchControlledDoc%3FSEARCH_ACTION%3D15%26tab%3D0%26searchMode%3D1%26searchQuery%3Ddocno:%22"&amp;RawData[[#This Row],[Document Number]]&amp;"%22%20%2Bcversion%253A1",RawData[[#This Row],[Document Number]])</f>
        <v>FS1018-HEX-ZZ-00-D-S-0200</v>
      </c>
    </row>
    <row r="557" spans="1:12" ht="28.8" x14ac:dyDescent="0.3">
      <c r="A557" t="s">
        <v>1182</v>
      </c>
      <c r="B557" t="s">
        <v>1183</v>
      </c>
      <c r="C557" t="s">
        <v>11</v>
      </c>
      <c r="D557" t="s">
        <v>20</v>
      </c>
      <c r="E557" s="8">
        <v>45744</v>
      </c>
      <c r="F557" s="1" t="s">
        <v>22</v>
      </c>
      <c r="G557" s="1" t="s">
        <v>4</v>
      </c>
      <c r="H557" s="8"/>
      <c r="J557" t="b">
        <v>1</v>
      </c>
      <c r="K557" t="s">
        <v>1184</v>
      </c>
      <c r="L557" s="13" t="str">
        <f>HYPERLINK("https://uk1.aconex.co.uk/hub/index.html?mainTarget=%2FSearchControlledDoc%3FSEARCH_ACTION%3D15%26tab%3D0%26searchMode%3D1%26searchQuery%3Ddocno:%22"&amp;RawData[[#This Row],[Document Number]]&amp;"%22%20%2Bcversion%253A1",RawData[[#This Row],[Document Number]])</f>
        <v>FS1018-HEX-ZZ-00-D-S-0200</v>
      </c>
    </row>
    <row r="558" spans="1:12" ht="43.2" x14ac:dyDescent="0.3">
      <c r="A558" t="s">
        <v>1185</v>
      </c>
      <c r="B558" t="s">
        <v>1186</v>
      </c>
      <c r="C558" t="s">
        <v>11</v>
      </c>
      <c r="D558" t="s">
        <v>20</v>
      </c>
      <c r="E558" s="8">
        <v>45729</v>
      </c>
      <c r="F558" s="1" t="s">
        <v>12</v>
      </c>
      <c r="G558" s="1" t="s">
        <v>21</v>
      </c>
      <c r="H558" s="8">
        <v>45744</v>
      </c>
      <c r="I558" s="1" t="s">
        <v>1823</v>
      </c>
      <c r="J558" t="b">
        <v>1</v>
      </c>
      <c r="K558" t="s">
        <v>1187</v>
      </c>
      <c r="L558" s="13" t="str">
        <f>HYPERLINK("https://uk1.aconex.co.uk/hub/index.html?mainTarget=%2FSearchControlledDoc%3FSEARCH_ACTION%3D15%26tab%3D0%26searchMode%3D1%26searchQuery%3Ddocno:%22"&amp;RawData[[#This Row],[Document Number]]&amp;"%22%20%2Bcversion%253A1",RawData[[#This Row],[Document Number]])</f>
        <v>FS1018-HEX-ZZ-01-D-S-0201</v>
      </c>
    </row>
    <row r="559" spans="1:12" ht="28.8" x14ac:dyDescent="0.3">
      <c r="A559" t="s">
        <v>1185</v>
      </c>
      <c r="B559" t="s">
        <v>1186</v>
      </c>
      <c r="C559" t="s">
        <v>11</v>
      </c>
      <c r="D559" t="s">
        <v>20</v>
      </c>
      <c r="E559" s="8">
        <v>45744</v>
      </c>
      <c r="F559" s="1" t="s">
        <v>22</v>
      </c>
      <c r="G559" s="1" t="s">
        <v>4</v>
      </c>
      <c r="H559" s="8"/>
      <c r="J559" t="b">
        <v>1</v>
      </c>
      <c r="K559" t="s">
        <v>1187</v>
      </c>
      <c r="L559" s="13" t="str">
        <f>HYPERLINK("https://uk1.aconex.co.uk/hub/index.html?mainTarget=%2FSearchControlledDoc%3FSEARCH_ACTION%3D15%26tab%3D0%26searchMode%3D1%26searchQuery%3Ddocno:%22"&amp;RawData[[#This Row],[Document Number]]&amp;"%22%20%2Bcversion%253A1",RawData[[#This Row],[Document Number]])</f>
        <v>FS1018-HEX-ZZ-01-D-S-0201</v>
      </c>
    </row>
    <row r="560" spans="1:12" ht="43.2" x14ac:dyDescent="0.3">
      <c r="A560" t="s">
        <v>1188</v>
      </c>
      <c r="B560" t="s">
        <v>1189</v>
      </c>
      <c r="C560" t="s">
        <v>11</v>
      </c>
      <c r="D560" t="s">
        <v>20</v>
      </c>
      <c r="E560" s="8">
        <v>45729</v>
      </c>
      <c r="F560" s="1" t="s">
        <v>12</v>
      </c>
      <c r="G560" s="1" t="s">
        <v>21</v>
      </c>
      <c r="H560" s="8">
        <v>45744</v>
      </c>
      <c r="I560" s="1" t="s">
        <v>1823</v>
      </c>
      <c r="J560" t="b">
        <v>1</v>
      </c>
      <c r="K560" t="s">
        <v>1190</v>
      </c>
      <c r="L560" s="13" t="str">
        <f>HYPERLINK("https://uk1.aconex.co.uk/hub/index.html?mainTarget=%2FSearchControlledDoc%3FSEARCH_ACTION%3D15%26tab%3D0%26searchMode%3D1%26searchQuery%3Ddocno:%22"&amp;RawData[[#This Row],[Document Number]]&amp;"%22%20%2Bcversion%253A1",RawData[[#This Row],[Document Number]])</f>
        <v>FS1018-HEX-ZZ-02-D-S-0202</v>
      </c>
    </row>
    <row r="561" spans="1:12" ht="28.8" x14ac:dyDescent="0.3">
      <c r="A561" t="s">
        <v>1188</v>
      </c>
      <c r="B561" t="s">
        <v>1189</v>
      </c>
      <c r="C561" t="s">
        <v>11</v>
      </c>
      <c r="D561" t="s">
        <v>20</v>
      </c>
      <c r="E561" s="8">
        <v>45744</v>
      </c>
      <c r="F561" s="1" t="s">
        <v>22</v>
      </c>
      <c r="G561" s="1" t="s">
        <v>4</v>
      </c>
      <c r="H561" s="8"/>
      <c r="J561" t="b">
        <v>1</v>
      </c>
      <c r="K561" t="s">
        <v>1190</v>
      </c>
      <c r="L561" s="13" t="str">
        <f>HYPERLINK("https://uk1.aconex.co.uk/hub/index.html?mainTarget=%2FSearchControlledDoc%3FSEARCH_ACTION%3D15%26tab%3D0%26searchMode%3D1%26searchQuery%3Ddocno:%22"&amp;RawData[[#This Row],[Document Number]]&amp;"%22%20%2Bcversion%253A1",RawData[[#This Row],[Document Number]])</f>
        <v>FS1018-HEX-ZZ-02-D-S-0202</v>
      </c>
    </row>
    <row r="562" spans="1:12" ht="43.2" x14ac:dyDescent="0.3">
      <c r="A562" t="s">
        <v>1191</v>
      </c>
      <c r="B562" t="s">
        <v>1192</v>
      </c>
      <c r="C562" t="s">
        <v>11</v>
      </c>
      <c r="D562" t="s">
        <v>20</v>
      </c>
      <c r="E562" s="8">
        <v>45729</v>
      </c>
      <c r="F562" s="1" t="s">
        <v>12</v>
      </c>
      <c r="G562" s="1" t="s">
        <v>21</v>
      </c>
      <c r="H562" s="8">
        <v>45744</v>
      </c>
      <c r="I562" s="1" t="s">
        <v>1823</v>
      </c>
      <c r="J562" t="b">
        <v>1</v>
      </c>
      <c r="K562" t="s">
        <v>1193</v>
      </c>
      <c r="L562" s="13" t="str">
        <f>HYPERLINK("https://uk1.aconex.co.uk/hub/index.html?mainTarget=%2FSearchControlledDoc%3FSEARCH_ACTION%3D15%26tab%3D0%26searchMode%3D1%26searchQuery%3Ddocno:%22"&amp;RawData[[#This Row],[Document Number]]&amp;"%22%20%2Bcversion%253A1",RawData[[#This Row],[Document Number]])</f>
        <v>FS1018-HEX-ZZ-RF-D-S-0203</v>
      </c>
    </row>
    <row r="563" spans="1:12" ht="28.8" x14ac:dyDescent="0.3">
      <c r="A563" t="s">
        <v>1191</v>
      </c>
      <c r="B563" t="s">
        <v>1192</v>
      </c>
      <c r="C563" t="s">
        <v>11</v>
      </c>
      <c r="D563" t="s">
        <v>20</v>
      </c>
      <c r="E563" s="8">
        <v>45744</v>
      </c>
      <c r="F563" s="1" t="s">
        <v>22</v>
      </c>
      <c r="G563" s="1" t="s">
        <v>4</v>
      </c>
      <c r="H563" s="8"/>
      <c r="J563" t="b">
        <v>1</v>
      </c>
      <c r="K563" t="s">
        <v>1193</v>
      </c>
      <c r="L563" s="13" t="str">
        <f>HYPERLINK("https://uk1.aconex.co.uk/hub/index.html?mainTarget=%2FSearchControlledDoc%3FSEARCH_ACTION%3D15%26tab%3D0%26searchMode%3D1%26searchQuery%3Ddocno:%22"&amp;RawData[[#This Row],[Document Number]]&amp;"%22%20%2Bcversion%253A1",RawData[[#This Row],[Document Number]])</f>
        <v>FS1018-HEX-ZZ-RF-D-S-0203</v>
      </c>
    </row>
    <row r="564" spans="1:12" ht="43.2" x14ac:dyDescent="0.3">
      <c r="A564" t="s">
        <v>1194</v>
      </c>
      <c r="B564" t="s">
        <v>1195</v>
      </c>
      <c r="C564" t="s">
        <v>11</v>
      </c>
      <c r="D564" t="s">
        <v>20</v>
      </c>
      <c r="E564" s="8">
        <v>45729</v>
      </c>
      <c r="F564" s="1" t="s">
        <v>12</v>
      </c>
      <c r="G564" s="1" t="s">
        <v>21</v>
      </c>
      <c r="H564" s="8">
        <v>45744</v>
      </c>
      <c r="I564" s="1" t="s">
        <v>1823</v>
      </c>
      <c r="J564" t="b">
        <v>1</v>
      </c>
      <c r="K564" t="s">
        <v>1196</v>
      </c>
      <c r="L564" s="13" t="str">
        <f>HYPERLINK("https://uk1.aconex.co.uk/hub/index.html?mainTarget=%2FSearchControlledDoc%3FSEARCH_ACTION%3D15%26tab%3D0%26searchMode%3D1%26searchQuery%3Ddocno:%22"&amp;RawData[[#This Row],[Document Number]]&amp;"%22%20%2Bcversion%253A1",RawData[[#This Row],[Document Number]])</f>
        <v>FS1018-HEX-ZZ-RF-D-S-0204</v>
      </c>
    </row>
    <row r="565" spans="1:12" ht="28.8" x14ac:dyDescent="0.3">
      <c r="A565" t="s">
        <v>1194</v>
      </c>
      <c r="B565" t="s">
        <v>1195</v>
      </c>
      <c r="C565" t="s">
        <v>11</v>
      </c>
      <c r="D565" t="s">
        <v>20</v>
      </c>
      <c r="E565" s="8">
        <v>45744</v>
      </c>
      <c r="F565" s="1" t="s">
        <v>22</v>
      </c>
      <c r="G565" s="1" t="s">
        <v>4</v>
      </c>
      <c r="H565" s="8"/>
      <c r="J565" t="b">
        <v>1</v>
      </c>
      <c r="K565" t="s">
        <v>1196</v>
      </c>
      <c r="L565" s="13" t="str">
        <f>HYPERLINK("https://uk1.aconex.co.uk/hub/index.html?mainTarget=%2FSearchControlledDoc%3FSEARCH_ACTION%3D15%26tab%3D0%26searchMode%3D1%26searchQuery%3Ddocno:%22"&amp;RawData[[#This Row],[Document Number]]&amp;"%22%20%2Bcversion%253A1",RawData[[#This Row],[Document Number]])</f>
        <v>FS1018-HEX-ZZ-RF-D-S-0204</v>
      </c>
    </row>
    <row r="566" spans="1:12" x14ac:dyDescent="0.3">
      <c r="A566" t="s">
        <v>1197</v>
      </c>
      <c r="B566" t="s">
        <v>1198</v>
      </c>
      <c r="C566" t="s">
        <v>11</v>
      </c>
      <c r="D566" t="s">
        <v>20</v>
      </c>
      <c r="E566" s="8">
        <v>45729</v>
      </c>
      <c r="F566" s="1" t="s">
        <v>12</v>
      </c>
      <c r="G566" s="1" t="s">
        <v>21</v>
      </c>
      <c r="H566" s="8">
        <v>45744</v>
      </c>
      <c r="I566" s="1" t="s">
        <v>1821</v>
      </c>
      <c r="J566" t="b">
        <v>1</v>
      </c>
      <c r="K566" t="s">
        <v>1199</v>
      </c>
      <c r="L566" s="13" t="str">
        <f>HYPERLINK("https://uk1.aconex.co.uk/hub/index.html?mainTarget=%2FSearchControlledDoc%3FSEARCH_ACTION%3D15%26tab%3D0%26searchMode%3D1%26searchQuery%3Ddocno:%22"&amp;RawData[[#This Row],[Document Number]]&amp;"%22%20%2Bcversion%253A1",RawData[[#This Row],[Document Number]])</f>
        <v>FS1018-HEX-ZZ-RF-D-S-0205</v>
      </c>
    </row>
    <row r="567" spans="1:12" ht="28.8" x14ac:dyDescent="0.3">
      <c r="A567" t="s">
        <v>1197</v>
      </c>
      <c r="B567" t="s">
        <v>1198</v>
      </c>
      <c r="C567" t="s">
        <v>11</v>
      </c>
      <c r="D567" t="s">
        <v>20</v>
      </c>
      <c r="E567" s="8">
        <v>45744</v>
      </c>
      <c r="F567" s="1" t="s">
        <v>22</v>
      </c>
      <c r="G567" s="1" t="s">
        <v>4</v>
      </c>
      <c r="H567" s="8"/>
      <c r="J567" t="b">
        <v>1</v>
      </c>
      <c r="K567" t="s">
        <v>1199</v>
      </c>
      <c r="L567" s="13" t="str">
        <f>HYPERLINK("https://uk1.aconex.co.uk/hub/index.html?mainTarget=%2FSearchControlledDoc%3FSEARCH_ACTION%3D15%26tab%3D0%26searchMode%3D1%26searchQuery%3Ddocno:%22"&amp;RawData[[#This Row],[Document Number]]&amp;"%22%20%2Bcversion%253A1",RawData[[#This Row],[Document Number]])</f>
        <v>FS1018-HEX-ZZ-RF-D-S-0205</v>
      </c>
    </row>
    <row r="568" spans="1:12" ht="172.8" x14ac:dyDescent="0.3">
      <c r="A568" t="s">
        <v>1200</v>
      </c>
      <c r="B568" t="s">
        <v>1201</v>
      </c>
      <c r="C568" t="s">
        <v>10</v>
      </c>
      <c r="D568" t="s">
        <v>20</v>
      </c>
      <c r="E568" s="8">
        <v>45729</v>
      </c>
      <c r="F568" s="1" t="s">
        <v>12</v>
      </c>
      <c r="G568" s="1" t="s">
        <v>21</v>
      </c>
      <c r="H568" s="8">
        <v>45744</v>
      </c>
      <c r="I568" s="1" t="s">
        <v>1824</v>
      </c>
      <c r="J568" t="b">
        <v>1</v>
      </c>
      <c r="K568" t="s">
        <v>1202</v>
      </c>
      <c r="L568" s="13" t="str">
        <f>HYPERLINK("https://uk1.aconex.co.uk/hub/index.html?mainTarget=%2FSearchControlledDoc%3FSEARCH_ACTION%3D15%26tab%3D0%26searchMode%3D1%26searchQuery%3Ddocno:%22"&amp;RawData[[#This Row],[Document Number]]&amp;"%22%20%2Bcversion%253A1",RawData[[#This Row],[Document Number]])</f>
        <v>FS1018-HEX-ZZ-XX-D-S-0001</v>
      </c>
    </row>
    <row r="569" spans="1:12" ht="28.8" x14ac:dyDescent="0.3">
      <c r="A569" t="s">
        <v>1200</v>
      </c>
      <c r="B569" t="s">
        <v>1201</v>
      </c>
      <c r="C569" t="s">
        <v>10</v>
      </c>
      <c r="D569" t="s">
        <v>20</v>
      </c>
      <c r="E569" s="8">
        <v>45744</v>
      </c>
      <c r="F569" s="1" t="s">
        <v>22</v>
      </c>
      <c r="G569" s="1" t="s">
        <v>4</v>
      </c>
      <c r="H569" s="8"/>
      <c r="J569" t="b">
        <v>1</v>
      </c>
      <c r="K569" t="s">
        <v>1202</v>
      </c>
      <c r="L569" s="13" t="str">
        <f>HYPERLINK("https://uk1.aconex.co.uk/hub/index.html?mainTarget=%2FSearchControlledDoc%3FSEARCH_ACTION%3D15%26tab%3D0%26searchMode%3D1%26searchQuery%3Ddocno:%22"&amp;RawData[[#This Row],[Document Number]]&amp;"%22%20%2Bcversion%253A1",RawData[[#This Row],[Document Number]])</f>
        <v>FS1018-HEX-ZZ-XX-D-S-0001</v>
      </c>
    </row>
    <row r="570" spans="1:12" ht="302.39999999999998" x14ac:dyDescent="0.3">
      <c r="A570" t="s">
        <v>1203</v>
      </c>
      <c r="B570" t="s">
        <v>1204</v>
      </c>
      <c r="C570" t="s">
        <v>835</v>
      </c>
      <c r="D570" t="s">
        <v>20</v>
      </c>
      <c r="E570" s="8">
        <v>45729</v>
      </c>
      <c r="F570" s="1" t="s">
        <v>12</v>
      </c>
      <c r="G570" s="1" t="s">
        <v>21</v>
      </c>
      <c r="H570" s="8">
        <v>45741</v>
      </c>
      <c r="I570" s="1" t="s">
        <v>1812</v>
      </c>
      <c r="J570" t="b">
        <v>1</v>
      </c>
      <c r="K570" t="s">
        <v>1205</v>
      </c>
      <c r="L570" s="13" t="str">
        <f>HYPERLINK("https://uk1.aconex.co.uk/hub/index.html?mainTarget=%2FSearchControlledDoc%3FSEARCH_ACTION%3D15%26tab%3D0%26searchMode%3D1%26searchQuery%3Ddocno:%22"&amp;RawData[[#This Row],[Document Number]]&amp;"%22%20%2Bcversion%253A1",RawData[[#This Row],[Document Number]])</f>
        <v>FS1018-HEX-ZZ-ZZ-D-C-5200</v>
      </c>
    </row>
    <row r="571" spans="1:12" ht="28.8" x14ac:dyDescent="0.3">
      <c r="A571" t="s">
        <v>1203</v>
      </c>
      <c r="B571" t="s">
        <v>1204</v>
      </c>
      <c r="C571" t="s">
        <v>835</v>
      </c>
      <c r="D571" t="s">
        <v>20</v>
      </c>
      <c r="E571" s="8">
        <v>45741</v>
      </c>
      <c r="F571" s="1" t="s">
        <v>22</v>
      </c>
      <c r="G571" s="1" t="s">
        <v>4</v>
      </c>
      <c r="H571" s="8"/>
      <c r="J571" t="b">
        <v>1</v>
      </c>
      <c r="K571" t="s">
        <v>1205</v>
      </c>
      <c r="L571" s="13" t="str">
        <f>HYPERLINK("https://uk1.aconex.co.uk/hub/index.html?mainTarget=%2FSearchControlledDoc%3FSEARCH_ACTION%3D15%26tab%3D0%26searchMode%3D1%26searchQuery%3Ddocno:%22"&amp;RawData[[#This Row],[Document Number]]&amp;"%22%20%2Bcversion%253A1",RawData[[#This Row],[Document Number]])</f>
        <v>FS1018-HEX-ZZ-ZZ-D-C-5200</v>
      </c>
    </row>
    <row r="572" spans="1:12" x14ac:dyDescent="0.3">
      <c r="A572" t="s">
        <v>1206</v>
      </c>
      <c r="B572" t="s">
        <v>1207</v>
      </c>
      <c r="C572" t="s">
        <v>835</v>
      </c>
      <c r="D572" t="s">
        <v>20</v>
      </c>
      <c r="E572" s="8">
        <v>45729</v>
      </c>
      <c r="F572" s="1" t="s">
        <v>12</v>
      </c>
      <c r="G572" s="1" t="s">
        <v>21</v>
      </c>
      <c r="H572" s="8">
        <v>45741</v>
      </c>
      <c r="I572" s="1" t="s">
        <v>1813</v>
      </c>
      <c r="J572" t="b">
        <v>1</v>
      </c>
      <c r="K572" t="s">
        <v>1208</v>
      </c>
      <c r="L572" s="13" t="str">
        <f>HYPERLINK("https://uk1.aconex.co.uk/hub/index.html?mainTarget=%2FSearchControlledDoc%3FSEARCH_ACTION%3D15%26tab%3D0%26searchMode%3D1%26searchQuery%3Ddocno:%22"&amp;RawData[[#This Row],[Document Number]]&amp;"%22%20%2Bcversion%253A1",RawData[[#This Row],[Document Number]])</f>
        <v>FS1018-HEX-ZZ-ZZ-D-C-5201</v>
      </c>
    </row>
    <row r="573" spans="1:12" ht="28.8" x14ac:dyDescent="0.3">
      <c r="A573" t="s">
        <v>1206</v>
      </c>
      <c r="B573" t="s">
        <v>1207</v>
      </c>
      <c r="C573" t="s">
        <v>835</v>
      </c>
      <c r="D573" t="s">
        <v>20</v>
      </c>
      <c r="E573" s="8">
        <v>45741</v>
      </c>
      <c r="F573" s="1" t="s">
        <v>22</v>
      </c>
      <c r="G573" s="1" t="s">
        <v>4</v>
      </c>
      <c r="H573" s="8"/>
      <c r="J573" t="b">
        <v>1</v>
      </c>
      <c r="K573" t="s">
        <v>1208</v>
      </c>
      <c r="L573" s="13" t="str">
        <f>HYPERLINK("https://uk1.aconex.co.uk/hub/index.html?mainTarget=%2FSearchControlledDoc%3FSEARCH_ACTION%3D15%26tab%3D0%26searchMode%3D1%26searchQuery%3Ddocno:%22"&amp;RawData[[#This Row],[Document Number]]&amp;"%22%20%2Bcversion%253A1",RawData[[#This Row],[Document Number]])</f>
        <v>FS1018-HEX-ZZ-ZZ-D-C-5201</v>
      </c>
    </row>
    <row r="574" spans="1:12" ht="158.4" x14ac:dyDescent="0.3">
      <c r="A574" t="s">
        <v>1209</v>
      </c>
      <c r="B574" t="s">
        <v>1210</v>
      </c>
      <c r="C574" t="s">
        <v>418</v>
      </c>
      <c r="D574" t="s">
        <v>20</v>
      </c>
      <c r="E574" s="8">
        <v>45729</v>
      </c>
      <c r="F574" s="1" t="s">
        <v>12</v>
      </c>
      <c r="G574" s="1" t="s">
        <v>21</v>
      </c>
      <c r="H574" s="8">
        <v>45741</v>
      </c>
      <c r="I574" s="1" t="s">
        <v>1814</v>
      </c>
      <c r="J574" t="b">
        <v>1</v>
      </c>
      <c r="K574" t="s">
        <v>1211</v>
      </c>
      <c r="L574" s="13" t="str">
        <f>HYPERLINK("https://uk1.aconex.co.uk/hub/index.html?mainTarget=%2FSearchControlledDoc%3FSEARCH_ACTION%3D15%26tab%3D0%26searchMode%3D1%26searchQuery%3Ddocno:%22"&amp;RawData[[#This Row],[Document Number]]&amp;"%22%20%2Bcversion%253A1",RawData[[#This Row],[Document Number]])</f>
        <v>FS1018-HEX-ZZ-ZZ-D-C-5205</v>
      </c>
    </row>
    <row r="575" spans="1:12" ht="28.8" x14ac:dyDescent="0.3">
      <c r="A575" t="s">
        <v>1209</v>
      </c>
      <c r="B575" t="s">
        <v>1210</v>
      </c>
      <c r="C575" t="s">
        <v>418</v>
      </c>
      <c r="D575" t="s">
        <v>20</v>
      </c>
      <c r="E575" s="8">
        <v>45741</v>
      </c>
      <c r="F575" s="1" t="s">
        <v>22</v>
      </c>
      <c r="G575" s="1" t="s">
        <v>4</v>
      </c>
      <c r="H575" s="8"/>
      <c r="J575" t="b">
        <v>1</v>
      </c>
      <c r="K575" t="s">
        <v>1211</v>
      </c>
      <c r="L575" s="13" t="str">
        <f>HYPERLINK("https://uk1.aconex.co.uk/hub/index.html?mainTarget=%2FSearchControlledDoc%3FSEARCH_ACTION%3D15%26tab%3D0%26searchMode%3D1%26searchQuery%3Ddocno:%22"&amp;RawData[[#This Row],[Document Number]]&amp;"%22%20%2Bcversion%253A1",RawData[[#This Row],[Document Number]])</f>
        <v>FS1018-HEX-ZZ-ZZ-D-C-5205</v>
      </c>
    </row>
    <row r="576" spans="1:12" ht="187.2" x14ac:dyDescent="0.3">
      <c r="A576" t="s">
        <v>1212</v>
      </c>
      <c r="B576" t="s">
        <v>1213</v>
      </c>
      <c r="C576" t="s">
        <v>11</v>
      </c>
      <c r="D576" t="s">
        <v>20</v>
      </c>
      <c r="E576" s="8">
        <v>45729</v>
      </c>
      <c r="F576" s="1" t="s">
        <v>12</v>
      </c>
      <c r="G576" s="1" t="s">
        <v>21</v>
      </c>
      <c r="H576" s="8">
        <v>45741</v>
      </c>
      <c r="I576" s="1" t="s">
        <v>1815</v>
      </c>
      <c r="J576" t="b">
        <v>1</v>
      </c>
      <c r="K576" t="s">
        <v>1214</v>
      </c>
      <c r="L576" s="13" t="str">
        <f>HYPERLINK("https://uk1.aconex.co.uk/hub/index.html?mainTarget=%2FSearchControlledDoc%3FSEARCH_ACTION%3D15%26tab%3D0%26searchMode%3D1%26searchQuery%3Ddocno:%22"&amp;RawData[[#This Row],[Document Number]]&amp;"%22%20%2Bcversion%253A1",RawData[[#This Row],[Document Number]])</f>
        <v>FS1018-HEX-ZZ-ZZ-D-C-5210</v>
      </c>
    </row>
    <row r="577" spans="1:12" ht="28.8" x14ac:dyDescent="0.3">
      <c r="A577" t="s">
        <v>1212</v>
      </c>
      <c r="B577" t="s">
        <v>1213</v>
      </c>
      <c r="C577" t="s">
        <v>11</v>
      </c>
      <c r="D577" t="s">
        <v>20</v>
      </c>
      <c r="E577" s="8">
        <v>45741</v>
      </c>
      <c r="F577" s="1" t="s">
        <v>22</v>
      </c>
      <c r="G577" s="1" t="s">
        <v>4</v>
      </c>
      <c r="H577" s="8"/>
      <c r="J577" t="b">
        <v>1</v>
      </c>
      <c r="K577" t="s">
        <v>1214</v>
      </c>
      <c r="L577" s="13" t="str">
        <f>HYPERLINK("https://uk1.aconex.co.uk/hub/index.html?mainTarget=%2FSearchControlledDoc%3FSEARCH_ACTION%3D15%26tab%3D0%26searchMode%3D1%26searchQuery%3Ddocno:%22"&amp;RawData[[#This Row],[Document Number]]&amp;"%22%20%2Bcversion%253A1",RawData[[#This Row],[Document Number]])</f>
        <v>FS1018-HEX-ZZ-ZZ-D-C-5210</v>
      </c>
    </row>
    <row r="578" spans="1:12" ht="187.2" x14ac:dyDescent="0.3">
      <c r="A578" t="s">
        <v>1215</v>
      </c>
      <c r="B578" t="s">
        <v>1216</v>
      </c>
      <c r="C578" t="s">
        <v>11</v>
      </c>
      <c r="D578" t="s">
        <v>20</v>
      </c>
      <c r="E578" s="8">
        <v>45729</v>
      </c>
      <c r="F578" s="1" t="s">
        <v>12</v>
      </c>
      <c r="G578" s="1" t="s">
        <v>21</v>
      </c>
      <c r="H578" s="8">
        <v>45741</v>
      </c>
      <c r="I578" s="1" t="s">
        <v>1816</v>
      </c>
      <c r="J578" t="b">
        <v>1</v>
      </c>
      <c r="K578" t="s">
        <v>1217</v>
      </c>
      <c r="L578" s="13" t="str">
        <f>HYPERLINK("https://uk1.aconex.co.uk/hub/index.html?mainTarget=%2FSearchControlledDoc%3FSEARCH_ACTION%3D15%26tab%3D0%26searchMode%3D1%26searchQuery%3Ddocno:%22"&amp;RawData[[#This Row],[Document Number]]&amp;"%22%20%2Bcversion%253A1",RawData[[#This Row],[Document Number]])</f>
        <v>FS1018-HEX-ZZ-ZZ-D-C-5211</v>
      </c>
    </row>
    <row r="579" spans="1:12" ht="28.8" x14ac:dyDescent="0.3">
      <c r="A579" t="s">
        <v>1215</v>
      </c>
      <c r="B579" t="s">
        <v>1216</v>
      </c>
      <c r="C579" t="s">
        <v>11</v>
      </c>
      <c r="D579" t="s">
        <v>20</v>
      </c>
      <c r="E579" s="8">
        <v>45741</v>
      </c>
      <c r="F579" s="1" t="s">
        <v>22</v>
      </c>
      <c r="G579" s="1" t="s">
        <v>4</v>
      </c>
      <c r="H579" s="8"/>
      <c r="J579" t="b">
        <v>1</v>
      </c>
      <c r="K579" t="s">
        <v>1217</v>
      </c>
      <c r="L579" s="13" t="str">
        <f>HYPERLINK("https://uk1.aconex.co.uk/hub/index.html?mainTarget=%2FSearchControlledDoc%3FSEARCH_ACTION%3D15%26tab%3D0%26searchMode%3D1%26searchQuery%3Ddocno:%22"&amp;RawData[[#This Row],[Document Number]]&amp;"%22%20%2Bcversion%253A1",RawData[[#This Row],[Document Number]])</f>
        <v>FS1018-HEX-ZZ-ZZ-D-C-5211</v>
      </c>
    </row>
    <row r="580" spans="1:12" x14ac:dyDescent="0.3">
      <c r="A580" t="s">
        <v>1218</v>
      </c>
      <c r="B580" t="s">
        <v>1219</v>
      </c>
      <c r="C580" t="s">
        <v>13</v>
      </c>
      <c r="D580" t="s">
        <v>20</v>
      </c>
      <c r="E580" s="8">
        <v>45729</v>
      </c>
      <c r="F580" s="1" t="s">
        <v>12</v>
      </c>
      <c r="G580" s="1" t="s">
        <v>4</v>
      </c>
      <c r="H580" s="8"/>
      <c r="J580" t="b">
        <v>1</v>
      </c>
      <c r="K580" t="s">
        <v>1220</v>
      </c>
      <c r="L580" s="13" t="str">
        <f>HYPERLINK("https://uk1.aconex.co.uk/hub/index.html?mainTarget=%2FSearchControlledDoc%3FSEARCH_ACTION%3D15%26tab%3D0%26searchMode%3D1%26searchQuery%3Ddocno:%22"&amp;RawData[[#This Row],[Document Number]]&amp;"%22%20%2Bcversion%253A1",RawData[[#This Row],[Document Number]])</f>
        <v>FS1018-HEX-ZZ-ZZ-D-C-9000</v>
      </c>
    </row>
    <row r="581" spans="1:12" x14ac:dyDescent="0.3">
      <c r="A581" t="s">
        <v>1221</v>
      </c>
      <c r="B581" t="s">
        <v>1222</v>
      </c>
      <c r="C581" t="s">
        <v>10</v>
      </c>
      <c r="D581" t="s">
        <v>20</v>
      </c>
      <c r="E581" s="8">
        <v>45729</v>
      </c>
      <c r="F581" s="1" t="s">
        <v>12</v>
      </c>
      <c r="G581" s="1" t="s">
        <v>4</v>
      </c>
      <c r="H581" s="8"/>
      <c r="J581" t="b">
        <v>1</v>
      </c>
      <c r="K581" t="s">
        <v>1223</v>
      </c>
      <c r="L581" s="13" t="str">
        <f>HYPERLINK("https://uk1.aconex.co.uk/hub/index.html?mainTarget=%2FSearchControlledDoc%3FSEARCH_ACTION%3D15%26tab%3D0%26searchMode%3D1%26searchQuery%3Ddocno:%22"&amp;RawData[[#This Row],[Document Number]]&amp;"%22%20%2Bcversion%253A1",RawData[[#This Row],[Document Number]])</f>
        <v>FS1018-HEX-ZZ-ZZ-D-C-9020</v>
      </c>
    </row>
    <row r="582" spans="1:12" x14ac:dyDescent="0.3">
      <c r="A582" t="s">
        <v>1224</v>
      </c>
      <c r="B582" t="s">
        <v>1225</v>
      </c>
      <c r="C582" t="s">
        <v>10</v>
      </c>
      <c r="D582" t="s">
        <v>20</v>
      </c>
      <c r="E582" s="8">
        <v>45729</v>
      </c>
      <c r="F582" s="1" t="s">
        <v>12</v>
      </c>
      <c r="G582" s="1" t="s">
        <v>4</v>
      </c>
      <c r="H582" s="8"/>
      <c r="J582" t="b">
        <v>1</v>
      </c>
      <c r="K582" t="s">
        <v>1226</v>
      </c>
      <c r="L582" s="13" t="str">
        <f>HYPERLINK("https://uk1.aconex.co.uk/hub/index.html?mainTarget=%2FSearchControlledDoc%3FSEARCH_ACTION%3D15%26tab%3D0%26searchMode%3D1%26searchQuery%3Ddocno:%22"&amp;RawData[[#This Row],[Document Number]]&amp;"%22%20%2Bcversion%253A1",RawData[[#This Row],[Document Number]])</f>
        <v>FS1018-HEX-ZZ-ZZ-D-C-9021</v>
      </c>
    </row>
    <row r="583" spans="1:12" ht="28.8" x14ac:dyDescent="0.3">
      <c r="A583" t="s">
        <v>1227</v>
      </c>
      <c r="B583" t="s">
        <v>1228</v>
      </c>
      <c r="C583" t="s">
        <v>10</v>
      </c>
      <c r="D583" t="s">
        <v>20</v>
      </c>
      <c r="E583" s="8">
        <v>45729</v>
      </c>
      <c r="F583" s="1" t="s">
        <v>12</v>
      </c>
      <c r="G583" s="1" t="s">
        <v>21</v>
      </c>
      <c r="H583" s="8">
        <v>45741</v>
      </c>
      <c r="I583" s="1" t="s">
        <v>1817</v>
      </c>
      <c r="J583" t="b">
        <v>1</v>
      </c>
      <c r="K583" t="s">
        <v>1229</v>
      </c>
      <c r="L583" s="13" t="str">
        <f>HYPERLINK("https://uk1.aconex.co.uk/hub/index.html?mainTarget=%2FSearchControlledDoc%3FSEARCH_ACTION%3D15%26tab%3D0%26searchMode%3D1%26searchQuery%3Ddocno:%22"&amp;RawData[[#This Row],[Document Number]]&amp;"%22%20%2Bcversion%253A1",RawData[[#This Row],[Document Number]])</f>
        <v>FS1018-HEX-ZZ-ZZ-D-C-9025</v>
      </c>
    </row>
    <row r="584" spans="1:12" ht="28.8" x14ac:dyDescent="0.3">
      <c r="A584" t="s">
        <v>1227</v>
      </c>
      <c r="B584" t="s">
        <v>1228</v>
      </c>
      <c r="C584" t="s">
        <v>10</v>
      </c>
      <c r="D584" t="s">
        <v>20</v>
      </c>
      <c r="E584" s="8">
        <v>45741</v>
      </c>
      <c r="F584" s="1" t="s">
        <v>22</v>
      </c>
      <c r="G584" s="1" t="s">
        <v>4</v>
      </c>
      <c r="H584" s="8"/>
      <c r="J584" t="b">
        <v>1</v>
      </c>
      <c r="K584" t="s">
        <v>1229</v>
      </c>
      <c r="L584" s="13" t="str">
        <f>HYPERLINK("https://uk1.aconex.co.uk/hub/index.html?mainTarget=%2FSearchControlledDoc%3FSEARCH_ACTION%3D15%26tab%3D0%26searchMode%3D1%26searchQuery%3Ddocno:%22"&amp;RawData[[#This Row],[Document Number]]&amp;"%22%20%2Bcversion%253A1",RawData[[#This Row],[Document Number]])</f>
        <v>FS1018-HEX-ZZ-ZZ-D-C-9025</v>
      </c>
    </row>
    <row r="585" spans="1:12" ht="43.2" x14ac:dyDescent="0.3">
      <c r="A585" t="s">
        <v>1230</v>
      </c>
      <c r="B585" t="s">
        <v>1231</v>
      </c>
      <c r="C585" t="s">
        <v>11</v>
      </c>
      <c r="D585" t="s">
        <v>20</v>
      </c>
      <c r="E585" s="8">
        <v>45729</v>
      </c>
      <c r="F585" s="1" t="s">
        <v>12</v>
      </c>
      <c r="G585" s="1" t="s">
        <v>21</v>
      </c>
      <c r="H585" s="8">
        <v>45744</v>
      </c>
      <c r="I585" s="1" t="s">
        <v>1823</v>
      </c>
      <c r="J585" t="b">
        <v>1</v>
      </c>
      <c r="K585" t="s">
        <v>1232</v>
      </c>
      <c r="L585" s="13" t="str">
        <f>HYPERLINK("https://uk1.aconex.co.uk/hub/index.html?mainTarget=%2FSearchControlledDoc%3FSEARCH_ACTION%3D15%26tab%3D0%26searchMode%3D1%26searchQuery%3Ddocno:%22"&amp;RawData[[#This Row],[Document Number]]&amp;"%22%20%2Bcversion%253A1",RawData[[#This Row],[Document Number]])</f>
        <v>FS1018-HEX-ZZ-ZZ-D-S-0501</v>
      </c>
    </row>
    <row r="586" spans="1:12" ht="28.8" x14ac:dyDescent="0.3">
      <c r="A586" t="s">
        <v>1230</v>
      </c>
      <c r="B586" t="s">
        <v>1231</v>
      </c>
      <c r="C586" t="s">
        <v>11</v>
      </c>
      <c r="D586" t="s">
        <v>20</v>
      </c>
      <c r="E586" s="8">
        <v>45744</v>
      </c>
      <c r="F586" s="1" t="s">
        <v>22</v>
      </c>
      <c r="G586" s="1" t="s">
        <v>4</v>
      </c>
      <c r="H586" s="8"/>
      <c r="J586" t="b">
        <v>1</v>
      </c>
      <c r="K586" t="s">
        <v>1232</v>
      </c>
      <c r="L586" s="13" t="str">
        <f>HYPERLINK("https://uk1.aconex.co.uk/hub/index.html?mainTarget=%2FSearchControlledDoc%3FSEARCH_ACTION%3D15%26tab%3D0%26searchMode%3D1%26searchQuery%3Ddocno:%22"&amp;RawData[[#This Row],[Document Number]]&amp;"%22%20%2Bcversion%253A1",RawData[[#This Row],[Document Number]])</f>
        <v>FS1018-HEX-ZZ-ZZ-D-S-0501</v>
      </c>
    </row>
    <row r="587" spans="1:12" ht="43.2" x14ac:dyDescent="0.3">
      <c r="A587" t="s">
        <v>1233</v>
      </c>
      <c r="B587" t="s">
        <v>1234</v>
      </c>
      <c r="C587" t="s">
        <v>11</v>
      </c>
      <c r="D587" t="s">
        <v>20</v>
      </c>
      <c r="E587" s="8">
        <v>45729</v>
      </c>
      <c r="F587" s="1" t="s">
        <v>12</v>
      </c>
      <c r="G587" s="1" t="s">
        <v>21</v>
      </c>
      <c r="H587" s="8">
        <v>45744</v>
      </c>
      <c r="I587" s="1" t="s">
        <v>1823</v>
      </c>
      <c r="J587" t="b">
        <v>1</v>
      </c>
      <c r="K587" t="s">
        <v>1235</v>
      </c>
      <c r="L587" s="13" t="str">
        <f>HYPERLINK("https://uk1.aconex.co.uk/hub/index.html?mainTarget=%2FSearchControlledDoc%3FSEARCH_ACTION%3D15%26tab%3D0%26searchMode%3D1%26searchQuery%3Ddocno:%22"&amp;RawData[[#This Row],[Document Number]]&amp;"%22%20%2Bcversion%253A1",RawData[[#This Row],[Document Number]])</f>
        <v>FS1018-HEX-ZZ-ZZ-D-S-0502</v>
      </c>
    </row>
    <row r="588" spans="1:12" ht="28.8" x14ac:dyDescent="0.3">
      <c r="A588" t="s">
        <v>1233</v>
      </c>
      <c r="B588" t="s">
        <v>1234</v>
      </c>
      <c r="C588" t="s">
        <v>11</v>
      </c>
      <c r="D588" t="s">
        <v>20</v>
      </c>
      <c r="E588" s="8">
        <v>45744</v>
      </c>
      <c r="F588" s="1" t="s">
        <v>22</v>
      </c>
      <c r="G588" s="1" t="s">
        <v>4</v>
      </c>
      <c r="H588" s="8"/>
      <c r="J588" t="b">
        <v>1</v>
      </c>
      <c r="K588" t="s">
        <v>1235</v>
      </c>
      <c r="L588" s="13" t="str">
        <f>HYPERLINK("https://uk1.aconex.co.uk/hub/index.html?mainTarget=%2FSearchControlledDoc%3FSEARCH_ACTION%3D15%26tab%3D0%26searchMode%3D1%26searchQuery%3Ddocno:%22"&amp;RawData[[#This Row],[Document Number]]&amp;"%22%20%2Bcversion%253A1",RawData[[#This Row],[Document Number]])</f>
        <v>FS1018-HEX-ZZ-ZZ-D-S-0502</v>
      </c>
    </row>
    <row r="589" spans="1:12" ht="43.2" x14ac:dyDescent="0.3">
      <c r="A589" t="s">
        <v>1236</v>
      </c>
      <c r="B589" t="s">
        <v>1237</v>
      </c>
      <c r="C589" t="s">
        <v>11</v>
      </c>
      <c r="D589" t="s">
        <v>20</v>
      </c>
      <c r="E589" s="8">
        <v>45729</v>
      </c>
      <c r="F589" s="1" t="s">
        <v>12</v>
      </c>
      <c r="G589" s="1" t="s">
        <v>21</v>
      </c>
      <c r="H589" s="8">
        <v>45744</v>
      </c>
      <c r="I589" s="1" t="s">
        <v>1823</v>
      </c>
      <c r="J589" t="b">
        <v>1</v>
      </c>
      <c r="K589" t="s">
        <v>1238</v>
      </c>
      <c r="L589" s="13" t="str">
        <f>HYPERLINK("https://uk1.aconex.co.uk/hub/index.html?mainTarget=%2FSearchControlledDoc%3FSEARCH_ACTION%3D15%26tab%3D0%26searchMode%3D1%26searchQuery%3Ddocno:%22"&amp;RawData[[#This Row],[Document Number]]&amp;"%22%20%2Bcversion%253A1",RawData[[#This Row],[Document Number]])</f>
        <v>FS1018-HEX-ZZ-ZZ-D-S-0503</v>
      </c>
    </row>
    <row r="590" spans="1:12" ht="28.8" x14ac:dyDescent="0.3">
      <c r="A590" t="s">
        <v>1236</v>
      </c>
      <c r="B590" t="s">
        <v>1237</v>
      </c>
      <c r="C590" t="s">
        <v>11</v>
      </c>
      <c r="D590" t="s">
        <v>20</v>
      </c>
      <c r="E590" s="8">
        <v>45744</v>
      </c>
      <c r="F590" s="1" t="s">
        <v>22</v>
      </c>
      <c r="G590" s="1" t="s">
        <v>4</v>
      </c>
      <c r="H590" s="8"/>
      <c r="J590" t="b">
        <v>1</v>
      </c>
      <c r="K590" t="s">
        <v>1238</v>
      </c>
      <c r="L590" s="13" t="str">
        <f>HYPERLINK("https://uk1.aconex.co.uk/hub/index.html?mainTarget=%2FSearchControlledDoc%3FSEARCH_ACTION%3D15%26tab%3D0%26searchMode%3D1%26searchQuery%3Ddocno:%22"&amp;RawData[[#This Row],[Document Number]]&amp;"%22%20%2Bcversion%253A1",RawData[[#This Row],[Document Number]])</f>
        <v>FS1018-HEX-ZZ-ZZ-D-S-0503</v>
      </c>
    </row>
    <row r="591" spans="1:12" ht="86.4" x14ac:dyDescent="0.3">
      <c r="A591" t="s">
        <v>1239</v>
      </c>
      <c r="B591" t="s">
        <v>1240</v>
      </c>
      <c r="C591" t="s">
        <v>11</v>
      </c>
      <c r="D591" t="s">
        <v>20</v>
      </c>
      <c r="E591" s="8">
        <v>45729</v>
      </c>
      <c r="F591" s="1" t="s">
        <v>12</v>
      </c>
      <c r="G591" s="1" t="s">
        <v>21</v>
      </c>
      <c r="H591" s="8">
        <v>45744</v>
      </c>
      <c r="I591" s="1" t="s">
        <v>1825</v>
      </c>
      <c r="J591" t="b">
        <v>1</v>
      </c>
      <c r="K591" t="s">
        <v>1241</v>
      </c>
      <c r="L591" s="13" t="str">
        <f>HYPERLINK("https://uk1.aconex.co.uk/hub/index.html?mainTarget=%2FSearchControlledDoc%3FSEARCH_ACTION%3D15%26tab%3D0%26searchMode%3D1%26searchQuery%3Ddocno:%22"&amp;RawData[[#This Row],[Document Number]]&amp;"%22%20%2Bcversion%253A1",RawData[[#This Row],[Document Number]])</f>
        <v>FS1018-HEX-ZZ-ZZ-D-S-0601</v>
      </c>
    </row>
    <row r="592" spans="1:12" ht="28.8" x14ac:dyDescent="0.3">
      <c r="A592" t="s">
        <v>1239</v>
      </c>
      <c r="B592" t="s">
        <v>1240</v>
      </c>
      <c r="C592" t="s">
        <v>11</v>
      </c>
      <c r="D592" t="s">
        <v>20</v>
      </c>
      <c r="E592" s="8">
        <v>45744</v>
      </c>
      <c r="F592" s="1" t="s">
        <v>22</v>
      </c>
      <c r="G592" s="1" t="s">
        <v>4</v>
      </c>
      <c r="H592" s="8"/>
      <c r="J592" t="b">
        <v>1</v>
      </c>
      <c r="K592" t="s">
        <v>1241</v>
      </c>
      <c r="L592" s="13" t="str">
        <f>HYPERLINK("https://uk1.aconex.co.uk/hub/index.html?mainTarget=%2FSearchControlledDoc%3FSEARCH_ACTION%3D15%26tab%3D0%26searchMode%3D1%26searchQuery%3Ddocno:%22"&amp;RawData[[#This Row],[Document Number]]&amp;"%22%20%2Bcversion%253A1",RawData[[#This Row],[Document Number]])</f>
        <v>FS1018-HEX-ZZ-ZZ-D-S-0601</v>
      </c>
    </row>
    <row r="593" spans="1:12" ht="388.8" x14ac:dyDescent="0.3">
      <c r="A593" t="s">
        <v>1242</v>
      </c>
      <c r="B593" t="s">
        <v>1243</v>
      </c>
      <c r="C593" t="s">
        <v>11</v>
      </c>
      <c r="D593" t="s">
        <v>20</v>
      </c>
      <c r="E593" s="8">
        <v>45729</v>
      </c>
      <c r="F593" s="1" t="s">
        <v>12</v>
      </c>
      <c r="G593" s="1" t="s">
        <v>21</v>
      </c>
      <c r="H593" s="8">
        <v>45744</v>
      </c>
      <c r="I593" s="1" t="s">
        <v>1826</v>
      </c>
      <c r="J593" t="b">
        <v>1</v>
      </c>
      <c r="K593" t="s">
        <v>1244</v>
      </c>
      <c r="L593" s="13" t="str">
        <f>HYPERLINK("https://uk1.aconex.co.uk/hub/index.html?mainTarget=%2FSearchControlledDoc%3FSEARCH_ACTION%3D15%26tab%3D0%26searchMode%3D1%26searchQuery%3Ddocno:%22"&amp;RawData[[#This Row],[Document Number]]&amp;"%22%20%2Bcversion%253A1",RawData[[#This Row],[Document Number]])</f>
        <v>FS1018-HEX-ZZ-ZZ-D-S-0602</v>
      </c>
    </row>
    <row r="594" spans="1:12" ht="28.8" x14ac:dyDescent="0.3">
      <c r="A594" t="s">
        <v>1242</v>
      </c>
      <c r="B594" t="s">
        <v>1243</v>
      </c>
      <c r="C594" t="s">
        <v>11</v>
      </c>
      <c r="D594" t="s">
        <v>20</v>
      </c>
      <c r="E594" s="8">
        <v>45744</v>
      </c>
      <c r="F594" s="1" t="s">
        <v>22</v>
      </c>
      <c r="G594" s="1" t="s">
        <v>4</v>
      </c>
      <c r="H594" s="8"/>
      <c r="J594" t="b">
        <v>1</v>
      </c>
      <c r="K594" t="s">
        <v>1244</v>
      </c>
      <c r="L594" s="13" t="str">
        <f>HYPERLINK("https://uk1.aconex.co.uk/hub/index.html?mainTarget=%2FSearchControlledDoc%3FSEARCH_ACTION%3D15%26tab%3D0%26searchMode%3D1%26searchQuery%3Ddocno:%22"&amp;RawData[[#This Row],[Document Number]]&amp;"%22%20%2Bcversion%253A1",RawData[[#This Row],[Document Number]])</f>
        <v>FS1018-HEX-ZZ-ZZ-D-S-0602</v>
      </c>
    </row>
    <row r="595" spans="1:12" ht="43.2" x14ac:dyDescent="0.3">
      <c r="A595" t="s">
        <v>1245</v>
      </c>
      <c r="B595" t="s">
        <v>1246</v>
      </c>
      <c r="C595" t="s">
        <v>13</v>
      </c>
      <c r="D595" t="s">
        <v>20</v>
      </c>
      <c r="E595" s="8">
        <v>45729</v>
      </c>
      <c r="F595" s="1" t="s">
        <v>12</v>
      </c>
      <c r="G595" s="1" t="s">
        <v>21</v>
      </c>
      <c r="H595" s="8">
        <v>45744</v>
      </c>
      <c r="I595" s="1" t="s">
        <v>1823</v>
      </c>
      <c r="J595" t="b">
        <v>1</v>
      </c>
      <c r="K595" t="s">
        <v>1247</v>
      </c>
      <c r="L595" s="13" t="str">
        <f>HYPERLINK("https://uk1.aconex.co.uk/hub/index.html?mainTarget=%2FSearchControlledDoc%3FSEARCH_ACTION%3D15%26tab%3D0%26searchMode%3D1%26searchQuery%3Ddocno:%22"&amp;RawData[[#This Row],[Document Number]]&amp;"%22%20%2Bcversion%253A1",RawData[[#This Row],[Document Number]])</f>
        <v>FS1018-HEX-ZZ-ZZ-D-S-0801</v>
      </c>
    </row>
    <row r="596" spans="1:12" ht="28.8" x14ac:dyDescent="0.3">
      <c r="A596" t="s">
        <v>1245</v>
      </c>
      <c r="B596" t="s">
        <v>1246</v>
      </c>
      <c r="C596" t="s">
        <v>13</v>
      </c>
      <c r="D596" t="s">
        <v>20</v>
      </c>
      <c r="E596" s="8">
        <v>45744</v>
      </c>
      <c r="F596" s="1" t="s">
        <v>22</v>
      </c>
      <c r="G596" s="1" t="s">
        <v>4</v>
      </c>
      <c r="H596" s="8"/>
      <c r="J596" t="b">
        <v>1</v>
      </c>
      <c r="K596" t="s">
        <v>1247</v>
      </c>
      <c r="L596" s="13" t="str">
        <f>HYPERLINK("https://uk1.aconex.co.uk/hub/index.html?mainTarget=%2FSearchControlledDoc%3FSEARCH_ACTION%3D15%26tab%3D0%26searchMode%3D1%26searchQuery%3Ddocno:%22"&amp;RawData[[#This Row],[Document Number]]&amp;"%22%20%2Bcversion%253A1",RawData[[#This Row],[Document Number]])</f>
        <v>FS1018-HEX-ZZ-ZZ-D-S-0801</v>
      </c>
    </row>
    <row r="597" spans="1:12" ht="57.6" x14ac:dyDescent="0.3">
      <c r="A597" t="s">
        <v>1248</v>
      </c>
      <c r="B597" t="s">
        <v>1249</v>
      </c>
      <c r="C597" t="s">
        <v>10</v>
      </c>
      <c r="D597" t="s">
        <v>20</v>
      </c>
      <c r="E597" s="8">
        <v>45729</v>
      </c>
      <c r="F597" s="1" t="s">
        <v>12</v>
      </c>
      <c r="G597" s="1" t="s">
        <v>21</v>
      </c>
      <c r="H597" s="8">
        <v>45763</v>
      </c>
      <c r="I597" s="1" t="s">
        <v>2047</v>
      </c>
      <c r="J597" t="b">
        <v>1</v>
      </c>
      <c r="K597" t="s">
        <v>1250</v>
      </c>
      <c r="L597" s="13" t="str">
        <f>HYPERLINK("https://uk1.aconex.co.uk/hub/index.html?mainTarget=%2FSearchControlledDoc%3FSEARCH_ACTION%3D15%26tab%3D0%26searchMode%3D1%26searchQuery%3Ddocno:%22"&amp;RawData[[#This Row],[Document Number]]&amp;"%22%20%2Bcversion%253A1",RawData[[#This Row],[Document Number]])</f>
        <v>FS1018-HEX-ZZ-ZZ-M-C-0001</v>
      </c>
    </row>
    <row r="598" spans="1:12" ht="28.8" x14ac:dyDescent="0.3">
      <c r="A598" t="s">
        <v>1248</v>
      </c>
      <c r="B598" t="s">
        <v>1249</v>
      </c>
      <c r="C598" t="s">
        <v>10</v>
      </c>
      <c r="D598" t="s">
        <v>20</v>
      </c>
      <c r="E598" s="8">
        <v>45763</v>
      </c>
      <c r="F598" s="1" t="s">
        <v>22</v>
      </c>
      <c r="G598" s="1" t="s">
        <v>4</v>
      </c>
      <c r="H598" s="8"/>
      <c r="J598" t="b">
        <v>1</v>
      </c>
      <c r="K598" t="s">
        <v>1250</v>
      </c>
      <c r="L598" s="13" t="str">
        <f>HYPERLINK("https://uk1.aconex.co.uk/hub/index.html?mainTarget=%2FSearchControlledDoc%3FSEARCH_ACTION%3D15%26tab%3D0%26searchMode%3D1%26searchQuery%3Ddocno:%22"&amp;RawData[[#This Row],[Document Number]]&amp;"%22%20%2Bcversion%253A1",RawData[[#This Row],[Document Number]])</f>
        <v>FS1018-HEX-ZZ-ZZ-M-C-0001</v>
      </c>
    </row>
    <row r="599" spans="1:12" x14ac:dyDescent="0.3">
      <c r="A599" t="s">
        <v>1251</v>
      </c>
      <c r="B599" t="s">
        <v>1252</v>
      </c>
      <c r="C599" t="s">
        <v>10</v>
      </c>
      <c r="D599" t="s">
        <v>19</v>
      </c>
      <c r="E599" s="8">
        <v>45729</v>
      </c>
      <c r="F599" s="1" t="s">
        <v>12</v>
      </c>
      <c r="G599" s="1" t="s">
        <v>24</v>
      </c>
      <c r="H599" s="8">
        <v>45763</v>
      </c>
      <c r="I599" s="1" t="s">
        <v>1785</v>
      </c>
      <c r="J599" t="b">
        <v>1</v>
      </c>
      <c r="K599" t="s">
        <v>1253</v>
      </c>
      <c r="L599" s="13" t="str">
        <f>HYPERLINK("https://uk1.aconex.co.uk/hub/index.html?mainTarget=%2FSearchControlledDoc%3FSEARCH_ACTION%3D15%26tab%3D0%26searchMode%3D1%26searchQuery%3Ddocno:%22"&amp;RawData[[#This Row],[Document Number]]&amp;"%22%20%2Bcversion%253A1",RawData[[#This Row],[Document Number]])</f>
        <v>FS1018-HEX-ZZ-ZZ-M-C-0002</v>
      </c>
    </row>
    <row r="600" spans="1:12" x14ac:dyDescent="0.3">
      <c r="A600" t="s">
        <v>1254</v>
      </c>
      <c r="B600" t="s">
        <v>1255</v>
      </c>
      <c r="C600" t="s">
        <v>10</v>
      </c>
      <c r="D600" t="s">
        <v>19</v>
      </c>
      <c r="E600" s="8">
        <v>45729</v>
      </c>
      <c r="F600" s="1" t="s">
        <v>12</v>
      </c>
      <c r="G600" s="1" t="s">
        <v>24</v>
      </c>
      <c r="H600" s="8">
        <v>45763</v>
      </c>
      <c r="I600" s="1" t="s">
        <v>1785</v>
      </c>
      <c r="J600" t="b">
        <v>1</v>
      </c>
      <c r="K600" t="s">
        <v>1256</v>
      </c>
      <c r="L600" s="13" t="str">
        <f>HYPERLINK("https://uk1.aconex.co.uk/hub/index.html?mainTarget=%2FSearchControlledDoc%3FSEARCH_ACTION%3D15%26tab%3D0%26searchMode%3D1%26searchQuery%3Ddocno:%22"&amp;RawData[[#This Row],[Document Number]]&amp;"%22%20%2Bcversion%253A1",RawData[[#This Row],[Document Number]])</f>
        <v>FS1018-HEX-ZZ-ZZ-M-C-0003</v>
      </c>
    </row>
    <row r="601" spans="1:12" ht="43.2" x14ac:dyDescent="0.3">
      <c r="A601" t="s">
        <v>1257</v>
      </c>
      <c r="B601" t="s">
        <v>1258</v>
      </c>
      <c r="C601" t="s">
        <v>695</v>
      </c>
      <c r="D601" t="s">
        <v>20</v>
      </c>
      <c r="E601" s="8">
        <v>45729</v>
      </c>
      <c r="F601" s="1" t="s">
        <v>12</v>
      </c>
      <c r="G601" s="1" t="s">
        <v>21</v>
      </c>
      <c r="H601" s="8">
        <v>45763</v>
      </c>
      <c r="I601" s="1" t="s">
        <v>2048</v>
      </c>
      <c r="J601" t="b">
        <v>1</v>
      </c>
      <c r="K601" t="s">
        <v>1259</v>
      </c>
      <c r="L601" s="13" t="str">
        <f>HYPERLINK("https://uk1.aconex.co.uk/hub/index.html?mainTarget=%2FSearchControlledDoc%3FSEARCH_ACTION%3D15%26tab%3D0%26searchMode%3D1%26searchQuery%3Ddocno:%22"&amp;RawData[[#This Row],[Document Number]]&amp;"%22%20%2Bcversion%253A1",RawData[[#This Row],[Document Number]])</f>
        <v>FS1018-HEX-ZZ-ZZ-M-S-0001</v>
      </c>
    </row>
    <row r="602" spans="1:12" ht="28.8" x14ac:dyDescent="0.3">
      <c r="A602" t="s">
        <v>1257</v>
      </c>
      <c r="B602" t="s">
        <v>1258</v>
      </c>
      <c r="C602" t="s">
        <v>695</v>
      </c>
      <c r="D602" t="s">
        <v>20</v>
      </c>
      <c r="E602" s="8">
        <v>45763</v>
      </c>
      <c r="F602" s="1" t="s">
        <v>22</v>
      </c>
      <c r="G602" s="1" t="s">
        <v>4</v>
      </c>
      <c r="H602" s="8"/>
      <c r="J602" t="b">
        <v>1</v>
      </c>
      <c r="K602" t="s">
        <v>1259</v>
      </c>
      <c r="L602" s="13" t="str">
        <f>HYPERLINK("https://uk1.aconex.co.uk/hub/index.html?mainTarget=%2FSearchControlledDoc%3FSEARCH_ACTION%3D15%26tab%3D0%26searchMode%3D1%26searchQuery%3Ddocno:%22"&amp;RawData[[#This Row],[Document Number]]&amp;"%22%20%2Bcversion%253A1",RawData[[#This Row],[Document Number]])</f>
        <v>FS1018-HEX-ZZ-ZZ-M-S-0001</v>
      </c>
    </row>
    <row r="603" spans="1:12" x14ac:dyDescent="0.3">
      <c r="A603" t="s">
        <v>1260</v>
      </c>
      <c r="B603" t="s">
        <v>1261</v>
      </c>
      <c r="C603" t="s">
        <v>695</v>
      </c>
      <c r="D603" t="s">
        <v>19</v>
      </c>
      <c r="E603" s="8">
        <v>45729</v>
      </c>
      <c r="F603" s="1" t="s">
        <v>12</v>
      </c>
      <c r="G603" s="1" t="s">
        <v>24</v>
      </c>
      <c r="H603" s="8">
        <v>45763</v>
      </c>
      <c r="I603" s="1" t="s">
        <v>1785</v>
      </c>
      <c r="J603" t="b">
        <v>1</v>
      </c>
      <c r="K603" t="s">
        <v>1262</v>
      </c>
      <c r="L603" s="13" t="str">
        <f>HYPERLINK("https://uk1.aconex.co.uk/hub/index.html?mainTarget=%2FSearchControlledDoc%3FSEARCH_ACTION%3D15%26tab%3D0%26searchMode%3D1%26searchQuery%3Ddocno:%22"&amp;RawData[[#This Row],[Document Number]]&amp;"%22%20%2Bcversion%253A1",RawData[[#This Row],[Document Number]])</f>
        <v>FS1018-HEX-ZZ-ZZ-M-S-0002</v>
      </c>
    </row>
    <row r="604" spans="1:12" x14ac:dyDescent="0.3">
      <c r="A604" t="s">
        <v>1263</v>
      </c>
      <c r="B604" t="s">
        <v>1264</v>
      </c>
      <c r="C604" t="s">
        <v>695</v>
      </c>
      <c r="D604" t="s">
        <v>19</v>
      </c>
      <c r="E604" s="8">
        <v>45729</v>
      </c>
      <c r="F604" s="1" t="s">
        <v>12</v>
      </c>
      <c r="G604" s="1" t="s">
        <v>24</v>
      </c>
      <c r="H604" s="8">
        <v>45763</v>
      </c>
      <c r="I604" s="1" t="s">
        <v>1785</v>
      </c>
      <c r="J604" t="b">
        <v>1</v>
      </c>
      <c r="K604" t="s">
        <v>1265</v>
      </c>
      <c r="L604" s="13" t="str">
        <f>HYPERLINK("https://uk1.aconex.co.uk/hub/index.html?mainTarget=%2FSearchControlledDoc%3FSEARCH_ACTION%3D15%26tab%3D0%26searchMode%3D1%26searchQuery%3Ddocno:%22"&amp;RawData[[#This Row],[Document Number]]&amp;"%22%20%2Bcversion%253A1",RawData[[#This Row],[Document Number]])</f>
        <v>FS1018-HEX-ZZ-ZZ-M-S-0003</v>
      </c>
    </row>
    <row r="605" spans="1:12" ht="273.60000000000002" x14ac:dyDescent="0.3">
      <c r="A605" t="s">
        <v>1266</v>
      </c>
      <c r="B605" t="s">
        <v>1267</v>
      </c>
      <c r="C605" t="s">
        <v>10</v>
      </c>
      <c r="D605" t="s">
        <v>20</v>
      </c>
      <c r="E605" s="8">
        <v>45729</v>
      </c>
      <c r="F605" s="1" t="s">
        <v>12</v>
      </c>
      <c r="G605" s="1" t="s">
        <v>21</v>
      </c>
      <c r="H605" s="8">
        <v>45741</v>
      </c>
      <c r="I605" s="1" t="s">
        <v>1818</v>
      </c>
      <c r="J605" t="b">
        <v>1</v>
      </c>
      <c r="K605" t="s">
        <v>1268</v>
      </c>
      <c r="L605" s="13" t="str">
        <f>HYPERLINK("https://uk1.aconex.co.uk/hub/index.html?mainTarget=%2FSearchControlledDoc%3FSEARCH_ACTION%3D15%26tab%3D0%26searchMode%3D1%26searchQuery%3Ddocno:%22"&amp;RawData[[#This Row],[Document Number]]&amp;"%22%20%2Bcversion%253A1",RawData[[#This Row],[Document Number]])</f>
        <v>FS1018-HEX-ZZ-ZZ-T-C-0001</v>
      </c>
    </row>
    <row r="606" spans="1:12" ht="28.8" x14ac:dyDescent="0.3">
      <c r="A606" t="s">
        <v>1266</v>
      </c>
      <c r="B606" t="s">
        <v>1267</v>
      </c>
      <c r="C606" t="s">
        <v>10</v>
      </c>
      <c r="D606" t="s">
        <v>20</v>
      </c>
      <c r="E606" s="8">
        <v>45741</v>
      </c>
      <c r="F606" s="1" t="s">
        <v>22</v>
      </c>
      <c r="G606" s="1" t="s">
        <v>4</v>
      </c>
      <c r="H606" s="8"/>
      <c r="J606" t="b">
        <v>1</v>
      </c>
      <c r="K606" t="s">
        <v>1268</v>
      </c>
      <c r="L606" s="13" t="str">
        <f>HYPERLINK("https://uk1.aconex.co.uk/hub/index.html?mainTarget=%2FSearchControlledDoc%3FSEARCH_ACTION%3D15%26tab%3D0%26searchMode%3D1%26searchQuery%3Ddocno:%22"&amp;RawData[[#This Row],[Document Number]]&amp;"%22%20%2Bcversion%253A1",RawData[[#This Row],[Document Number]])</f>
        <v>FS1018-HEX-ZZ-ZZ-T-C-0001</v>
      </c>
    </row>
    <row r="607" spans="1:12" ht="57.6" x14ac:dyDescent="0.3">
      <c r="A607" t="s">
        <v>1269</v>
      </c>
      <c r="B607" t="s">
        <v>1270</v>
      </c>
      <c r="C607" t="s">
        <v>10</v>
      </c>
      <c r="D607" t="s">
        <v>20</v>
      </c>
      <c r="E607" s="8">
        <v>45729</v>
      </c>
      <c r="F607" s="1" t="s">
        <v>12</v>
      </c>
      <c r="G607" s="1" t="s">
        <v>21</v>
      </c>
      <c r="H607" s="8">
        <v>45763</v>
      </c>
      <c r="I607" s="1" t="s">
        <v>2049</v>
      </c>
      <c r="J607" t="b">
        <v>1</v>
      </c>
      <c r="K607" t="s">
        <v>1271</v>
      </c>
      <c r="L607" s="13" t="str">
        <f>HYPERLINK("https://uk1.aconex.co.uk/hub/index.html?mainTarget=%2FSearchControlledDoc%3FSEARCH_ACTION%3D15%26tab%3D0%26searchMode%3D1%26searchQuery%3Ddocno:%22"&amp;RawData[[#This Row],[Document Number]]&amp;"%22%20%2Bcversion%253A1",RawData[[#This Row],[Document Number]])</f>
        <v>FS1018-MAJ-XX-XX-L-X-0090</v>
      </c>
    </row>
    <row r="608" spans="1:12" ht="28.8" x14ac:dyDescent="0.3">
      <c r="A608" t="s">
        <v>1269</v>
      </c>
      <c r="B608" t="s">
        <v>1270</v>
      </c>
      <c r="C608" t="s">
        <v>10</v>
      </c>
      <c r="D608" t="s">
        <v>20</v>
      </c>
      <c r="E608" s="8">
        <v>45763</v>
      </c>
      <c r="F608" s="1" t="s">
        <v>22</v>
      </c>
      <c r="G608" s="1" t="s">
        <v>4</v>
      </c>
      <c r="H608" s="8"/>
      <c r="J608" t="b">
        <v>1</v>
      </c>
      <c r="K608" t="s">
        <v>1271</v>
      </c>
      <c r="L608" s="13" t="str">
        <f>HYPERLINK("https://uk1.aconex.co.uk/hub/index.html?mainTarget=%2FSearchControlledDoc%3FSEARCH_ACTION%3D15%26tab%3D0%26searchMode%3D1%26searchQuery%3Ddocno:%22"&amp;RawData[[#This Row],[Document Number]]&amp;"%22%20%2Bcversion%253A1",RawData[[#This Row],[Document Number]])</f>
        <v>FS1018-MAJ-XX-XX-L-X-0090</v>
      </c>
    </row>
    <row r="609" spans="1:12" ht="288" x14ac:dyDescent="0.3">
      <c r="A609" t="s">
        <v>1272</v>
      </c>
      <c r="B609" t="s">
        <v>1273</v>
      </c>
      <c r="C609" t="s">
        <v>10</v>
      </c>
      <c r="D609" t="s">
        <v>20</v>
      </c>
      <c r="E609" s="8">
        <v>45729</v>
      </c>
      <c r="F609" s="1" t="s">
        <v>12</v>
      </c>
      <c r="G609" s="1" t="s">
        <v>21</v>
      </c>
      <c r="H609" s="8">
        <v>45758</v>
      </c>
      <c r="I609" s="1" t="s">
        <v>2017</v>
      </c>
      <c r="J609" t="b">
        <v>1</v>
      </c>
      <c r="K609" t="s">
        <v>1274</v>
      </c>
      <c r="L609" s="13" t="str">
        <f>HYPERLINK("https://uk1.aconex.co.uk/hub/index.html?mainTarget=%2FSearchControlledDoc%3FSEARCH_ACTION%3D15%26tab%3D0%26searchMode%3D1%26searchQuery%3Ddocno:%22"&amp;RawData[[#This Row],[Document Number]]&amp;"%22%20%2Bcversion%253A1",RawData[[#This Row],[Document Number]])</f>
        <v>FS1018-MAJ-XX-XX-L-X-8001</v>
      </c>
    </row>
    <row r="610" spans="1:12" ht="28.8" x14ac:dyDescent="0.3">
      <c r="A610" t="s">
        <v>1272</v>
      </c>
      <c r="B610" t="s">
        <v>1273</v>
      </c>
      <c r="C610" t="s">
        <v>10</v>
      </c>
      <c r="D610" t="s">
        <v>20</v>
      </c>
      <c r="E610" s="8">
        <v>45758</v>
      </c>
      <c r="F610" s="1" t="s">
        <v>22</v>
      </c>
      <c r="G610" s="1" t="s">
        <v>4</v>
      </c>
      <c r="H610" s="8"/>
      <c r="J610" t="b">
        <v>1</v>
      </c>
      <c r="K610" t="s">
        <v>1274</v>
      </c>
      <c r="L610" s="13" t="str">
        <f>HYPERLINK("https://uk1.aconex.co.uk/hub/index.html?mainTarget=%2FSearchControlledDoc%3FSEARCH_ACTION%3D15%26tab%3D0%26searchMode%3D1%26searchQuery%3Ddocno:%22"&amp;RawData[[#This Row],[Document Number]]&amp;"%22%20%2Bcversion%253A1",RawData[[#This Row],[Document Number]])</f>
        <v>FS1018-MAJ-XX-XX-L-X-8001</v>
      </c>
    </row>
    <row r="611" spans="1:12" ht="86.4" x14ac:dyDescent="0.3">
      <c r="A611" t="s">
        <v>1275</v>
      </c>
      <c r="B611" t="s">
        <v>1276</v>
      </c>
      <c r="C611" t="s">
        <v>10</v>
      </c>
      <c r="D611" t="s">
        <v>20</v>
      </c>
      <c r="E611" s="8">
        <v>45729</v>
      </c>
      <c r="F611" s="1" t="s">
        <v>12</v>
      </c>
      <c r="G611" s="1" t="s">
        <v>21</v>
      </c>
      <c r="H611" s="8">
        <v>45763</v>
      </c>
      <c r="I611" s="1" t="s">
        <v>1952</v>
      </c>
      <c r="J611" t="b">
        <v>1</v>
      </c>
      <c r="K611" t="s">
        <v>1277</v>
      </c>
      <c r="L611" s="13" t="str">
        <f>HYPERLINK("https://uk1.aconex.co.uk/hub/index.html?mainTarget=%2FSearchControlledDoc%3FSEARCH_ACTION%3D15%26tab%3D0%26searchMode%3D1%26searchQuery%3Ddocno:%22"&amp;RawData[[#This Row],[Document Number]]&amp;"%22%20%2Bcversion%253A1",RawData[[#This Row],[Document Number]])</f>
        <v>FS1018-MAJ-XX-XX-L-X-8002</v>
      </c>
    </row>
    <row r="612" spans="1:12" ht="28.8" x14ac:dyDescent="0.3">
      <c r="A612" t="s">
        <v>1275</v>
      </c>
      <c r="B612" t="s">
        <v>1276</v>
      </c>
      <c r="C612" t="s">
        <v>10</v>
      </c>
      <c r="D612" t="s">
        <v>20</v>
      </c>
      <c r="E612" s="8">
        <v>45763</v>
      </c>
      <c r="F612" s="1" t="s">
        <v>22</v>
      </c>
      <c r="G612" s="1" t="s">
        <v>4</v>
      </c>
      <c r="H612" s="8"/>
      <c r="J612" t="b">
        <v>1</v>
      </c>
      <c r="K612" t="s">
        <v>1277</v>
      </c>
      <c r="L612" s="13" t="str">
        <f>HYPERLINK("https://uk1.aconex.co.uk/hub/index.html?mainTarget=%2FSearchControlledDoc%3FSEARCH_ACTION%3D15%26tab%3D0%26searchMode%3D1%26searchQuery%3Ddocno:%22"&amp;RawData[[#This Row],[Document Number]]&amp;"%22%20%2Bcversion%253A1",RawData[[#This Row],[Document Number]])</f>
        <v>FS1018-MAJ-XX-XX-L-X-8002</v>
      </c>
    </row>
    <row r="613" spans="1:12" ht="244.8" x14ac:dyDescent="0.3">
      <c r="A613" t="s">
        <v>1278</v>
      </c>
      <c r="B613" t="s">
        <v>1279</v>
      </c>
      <c r="C613" t="s">
        <v>689</v>
      </c>
      <c r="D613" t="s">
        <v>20</v>
      </c>
      <c r="E613" s="8">
        <v>45729</v>
      </c>
      <c r="F613" s="1" t="s">
        <v>12</v>
      </c>
      <c r="G613" s="1" t="s">
        <v>21</v>
      </c>
      <c r="H613" s="8">
        <v>45763</v>
      </c>
      <c r="I613" s="1" t="s">
        <v>2050</v>
      </c>
      <c r="J613" t="b">
        <v>1</v>
      </c>
      <c r="K613" t="s">
        <v>1280</v>
      </c>
      <c r="L613" s="13" t="str">
        <f>HYPERLINK("https://uk1.aconex.co.uk/hub/index.html?mainTarget=%2FSearchControlledDoc%3FSEARCH_ACTION%3D15%26tab%3D0%26searchMode%3D1%26searchQuery%3Ddocno:%22"&amp;RawData[[#This Row],[Document Number]]&amp;"%22%20%2Bcversion%253A1",RawData[[#This Row],[Document Number]])</f>
        <v>FS1018-MAJ-XX-XX-T-X-0001</v>
      </c>
    </row>
    <row r="614" spans="1:12" ht="28.8" x14ac:dyDescent="0.3">
      <c r="A614" t="s">
        <v>1278</v>
      </c>
      <c r="B614" t="s">
        <v>1279</v>
      </c>
      <c r="C614" t="s">
        <v>689</v>
      </c>
      <c r="D614" t="s">
        <v>20</v>
      </c>
      <c r="E614" s="8">
        <v>45763</v>
      </c>
      <c r="F614" s="1" t="s">
        <v>22</v>
      </c>
      <c r="G614" s="1" t="s">
        <v>4</v>
      </c>
      <c r="H614" s="8"/>
      <c r="J614" t="b">
        <v>1</v>
      </c>
      <c r="K614" t="s">
        <v>1280</v>
      </c>
      <c r="L614" s="13" t="str">
        <f>HYPERLINK("https://uk1.aconex.co.uk/hub/index.html?mainTarget=%2FSearchControlledDoc%3FSEARCH_ACTION%3D15%26tab%3D0%26searchMode%3D1%26searchQuery%3Ddocno:%22"&amp;RawData[[#This Row],[Document Number]]&amp;"%22%20%2Bcversion%253A1",RawData[[#This Row],[Document Number]])</f>
        <v>FS1018-MAJ-XX-XX-T-X-0001</v>
      </c>
    </row>
    <row r="615" spans="1:12" ht="43.2" x14ac:dyDescent="0.3">
      <c r="A615" t="s">
        <v>1281</v>
      </c>
      <c r="B615" t="s">
        <v>1282</v>
      </c>
      <c r="C615" t="s">
        <v>418</v>
      </c>
      <c r="D615" t="s">
        <v>20</v>
      </c>
      <c r="E615" s="8">
        <v>45729</v>
      </c>
      <c r="F615" s="1" t="s">
        <v>12</v>
      </c>
      <c r="G615" s="1" t="s">
        <v>21</v>
      </c>
      <c r="H615" s="8">
        <v>45763</v>
      </c>
      <c r="I615" s="1" t="s">
        <v>2018</v>
      </c>
      <c r="J615" t="b">
        <v>1</v>
      </c>
      <c r="K615" t="s">
        <v>1283</v>
      </c>
      <c r="L615" s="13" t="str">
        <f>HYPERLINK("https://uk1.aconex.co.uk/hub/index.html?mainTarget=%2FSearchControlledDoc%3FSEARCH_ACTION%3D15%26tab%3D0%26searchMode%3D1%26searchQuery%3Ddocno:%22"&amp;RawData[[#This Row],[Document Number]]&amp;"%22%20%2Bcversion%253A1",RawData[[#This Row],[Document Number]])</f>
        <v>FS1018-MAJ-XX-XX-T-X-1001</v>
      </c>
    </row>
    <row r="616" spans="1:12" ht="28.8" x14ac:dyDescent="0.3">
      <c r="A616" t="s">
        <v>1281</v>
      </c>
      <c r="B616" t="s">
        <v>1282</v>
      </c>
      <c r="C616" t="s">
        <v>418</v>
      </c>
      <c r="D616" t="s">
        <v>20</v>
      </c>
      <c r="E616" s="8">
        <v>45763</v>
      </c>
      <c r="F616" s="1" t="s">
        <v>22</v>
      </c>
      <c r="G616" s="1" t="s">
        <v>4</v>
      </c>
      <c r="H616" s="8"/>
      <c r="J616" t="b">
        <v>1</v>
      </c>
      <c r="K616" t="s">
        <v>1283</v>
      </c>
      <c r="L616" s="13" t="str">
        <f>HYPERLINK("https://uk1.aconex.co.uk/hub/index.html?mainTarget=%2FSearchControlledDoc%3FSEARCH_ACTION%3D15%26tab%3D0%26searchMode%3D1%26searchQuery%3Ddocno:%22"&amp;RawData[[#This Row],[Document Number]]&amp;"%22%20%2Bcversion%253A1",RawData[[#This Row],[Document Number]])</f>
        <v>FS1018-MAJ-XX-XX-T-X-1001</v>
      </c>
    </row>
    <row r="617" spans="1:12" ht="72" x14ac:dyDescent="0.3">
      <c r="A617" t="s">
        <v>1284</v>
      </c>
      <c r="B617" t="s">
        <v>1285</v>
      </c>
      <c r="C617" t="s">
        <v>689</v>
      </c>
      <c r="D617" t="s">
        <v>20</v>
      </c>
      <c r="E617" s="8">
        <v>45729</v>
      </c>
      <c r="F617" s="1" t="s">
        <v>12</v>
      </c>
      <c r="G617" s="1" t="s">
        <v>21</v>
      </c>
      <c r="H617" s="8">
        <v>45758</v>
      </c>
      <c r="I617" s="1" t="s">
        <v>2019</v>
      </c>
      <c r="J617" t="b">
        <v>1</v>
      </c>
      <c r="K617" t="s">
        <v>1286</v>
      </c>
      <c r="L617" s="13" t="str">
        <f>HYPERLINK("https://uk1.aconex.co.uk/hub/index.html?mainTarget=%2FSearchControlledDoc%3FSEARCH_ACTION%3D15%26tab%3D0%26searchMode%3D1%26searchQuery%3Ddocno:%22"&amp;RawData[[#This Row],[Document Number]]&amp;"%22%20%2Bcversion%253A1",RawData[[#This Row],[Document Number]])</f>
        <v>FS1018-MAJ-ZZ-ZZ-M-X-0001</v>
      </c>
    </row>
    <row r="618" spans="1:12" ht="28.8" x14ac:dyDescent="0.3">
      <c r="A618" t="s">
        <v>1284</v>
      </c>
      <c r="B618" t="s">
        <v>1285</v>
      </c>
      <c r="C618" t="s">
        <v>689</v>
      </c>
      <c r="D618" t="s">
        <v>20</v>
      </c>
      <c r="E618" s="8">
        <v>45758</v>
      </c>
      <c r="F618" s="1" t="s">
        <v>22</v>
      </c>
      <c r="G618" s="1" t="s">
        <v>4</v>
      </c>
      <c r="H618" s="8"/>
      <c r="J618" t="b">
        <v>1</v>
      </c>
      <c r="K618" t="s">
        <v>1286</v>
      </c>
      <c r="L618" s="13" t="str">
        <f>HYPERLINK("https://uk1.aconex.co.uk/hub/index.html?mainTarget=%2FSearchControlledDoc%3FSEARCH_ACTION%3D15%26tab%3D0%26searchMode%3D1%26searchQuery%3Ddocno:%22"&amp;RawData[[#This Row],[Document Number]]&amp;"%22%20%2Bcversion%253A1",RawData[[#This Row],[Document Number]])</f>
        <v>FS1018-MAJ-ZZ-ZZ-M-X-0001</v>
      </c>
    </row>
    <row r="619" spans="1:12" ht="100.8" x14ac:dyDescent="0.3">
      <c r="A619" t="s">
        <v>1287</v>
      </c>
      <c r="B619" t="s">
        <v>1288</v>
      </c>
      <c r="C619" t="s">
        <v>835</v>
      </c>
      <c r="D619" t="s">
        <v>20</v>
      </c>
      <c r="E619" s="8">
        <v>45729</v>
      </c>
      <c r="F619" s="1" t="s">
        <v>12</v>
      </c>
      <c r="G619" s="1" t="s">
        <v>1027</v>
      </c>
      <c r="H619" s="8">
        <v>45747</v>
      </c>
      <c r="I619" s="1" t="s">
        <v>1834</v>
      </c>
      <c r="J619" t="b">
        <v>1</v>
      </c>
      <c r="K619" t="s">
        <v>1289</v>
      </c>
      <c r="L619" s="13" t="str">
        <f>HYPERLINK("https://uk1.aconex.co.uk/hub/index.html?mainTarget=%2FSearchControlledDoc%3FSEARCH_ACTION%3D15%26tab%3D0%26searchMode%3D1%26searchQuery%3Ddocno:%22"&amp;RawData[[#This Row],[Document Number]]&amp;"%22%20%2Bcversion%253A1",RawData[[#This Row],[Document Number]])</f>
        <v>FS1018-OFR-XX-ZZ-G-K-0001</v>
      </c>
    </row>
    <row r="620" spans="1:12" ht="273.60000000000002" x14ac:dyDescent="0.3">
      <c r="A620" t="s">
        <v>1287</v>
      </c>
      <c r="B620" t="s">
        <v>1288</v>
      </c>
      <c r="C620" t="s">
        <v>835</v>
      </c>
      <c r="D620" t="s">
        <v>20</v>
      </c>
      <c r="E620" s="8">
        <v>45747</v>
      </c>
      <c r="F620" s="1" t="s">
        <v>22</v>
      </c>
      <c r="G620" s="1" t="s">
        <v>2020</v>
      </c>
      <c r="H620" s="8">
        <v>45751</v>
      </c>
      <c r="I620" s="1" t="s">
        <v>2021</v>
      </c>
      <c r="J620" t="b">
        <v>1</v>
      </c>
      <c r="K620" t="s">
        <v>1289</v>
      </c>
      <c r="L620" s="13" t="str">
        <f>HYPERLINK("https://uk1.aconex.co.uk/hub/index.html?mainTarget=%2FSearchControlledDoc%3FSEARCH_ACTION%3D15%26tab%3D0%26searchMode%3D1%26searchQuery%3Ddocno:%22"&amp;RawData[[#This Row],[Document Number]]&amp;"%22%20%2Bcversion%253A1",RawData[[#This Row],[Document Number]])</f>
        <v>FS1018-OFR-XX-ZZ-G-K-0001</v>
      </c>
    </row>
    <row r="621" spans="1:12" ht="28.8" x14ac:dyDescent="0.3">
      <c r="A621" t="s">
        <v>1287</v>
      </c>
      <c r="B621" t="s">
        <v>1288</v>
      </c>
      <c r="C621" t="s">
        <v>835</v>
      </c>
      <c r="D621" t="s">
        <v>20</v>
      </c>
      <c r="E621" s="8">
        <v>45751</v>
      </c>
      <c r="F621" s="1" t="s">
        <v>2013</v>
      </c>
      <c r="G621" s="1" t="s">
        <v>4</v>
      </c>
      <c r="H621" s="8"/>
      <c r="J621" t="b">
        <v>1</v>
      </c>
      <c r="K621" t="s">
        <v>1289</v>
      </c>
      <c r="L621" s="13" t="str">
        <f>HYPERLINK("https://uk1.aconex.co.uk/hub/index.html?mainTarget=%2FSearchControlledDoc%3FSEARCH_ACTION%3D15%26tab%3D0%26searchMode%3D1%26searchQuery%3Ddocno:%22"&amp;RawData[[#This Row],[Document Number]]&amp;"%22%20%2Bcversion%253A1",RawData[[#This Row],[Document Number]])</f>
        <v>FS1018-OFR-XX-ZZ-G-K-0001</v>
      </c>
    </row>
    <row r="622" spans="1:12" ht="57.6" x14ac:dyDescent="0.3">
      <c r="A622" t="s">
        <v>1290</v>
      </c>
      <c r="B622" t="s">
        <v>685</v>
      </c>
      <c r="C622" t="s">
        <v>418</v>
      </c>
      <c r="D622" t="s">
        <v>20</v>
      </c>
      <c r="E622" s="8">
        <v>45729</v>
      </c>
      <c r="F622" s="1" t="s">
        <v>12</v>
      </c>
      <c r="G622" s="1" t="s">
        <v>21</v>
      </c>
      <c r="H622" s="8">
        <v>45749</v>
      </c>
      <c r="I622" s="1" t="s">
        <v>1932</v>
      </c>
      <c r="J622" t="b">
        <v>1</v>
      </c>
      <c r="K622" t="s">
        <v>1291</v>
      </c>
      <c r="L622" s="13" t="str">
        <f>HYPERLINK("https://uk1.aconex.co.uk/hub/index.html?mainTarget=%2FSearchControlledDoc%3FSEARCH_ACTION%3D15%26tab%3D0%26searchMode%3D1%26searchQuery%3Ddocno:%22"&amp;RawData[[#This Row],[Document Number]]&amp;"%22%20%2Bcversion%253A1",RawData[[#This Row],[Document Number]])</f>
        <v>FS1018-ONE-XX-XX-T-L-0001</v>
      </c>
    </row>
    <row r="623" spans="1:12" ht="28.8" x14ac:dyDescent="0.3">
      <c r="A623" t="s">
        <v>1290</v>
      </c>
      <c r="B623" t="s">
        <v>685</v>
      </c>
      <c r="C623" t="s">
        <v>418</v>
      </c>
      <c r="D623" t="s">
        <v>20</v>
      </c>
      <c r="E623" s="8">
        <v>45749</v>
      </c>
      <c r="F623" s="1" t="s">
        <v>22</v>
      </c>
      <c r="G623" s="1" t="s">
        <v>4</v>
      </c>
      <c r="H623" s="8"/>
      <c r="J623" t="b">
        <v>1</v>
      </c>
      <c r="K623" t="s">
        <v>1291</v>
      </c>
      <c r="L623" s="13" t="str">
        <f>HYPERLINK("https://uk1.aconex.co.uk/hub/index.html?mainTarget=%2FSearchControlledDoc%3FSEARCH_ACTION%3D15%26tab%3D0%26searchMode%3D1%26searchQuery%3Ddocno:%22"&amp;RawData[[#This Row],[Document Number]]&amp;"%22%20%2Bcversion%253A1",RawData[[#This Row],[Document Number]])</f>
        <v>FS1018-ONE-XX-XX-T-L-0001</v>
      </c>
    </row>
    <row r="624" spans="1:12" x14ac:dyDescent="0.3">
      <c r="A624" t="s">
        <v>1292</v>
      </c>
      <c r="B624" t="s">
        <v>1293</v>
      </c>
      <c r="C624" t="s">
        <v>10</v>
      </c>
      <c r="D624" t="s">
        <v>20</v>
      </c>
      <c r="E624" s="8">
        <v>45729</v>
      </c>
      <c r="F624" s="1" t="s">
        <v>12</v>
      </c>
      <c r="G624" s="1" t="s">
        <v>4</v>
      </c>
      <c r="H624" s="8"/>
      <c r="J624" t="b">
        <v>1</v>
      </c>
      <c r="K624" t="s">
        <v>1294</v>
      </c>
      <c r="L624" s="13" t="str">
        <f>HYPERLINK("https://uk1.aconex.co.uk/hub/index.html?mainTarget=%2FSearchControlledDoc%3FSEARCH_ACTION%3D15%26tab%3D0%26searchMode%3D1%26searchQuery%3Ddocno:%22"&amp;RawData[[#This Row],[Document Number]]&amp;"%22%20%2Bcversion%253A1",RawData[[#This Row],[Document Number]])</f>
        <v>FS1018-ONE-XX-XX-T-L-0002</v>
      </c>
    </row>
    <row r="625" spans="1:12" x14ac:dyDescent="0.3">
      <c r="A625" t="s">
        <v>1295</v>
      </c>
      <c r="B625" t="s">
        <v>1296</v>
      </c>
      <c r="C625" t="s">
        <v>835</v>
      </c>
      <c r="D625" t="s">
        <v>19</v>
      </c>
      <c r="E625" s="8">
        <v>45729</v>
      </c>
      <c r="F625" s="1" t="s">
        <v>12</v>
      </c>
      <c r="G625" s="1" t="s">
        <v>24</v>
      </c>
      <c r="H625" s="8">
        <v>45750</v>
      </c>
      <c r="I625" s="1" t="s">
        <v>1785</v>
      </c>
      <c r="J625" t="b">
        <v>1</v>
      </c>
      <c r="K625" t="s">
        <v>1297</v>
      </c>
      <c r="L625" s="13" t="str">
        <f>HYPERLINK("https://uk1.aconex.co.uk/hub/index.html?mainTarget=%2FSearchControlledDoc%3FSEARCH_ACTION%3D15%26tab%3D0%26searchMode%3D1%26searchQuery%3Ddocno:%22"&amp;RawData[[#This Row],[Document Number]]&amp;"%22%20%2Bcversion%253A1",RawData[[#This Row],[Document Number]])</f>
        <v>FS1018-ONE-XX-ZZ-D-L-0001</v>
      </c>
    </row>
    <row r="626" spans="1:12" x14ac:dyDescent="0.3">
      <c r="A626" t="s">
        <v>1298</v>
      </c>
      <c r="B626" t="s">
        <v>1299</v>
      </c>
      <c r="C626" t="s">
        <v>799</v>
      </c>
      <c r="D626" t="s">
        <v>19</v>
      </c>
      <c r="E626" s="8">
        <v>45729</v>
      </c>
      <c r="F626" s="1" t="s">
        <v>12</v>
      </c>
      <c r="G626" s="1" t="s">
        <v>24</v>
      </c>
      <c r="H626" s="8">
        <v>45750</v>
      </c>
      <c r="I626" s="1" t="s">
        <v>1785</v>
      </c>
      <c r="J626" t="b">
        <v>1</v>
      </c>
      <c r="K626" t="s">
        <v>1300</v>
      </c>
      <c r="L626" s="13" t="str">
        <f>HYPERLINK("https://uk1.aconex.co.uk/hub/index.html?mainTarget=%2FSearchControlledDoc%3FSEARCH_ACTION%3D15%26tab%3D0%26searchMode%3D1%26searchQuery%3Ddocno:%22"&amp;RawData[[#This Row],[Document Number]]&amp;"%22%20%2Bcversion%253A1",RawData[[#This Row],[Document Number]])</f>
        <v>FS1018-ONE-XX-ZZ-D-L-0002</v>
      </c>
    </row>
    <row r="627" spans="1:12" ht="409.6" x14ac:dyDescent="0.3">
      <c r="A627" t="s">
        <v>1301</v>
      </c>
      <c r="B627" t="s">
        <v>1302</v>
      </c>
      <c r="C627" t="s">
        <v>1304</v>
      </c>
      <c r="D627" t="s">
        <v>20</v>
      </c>
      <c r="E627" s="8">
        <v>45729</v>
      </c>
      <c r="F627" s="1" t="s">
        <v>12</v>
      </c>
      <c r="G627" s="1" t="s">
        <v>21</v>
      </c>
      <c r="H627" s="8">
        <v>45750</v>
      </c>
      <c r="I627" s="1" t="s">
        <v>2022</v>
      </c>
      <c r="J627" t="b">
        <v>1</v>
      </c>
      <c r="K627" t="s">
        <v>1303</v>
      </c>
      <c r="L627" s="13" t="str">
        <f>HYPERLINK("https://uk1.aconex.co.uk/hub/index.html?mainTarget=%2FSearchControlledDoc%3FSEARCH_ACTION%3D15%26tab%3D0%26searchMode%3D1%26searchQuery%3Ddocno:%22"&amp;RawData[[#This Row],[Document Number]]&amp;"%22%20%2Bcversion%253A1",RawData[[#This Row],[Document Number]])</f>
        <v>FS1018-ONE-XX-ZZ-D-L-0003</v>
      </c>
    </row>
    <row r="628" spans="1:12" ht="28.8" x14ac:dyDescent="0.3">
      <c r="A628" t="s">
        <v>1301</v>
      </c>
      <c r="B628" t="s">
        <v>1302</v>
      </c>
      <c r="C628" t="s">
        <v>1304</v>
      </c>
      <c r="D628" t="s">
        <v>20</v>
      </c>
      <c r="E628" s="8">
        <v>45750</v>
      </c>
      <c r="F628" s="1" t="s">
        <v>22</v>
      </c>
      <c r="G628" s="1" t="s">
        <v>4</v>
      </c>
      <c r="H628" s="8"/>
      <c r="J628" t="b">
        <v>1</v>
      </c>
      <c r="K628" t="s">
        <v>1303</v>
      </c>
      <c r="L628" s="13" t="str">
        <f>HYPERLINK("https://uk1.aconex.co.uk/hub/index.html?mainTarget=%2FSearchControlledDoc%3FSEARCH_ACTION%3D15%26tab%3D0%26searchMode%3D1%26searchQuery%3Ddocno:%22"&amp;RawData[[#This Row],[Document Number]]&amp;"%22%20%2Bcversion%253A1",RawData[[#This Row],[Document Number]])</f>
        <v>FS1018-ONE-XX-ZZ-D-L-0003</v>
      </c>
    </row>
    <row r="629" spans="1:12" ht="316.8" x14ac:dyDescent="0.3">
      <c r="A629" t="s">
        <v>1305</v>
      </c>
      <c r="B629" t="s">
        <v>1306</v>
      </c>
      <c r="C629" t="s">
        <v>799</v>
      </c>
      <c r="D629" t="s">
        <v>20</v>
      </c>
      <c r="E629" s="8">
        <v>45729</v>
      </c>
      <c r="F629" s="1" t="s">
        <v>12</v>
      </c>
      <c r="G629" s="1" t="s">
        <v>21</v>
      </c>
      <c r="H629" s="8">
        <v>45750</v>
      </c>
      <c r="I629" s="1" t="s">
        <v>2023</v>
      </c>
      <c r="J629" t="b">
        <v>1</v>
      </c>
      <c r="K629" t="s">
        <v>1307</v>
      </c>
      <c r="L629" s="13" t="str">
        <f>HYPERLINK("https://uk1.aconex.co.uk/hub/index.html?mainTarget=%2FSearchControlledDoc%3FSEARCH_ACTION%3D15%26tab%3D0%26searchMode%3D1%26searchQuery%3Ddocno:%22"&amp;RawData[[#This Row],[Document Number]]&amp;"%22%20%2Bcversion%253A1",RawData[[#This Row],[Document Number]])</f>
        <v>FS1018-ONE-XX-ZZ-D-L-0004</v>
      </c>
    </row>
    <row r="630" spans="1:12" ht="28.8" x14ac:dyDescent="0.3">
      <c r="A630" t="s">
        <v>1305</v>
      </c>
      <c r="B630" t="s">
        <v>1306</v>
      </c>
      <c r="C630" t="s">
        <v>799</v>
      </c>
      <c r="D630" t="s">
        <v>20</v>
      </c>
      <c r="E630" s="8">
        <v>45750</v>
      </c>
      <c r="F630" s="1" t="s">
        <v>22</v>
      </c>
      <c r="G630" s="1" t="s">
        <v>4</v>
      </c>
      <c r="H630" s="8"/>
      <c r="J630" t="b">
        <v>1</v>
      </c>
      <c r="K630" t="s">
        <v>1307</v>
      </c>
      <c r="L630" s="13" t="str">
        <f>HYPERLINK("https://uk1.aconex.co.uk/hub/index.html?mainTarget=%2FSearchControlledDoc%3FSEARCH_ACTION%3D15%26tab%3D0%26searchMode%3D1%26searchQuery%3Ddocno:%22"&amp;RawData[[#This Row],[Document Number]]&amp;"%22%20%2Bcversion%253A1",RawData[[#This Row],[Document Number]])</f>
        <v>FS1018-ONE-XX-ZZ-D-L-0004</v>
      </c>
    </row>
    <row r="631" spans="1:12" ht="115.2" x14ac:dyDescent="0.3">
      <c r="A631" t="s">
        <v>1308</v>
      </c>
      <c r="B631" t="s">
        <v>1309</v>
      </c>
      <c r="C631" t="s">
        <v>799</v>
      </c>
      <c r="D631" t="s">
        <v>20</v>
      </c>
      <c r="E631" s="8">
        <v>45729</v>
      </c>
      <c r="F631" s="1" t="s">
        <v>12</v>
      </c>
      <c r="G631" s="1" t="s">
        <v>21</v>
      </c>
      <c r="H631" s="8">
        <v>45750</v>
      </c>
      <c r="I631" s="1" t="s">
        <v>2024</v>
      </c>
      <c r="J631" t="b">
        <v>1</v>
      </c>
      <c r="K631" t="s">
        <v>1310</v>
      </c>
      <c r="L631" s="13" t="str">
        <f>HYPERLINK("https://uk1.aconex.co.uk/hub/index.html?mainTarget=%2FSearchControlledDoc%3FSEARCH_ACTION%3D15%26tab%3D0%26searchMode%3D1%26searchQuery%3Ddocno:%22"&amp;RawData[[#This Row],[Document Number]]&amp;"%22%20%2Bcversion%253A1",RawData[[#This Row],[Document Number]])</f>
        <v>FS1018-ONE-XX-ZZ-D-L-0005</v>
      </c>
    </row>
    <row r="632" spans="1:12" ht="28.8" x14ac:dyDescent="0.3">
      <c r="A632" t="s">
        <v>1308</v>
      </c>
      <c r="B632" t="s">
        <v>1309</v>
      </c>
      <c r="C632" t="s">
        <v>799</v>
      </c>
      <c r="D632" t="s">
        <v>20</v>
      </c>
      <c r="E632" s="8">
        <v>45750</v>
      </c>
      <c r="F632" s="1" t="s">
        <v>22</v>
      </c>
      <c r="G632" s="1" t="s">
        <v>4</v>
      </c>
      <c r="H632" s="8"/>
      <c r="J632" t="b">
        <v>1</v>
      </c>
      <c r="K632" t="s">
        <v>1310</v>
      </c>
      <c r="L632" s="13" t="str">
        <f>HYPERLINK("https://uk1.aconex.co.uk/hub/index.html?mainTarget=%2FSearchControlledDoc%3FSEARCH_ACTION%3D15%26tab%3D0%26searchMode%3D1%26searchQuery%3Ddocno:%22"&amp;RawData[[#This Row],[Document Number]]&amp;"%22%20%2Bcversion%253A1",RawData[[#This Row],[Document Number]])</f>
        <v>FS1018-ONE-XX-ZZ-D-L-0005</v>
      </c>
    </row>
    <row r="633" spans="1:12" ht="172.8" x14ac:dyDescent="0.3">
      <c r="A633" t="s">
        <v>1311</v>
      </c>
      <c r="B633" t="s">
        <v>1312</v>
      </c>
      <c r="C633" t="s">
        <v>799</v>
      </c>
      <c r="D633" t="s">
        <v>20</v>
      </c>
      <c r="E633" s="8">
        <v>45729</v>
      </c>
      <c r="F633" s="1" t="s">
        <v>12</v>
      </c>
      <c r="G633" s="1" t="s">
        <v>21</v>
      </c>
      <c r="H633" s="8">
        <v>45750</v>
      </c>
      <c r="I633" s="1" t="s">
        <v>2025</v>
      </c>
      <c r="J633" t="b">
        <v>1</v>
      </c>
      <c r="K633" t="s">
        <v>1313</v>
      </c>
      <c r="L633" s="13" t="str">
        <f>HYPERLINK("https://uk1.aconex.co.uk/hub/index.html?mainTarget=%2FSearchControlledDoc%3FSEARCH_ACTION%3D15%26tab%3D0%26searchMode%3D1%26searchQuery%3Ddocno:%22"&amp;RawData[[#This Row],[Document Number]]&amp;"%22%20%2Bcversion%253A1",RawData[[#This Row],[Document Number]])</f>
        <v>FS1018-ONE-XX-ZZ-D-L-0006</v>
      </c>
    </row>
    <row r="634" spans="1:12" ht="28.8" x14ac:dyDescent="0.3">
      <c r="A634" t="s">
        <v>1311</v>
      </c>
      <c r="B634" t="s">
        <v>1312</v>
      </c>
      <c r="C634" t="s">
        <v>799</v>
      </c>
      <c r="D634" t="s">
        <v>20</v>
      </c>
      <c r="E634" s="8">
        <v>45750</v>
      </c>
      <c r="F634" s="1" t="s">
        <v>22</v>
      </c>
      <c r="G634" s="1" t="s">
        <v>4</v>
      </c>
      <c r="H634" s="8"/>
      <c r="J634" t="b">
        <v>1</v>
      </c>
      <c r="K634" t="s">
        <v>1313</v>
      </c>
      <c r="L634" s="13" t="str">
        <f>HYPERLINK("https://uk1.aconex.co.uk/hub/index.html?mainTarget=%2FSearchControlledDoc%3FSEARCH_ACTION%3D15%26tab%3D0%26searchMode%3D1%26searchQuery%3Ddocno:%22"&amp;RawData[[#This Row],[Document Number]]&amp;"%22%20%2Bcversion%253A1",RawData[[#This Row],[Document Number]])</f>
        <v>FS1018-ONE-XX-ZZ-D-L-0006</v>
      </c>
    </row>
    <row r="635" spans="1:12" ht="129.6" x14ac:dyDescent="0.3">
      <c r="A635" t="s">
        <v>1314</v>
      </c>
      <c r="B635" t="s">
        <v>1315</v>
      </c>
      <c r="C635" t="s">
        <v>799</v>
      </c>
      <c r="D635" t="s">
        <v>20</v>
      </c>
      <c r="E635" s="8">
        <v>45729</v>
      </c>
      <c r="F635" s="1" t="s">
        <v>12</v>
      </c>
      <c r="G635" s="1" t="s">
        <v>21</v>
      </c>
      <c r="H635" s="8">
        <v>45750</v>
      </c>
      <c r="I635" s="1" t="s">
        <v>2026</v>
      </c>
      <c r="J635" t="b">
        <v>1</v>
      </c>
      <c r="K635" t="s">
        <v>1316</v>
      </c>
      <c r="L635" s="13" t="str">
        <f>HYPERLINK("https://uk1.aconex.co.uk/hub/index.html?mainTarget=%2FSearchControlledDoc%3FSEARCH_ACTION%3D15%26tab%3D0%26searchMode%3D1%26searchQuery%3Ddocno:%22"&amp;RawData[[#This Row],[Document Number]]&amp;"%22%20%2Bcversion%253A1",RawData[[#This Row],[Document Number]])</f>
        <v>FS1018-ONE-XX-ZZ-D-L-0007</v>
      </c>
    </row>
    <row r="636" spans="1:12" ht="28.8" x14ac:dyDescent="0.3">
      <c r="A636" t="s">
        <v>1314</v>
      </c>
      <c r="B636" t="s">
        <v>1315</v>
      </c>
      <c r="C636" t="s">
        <v>799</v>
      </c>
      <c r="D636" t="s">
        <v>20</v>
      </c>
      <c r="E636" s="8">
        <v>45750</v>
      </c>
      <c r="F636" s="1" t="s">
        <v>22</v>
      </c>
      <c r="G636" s="1" t="s">
        <v>4</v>
      </c>
      <c r="H636" s="8"/>
      <c r="J636" t="b">
        <v>1</v>
      </c>
      <c r="K636" t="s">
        <v>1316</v>
      </c>
      <c r="L636" s="13" t="str">
        <f>HYPERLINK("https://uk1.aconex.co.uk/hub/index.html?mainTarget=%2FSearchControlledDoc%3FSEARCH_ACTION%3D15%26tab%3D0%26searchMode%3D1%26searchQuery%3Ddocno:%22"&amp;RawData[[#This Row],[Document Number]]&amp;"%22%20%2Bcversion%253A1",RawData[[#This Row],[Document Number]])</f>
        <v>FS1018-ONE-XX-ZZ-D-L-0007</v>
      </c>
    </row>
    <row r="637" spans="1:12" ht="86.4" x14ac:dyDescent="0.3">
      <c r="A637" t="s">
        <v>1317</v>
      </c>
      <c r="B637" t="s">
        <v>1318</v>
      </c>
      <c r="C637" t="s">
        <v>799</v>
      </c>
      <c r="D637" t="s">
        <v>20</v>
      </c>
      <c r="E637" s="8">
        <v>45729</v>
      </c>
      <c r="F637" s="1" t="s">
        <v>12</v>
      </c>
      <c r="G637" s="1" t="s">
        <v>21</v>
      </c>
      <c r="H637" s="8">
        <v>45750</v>
      </c>
      <c r="I637" s="1" t="s">
        <v>2027</v>
      </c>
      <c r="J637" t="b">
        <v>1</v>
      </c>
      <c r="K637" t="s">
        <v>1319</v>
      </c>
      <c r="L637" s="13" t="str">
        <f>HYPERLINK("https://uk1.aconex.co.uk/hub/index.html?mainTarget=%2FSearchControlledDoc%3FSEARCH_ACTION%3D15%26tab%3D0%26searchMode%3D1%26searchQuery%3Ddocno:%22"&amp;RawData[[#This Row],[Document Number]]&amp;"%22%20%2Bcversion%253A1",RawData[[#This Row],[Document Number]])</f>
        <v>FS1018-ONE-XX-ZZ-D-L-0008</v>
      </c>
    </row>
    <row r="638" spans="1:12" ht="28.8" x14ac:dyDescent="0.3">
      <c r="A638" t="s">
        <v>1317</v>
      </c>
      <c r="B638" t="s">
        <v>1318</v>
      </c>
      <c r="C638" t="s">
        <v>799</v>
      </c>
      <c r="D638" t="s">
        <v>20</v>
      </c>
      <c r="E638" s="8">
        <v>45750</v>
      </c>
      <c r="F638" s="1" t="s">
        <v>22</v>
      </c>
      <c r="G638" s="1" t="s">
        <v>4</v>
      </c>
      <c r="H638" s="8"/>
      <c r="J638" t="b">
        <v>1</v>
      </c>
      <c r="K638" t="s">
        <v>1319</v>
      </c>
      <c r="L638" s="13" t="str">
        <f>HYPERLINK("https://uk1.aconex.co.uk/hub/index.html?mainTarget=%2FSearchControlledDoc%3FSEARCH_ACTION%3D15%26tab%3D0%26searchMode%3D1%26searchQuery%3Ddocno:%22"&amp;RawData[[#This Row],[Document Number]]&amp;"%22%20%2Bcversion%253A1",RawData[[#This Row],[Document Number]])</f>
        <v>FS1018-ONE-XX-ZZ-D-L-0008</v>
      </c>
    </row>
    <row r="639" spans="1:12" ht="43.2" x14ac:dyDescent="0.3">
      <c r="A639" t="s">
        <v>1320</v>
      </c>
      <c r="B639" t="s">
        <v>1321</v>
      </c>
      <c r="C639" t="s">
        <v>693</v>
      </c>
      <c r="D639" t="s">
        <v>20</v>
      </c>
      <c r="E639" s="8">
        <v>45729</v>
      </c>
      <c r="F639" s="1" t="s">
        <v>12</v>
      </c>
      <c r="G639" s="1" t="s">
        <v>21</v>
      </c>
      <c r="H639" s="8">
        <v>45750</v>
      </c>
      <c r="I639" s="1" t="s">
        <v>2028</v>
      </c>
      <c r="J639" t="b">
        <v>1</v>
      </c>
      <c r="K639" t="s">
        <v>1322</v>
      </c>
      <c r="L639" s="13" t="str">
        <f>HYPERLINK("https://uk1.aconex.co.uk/hub/index.html?mainTarget=%2FSearchControlledDoc%3FSEARCH_ACTION%3D15%26tab%3D0%26searchMode%3D1%26searchQuery%3Ddocno:%22"&amp;RawData[[#This Row],[Document Number]]&amp;"%22%20%2Bcversion%253A1",RawData[[#This Row],[Document Number]])</f>
        <v>FS1018-ONE-XX-ZZ-D-L-0009</v>
      </c>
    </row>
    <row r="640" spans="1:12" ht="28.8" x14ac:dyDescent="0.3">
      <c r="A640" t="s">
        <v>1320</v>
      </c>
      <c r="B640" t="s">
        <v>1321</v>
      </c>
      <c r="C640" t="s">
        <v>693</v>
      </c>
      <c r="D640" t="s">
        <v>20</v>
      </c>
      <c r="E640" s="8">
        <v>45750</v>
      </c>
      <c r="F640" s="1" t="s">
        <v>22</v>
      </c>
      <c r="G640" s="1" t="s">
        <v>4</v>
      </c>
      <c r="H640" s="8"/>
      <c r="J640" t="b">
        <v>1</v>
      </c>
      <c r="K640" t="s">
        <v>1322</v>
      </c>
      <c r="L640" s="13" t="str">
        <f>HYPERLINK("https://uk1.aconex.co.uk/hub/index.html?mainTarget=%2FSearchControlledDoc%3FSEARCH_ACTION%3D15%26tab%3D0%26searchMode%3D1%26searchQuery%3Ddocno:%22"&amp;RawData[[#This Row],[Document Number]]&amp;"%22%20%2Bcversion%253A1",RawData[[#This Row],[Document Number]])</f>
        <v>FS1018-ONE-XX-ZZ-D-L-0009</v>
      </c>
    </row>
    <row r="641" spans="1:12" ht="144" x14ac:dyDescent="0.3">
      <c r="A641" t="s">
        <v>1323</v>
      </c>
      <c r="B641" t="s">
        <v>825</v>
      </c>
      <c r="C641" t="s">
        <v>689</v>
      </c>
      <c r="D641" t="s">
        <v>20</v>
      </c>
      <c r="E641" s="8">
        <v>45729</v>
      </c>
      <c r="F641" s="1" t="s">
        <v>12</v>
      </c>
      <c r="G641" s="1" t="s">
        <v>21</v>
      </c>
      <c r="H641" s="8">
        <v>45750</v>
      </c>
      <c r="I641" s="1" t="s">
        <v>2029</v>
      </c>
      <c r="J641" t="b">
        <v>1</v>
      </c>
      <c r="K641" t="s">
        <v>1324</v>
      </c>
      <c r="L641" s="13" t="str">
        <f>HYPERLINK("https://uk1.aconex.co.uk/hub/index.html?mainTarget=%2FSearchControlledDoc%3FSEARCH_ACTION%3D15%26tab%3D0%26searchMode%3D1%26searchQuery%3Ddocno:%22"&amp;RawData[[#This Row],[Document Number]]&amp;"%22%20%2Bcversion%253A1",RawData[[#This Row],[Document Number]])</f>
        <v>FS1018-ONE-XX-ZZ-D-L-0010</v>
      </c>
    </row>
    <row r="642" spans="1:12" ht="28.8" x14ac:dyDescent="0.3">
      <c r="A642" t="s">
        <v>1323</v>
      </c>
      <c r="B642" t="s">
        <v>825</v>
      </c>
      <c r="C642" t="s">
        <v>689</v>
      </c>
      <c r="D642" t="s">
        <v>20</v>
      </c>
      <c r="E642" s="8">
        <v>45750</v>
      </c>
      <c r="F642" s="1" t="s">
        <v>22</v>
      </c>
      <c r="G642" s="1" t="s">
        <v>4</v>
      </c>
      <c r="H642" s="8"/>
      <c r="J642" t="b">
        <v>1</v>
      </c>
      <c r="K642" t="s">
        <v>1324</v>
      </c>
      <c r="L642" s="13" t="str">
        <f>HYPERLINK("https://uk1.aconex.co.uk/hub/index.html?mainTarget=%2FSearchControlledDoc%3FSEARCH_ACTION%3D15%26tab%3D0%26searchMode%3D1%26searchQuery%3Ddocno:%22"&amp;RawData[[#This Row],[Document Number]]&amp;"%22%20%2Bcversion%253A1",RawData[[#This Row],[Document Number]])</f>
        <v>FS1018-ONE-XX-ZZ-D-L-0010</v>
      </c>
    </row>
    <row r="643" spans="1:12" ht="57.6" x14ac:dyDescent="0.3">
      <c r="A643" t="s">
        <v>1325</v>
      </c>
      <c r="B643" t="s">
        <v>1326</v>
      </c>
      <c r="C643" t="s">
        <v>799</v>
      </c>
      <c r="D643" t="s">
        <v>20</v>
      </c>
      <c r="E643" s="8">
        <v>45729</v>
      </c>
      <c r="F643" s="1" t="s">
        <v>12</v>
      </c>
      <c r="G643" s="1" t="s">
        <v>21</v>
      </c>
      <c r="H643" s="8">
        <v>45750</v>
      </c>
      <c r="I643" s="1" t="s">
        <v>2030</v>
      </c>
      <c r="J643" t="b">
        <v>1</v>
      </c>
      <c r="K643" t="s">
        <v>1327</v>
      </c>
      <c r="L643" s="13" t="str">
        <f>HYPERLINK("https://uk1.aconex.co.uk/hub/index.html?mainTarget=%2FSearchControlledDoc%3FSEARCH_ACTION%3D15%26tab%3D0%26searchMode%3D1%26searchQuery%3Ddocno:%22"&amp;RawData[[#This Row],[Document Number]]&amp;"%22%20%2Bcversion%253A1",RawData[[#This Row],[Document Number]])</f>
        <v>FS1018-ONE-XX-ZZ-D-L-0011</v>
      </c>
    </row>
    <row r="644" spans="1:12" ht="28.8" x14ac:dyDescent="0.3">
      <c r="A644" t="s">
        <v>1325</v>
      </c>
      <c r="B644" t="s">
        <v>1326</v>
      </c>
      <c r="C644" t="s">
        <v>799</v>
      </c>
      <c r="D644" t="s">
        <v>20</v>
      </c>
      <c r="E644" s="8">
        <v>45750</v>
      </c>
      <c r="F644" s="1" t="s">
        <v>22</v>
      </c>
      <c r="G644" s="1" t="s">
        <v>4</v>
      </c>
      <c r="H644" s="8"/>
      <c r="J644" t="b">
        <v>1</v>
      </c>
      <c r="K644" t="s">
        <v>1327</v>
      </c>
      <c r="L644" s="13" t="str">
        <f>HYPERLINK("https://uk1.aconex.co.uk/hub/index.html?mainTarget=%2FSearchControlledDoc%3FSEARCH_ACTION%3D15%26tab%3D0%26searchMode%3D1%26searchQuery%3Ddocno:%22"&amp;RawData[[#This Row],[Document Number]]&amp;"%22%20%2Bcversion%253A1",RawData[[#This Row],[Document Number]])</f>
        <v>FS1018-ONE-XX-ZZ-D-L-0011</v>
      </c>
    </row>
    <row r="645" spans="1:12" ht="28.8" x14ac:dyDescent="0.3">
      <c r="A645" t="s">
        <v>1328</v>
      </c>
      <c r="B645" t="s">
        <v>1329</v>
      </c>
      <c r="C645" t="s">
        <v>693</v>
      </c>
      <c r="D645" t="s">
        <v>20</v>
      </c>
      <c r="E645" s="8">
        <v>45729</v>
      </c>
      <c r="F645" s="1" t="s">
        <v>12</v>
      </c>
      <c r="G645" s="1" t="s">
        <v>21</v>
      </c>
      <c r="H645" s="8">
        <v>45748</v>
      </c>
      <c r="I645" s="1" t="s">
        <v>1835</v>
      </c>
      <c r="J645" t="b">
        <v>1</v>
      </c>
      <c r="K645" t="s">
        <v>1330</v>
      </c>
      <c r="L645" s="13" t="str">
        <f>HYPERLINK("https://uk1.aconex.co.uk/hub/index.html?mainTarget=%2FSearchControlledDoc%3FSEARCH_ACTION%3D15%26tab%3D0%26searchMode%3D1%26searchQuery%3Ddocno:%22"&amp;RawData[[#This Row],[Document Number]]&amp;"%22%20%2Bcversion%253A1",RawData[[#This Row],[Document Number]])</f>
        <v>FS1018-ONE-XX-ZZ-D-L-0012</v>
      </c>
    </row>
    <row r="646" spans="1:12" ht="28.8" x14ac:dyDescent="0.3">
      <c r="A646" t="s">
        <v>1328</v>
      </c>
      <c r="B646" t="s">
        <v>1329</v>
      </c>
      <c r="C646" t="s">
        <v>693</v>
      </c>
      <c r="D646" t="s">
        <v>20</v>
      </c>
      <c r="E646" s="8">
        <v>45748</v>
      </c>
      <c r="F646" s="1" t="s">
        <v>22</v>
      </c>
      <c r="G646" s="1" t="s">
        <v>4</v>
      </c>
      <c r="H646" s="8"/>
      <c r="J646" t="b">
        <v>1</v>
      </c>
      <c r="K646" t="s">
        <v>1330</v>
      </c>
      <c r="L646" s="13" t="str">
        <f>HYPERLINK("https://uk1.aconex.co.uk/hub/index.html?mainTarget=%2FSearchControlledDoc%3FSEARCH_ACTION%3D15%26tab%3D0%26searchMode%3D1%26searchQuery%3Ddocno:%22"&amp;RawData[[#This Row],[Document Number]]&amp;"%22%20%2Bcversion%253A1",RawData[[#This Row],[Document Number]])</f>
        <v>FS1018-ONE-XX-ZZ-D-L-0012</v>
      </c>
    </row>
    <row r="647" spans="1:12" ht="100.8" x14ac:dyDescent="0.3">
      <c r="A647" t="s">
        <v>1331</v>
      </c>
      <c r="B647" t="s">
        <v>1332</v>
      </c>
      <c r="C647" t="s">
        <v>835</v>
      </c>
      <c r="D647" t="s">
        <v>20</v>
      </c>
      <c r="E647" s="8">
        <v>45729</v>
      </c>
      <c r="F647" s="1" t="s">
        <v>12</v>
      </c>
      <c r="G647" s="1" t="s">
        <v>21</v>
      </c>
      <c r="H647" s="8">
        <v>45750</v>
      </c>
      <c r="I647" s="1" t="s">
        <v>2031</v>
      </c>
      <c r="J647" t="b">
        <v>1</v>
      </c>
      <c r="K647" t="s">
        <v>1333</v>
      </c>
      <c r="L647" s="13" t="str">
        <f>HYPERLINK("https://uk1.aconex.co.uk/hub/index.html?mainTarget=%2FSearchControlledDoc%3FSEARCH_ACTION%3D15%26tab%3D0%26searchMode%3D1%26searchQuery%3Ddocno:%22"&amp;RawData[[#This Row],[Document Number]]&amp;"%22%20%2Bcversion%253A1",RawData[[#This Row],[Document Number]])</f>
        <v>FS1018-ONE-XX-ZZ-D-L-0013</v>
      </c>
    </row>
    <row r="648" spans="1:12" ht="28.8" x14ac:dyDescent="0.3">
      <c r="A648" t="s">
        <v>1331</v>
      </c>
      <c r="B648" t="s">
        <v>1332</v>
      </c>
      <c r="C648" t="s">
        <v>835</v>
      </c>
      <c r="D648" t="s">
        <v>20</v>
      </c>
      <c r="E648" s="8">
        <v>45750</v>
      </c>
      <c r="F648" s="1" t="s">
        <v>22</v>
      </c>
      <c r="G648" s="1" t="s">
        <v>4</v>
      </c>
      <c r="H648" s="8"/>
      <c r="J648" t="b">
        <v>1</v>
      </c>
      <c r="K648" t="s">
        <v>1333</v>
      </c>
      <c r="L648" s="13" t="str">
        <f>HYPERLINK("https://uk1.aconex.co.uk/hub/index.html?mainTarget=%2FSearchControlledDoc%3FSEARCH_ACTION%3D15%26tab%3D0%26searchMode%3D1%26searchQuery%3Ddocno:%22"&amp;RawData[[#This Row],[Document Number]]&amp;"%22%20%2Bcversion%253A1",RawData[[#This Row],[Document Number]])</f>
        <v>FS1018-ONE-XX-ZZ-D-L-0013</v>
      </c>
    </row>
    <row r="649" spans="1:12" ht="100.8" x14ac:dyDescent="0.3">
      <c r="A649" t="s">
        <v>1334</v>
      </c>
      <c r="B649" t="s">
        <v>859</v>
      </c>
      <c r="C649" t="s">
        <v>689</v>
      </c>
      <c r="D649" t="s">
        <v>20</v>
      </c>
      <c r="E649" s="8">
        <v>45729</v>
      </c>
      <c r="F649" s="1" t="s">
        <v>12</v>
      </c>
      <c r="G649" s="1" t="s">
        <v>21</v>
      </c>
      <c r="H649" s="8">
        <v>45750</v>
      </c>
      <c r="I649" s="1" t="s">
        <v>2032</v>
      </c>
      <c r="J649" t="b">
        <v>1</v>
      </c>
      <c r="K649" t="s">
        <v>1335</v>
      </c>
      <c r="L649" s="13" t="str">
        <f>HYPERLINK("https://uk1.aconex.co.uk/hub/index.html?mainTarget=%2FSearchControlledDoc%3FSEARCH_ACTION%3D15%26tab%3D0%26searchMode%3D1%26searchQuery%3Ddocno:%22"&amp;RawData[[#This Row],[Document Number]]&amp;"%22%20%2Bcversion%253A1",RawData[[#This Row],[Document Number]])</f>
        <v>FS1018-ONE-XX-ZZ-D-L-0014</v>
      </c>
    </row>
    <row r="650" spans="1:12" ht="28.8" x14ac:dyDescent="0.3">
      <c r="A650" t="s">
        <v>1334</v>
      </c>
      <c r="B650" t="s">
        <v>859</v>
      </c>
      <c r="C650" t="s">
        <v>689</v>
      </c>
      <c r="D650" t="s">
        <v>20</v>
      </c>
      <c r="E650" s="8">
        <v>45750</v>
      </c>
      <c r="F650" s="1" t="s">
        <v>22</v>
      </c>
      <c r="G650" s="1" t="s">
        <v>4</v>
      </c>
      <c r="H650" s="8"/>
      <c r="J650" t="b">
        <v>1</v>
      </c>
      <c r="K650" t="s">
        <v>1335</v>
      </c>
      <c r="L650" s="13" t="str">
        <f>HYPERLINK("https://uk1.aconex.co.uk/hub/index.html?mainTarget=%2FSearchControlledDoc%3FSEARCH_ACTION%3D15%26tab%3D0%26searchMode%3D1%26searchQuery%3Ddocno:%22"&amp;RawData[[#This Row],[Document Number]]&amp;"%22%20%2Bcversion%253A1",RawData[[#This Row],[Document Number]])</f>
        <v>FS1018-ONE-XX-ZZ-D-L-0014</v>
      </c>
    </row>
    <row r="651" spans="1:12" ht="115.2" x14ac:dyDescent="0.3">
      <c r="A651" t="s">
        <v>1336</v>
      </c>
      <c r="B651" t="s">
        <v>1337</v>
      </c>
      <c r="C651" t="s">
        <v>695</v>
      </c>
      <c r="D651" t="s">
        <v>20</v>
      </c>
      <c r="E651" s="8">
        <v>45729</v>
      </c>
      <c r="F651" s="1" t="s">
        <v>12</v>
      </c>
      <c r="G651" s="1" t="s">
        <v>21</v>
      </c>
      <c r="H651" s="8">
        <v>45750</v>
      </c>
      <c r="I651" s="1" t="s">
        <v>2033</v>
      </c>
      <c r="J651" t="b">
        <v>1</v>
      </c>
      <c r="K651" t="s">
        <v>1338</v>
      </c>
      <c r="L651" s="13" t="str">
        <f>HYPERLINK("https://uk1.aconex.co.uk/hub/index.html?mainTarget=%2FSearchControlledDoc%3FSEARCH_ACTION%3D15%26tab%3D0%26searchMode%3D1%26searchQuery%3Ddocno:%22"&amp;RawData[[#This Row],[Document Number]]&amp;"%22%20%2Bcversion%253A1",RawData[[#This Row],[Document Number]])</f>
        <v>FS1018-ONE-XX-ZZ-D-L-0015</v>
      </c>
    </row>
    <row r="652" spans="1:12" ht="28.8" x14ac:dyDescent="0.3">
      <c r="A652" t="s">
        <v>1336</v>
      </c>
      <c r="B652" t="s">
        <v>1337</v>
      </c>
      <c r="C652" t="s">
        <v>695</v>
      </c>
      <c r="D652" t="s">
        <v>20</v>
      </c>
      <c r="E652" s="8">
        <v>45750</v>
      </c>
      <c r="F652" s="1" t="s">
        <v>22</v>
      </c>
      <c r="G652" s="1" t="s">
        <v>4</v>
      </c>
      <c r="H652" s="8"/>
      <c r="J652" t="b">
        <v>1</v>
      </c>
      <c r="K652" t="s">
        <v>1338</v>
      </c>
      <c r="L652" s="13" t="str">
        <f>HYPERLINK("https://uk1.aconex.co.uk/hub/index.html?mainTarget=%2FSearchControlledDoc%3FSEARCH_ACTION%3D15%26tab%3D0%26searchMode%3D1%26searchQuery%3Ddocno:%22"&amp;RawData[[#This Row],[Document Number]]&amp;"%22%20%2Bcversion%253A1",RawData[[#This Row],[Document Number]])</f>
        <v>FS1018-ONE-XX-ZZ-D-L-0015</v>
      </c>
    </row>
    <row r="653" spans="1:12" ht="86.4" x14ac:dyDescent="0.3">
      <c r="A653" t="s">
        <v>1339</v>
      </c>
      <c r="B653" t="s">
        <v>1340</v>
      </c>
      <c r="C653" t="s">
        <v>11</v>
      </c>
      <c r="D653" t="s">
        <v>20</v>
      </c>
      <c r="E653" s="8">
        <v>45729</v>
      </c>
      <c r="F653" s="1" t="s">
        <v>12</v>
      </c>
      <c r="G653" s="1" t="s">
        <v>21</v>
      </c>
      <c r="H653" s="8">
        <v>45750</v>
      </c>
      <c r="I653" s="1" t="s">
        <v>2034</v>
      </c>
      <c r="J653" t="b">
        <v>1</v>
      </c>
      <c r="K653" t="s">
        <v>1341</v>
      </c>
      <c r="L653" s="13" t="str">
        <f>HYPERLINK("https://uk1.aconex.co.uk/hub/index.html?mainTarget=%2FSearchControlledDoc%3FSEARCH_ACTION%3D15%26tab%3D0%26searchMode%3D1%26searchQuery%3Ddocno:%22"&amp;RawData[[#This Row],[Document Number]]&amp;"%22%20%2Bcversion%253A1",RawData[[#This Row],[Document Number]])</f>
        <v>FS1018-ONE-XX-ZZ-D-L-0017</v>
      </c>
    </row>
    <row r="654" spans="1:12" ht="28.8" x14ac:dyDescent="0.3">
      <c r="A654" t="s">
        <v>1339</v>
      </c>
      <c r="B654" t="s">
        <v>1340</v>
      </c>
      <c r="C654" t="s">
        <v>11</v>
      </c>
      <c r="D654" t="s">
        <v>20</v>
      </c>
      <c r="E654" s="8">
        <v>45750</v>
      </c>
      <c r="F654" s="1" t="s">
        <v>22</v>
      </c>
      <c r="G654" s="1" t="s">
        <v>4</v>
      </c>
      <c r="H654" s="8"/>
      <c r="J654" t="b">
        <v>1</v>
      </c>
      <c r="K654" t="s">
        <v>1341</v>
      </c>
      <c r="L654" s="13" t="str">
        <f>HYPERLINK("https://uk1.aconex.co.uk/hub/index.html?mainTarget=%2FSearchControlledDoc%3FSEARCH_ACTION%3D15%26tab%3D0%26searchMode%3D1%26searchQuery%3Ddocno:%22"&amp;RawData[[#This Row],[Document Number]]&amp;"%22%20%2Bcversion%253A1",RawData[[#This Row],[Document Number]])</f>
        <v>FS1018-ONE-XX-ZZ-D-L-0017</v>
      </c>
    </row>
    <row r="655" spans="1:12" x14ac:dyDescent="0.3">
      <c r="A655" t="s">
        <v>1342</v>
      </c>
      <c r="B655" t="s">
        <v>1343</v>
      </c>
      <c r="C655" t="s">
        <v>10</v>
      </c>
      <c r="D655" t="s">
        <v>19</v>
      </c>
      <c r="E655" s="8">
        <v>45729</v>
      </c>
      <c r="F655" s="1" t="s">
        <v>12</v>
      </c>
      <c r="G655" s="1" t="s">
        <v>24</v>
      </c>
      <c r="H655" s="8">
        <v>45750</v>
      </c>
      <c r="I655" s="1" t="s">
        <v>1785</v>
      </c>
      <c r="J655" t="b">
        <v>1</v>
      </c>
      <c r="K655" t="s">
        <v>1344</v>
      </c>
      <c r="L655" s="13" t="str">
        <f>HYPERLINK("https://uk1.aconex.co.uk/hub/index.html?mainTarget=%2FSearchControlledDoc%3FSEARCH_ACTION%3D15%26tab%3D0%26searchMode%3D1%26searchQuery%3Ddocno:%22"&amp;RawData[[#This Row],[Document Number]]&amp;"%22%20%2Bcversion%253A1",RawData[[#This Row],[Document Number]])</f>
        <v>FS1018-ONE-XX-ZZ-D-L-0021</v>
      </c>
    </row>
    <row r="656" spans="1:12" x14ac:dyDescent="0.3">
      <c r="A656" t="s">
        <v>1345</v>
      </c>
      <c r="B656" t="s">
        <v>1346</v>
      </c>
      <c r="C656" t="s">
        <v>10</v>
      </c>
      <c r="D656" t="s">
        <v>19</v>
      </c>
      <c r="E656" s="8">
        <v>45729</v>
      </c>
      <c r="F656" s="1" t="s">
        <v>12</v>
      </c>
      <c r="G656" s="1" t="s">
        <v>24</v>
      </c>
      <c r="H656" s="8">
        <v>45750</v>
      </c>
      <c r="I656" s="1" t="s">
        <v>1785</v>
      </c>
      <c r="J656" t="b">
        <v>1</v>
      </c>
      <c r="K656" t="s">
        <v>1347</v>
      </c>
      <c r="L656" s="13" t="str">
        <f>HYPERLINK("https://uk1.aconex.co.uk/hub/index.html?mainTarget=%2FSearchControlledDoc%3FSEARCH_ACTION%3D15%26tab%3D0%26searchMode%3D1%26searchQuery%3Ddocno:%22"&amp;RawData[[#This Row],[Document Number]]&amp;"%22%20%2Bcversion%253A1",RawData[[#This Row],[Document Number]])</f>
        <v>FS1018-ONE-XX-ZZ-D-L-0022</v>
      </c>
    </row>
    <row r="657" spans="1:12" x14ac:dyDescent="0.3">
      <c r="A657" t="s">
        <v>1348</v>
      </c>
      <c r="B657" t="s">
        <v>1349</v>
      </c>
      <c r="C657" t="s">
        <v>10</v>
      </c>
      <c r="D657" t="s">
        <v>19</v>
      </c>
      <c r="E657" s="8">
        <v>45729</v>
      </c>
      <c r="F657" s="1" t="s">
        <v>12</v>
      </c>
      <c r="G657" s="1" t="s">
        <v>24</v>
      </c>
      <c r="H657" s="8">
        <v>45750</v>
      </c>
      <c r="I657" s="1" t="s">
        <v>1785</v>
      </c>
      <c r="J657" t="b">
        <v>1</v>
      </c>
      <c r="K657" t="s">
        <v>1350</v>
      </c>
      <c r="L657" s="13" t="str">
        <f>HYPERLINK("https://uk1.aconex.co.uk/hub/index.html?mainTarget=%2FSearchControlledDoc%3FSEARCH_ACTION%3D15%26tab%3D0%26searchMode%3D1%26searchQuery%3Ddocno:%22"&amp;RawData[[#This Row],[Document Number]]&amp;"%22%20%2Bcversion%253A1",RawData[[#This Row],[Document Number]])</f>
        <v>FS1018-ONE-XX-ZZ-D-L-0023</v>
      </c>
    </row>
    <row r="658" spans="1:12" x14ac:dyDescent="0.3">
      <c r="A658" t="s">
        <v>1351</v>
      </c>
      <c r="B658" t="s">
        <v>1352</v>
      </c>
      <c r="C658" t="s">
        <v>10</v>
      </c>
      <c r="D658" t="s">
        <v>19</v>
      </c>
      <c r="E658" s="8">
        <v>45729</v>
      </c>
      <c r="F658" s="1" t="s">
        <v>12</v>
      </c>
      <c r="G658" s="1" t="s">
        <v>24</v>
      </c>
      <c r="H658" s="8">
        <v>45750</v>
      </c>
      <c r="I658" s="1" t="s">
        <v>1785</v>
      </c>
      <c r="J658" t="b">
        <v>1</v>
      </c>
      <c r="K658" t="s">
        <v>1353</v>
      </c>
      <c r="L658" s="13" t="str">
        <f>HYPERLINK("https://uk1.aconex.co.uk/hub/index.html?mainTarget=%2FSearchControlledDoc%3FSEARCH_ACTION%3D15%26tab%3D0%26searchMode%3D1%26searchQuery%3Ddocno:%22"&amp;RawData[[#This Row],[Document Number]]&amp;"%22%20%2Bcversion%253A1",RawData[[#This Row],[Document Number]])</f>
        <v>FS1018-ONE-XX-ZZ-D-L-0024</v>
      </c>
    </row>
    <row r="659" spans="1:12" x14ac:dyDescent="0.3">
      <c r="A659" t="s">
        <v>1354</v>
      </c>
      <c r="B659" t="s">
        <v>1355</v>
      </c>
      <c r="C659" t="s">
        <v>10</v>
      </c>
      <c r="D659" t="s">
        <v>19</v>
      </c>
      <c r="E659" s="8">
        <v>45729</v>
      </c>
      <c r="F659" s="1" t="s">
        <v>12</v>
      </c>
      <c r="G659" s="1" t="s">
        <v>24</v>
      </c>
      <c r="H659" s="8">
        <v>45750</v>
      </c>
      <c r="I659" s="1" t="s">
        <v>1785</v>
      </c>
      <c r="J659" t="b">
        <v>1</v>
      </c>
      <c r="K659" t="s">
        <v>1356</v>
      </c>
      <c r="L659" s="13" t="str">
        <f>HYPERLINK("https://uk1.aconex.co.uk/hub/index.html?mainTarget=%2FSearchControlledDoc%3FSEARCH_ACTION%3D15%26tab%3D0%26searchMode%3D1%26searchQuery%3Ddocno:%22"&amp;RawData[[#This Row],[Document Number]]&amp;"%22%20%2Bcversion%253A1",RawData[[#This Row],[Document Number]])</f>
        <v>FS1018-ONE-XX-ZZ-D-L-0025</v>
      </c>
    </row>
    <row r="660" spans="1:12" ht="144" x14ac:dyDescent="0.3">
      <c r="A660" t="s">
        <v>1357</v>
      </c>
      <c r="B660" t="s">
        <v>1358</v>
      </c>
      <c r="C660" t="s">
        <v>11</v>
      </c>
      <c r="D660" t="s">
        <v>20</v>
      </c>
      <c r="E660" s="8">
        <v>45729</v>
      </c>
      <c r="F660" s="1" t="s">
        <v>12</v>
      </c>
      <c r="G660" s="1" t="s">
        <v>21</v>
      </c>
      <c r="H660" s="8">
        <v>45750</v>
      </c>
      <c r="I660" s="1" t="s">
        <v>2035</v>
      </c>
      <c r="J660" t="b">
        <v>1</v>
      </c>
      <c r="K660" t="s">
        <v>1359</v>
      </c>
      <c r="L660" s="13" t="str">
        <f>HYPERLINK("https://uk1.aconex.co.uk/hub/index.html?mainTarget=%2FSearchControlledDoc%3FSEARCH_ACTION%3D15%26tab%3D0%26searchMode%3D1%26searchQuery%3Ddocno:%22"&amp;RawData[[#This Row],[Document Number]]&amp;"%22%20%2Bcversion%253A1",RawData[[#This Row],[Document Number]])</f>
        <v>FS1018-ONE-XX-ZZ-D-L-0201</v>
      </c>
    </row>
    <row r="661" spans="1:12" ht="28.8" x14ac:dyDescent="0.3">
      <c r="A661" t="s">
        <v>1357</v>
      </c>
      <c r="B661" t="s">
        <v>1358</v>
      </c>
      <c r="C661" t="s">
        <v>11</v>
      </c>
      <c r="D661" t="s">
        <v>20</v>
      </c>
      <c r="E661" s="8">
        <v>45750</v>
      </c>
      <c r="F661" s="1" t="s">
        <v>22</v>
      </c>
      <c r="G661" s="1" t="s">
        <v>4</v>
      </c>
      <c r="H661" s="8"/>
      <c r="J661" t="b">
        <v>1</v>
      </c>
      <c r="K661" t="s">
        <v>1359</v>
      </c>
      <c r="L661" s="13" t="str">
        <f>HYPERLINK("https://uk1.aconex.co.uk/hub/index.html?mainTarget=%2FSearchControlledDoc%3FSEARCH_ACTION%3D15%26tab%3D0%26searchMode%3D1%26searchQuery%3Ddocno:%22"&amp;RawData[[#This Row],[Document Number]]&amp;"%22%20%2Bcversion%253A1",RawData[[#This Row],[Document Number]])</f>
        <v>FS1018-ONE-XX-ZZ-D-L-0201</v>
      </c>
    </row>
    <row r="662" spans="1:12" ht="43.2" x14ac:dyDescent="0.3">
      <c r="A662" t="s">
        <v>1360</v>
      </c>
      <c r="B662" t="s">
        <v>1361</v>
      </c>
      <c r="C662" t="s">
        <v>11</v>
      </c>
      <c r="D662" t="s">
        <v>20</v>
      </c>
      <c r="E662" s="8">
        <v>45729</v>
      </c>
      <c r="F662" s="1" t="s">
        <v>12</v>
      </c>
      <c r="G662" s="1" t="s">
        <v>21</v>
      </c>
      <c r="H662" s="8">
        <v>45750</v>
      </c>
      <c r="I662" s="1" t="s">
        <v>2036</v>
      </c>
      <c r="J662" t="b">
        <v>1</v>
      </c>
      <c r="K662" t="s">
        <v>1362</v>
      </c>
      <c r="L662" s="13" t="str">
        <f>HYPERLINK("https://uk1.aconex.co.uk/hub/index.html?mainTarget=%2FSearchControlledDoc%3FSEARCH_ACTION%3D15%26tab%3D0%26searchMode%3D1%26searchQuery%3Ddocno:%22"&amp;RawData[[#This Row],[Document Number]]&amp;"%22%20%2Bcversion%253A1",RawData[[#This Row],[Document Number]])</f>
        <v>FS1018-ONE-XX-ZZ-D-L-0202</v>
      </c>
    </row>
    <row r="663" spans="1:12" ht="28.8" x14ac:dyDescent="0.3">
      <c r="A663" t="s">
        <v>1360</v>
      </c>
      <c r="B663" t="s">
        <v>1361</v>
      </c>
      <c r="C663" t="s">
        <v>11</v>
      </c>
      <c r="D663" t="s">
        <v>20</v>
      </c>
      <c r="E663" s="8">
        <v>45750</v>
      </c>
      <c r="F663" s="1" t="s">
        <v>22</v>
      </c>
      <c r="G663" s="1" t="s">
        <v>4</v>
      </c>
      <c r="H663" s="8"/>
      <c r="J663" t="b">
        <v>1</v>
      </c>
      <c r="K663" t="s">
        <v>1362</v>
      </c>
      <c r="L663" s="13" t="str">
        <f>HYPERLINK("https://uk1.aconex.co.uk/hub/index.html?mainTarget=%2FSearchControlledDoc%3FSEARCH_ACTION%3D15%26tab%3D0%26searchMode%3D1%26searchQuery%3Ddocno:%22"&amp;RawData[[#This Row],[Document Number]]&amp;"%22%20%2Bcversion%253A1",RawData[[#This Row],[Document Number]])</f>
        <v>FS1018-ONE-XX-ZZ-D-L-0202</v>
      </c>
    </row>
    <row r="664" spans="1:12" ht="72" x14ac:dyDescent="0.3">
      <c r="A664" t="s">
        <v>1363</v>
      </c>
      <c r="B664" t="s">
        <v>1364</v>
      </c>
      <c r="C664" t="s">
        <v>418</v>
      </c>
      <c r="D664" t="s">
        <v>20</v>
      </c>
      <c r="E664" s="8">
        <v>45729</v>
      </c>
      <c r="F664" s="1" t="s">
        <v>12</v>
      </c>
      <c r="G664" s="1" t="s">
        <v>21</v>
      </c>
      <c r="H664" s="8">
        <v>45750</v>
      </c>
      <c r="I664" s="1" t="s">
        <v>2037</v>
      </c>
      <c r="J664" t="b">
        <v>1</v>
      </c>
      <c r="K664" t="s">
        <v>1365</v>
      </c>
      <c r="L664" s="13" t="str">
        <f>HYPERLINK("https://uk1.aconex.co.uk/hub/index.html?mainTarget=%2FSearchControlledDoc%3FSEARCH_ACTION%3D15%26tab%3D0%26searchMode%3D1%26searchQuery%3Ddocno:%22"&amp;RawData[[#This Row],[Document Number]]&amp;"%22%20%2Bcversion%253A1",RawData[[#This Row],[Document Number]])</f>
        <v>FS1018-ONE-XX-ZZ-D-L-0203</v>
      </c>
    </row>
    <row r="665" spans="1:12" ht="28.8" x14ac:dyDescent="0.3">
      <c r="A665" t="s">
        <v>1363</v>
      </c>
      <c r="B665" t="s">
        <v>1364</v>
      </c>
      <c r="C665" t="s">
        <v>418</v>
      </c>
      <c r="D665" t="s">
        <v>20</v>
      </c>
      <c r="E665" s="8">
        <v>45750</v>
      </c>
      <c r="F665" s="1" t="s">
        <v>22</v>
      </c>
      <c r="G665" s="1" t="s">
        <v>4</v>
      </c>
      <c r="H665" s="8"/>
      <c r="J665" t="b">
        <v>1</v>
      </c>
      <c r="K665" t="s">
        <v>1365</v>
      </c>
      <c r="L665" s="13" t="str">
        <f>HYPERLINK("https://uk1.aconex.co.uk/hub/index.html?mainTarget=%2FSearchControlledDoc%3FSEARCH_ACTION%3D15%26tab%3D0%26searchMode%3D1%26searchQuery%3Ddocno:%22"&amp;RawData[[#This Row],[Document Number]]&amp;"%22%20%2Bcversion%253A1",RawData[[#This Row],[Document Number]])</f>
        <v>FS1018-ONE-XX-ZZ-D-L-0203</v>
      </c>
    </row>
    <row r="666" spans="1:12" x14ac:dyDescent="0.3">
      <c r="A666" t="s">
        <v>1366</v>
      </c>
      <c r="B666" t="s">
        <v>1367</v>
      </c>
      <c r="C666" t="s">
        <v>11</v>
      </c>
      <c r="D666" t="s">
        <v>19</v>
      </c>
      <c r="E666" s="8">
        <v>45729</v>
      </c>
      <c r="F666" s="1" t="s">
        <v>12</v>
      </c>
      <c r="G666" s="1" t="s">
        <v>24</v>
      </c>
      <c r="H666" s="8">
        <v>45750</v>
      </c>
      <c r="I666" s="1" t="s">
        <v>1785</v>
      </c>
      <c r="J666" t="b">
        <v>1</v>
      </c>
      <c r="K666" t="s">
        <v>1368</v>
      </c>
      <c r="L666" s="13" t="str">
        <f>HYPERLINK("https://uk1.aconex.co.uk/hub/index.html?mainTarget=%2FSearchControlledDoc%3FSEARCH_ACTION%3D15%26tab%3D0%26searchMode%3D1%26searchQuery%3Ddocno:%22"&amp;RawData[[#This Row],[Document Number]]&amp;"%22%20%2Bcversion%253A1",RawData[[#This Row],[Document Number]])</f>
        <v>FS1018-ONE-XX-ZZ-D-L-0204</v>
      </c>
    </row>
    <row r="667" spans="1:12" ht="43.2" x14ac:dyDescent="0.3">
      <c r="A667" t="s">
        <v>1369</v>
      </c>
      <c r="B667" t="s">
        <v>1370</v>
      </c>
      <c r="C667" t="s">
        <v>418</v>
      </c>
      <c r="D667" t="s">
        <v>20</v>
      </c>
      <c r="E667" s="8">
        <v>45729</v>
      </c>
      <c r="F667" s="1" t="s">
        <v>12</v>
      </c>
      <c r="G667" s="1" t="s">
        <v>21</v>
      </c>
      <c r="H667" s="8">
        <v>45750</v>
      </c>
      <c r="I667" s="1" t="s">
        <v>2038</v>
      </c>
      <c r="J667" t="b">
        <v>1</v>
      </c>
      <c r="K667" t="s">
        <v>1371</v>
      </c>
      <c r="L667" s="13" t="str">
        <f>HYPERLINK("https://uk1.aconex.co.uk/hub/index.html?mainTarget=%2FSearchControlledDoc%3FSEARCH_ACTION%3D15%26tab%3D0%26searchMode%3D1%26searchQuery%3Ddocno:%22"&amp;RawData[[#This Row],[Document Number]]&amp;"%22%20%2Bcversion%253A1",RawData[[#This Row],[Document Number]])</f>
        <v>FS1018-ONE-XX-ZZ-D-L-0205</v>
      </c>
    </row>
    <row r="668" spans="1:12" ht="28.8" x14ac:dyDescent="0.3">
      <c r="A668" t="s">
        <v>1369</v>
      </c>
      <c r="B668" t="s">
        <v>1370</v>
      </c>
      <c r="C668" t="s">
        <v>418</v>
      </c>
      <c r="D668" t="s">
        <v>20</v>
      </c>
      <c r="E668" s="8">
        <v>45750</v>
      </c>
      <c r="F668" s="1" t="s">
        <v>22</v>
      </c>
      <c r="G668" s="1" t="s">
        <v>4</v>
      </c>
      <c r="H668" s="8"/>
      <c r="J668" t="b">
        <v>1</v>
      </c>
      <c r="K668" t="s">
        <v>1371</v>
      </c>
      <c r="L668" s="13" t="str">
        <f>HYPERLINK("https://uk1.aconex.co.uk/hub/index.html?mainTarget=%2FSearchControlledDoc%3FSEARCH_ACTION%3D15%26tab%3D0%26searchMode%3D1%26searchQuery%3Ddocno:%22"&amp;RawData[[#This Row],[Document Number]]&amp;"%22%20%2Bcversion%253A1",RawData[[#This Row],[Document Number]])</f>
        <v>FS1018-ONE-XX-ZZ-D-L-0205</v>
      </c>
    </row>
    <row r="669" spans="1:12" x14ac:dyDescent="0.3">
      <c r="A669" t="s">
        <v>1372</v>
      </c>
      <c r="B669" t="s">
        <v>1373</v>
      </c>
      <c r="C669" t="s">
        <v>799</v>
      </c>
      <c r="D669" t="s">
        <v>19</v>
      </c>
      <c r="E669" s="8">
        <v>45729</v>
      </c>
      <c r="F669" s="1" t="s">
        <v>12</v>
      </c>
      <c r="G669" s="1" t="s">
        <v>24</v>
      </c>
      <c r="H669" s="8">
        <v>45750</v>
      </c>
      <c r="I669" s="1" t="s">
        <v>1785</v>
      </c>
      <c r="J669" t="b">
        <v>1</v>
      </c>
      <c r="K669" t="s">
        <v>1374</v>
      </c>
      <c r="L669" s="13" t="str">
        <f>HYPERLINK("https://uk1.aconex.co.uk/hub/index.html?mainTarget=%2FSearchControlledDoc%3FSEARCH_ACTION%3D15%26tab%3D0%26searchMode%3D1%26searchQuery%3Ddocno:%22"&amp;RawData[[#This Row],[Document Number]]&amp;"%22%20%2Bcversion%253A1",RawData[[#This Row],[Document Number]])</f>
        <v>FS1018-ONE-XX-ZZ-D-L-0401</v>
      </c>
    </row>
    <row r="670" spans="1:12" x14ac:dyDescent="0.3">
      <c r="A670" t="s">
        <v>1375</v>
      </c>
      <c r="B670" t="s">
        <v>1376</v>
      </c>
      <c r="C670" t="s">
        <v>799</v>
      </c>
      <c r="D670" t="s">
        <v>19</v>
      </c>
      <c r="E670" s="8">
        <v>45729</v>
      </c>
      <c r="F670" s="1" t="s">
        <v>12</v>
      </c>
      <c r="G670" s="1" t="s">
        <v>24</v>
      </c>
      <c r="H670" s="8">
        <v>45750</v>
      </c>
      <c r="I670" s="1" t="s">
        <v>1785</v>
      </c>
      <c r="J670" t="b">
        <v>1</v>
      </c>
      <c r="K670" t="s">
        <v>1377</v>
      </c>
      <c r="L670" s="13" t="str">
        <f>HYPERLINK("https://uk1.aconex.co.uk/hub/index.html?mainTarget=%2FSearchControlledDoc%3FSEARCH_ACTION%3D15%26tab%3D0%26searchMode%3D1%26searchQuery%3Ddocno:%22"&amp;RawData[[#This Row],[Document Number]]&amp;"%22%20%2Bcversion%253A1",RawData[[#This Row],[Document Number]])</f>
        <v>FS1018-ONE-XX-ZZ-D-L-0402</v>
      </c>
    </row>
    <row r="671" spans="1:12" x14ac:dyDescent="0.3">
      <c r="A671" t="s">
        <v>1378</v>
      </c>
      <c r="B671" t="s">
        <v>1379</v>
      </c>
      <c r="C671" t="s">
        <v>799</v>
      </c>
      <c r="D671" t="s">
        <v>19</v>
      </c>
      <c r="E671" s="8">
        <v>45729</v>
      </c>
      <c r="F671" s="1" t="s">
        <v>12</v>
      </c>
      <c r="G671" s="1" t="s">
        <v>24</v>
      </c>
      <c r="H671" s="8">
        <v>45750</v>
      </c>
      <c r="I671" s="1" t="s">
        <v>1785</v>
      </c>
      <c r="J671" t="b">
        <v>1</v>
      </c>
      <c r="K671" t="s">
        <v>1380</v>
      </c>
      <c r="L671" s="13" t="str">
        <f>HYPERLINK("https://uk1.aconex.co.uk/hub/index.html?mainTarget=%2FSearchControlledDoc%3FSEARCH_ACTION%3D15%26tab%3D0%26searchMode%3D1%26searchQuery%3Ddocno:%22"&amp;RawData[[#This Row],[Document Number]]&amp;"%22%20%2Bcversion%253A1",RawData[[#This Row],[Document Number]])</f>
        <v>FS1018-ONE-XX-ZZ-D-L-0403</v>
      </c>
    </row>
    <row r="672" spans="1:12" ht="43.2" x14ac:dyDescent="0.3">
      <c r="A672" t="s">
        <v>1381</v>
      </c>
      <c r="B672" t="s">
        <v>1382</v>
      </c>
      <c r="C672" t="s">
        <v>689</v>
      </c>
      <c r="D672" t="s">
        <v>20</v>
      </c>
      <c r="E672" s="8">
        <v>45729</v>
      </c>
      <c r="F672" s="1" t="s">
        <v>12</v>
      </c>
      <c r="G672" s="1" t="s">
        <v>21</v>
      </c>
      <c r="H672" s="8">
        <v>45750</v>
      </c>
      <c r="I672" s="1" t="s">
        <v>2039</v>
      </c>
      <c r="J672" t="b">
        <v>1</v>
      </c>
      <c r="K672" t="s">
        <v>1383</v>
      </c>
      <c r="L672" s="13" t="str">
        <f>HYPERLINK("https://uk1.aconex.co.uk/hub/index.html?mainTarget=%2FSearchControlledDoc%3FSEARCH_ACTION%3D15%26tab%3D0%26searchMode%3D1%26searchQuery%3Ddocno:%22"&amp;RawData[[#This Row],[Document Number]]&amp;"%22%20%2Bcversion%253A1",RawData[[#This Row],[Document Number]])</f>
        <v>FS1018-ONE-XX-ZZ-D-L-0404</v>
      </c>
    </row>
    <row r="673" spans="1:12" ht="28.8" x14ac:dyDescent="0.3">
      <c r="A673" t="s">
        <v>1381</v>
      </c>
      <c r="B673" t="s">
        <v>1382</v>
      </c>
      <c r="C673" t="s">
        <v>689</v>
      </c>
      <c r="D673" t="s">
        <v>20</v>
      </c>
      <c r="E673" s="8">
        <v>45750</v>
      </c>
      <c r="F673" s="1" t="s">
        <v>22</v>
      </c>
      <c r="G673" s="1" t="s">
        <v>4</v>
      </c>
      <c r="H673" s="8"/>
      <c r="J673" t="b">
        <v>1</v>
      </c>
      <c r="K673" t="s">
        <v>1383</v>
      </c>
      <c r="L673" s="13" t="str">
        <f>HYPERLINK("https://uk1.aconex.co.uk/hub/index.html?mainTarget=%2FSearchControlledDoc%3FSEARCH_ACTION%3D15%26tab%3D0%26searchMode%3D1%26searchQuery%3Ddocno:%22"&amp;RawData[[#This Row],[Document Number]]&amp;"%22%20%2Bcversion%253A1",RawData[[#This Row],[Document Number]])</f>
        <v>FS1018-ONE-XX-ZZ-D-L-0404</v>
      </c>
    </row>
    <row r="674" spans="1:12" ht="43.2" x14ac:dyDescent="0.3">
      <c r="A674" t="s">
        <v>1384</v>
      </c>
      <c r="B674" t="s">
        <v>1385</v>
      </c>
      <c r="C674" t="s">
        <v>689</v>
      </c>
      <c r="D674" t="s">
        <v>20</v>
      </c>
      <c r="E674" s="8">
        <v>45729</v>
      </c>
      <c r="F674" s="1" t="s">
        <v>12</v>
      </c>
      <c r="G674" s="1" t="s">
        <v>21</v>
      </c>
      <c r="H674" s="8">
        <v>45750</v>
      </c>
      <c r="I674" s="1" t="s">
        <v>2039</v>
      </c>
      <c r="J674" t="b">
        <v>1</v>
      </c>
      <c r="K674" t="s">
        <v>1386</v>
      </c>
      <c r="L674" s="13" t="str">
        <f>HYPERLINK("https://uk1.aconex.co.uk/hub/index.html?mainTarget=%2FSearchControlledDoc%3FSEARCH_ACTION%3D15%26tab%3D0%26searchMode%3D1%26searchQuery%3Ddocno:%22"&amp;RawData[[#This Row],[Document Number]]&amp;"%22%20%2Bcversion%253A1",RawData[[#This Row],[Document Number]])</f>
        <v>FS1018-ONE-XX-ZZ-D-L-0405</v>
      </c>
    </row>
    <row r="675" spans="1:12" ht="28.8" x14ac:dyDescent="0.3">
      <c r="A675" t="s">
        <v>1384</v>
      </c>
      <c r="B675" t="s">
        <v>1385</v>
      </c>
      <c r="C675" t="s">
        <v>689</v>
      </c>
      <c r="D675" t="s">
        <v>20</v>
      </c>
      <c r="E675" s="8">
        <v>45750</v>
      </c>
      <c r="F675" s="1" t="s">
        <v>22</v>
      </c>
      <c r="G675" s="1" t="s">
        <v>4</v>
      </c>
      <c r="H675" s="8"/>
      <c r="J675" t="b">
        <v>1</v>
      </c>
      <c r="K675" t="s">
        <v>1386</v>
      </c>
      <c r="L675" s="13" t="str">
        <f>HYPERLINK("https://uk1.aconex.co.uk/hub/index.html?mainTarget=%2FSearchControlledDoc%3FSEARCH_ACTION%3D15%26tab%3D0%26searchMode%3D1%26searchQuery%3Ddocno:%22"&amp;RawData[[#This Row],[Document Number]]&amp;"%22%20%2Bcversion%253A1",RawData[[#This Row],[Document Number]])</f>
        <v>FS1018-ONE-XX-ZZ-D-L-0405</v>
      </c>
    </row>
    <row r="676" spans="1:12" ht="43.2" x14ac:dyDescent="0.3">
      <c r="A676" t="s">
        <v>1387</v>
      </c>
      <c r="B676" t="s">
        <v>1388</v>
      </c>
      <c r="C676" t="s">
        <v>11</v>
      </c>
      <c r="D676" t="s">
        <v>20</v>
      </c>
      <c r="E676" s="8">
        <v>45729</v>
      </c>
      <c r="F676" s="1" t="s">
        <v>12</v>
      </c>
      <c r="G676" s="1" t="s">
        <v>21</v>
      </c>
      <c r="H676" s="8">
        <v>45750</v>
      </c>
      <c r="I676" s="1" t="s">
        <v>2040</v>
      </c>
      <c r="J676" t="b">
        <v>1</v>
      </c>
      <c r="K676" t="s">
        <v>1389</v>
      </c>
      <c r="L676" s="13" t="str">
        <f>HYPERLINK("https://uk1.aconex.co.uk/hub/index.html?mainTarget=%2FSearchControlledDoc%3FSEARCH_ACTION%3D15%26tab%3D0%26searchMode%3D1%26searchQuery%3Ddocno:%22"&amp;RawData[[#This Row],[Document Number]]&amp;"%22%20%2Bcversion%253A1",RawData[[#This Row],[Document Number]])</f>
        <v>FS1018-ONE-XX-ZZ-D-L-0601</v>
      </c>
    </row>
    <row r="677" spans="1:12" ht="28.8" x14ac:dyDescent="0.3">
      <c r="A677" t="s">
        <v>1387</v>
      </c>
      <c r="B677" t="s">
        <v>1388</v>
      </c>
      <c r="C677" t="s">
        <v>11</v>
      </c>
      <c r="D677" t="s">
        <v>20</v>
      </c>
      <c r="E677" s="8">
        <v>45750</v>
      </c>
      <c r="F677" s="1" t="s">
        <v>22</v>
      </c>
      <c r="G677" s="1" t="s">
        <v>4</v>
      </c>
      <c r="H677" s="8"/>
      <c r="J677" t="b">
        <v>1</v>
      </c>
      <c r="K677" t="s">
        <v>1389</v>
      </c>
      <c r="L677" s="13" t="str">
        <f>HYPERLINK("https://uk1.aconex.co.uk/hub/index.html?mainTarget=%2FSearchControlledDoc%3FSEARCH_ACTION%3D15%26tab%3D0%26searchMode%3D1%26searchQuery%3Ddocno:%22"&amp;RawData[[#This Row],[Document Number]]&amp;"%22%20%2Bcversion%253A1",RawData[[#This Row],[Document Number]])</f>
        <v>FS1018-ONE-XX-ZZ-D-L-0601</v>
      </c>
    </row>
    <row r="678" spans="1:12" ht="28.8" x14ac:dyDescent="0.3">
      <c r="A678" t="s">
        <v>1390</v>
      </c>
      <c r="B678" t="s">
        <v>1391</v>
      </c>
      <c r="C678" t="s">
        <v>11</v>
      </c>
      <c r="D678" t="s">
        <v>20</v>
      </c>
      <c r="E678" s="8">
        <v>45729</v>
      </c>
      <c r="F678" s="1" t="s">
        <v>12</v>
      </c>
      <c r="G678" s="1" t="s">
        <v>21</v>
      </c>
      <c r="H678" s="8">
        <v>45750</v>
      </c>
      <c r="I678" s="1" t="s">
        <v>2041</v>
      </c>
      <c r="J678" t="b">
        <v>1</v>
      </c>
      <c r="K678" t="s">
        <v>1392</v>
      </c>
      <c r="L678" s="13" t="str">
        <f>HYPERLINK("https://uk1.aconex.co.uk/hub/index.html?mainTarget=%2FSearchControlledDoc%3FSEARCH_ACTION%3D15%26tab%3D0%26searchMode%3D1%26searchQuery%3Ddocno:%22"&amp;RawData[[#This Row],[Document Number]]&amp;"%22%20%2Bcversion%253A1",RawData[[#This Row],[Document Number]])</f>
        <v>FS1018-ONE-XX-ZZ-D-L-0602</v>
      </c>
    </row>
    <row r="679" spans="1:12" ht="28.8" x14ac:dyDescent="0.3">
      <c r="A679" t="s">
        <v>1390</v>
      </c>
      <c r="B679" t="s">
        <v>1391</v>
      </c>
      <c r="C679" t="s">
        <v>11</v>
      </c>
      <c r="D679" t="s">
        <v>20</v>
      </c>
      <c r="E679" s="8">
        <v>45750</v>
      </c>
      <c r="F679" s="1" t="s">
        <v>22</v>
      </c>
      <c r="G679" s="1" t="s">
        <v>4</v>
      </c>
      <c r="H679" s="8"/>
      <c r="J679" t="b">
        <v>1</v>
      </c>
      <c r="K679" t="s">
        <v>1392</v>
      </c>
      <c r="L679" s="13" t="str">
        <f>HYPERLINK("https://uk1.aconex.co.uk/hub/index.html?mainTarget=%2FSearchControlledDoc%3FSEARCH_ACTION%3D15%26tab%3D0%26searchMode%3D1%26searchQuery%3Ddocno:%22"&amp;RawData[[#This Row],[Document Number]]&amp;"%22%20%2Bcversion%253A1",RawData[[#This Row],[Document Number]])</f>
        <v>FS1018-ONE-XX-ZZ-D-L-0602</v>
      </c>
    </row>
    <row r="680" spans="1:12" ht="43.2" x14ac:dyDescent="0.3">
      <c r="A680" t="s">
        <v>1393</v>
      </c>
      <c r="B680" t="s">
        <v>1394</v>
      </c>
      <c r="C680" t="s">
        <v>11</v>
      </c>
      <c r="D680" t="s">
        <v>20</v>
      </c>
      <c r="E680" s="8">
        <v>45729</v>
      </c>
      <c r="F680" s="1" t="s">
        <v>12</v>
      </c>
      <c r="G680" s="1" t="s">
        <v>21</v>
      </c>
      <c r="H680" s="8">
        <v>45750</v>
      </c>
      <c r="I680" s="1" t="s">
        <v>2042</v>
      </c>
      <c r="J680" t="b">
        <v>1</v>
      </c>
      <c r="K680" t="s">
        <v>1395</v>
      </c>
      <c r="L680" s="13" t="str">
        <f>HYPERLINK("https://uk1.aconex.co.uk/hub/index.html?mainTarget=%2FSearchControlledDoc%3FSEARCH_ACTION%3D15%26tab%3D0%26searchMode%3D1%26searchQuery%3Ddocno:%22"&amp;RawData[[#This Row],[Document Number]]&amp;"%22%20%2Bcversion%253A1",RawData[[#This Row],[Document Number]])</f>
        <v>FS1018-ONE-XX-ZZ-D-L-0603</v>
      </c>
    </row>
    <row r="681" spans="1:12" ht="28.8" x14ac:dyDescent="0.3">
      <c r="A681" t="s">
        <v>1393</v>
      </c>
      <c r="B681" t="s">
        <v>1394</v>
      </c>
      <c r="C681" t="s">
        <v>11</v>
      </c>
      <c r="D681" t="s">
        <v>20</v>
      </c>
      <c r="E681" s="8">
        <v>45750</v>
      </c>
      <c r="F681" s="1" t="s">
        <v>22</v>
      </c>
      <c r="G681" s="1" t="s">
        <v>4</v>
      </c>
      <c r="H681" s="8"/>
      <c r="J681" t="b">
        <v>1</v>
      </c>
      <c r="K681" t="s">
        <v>1395</v>
      </c>
      <c r="L681" s="13" t="str">
        <f>HYPERLINK("https://uk1.aconex.co.uk/hub/index.html?mainTarget=%2FSearchControlledDoc%3FSEARCH_ACTION%3D15%26tab%3D0%26searchMode%3D1%26searchQuery%3Ddocno:%22"&amp;RawData[[#This Row],[Document Number]]&amp;"%22%20%2Bcversion%253A1",RawData[[#This Row],[Document Number]])</f>
        <v>FS1018-ONE-XX-ZZ-D-L-0603</v>
      </c>
    </row>
    <row r="682" spans="1:12" x14ac:dyDescent="0.3">
      <c r="A682" t="s">
        <v>1396</v>
      </c>
      <c r="B682" t="s">
        <v>1397</v>
      </c>
      <c r="C682" t="s">
        <v>10</v>
      </c>
      <c r="D682" t="s">
        <v>20</v>
      </c>
      <c r="E682" s="8">
        <v>45729</v>
      </c>
      <c r="F682" s="1" t="s">
        <v>12</v>
      </c>
      <c r="G682" s="1" t="s">
        <v>4</v>
      </c>
      <c r="H682" s="8"/>
      <c r="J682" t="b">
        <v>1</v>
      </c>
      <c r="K682" t="s">
        <v>1398</v>
      </c>
      <c r="L682" s="13" t="str">
        <f>HYPERLINK("https://uk1.aconex.co.uk/hub/index.html?mainTarget=%2FSearchControlledDoc%3FSEARCH_ACTION%3D15%26tab%3D0%26searchMode%3D1%26searchQuery%3Ddocno:%22"&amp;RawData[[#This Row],[Document Number]]&amp;"%22%20%2Bcversion%253A1",RawData[[#This Row],[Document Number]])</f>
        <v>FS1018-ONE-ZZ-XX-T-L-0004</v>
      </c>
    </row>
    <row r="683" spans="1:12" x14ac:dyDescent="0.3">
      <c r="A683" t="s">
        <v>1399</v>
      </c>
      <c r="B683" t="s">
        <v>1400</v>
      </c>
      <c r="C683" t="s">
        <v>11</v>
      </c>
      <c r="D683" t="s">
        <v>19</v>
      </c>
      <c r="E683" s="8">
        <v>45761</v>
      </c>
      <c r="F683" s="1" t="s">
        <v>12</v>
      </c>
      <c r="G683" s="1" t="s">
        <v>24</v>
      </c>
      <c r="H683" s="8">
        <v>45761</v>
      </c>
      <c r="I683" s="1" t="s">
        <v>1785</v>
      </c>
      <c r="J683" t="b">
        <v>1</v>
      </c>
      <c r="K683" t="s">
        <v>1401</v>
      </c>
      <c r="L683" s="13" t="str">
        <f>HYPERLINK("https://uk1.aconex.co.uk/hub/index.html?mainTarget=%2FSearchControlledDoc%3FSEARCH_ACTION%3D15%26tab%3D0%26searchMode%3D1%26searchQuery%3Ddocno:%22"&amp;RawData[[#This Row],[Document Number]]&amp;"%22%20%2Bcversion%253A1",RawData[[#This Row],[Document Number]])</f>
        <v>FS1018-ONE-ZZ-ZZ-M-L-0001</v>
      </c>
    </row>
    <row r="684" spans="1:12" x14ac:dyDescent="0.3">
      <c r="A684" t="s">
        <v>1402</v>
      </c>
      <c r="B684" t="s">
        <v>1400</v>
      </c>
      <c r="C684" t="s">
        <v>11</v>
      </c>
      <c r="D684" t="s">
        <v>19</v>
      </c>
      <c r="E684" s="8">
        <v>45761</v>
      </c>
      <c r="F684" s="1" t="s">
        <v>12</v>
      </c>
      <c r="G684" s="1" t="s">
        <v>24</v>
      </c>
      <c r="H684" s="8">
        <v>45761</v>
      </c>
      <c r="I684" s="1" t="s">
        <v>1785</v>
      </c>
      <c r="J684" t="b">
        <v>1</v>
      </c>
      <c r="K684" t="s">
        <v>1403</v>
      </c>
      <c r="L684" s="13" t="str">
        <f>HYPERLINK("https://uk1.aconex.co.uk/hub/index.html?mainTarget=%2FSearchControlledDoc%3FSEARCH_ACTION%3D15%26tab%3D0%26searchMode%3D1%26searchQuery%3Ddocno:%22"&amp;RawData[[#This Row],[Document Number]]&amp;"%22%20%2Bcversion%253A1",RawData[[#This Row],[Document Number]])</f>
        <v>FS1018-ONE-ZZ-ZZ-M-L-0002</v>
      </c>
    </row>
    <row r="685" spans="1:12" x14ac:dyDescent="0.3">
      <c r="A685" t="s">
        <v>1404</v>
      </c>
      <c r="B685" t="s">
        <v>1400</v>
      </c>
      <c r="C685" t="s">
        <v>11</v>
      </c>
      <c r="D685" t="s">
        <v>19</v>
      </c>
      <c r="E685" s="8">
        <v>45761</v>
      </c>
      <c r="F685" s="1" t="s">
        <v>12</v>
      </c>
      <c r="G685" s="1" t="s">
        <v>24</v>
      </c>
      <c r="H685" s="8">
        <v>45761</v>
      </c>
      <c r="I685" s="1" t="s">
        <v>1785</v>
      </c>
      <c r="J685" t="b">
        <v>1</v>
      </c>
      <c r="K685" t="s">
        <v>1405</v>
      </c>
      <c r="L685" s="13" t="str">
        <f>HYPERLINK("https://uk1.aconex.co.uk/hub/index.html?mainTarget=%2FSearchControlledDoc%3FSEARCH_ACTION%3D15%26tab%3D0%26searchMode%3D1%26searchQuery%3Ddocno:%22"&amp;RawData[[#This Row],[Document Number]]&amp;"%22%20%2Bcversion%253A1",RawData[[#This Row],[Document Number]])</f>
        <v>FS1018-ONE-ZZ-ZZ-M-L-0003</v>
      </c>
    </row>
    <row r="686" spans="1:12" x14ac:dyDescent="0.3">
      <c r="A686" t="s">
        <v>1406</v>
      </c>
      <c r="B686" t="s">
        <v>1407</v>
      </c>
      <c r="C686" t="s">
        <v>10</v>
      </c>
      <c r="D686" t="s">
        <v>20</v>
      </c>
      <c r="E686" s="8">
        <v>45729</v>
      </c>
      <c r="F686" s="1" t="s">
        <v>12</v>
      </c>
      <c r="G686" s="1" t="s">
        <v>4</v>
      </c>
      <c r="H686" s="8"/>
      <c r="J686" t="b">
        <v>1</v>
      </c>
      <c r="K686" t="s">
        <v>1408</v>
      </c>
      <c r="L686" s="13" t="str">
        <f>HYPERLINK("https://uk1.aconex.co.uk/hub/index.html?mainTarget=%2FSearchControlledDoc%3FSEARCH_ACTION%3D15%26tab%3D0%26searchMode%3D1%26searchQuery%3Ddocno:%22"&amp;RawData[[#This Row],[Document Number]]&amp;"%22%20%2Bcversion%253A1",RawData[[#This Row],[Document Number]])</f>
        <v>FS1018-PIN-XX-XX-L-O-0003</v>
      </c>
    </row>
    <row r="687" spans="1:12" ht="28.8" x14ac:dyDescent="0.3">
      <c r="A687" t="s">
        <v>1409</v>
      </c>
      <c r="B687" t="s">
        <v>1410</v>
      </c>
      <c r="C687" t="s">
        <v>835</v>
      </c>
      <c r="D687" t="s">
        <v>20</v>
      </c>
      <c r="E687" s="8">
        <v>45729</v>
      </c>
      <c r="F687" s="1" t="s">
        <v>12</v>
      </c>
      <c r="G687" s="1" t="s">
        <v>21</v>
      </c>
      <c r="H687" s="8">
        <v>45747</v>
      </c>
      <c r="I687" s="1" t="s">
        <v>1836</v>
      </c>
      <c r="J687" t="b">
        <v>1</v>
      </c>
      <c r="K687" t="s">
        <v>1411</v>
      </c>
      <c r="L687" s="13" t="str">
        <f>HYPERLINK("https://uk1.aconex.co.uk/hub/index.html?mainTarget=%2FSearchControlledDoc%3FSEARCH_ACTION%3D15%26tab%3D0%26searchMode%3D1%26searchQuery%3Ddocno:%22"&amp;RawData[[#This Row],[Document Number]]&amp;"%22%20%2Bcversion%253A1",RawData[[#This Row],[Document Number]])</f>
        <v>FS1018-PIN-ZZ-00-D-O-0001</v>
      </c>
    </row>
    <row r="688" spans="1:12" ht="28.8" x14ac:dyDescent="0.3">
      <c r="A688" t="s">
        <v>1409</v>
      </c>
      <c r="B688" t="s">
        <v>1410</v>
      </c>
      <c r="C688" t="s">
        <v>835</v>
      </c>
      <c r="D688" t="s">
        <v>20</v>
      </c>
      <c r="E688" s="8">
        <v>45747</v>
      </c>
      <c r="F688" s="1" t="s">
        <v>22</v>
      </c>
      <c r="G688" s="1" t="s">
        <v>4</v>
      </c>
      <c r="H688" s="8"/>
      <c r="J688" t="b">
        <v>1</v>
      </c>
      <c r="K688" t="s">
        <v>1411</v>
      </c>
      <c r="L688" s="13" t="str">
        <f>HYPERLINK("https://uk1.aconex.co.uk/hub/index.html?mainTarget=%2FSearchControlledDoc%3FSEARCH_ACTION%3D15%26tab%3D0%26searchMode%3D1%26searchQuery%3Ddocno:%22"&amp;RawData[[#This Row],[Document Number]]&amp;"%22%20%2Bcversion%253A1",RawData[[#This Row],[Document Number]])</f>
        <v>FS1018-PIN-ZZ-00-D-O-0001</v>
      </c>
    </row>
    <row r="689" spans="1:12" ht="28.8" x14ac:dyDescent="0.3">
      <c r="A689" t="s">
        <v>1412</v>
      </c>
      <c r="B689" t="s">
        <v>1413</v>
      </c>
      <c r="C689" t="s">
        <v>835</v>
      </c>
      <c r="D689" t="s">
        <v>20</v>
      </c>
      <c r="E689" s="8">
        <v>45729</v>
      </c>
      <c r="F689" s="1" t="s">
        <v>12</v>
      </c>
      <c r="G689" s="1" t="s">
        <v>21</v>
      </c>
      <c r="H689" s="8">
        <v>45747</v>
      </c>
      <c r="I689" s="1" t="s">
        <v>1836</v>
      </c>
      <c r="J689" t="b">
        <v>1</v>
      </c>
      <c r="K689" t="s">
        <v>1414</v>
      </c>
      <c r="L689" s="13" t="str">
        <f>HYPERLINK("https://uk1.aconex.co.uk/hub/index.html?mainTarget=%2FSearchControlledDoc%3FSEARCH_ACTION%3D15%26tab%3D0%26searchMode%3D1%26searchQuery%3Ddocno:%22"&amp;RawData[[#This Row],[Document Number]]&amp;"%22%20%2Bcversion%253A1",RawData[[#This Row],[Document Number]])</f>
        <v>FS1018-PIN-ZZ-00-D-O-0002</v>
      </c>
    </row>
    <row r="690" spans="1:12" ht="28.8" x14ac:dyDescent="0.3">
      <c r="A690" t="s">
        <v>1412</v>
      </c>
      <c r="B690" t="s">
        <v>1413</v>
      </c>
      <c r="C690" t="s">
        <v>835</v>
      </c>
      <c r="D690" t="s">
        <v>20</v>
      </c>
      <c r="E690" s="8">
        <v>45747</v>
      </c>
      <c r="F690" s="1" t="s">
        <v>22</v>
      </c>
      <c r="G690" s="1" t="s">
        <v>4</v>
      </c>
      <c r="H690" s="8"/>
      <c r="J690" t="b">
        <v>1</v>
      </c>
      <c r="K690" t="s">
        <v>1414</v>
      </c>
      <c r="L690" s="13" t="str">
        <f>HYPERLINK("https://uk1.aconex.co.uk/hub/index.html?mainTarget=%2FSearchControlledDoc%3FSEARCH_ACTION%3D15%26tab%3D0%26searchMode%3D1%26searchQuery%3Ddocno:%22"&amp;RawData[[#This Row],[Document Number]]&amp;"%22%20%2Bcversion%253A1",RawData[[#This Row],[Document Number]])</f>
        <v>FS1018-PIN-ZZ-00-D-O-0002</v>
      </c>
    </row>
    <row r="691" spans="1:12" ht="28.8" x14ac:dyDescent="0.3">
      <c r="A691" t="s">
        <v>1415</v>
      </c>
      <c r="B691" t="s">
        <v>1416</v>
      </c>
      <c r="C691" t="s">
        <v>11</v>
      </c>
      <c r="D691" t="s">
        <v>20</v>
      </c>
      <c r="E691" s="8">
        <v>45729</v>
      </c>
      <c r="F691" s="1" t="s">
        <v>12</v>
      </c>
      <c r="G691" s="1" t="s">
        <v>21</v>
      </c>
      <c r="H691" s="8">
        <v>45747</v>
      </c>
      <c r="I691" s="1" t="s">
        <v>1837</v>
      </c>
      <c r="J691" t="b">
        <v>1</v>
      </c>
      <c r="K691" t="s">
        <v>1417</v>
      </c>
      <c r="L691" s="13" t="str">
        <f>HYPERLINK("https://uk1.aconex.co.uk/hub/index.html?mainTarget=%2FSearchControlledDoc%3FSEARCH_ACTION%3D15%26tab%3D0%26searchMode%3D1%26searchQuery%3Ddocno:%22"&amp;RawData[[#This Row],[Document Number]]&amp;"%22%20%2Bcversion%253A1",RawData[[#This Row],[Document Number]])</f>
        <v>FS1018-PIN-ZZ-00-D-O-0006</v>
      </c>
    </row>
    <row r="692" spans="1:12" ht="28.8" x14ac:dyDescent="0.3">
      <c r="A692" t="s">
        <v>1415</v>
      </c>
      <c r="B692" t="s">
        <v>1416</v>
      </c>
      <c r="C692" t="s">
        <v>11</v>
      </c>
      <c r="D692" t="s">
        <v>20</v>
      </c>
      <c r="E692" s="8">
        <v>45747</v>
      </c>
      <c r="F692" s="1" t="s">
        <v>22</v>
      </c>
      <c r="G692" s="1" t="s">
        <v>4</v>
      </c>
      <c r="H692" s="8"/>
      <c r="J692" t="b">
        <v>1</v>
      </c>
      <c r="K692" t="s">
        <v>1417</v>
      </c>
      <c r="L692" s="13" t="str">
        <f>HYPERLINK("https://uk1.aconex.co.uk/hub/index.html?mainTarget=%2FSearchControlledDoc%3FSEARCH_ACTION%3D15%26tab%3D0%26searchMode%3D1%26searchQuery%3Ddocno:%22"&amp;RawData[[#This Row],[Document Number]]&amp;"%22%20%2Bcversion%253A1",RawData[[#This Row],[Document Number]])</f>
        <v>FS1018-PIN-ZZ-00-D-O-0006</v>
      </c>
    </row>
    <row r="693" spans="1:12" ht="129.6" x14ac:dyDescent="0.3">
      <c r="A693" t="s">
        <v>1418</v>
      </c>
      <c r="B693" t="s">
        <v>1419</v>
      </c>
      <c r="C693" t="s">
        <v>418</v>
      </c>
      <c r="D693" t="s">
        <v>20</v>
      </c>
      <c r="E693" s="8">
        <v>45729</v>
      </c>
      <c r="F693" s="1" t="s">
        <v>12</v>
      </c>
      <c r="G693" s="1" t="s">
        <v>21</v>
      </c>
      <c r="H693" s="8">
        <v>45747</v>
      </c>
      <c r="I693" s="1" t="s">
        <v>1838</v>
      </c>
      <c r="J693" t="b">
        <v>1</v>
      </c>
      <c r="K693" t="s">
        <v>1420</v>
      </c>
      <c r="L693" s="13" t="str">
        <f>HYPERLINK("https://uk1.aconex.co.uk/hub/index.html?mainTarget=%2FSearchControlledDoc%3FSEARCH_ACTION%3D15%26tab%3D0%26searchMode%3D1%26searchQuery%3Ddocno:%22"&amp;RawData[[#This Row],[Document Number]]&amp;"%22%20%2Bcversion%253A1",RawData[[#This Row],[Document Number]])</f>
        <v>FS1018-PIN-ZZ-00-D-O-0601</v>
      </c>
    </row>
    <row r="694" spans="1:12" ht="28.8" x14ac:dyDescent="0.3">
      <c r="A694" t="s">
        <v>1418</v>
      </c>
      <c r="B694" t="s">
        <v>1419</v>
      </c>
      <c r="C694" t="s">
        <v>418</v>
      </c>
      <c r="D694" t="s">
        <v>20</v>
      </c>
      <c r="E694" s="8">
        <v>45747</v>
      </c>
      <c r="F694" s="1" t="s">
        <v>22</v>
      </c>
      <c r="G694" s="1" t="s">
        <v>4</v>
      </c>
      <c r="H694" s="8"/>
      <c r="J694" t="b">
        <v>1</v>
      </c>
      <c r="K694" t="s">
        <v>1420</v>
      </c>
      <c r="L694" s="13" t="str">
        <f>HYPERLINK("https://uk1.aconex.co.uk/hub/index.html?mainTarget=%2FSearchControlledDoc%3FSEARCH_ACTION%3D15%26tab%3D0%26searchMode%3D1%26searchQuery%3Ddocno:%22"&amp;RawData[[#This Row],[Document Number]]&amp;"%22%20%2Bcversion%253A1",RawData[[#This Row],[Document Number]])</f>
        <v>FS1018-PIN-ZZ-00-D-O-0601</v>
      </c>
    </row>
    <row r="695" spans="1:12" ht="72" x14ac:dyDescent="0.3">
      <c r="A695" t="s">
        <v>1421</v>
      </c>
      <c r="B695" t="s">
        <v>1422</v>
      </c>
      <c r="C695" t="s">
        <v>418</v>
      </c>
      <c r="D695" t="s">
        <v>20</v>
      </c>
      <c r="E695" s="8">
        <v>45729</v>
      </c>
      <c r="F695" s="1" t="s">
        <v>12</v>
      </c>
      <c r="G695" s="1" t="s">
        <v>21</v>
      </c>
      <c r="H695" s="8">
        <v>45747</v>
      </c>
      <c r="I695" s="1" t="s">
        <v>1839</v>
      </c>
      <c r="J695" t="b">
        <v>1</v>
      </c>
      <c r="K695" t="s">
        <v>1423</v>
      </c>
      <c r="L695" s="13" t="str">
        <f>HYPERLINK("https://uk1.aconex.co.uk/hub/index.html?mainTarget=%2FSearchControlledDoc%3FSEARCH_ACTION%3D15%26tab%3D0%26searchMode%3D1%26searchQuery%3Ddocno:%22"&amp;RawData[[#This Row],[Document Number]]&amp;"%22%20%2Bcversion%253A1",RawData[[#This Row],[Document Number]])</f>
        <v>FS1018-PIN-ZZ-00-D-O-1109</v>
      </c>
    </row>
    <row r="696" spans="1:12" ht="28.8" x14ac:dyDescent="0.3">
      <c r="A696" t="s">
        <v>1421</v>
      </c>
      <c r="B696" t="s">
        <v>1422</v>
      </c>
      <c r="C696" t="s">
        <v>418</v>
      </c>
      <c r="D696" t="s">
        <v>20</v>
      </c>
      <c r="E696" s="8">
        <v>45747</v>
      </c>
      <c r="F696" s="1" t="s">
        <v>22</v>
      </c>
      <c r="G696" s="1" t="s">
        <v>4</v>
      </c>
      <c r="H696" s="8"/>
      <c r="J696" t="b">
        <v>1</v>
      </c>
      <c r="K696" t="s">
        <v>1423</v>
      </c>
      <c r="L696" s="13" t="str">
        <f>HYPERLINK("https://uk1.aconex.co.uk/hub/index.html?mainTarget=%2FSearchControlledDoc%3FSEARCH_ACTION%3D15%26tab%3D0%26searchMode%3D1%26searchQuery%3Ddocno:%22"&amp;RawData[[#This Row],[Document Number]]&amp;"%22%20%2Bcversion%253A1",RawData[[#This Row],[Document Number]])</f>
        <v>FS1018-PIN-ZZ-00-D-O-1109</v>
      </c>
    </row>
    <row r="697" spans="1:12" ht="115.2" x14ac:dyDescent="0.3">
      <c r="A697" t="s">
        <v>1424</v>
      </c>
      <c r="B697" t="s">
        <v>1425</v>
      </c>
      <c r="C697" t="s">
        <v>835</v>
      </c>
      <c r="D697" t="s">
        <v>20</v>
      </c>
      <c r="E697" s="8">
        <v>45729</v>
      </c>
      <c r="F697" s="1" t="s">
        <v>12</v>
      </c>
      <c r="G697" s="1" t="s">
        <v>21</v>
      </c>
      <c r="H697" s="8">
        <v>45747</v>
      </c>
      <c r="I697" s="1" t="s">
        <v>1840</v>
      </c>
      <c r="J697" t="b">
        <v>1</v>
      </c>
      <c r="K697" t="s">
        <v>1426</v>
      </c>
      <c r="L697" s="13" t="str">
        <f>HYPERLINK("https://uk1.aconex.co.uk/hub/index.html?mainTarget=%2FSearchControlledDoc%3FSEARCH_ACTION%3D15%26tab%3D0%26searchMode%3D1%26searchQuery%3Ddocno:%22"&amp;RawData[[#This Row],[Document Number]]&amp;"%22%20%2Bcversion%253A1",RawData[[#This Row],[Document Number]])</f>
        <v>FS1018-PIN-ZZ-00-D-O-1110</v>
      </c>
    </row>
    <row r="698" spans="1:12" ht="28.8" x14ac:dyDescent="0.3">
      <c r="A698" t="s">
        <v>1424</v>
      </c>
      <c r="B698" t="s">
        <v>1425</v>
      </c>
      <c r="C698" t="s">
        <v>835</v>
      </c>
      <c r="D698" t="s">
        <v>20</v>
      </c>
      <c r="E698" s="8">
        <v>45747</v>
      </c>
      <c r="F698" s="1" t="s">
        <v>22</v>
      </c>
      <c r="G698" s="1" t="s">
        <v>4</v>
      </c>
      <c r="H698" s="8"/>
      <c r="J698" t="b">
        <v>1</v>
      </c>
      <c r="K698" t="s">
        <v>1426</v>
      </c>
      <c r="L698" s="13" t="str">
        <f>HYPERLINK("https://uk1.aconex.co.uk/hub/index.html?mainTarget=%2FSearchControlledDoc%3FSEARCH_ACTION%3D15%26tab%3D0%26searchMode%3D1%26searchQuery%3Ddocno:%22"&amp;RawData[[#This Row],[Document Number]]&amp;"%22%20%2Bcversion%253A1",RawData[[#This Row],[Document Number]])</f>
        <v>FS1018-PIN-ZZ-00-D-O-1110</v>
      </c>
    </row>
    <row r="699" spans="1:12" ht="72" x14ac:dyDescent="0.3">
      <c r="A699" t="s">
        <v>1427</v>
      </c>
      <c r="B699" t="s">
        <v>1428</v>
      </c>
      <c r="C699" t="s">
        <v>11</v>
      </c>
      <c r="D699" t="s">
        <v>20</v>
      </c>
      <c r="E699" s="8">
        <v>45729</v>
      </c>
      <c r="F699" s="1" t="s">
        <v>12</v>
      </c>
      <c r="G699" s="1" t="s">
        <v>21</v>
      </c>
      <c r="H699" s="8">
        <v>45747</v>
      </c>
      <c r="I699" s="1" t="s">
        <v>1841</v>
      </c>
      <c r="J699" t="b">
        <v>1</v>
      </c>
      <c r="K699" t="s">
        <v>1429</v>
      </c>
      <c r="L699" s="13" t="str">
        <f>HYPERLINK("https://uk1.aconex.co.uk/hub/index.html?mainTarget=%2FSearchControlledDoc%3FSEARCH_ACTION%3D15%26tab%3D0%26searchMode%3D1%26searchQuery%3Ddocno:%22"&amp;RawData[[#This Row],[Document Number]]&amp;"%22%20%2Bcversion%253A1",RawData[[#This Row],[Document Number]])</f>
        <v>FS1018-PIN-ZZ-00-D-O-1111</v>
      </c>
    </row>
    <row r="700" spans="1:12" ht="28.8" x14ac:dyDescent="0.3">
      <c r="A700" t="s">
        <v>1427</v>
      </c>
      <c r="B700" t="s">
        <v>1428</v>
      </c>
      <c r="C700" t="s">
        <v>11</v>
      </c>
      <c r="D700" t="s">
        <v>20</v>
      </c>
      <c r="E700" s="8">
        <v>45747</v>
      </c>
      <c r="F700" s="1" t="s">
        <v>22</v>
      </c>
      <c r="G700" s="1" t="s">
        <v>4</v>
      </c>
      <c r="H700" s="8"/>
      <c r="J700" t="b">
        <v>1</v>
      </c>
      <c r="K700" t="s">
        <v>1429</v>
      </c>
      <c r="L700" s="13" t="str">
        <f>HYPERLINK("https://uk1.aconex.co.uk/hub/index.html?mainTarget=%2FSearchControlledDoc%3FSEARCH_ACTION%3D15%26tab%3D0%26searchMode%3D1%26searchQuery%3Ddocno:%22"&amp;RawData[[#This Row],[Document Number]]&amp;"%22%20%2Bcversion%253A1",RawData[[#This Row],[Document Number]])</f>
        <v>FS1018-PIN-ZZ-00-D-O-1111</v>
      </c>
    </row>
    <row r="701" spans="1:12" ht="28.8" x14ac:dyDescent="0.3">
      <c r="A701" t="s">
        <v>1430</v>
      </c>
      <c r="B701" t="s">
        <v>1431</v>
      </c>
      <c r="C701" t="s">
        <v>799</v>
      </c>
      <c r="D701" t="s">
        <v>20</v>
      </c>
      <c r="E701" s="8">
        <v>45729</v>
      </c>
      <c r="F701" s="1" t="s">
        <v>12</v>
      </c>
      <c r="G701" s="1" t="s">
        <v>21</v>
      </c>
      <c r="H701" s="8">
        <v>45747</v>
      </c>
      <c r="I701" s="1" t="s">
        <v>1842</v>
      </c>
      <c r="J701" t="b">
        <v>1</v>
      </c>
      <c r="K701" t="s">
        <v>1432</v>
      </c>
      <c r="L701" s="13" t="str">
        <f>HYPERLINK("https://uk1.aconex.co.uk/hub/index.html?mainTarget=%2FSearchControlledDoc%3FSEARCH_ACTION%3D15%26tab%3D0%26searchMode%3D1%26searchQuery%3Ddocno:%22"&amp;RawData[[#This Row],[Document Number]]&amp;"%22%20%2Bcversion%253A1",RawData[[#This Row],[Document Number]])</f>
        <v>FS1018-PIN-ZZ-00-D-O-1112</v>
      </c>
    </row>
    <row r="702" spans="1:12" ht="28.8" x14ac:dyDescent="0.3">
      <c r="A702" t="s">
        <v>1430</v>
      </c>
      <c r="B702" t="s">
        <v>1431</v>
      </c>
      <c r="C702" t="s">
        <v>799</v>
      </c>
      <c r="D702" t="s">
        <v>20</v>
      </c>
      <c r="E702" s="8">
        <v>45747</v>
      </c>
      <c r="F702" s="1" t="s">
        <v>22</v>
      </c>
      <c r="G702" s="1" t="s">
        <v>4</v>
      </c>
      <c r="H702" s="8"/>
      <c r="J702" t="b">
        <v>1</v>
      </c>
      <c r="K702" t="s">
        <v>1432</v>
      </c>
      <c r="L702" s="13" t="str">
        <f>HYPERLINK("https://uk1.aconex.co.uk/hub/index.html?mainTarget=%2FSearchControlledDoc%3FSEARCH_ACTION%3D15%26tab%3D0%26searchMode%3D1%26searchQuery%3Ddocno:%22"&amp;RawData[[#This Row],[Document Number]]&amp;"%22%20%2Bcversion%253A1",RawData[[#This Row],[Document Number]])</f>
        <v>FS1018-PIN-ZZ-00-D-O-1112</v>
      </c>
    </row>
    <row r="703" spans="1:12" ht="28.8" x14ac:dyDescent="0.3">
      <c r="A703" t="s">
        <v>1433</v>
      </c>
      <c r="B703" t="s">
        <v>1434</v>
      </c>
      <c r="C703" t="s">
        <v>799</v>
      </c>
      <c r="D703" t="s">
        <v>20</v>
      </c>
      <c r="E703" s="8">
        <v>45729</v>
      </c>
      <c r="F703" s="1" t="s">
        <v>12</v>
      </c>
      <c r="G703" s="1" t="s">
        <v>21</v>
      </c>
      <c r="H703" s="8">
        <v>45747</v>
      </c>
      <c r="I703" s="1" t="s">
        <v>1843</v>
      </c>
      <c r="J703" t="b">
        <v>1</v>
      </c>
      <c r="K703" t="s">
        <v>1435</v>
      </c>
      <c r="L703" s="13" t="str">
        <f>HYPERLINK("https://uk1.aconex.co.uk/hub/index.html?mainTarget=%2FSearchControlledDoc%3FSEARCH_ACTION%3D15%26tab%3D0%26searchMode%3D1%26searchQuery%3Ddocno:%22"&amp;RawData[[#This Row],[Document Number]]&amp;"%22%20%2Bcversion%253A1",RawData[[#This Row],[Document Number]])</f>
        <v>FS1018-PIN-ZZ-00-D-O-1113</v>
      </c>
    </row>
    <row r="704" spans="1:12" ht="28.8" x14ac:dyDescent="0.3">
      <c r="A704" t="s">
        <v>1433</v>
      </c>
      <c r="B704" t="s">
        <v>1434</v>
      </c>
      <c r="C704" t="s">
        <v>799</v>
      </c>
      <c r="D704" t="s">
        <v>20</v>
      </c>
      <c r="E704" s="8">
        <v>45747</v>
      </c>
      <c r="F704" s="1" t="s">
        <v>22</v>
      </c>
      <c r="G704" s="1" t="s">
        <v>4</v>
      </c>
      <c r="H704" s="8"/>
      <c r="J704" t="b">
        <v>1</v>
      </c>
      <c r="K704" t="s">
        <v>1435</v>
      </c>
      <c r="L704" s="13" t="str">
        <f>HYPERLINK("https://uk1.aconex.co.uk/hub/index.html?mainTarget=%2FSearchControlledDoc%3FSEARCH_ACTION%3D15%26tab%3D0%26searchMode%3D1%26searchQuery%3Ddocno:%22"&amp;RawData[[#This Row],[Document Number]]&amp;"%22%20%2Bcversion%253A1",RawData[[#This Row],[Document Number]])</f>
        <v>FS1018-PIN-ZZ-00-D-O-1113</v>
      </c>
    </row>
    <row r="705" spans="1:12" ht="115.2" x14ac:dyDescent="0.3">
      <c r="A705" t="s">
        <v>1436</v>
      </c>
      <c r="B705" t="s">
        <v>1437</v>
      </c>
      <c r="C705" t="s">
        <v>835</v>
      </c>
      <c r="D705" t="s">
        <v>20</v>
      </c>
      <c r="E705" s="8">
        <v>45729</v>
      </c>
      <c r="F705" s="1" t="s">
        <v>12</v>
      </c>
      <c r="G705" s="1" t="s">
        <v>21</v>
      </c>
      <c r="H705" s="8">
        <v>45747</v>
      </c>
      <c r="I705" s="1" t="s">
        <v>1844</v>
      </c>
      <c r="J705" t="b">
        <v>1</v>
      </c>
      <c r="K705" t="s">
        <v>1438</v>
      </c>
      <c r="L705" s="13" t="str">
        <f>HYPERLINK("https://uk1.aconex.co.uk/hub/index.html?mainTarget=%2FSearchControlledDoc%3FSEARCH_ACTION%3D15%26tab%3D0%26searchMode%3D1%26searchQuery%3Ddocno:%22"&amp;RawData[[#This Row],[Document Number]]&amp;"%22%20%2Bcversion%253A1",RawData[[#This Row],[Document Number]])</f>
        <v>FS1018-PIN-ZZ-00-D-O-1211</v>
      </c>
    </row>
    <row r="706" spans="1:12" ht="28.8" x14ac:dyDescent="0.3">
      <c r="A706" t="s">
        <v>1436</v>
      </c>
      <c r="B706" t="s">
        <v>1437</v>
      </c>
      <c r="C706" t="s">
        <v>835</v>
      </c>
      <c r="D706" t="s">
        <v>20</v>
      </c>
      <c r="E706" s="8">
        <v>45747</v>
      </c>
      <c r="F706" s="1" t="s">
        <v>22</v>
      </c>
      <c r="G706" s="1" t="s">
        <v>4</v>
      </c>
      <c r="H706" s="8"/>
      <c r="J706" t="b">
        <v>1</v>
      </c>
      <c r="K706" t="s">
        <v>1438</v>
      </c>
      <c r="L706" s="13" t="str">
        <f>HYPERLINK("https://uk1.aconex.co.uk/hub/index.html?mainTarget=%2FSearchControlledDoc%3FSEARCH_ACTION%3D15%26tab%3D0%26searchMode%3D1%26searchQuery%3Ddocno:%22"&amp;RawData[[#This Row],[Document Number]]&amp;"%22%20%2Bcversion%253A1",RawData[[#This Row],[Document Number]])</f>
        <v>FS1018-PIN-ZZ-00-D-O-1211</v>
      </c>
    </row>
    <row r="707" spans="1:12" ht="86.4" x14ac:dyDescent="0.3">
      <c r="A707" t="s">
        <v>1439</v>
      </c>
      <c r="B707" t="s">
        <v>1440</v>
      </c>
      <c r="C707" t="s">
        <v>799</v>
      </c>
      <c r="D707" t="s">
        <v>20</v>
      </c>
      <c r="E707" s="8">
        <v>45729</v>
      </c>
      <c r="F707" s="1" t="s">
        <v>12</v>
      </c>
      <c r="G707" s="1" t="s">
        <v>21</v>
      </c>
      <c r="H707" s="8">
        <v>45754</v>
      </c>
      <c r="I707" s="1" t="s">
        <v>2043</v>
      </c>
      <c r="J707" t="b">
        <v>1</v>
      </c>
      <c r="K707" t="s">
        <v>1441</v>
      </c>
      <c r="L707" s="13" t="str">
        <f>HYPERLINK("https://uk1.aconex.co.uk/hub/index.html?mainTarget=%2FSearchControlledDoc%3FSEARCH_ACTION%3D15%26tab%3D0%26searchMode%3D1%26searchQuery%3Ddocno:%22"&amp;RawData[[#This Row],[Document Number]]&amp;"%22%20%2Bcversion%253A1",RawData[[#This Row],[Document Number]])</f>
        <v>FS1018-PIN-ZZ-00-D-O-2001</v>
      </c>
    </row>
    <row r="708" spans="1:12" ht="28.8" x14ac:dyDescent="0.3">
      <c r="A708" t="s">
        <v>1439</v>
      </c>
      <c r="B708" t="s">
        <v>1440</v>
      </c>
      <c r="C708" t="s">
        <v>799</v>
      </c>
      <c r="D708" t="s">
        <v>20</v>
      </c>
      <c r="E708" s="8">
        <v>45754</v>
      </c>
      <c r="F708" s="1" t="s">
        <v>22</v>
      </c>
      <c r="G708" s="1" t="s">
        <v>4</v>
      </c>
      <c r="H708" s="8"/>
      <c r="J708" t="b">
        <v>1</v>
      </c>
      <c r="K708" t="s">
        <v>1441</v>
      </c>
      <c r="L708" s="13" t="str">
        <f>HYPERLINK("https://uk1.aconex.co.uk/hub/index.html?mainTarget=%2FSearchControlledDoc%3FSEARCH_ACTION%3D15%26tab%3D0%26searchMode%3D1%26searchQuery%3Ddocno:%22"&amp;RawData[[#This Row],[Document Number]]&amp;"%22%20%2Bcversion%253A1",RawData[[#This Row],[Document Number]])</f>
        <v>FS1018-PIN-ZZ-00-D-O-2001</v>
      </c>
    </row>
    <row r="709" spans="1:12" x14ac:dyDescent="0.3">
      <c r="A709" t="s">
        <v>1442</v>
      </c>
      <c r="B709" t="s">
        <v>1443</v>
      </c>
      <c r="C709" t="s">
        <v>418</v>
      </c>
      <c r="D709" t="s">
        <v>20</v>
      </c>
      <c r="E709" s="8">
        <v>45729</v>
      </c>
      <c r="F709" s="1" t="s">
        <v>12</v>
      </c>
      <c r="G709" s="1" t="s">
        <v>21</v>
      </c>
      <c r="H709" s="8">
        <v>45747</v>
      </c>
      <c r="I709" s="1" t="s">
        <v>1845</v>
      </c>
      <c r="J709" t="b">
        <v>1</v>
      </c>
      <c r="K709" t="s">
        <v>1444</v>
      </c>
      <c r="L709" s="13" t="str">
        <f>HYPERLINK("https://uk1.aconex.co.uk/hub/index.html?mainTarget=%2FSearchControlledDoc%3FSEARCH_ACTION%3D15%26tab%3D0%26searchMode%3D1%26searchQuery%3Ddocno:%22"&amp;RawData[[#This Row],[Document Number]]&amp;"%22%20%2Bcversion%253A1",RawData[[#This Row],[Document Number]])</f>
        <v>FS1018-PIN-ZZ-00-D-O-2002</v>
      </c>
    </row>
    <row r="710" spans="1:12" ht="28.8" x14ac:dyDescent="0.3">
      <c r="A710" t="s">
        <v>1442</v>
      </c>
      <c r="B710" t="s">
        <v>1443</v>
      </c>
      <c r="C710" t="s">
        <v>418</v>
      </c>
      <c r="D710" t="s">
        <v>20</v>
      </c>
      <c r="E710" s="8">
        <v>45747</v>
      </c>
      <c r="F710" s="1" t="s">
        <v>22</v>
      </c>
      <c r="G710" s="1" t="s">
        <v>4</v>
      </c>
      <c r="H710" s="8"/>
      <c r="J710" t="b">
        <v>1</v>
      </c>
      <c r="K710" t="s">
        <v>1444</v>
      </c>
      <c r="L710" s="13" t="str">
        <f>HYPERLINK("https://uk1.aconex.co.uk/hub/index.html?mainTarget=%2FSearchControlledDoc%3FSEARCH_ACTION%3D15%26tab%3D0%26searchMode%3D1%26searchQuery%3Ddocno:%22"&amp;RawData[[#This Row],[Document Number]]&amp;"%22%20%2Bcversion%253A1",RawData[[#This Row],[Document Number]])</f>
        <v>FS1018-PIN-ZZ-00-D-O-2002</v>
      </c>
    </row>
    <row r="711" spans="1:12" ht="72" x14ac:dyDescent="0.3">
      <c r="A711" t="s">
        <v>1445</v>
      </c>
      <c r="B711" t="s">
        <v>1446</v>
      </c>
      <c r="C711" t="s">
        <v>418</v>
      </c>
      <c r="D711" t="s">
        <v>20</v>
      </c>
      <c r="E711" s="8">
        <v>45729</v>
      </c>
      <c r="F711" s="1" t="s">
        <v>12</v>
      </c>
      <c r="G711" s="1" t="s">
        <v>21</v>
      </c>
      <c r="H711" s="8">
        <v>45754</v>
      </c>
      <c r="I711" s="1" t="s">
        <v>2044</v>
      </c>
      <c r="J711" t="b">
        <v>1</v>
      </c>
      <c r="K711" t="s">
        <v>1447</v>
      </c>
      <c r="L711" s="13" t="str">
        <f>HYPERLINK("https://uk1.aconex.co.uk/hub/index.html?mainTarget=%2FSearchControlledDoc%3FSEARCH_ACTION%3D15%26tab%3D0%26searchMode%3D1%26searchQuery%3Ddocno:%22"&amp;RawData[[#This Row],[Document Number]]&amp;"%22%20%2Bcversion%253A1",RawData[[#This Row],[Document Number]])</f>
        <v>FS1018-PIN-ZZ-00-D-O-2003</v>
      </c>
    </row>
    <row r="712" spans="1:12" ht="28.8" x14ac:dyDescent="0.3">
      <c r="A712" t="s">
        <v>1445</v>
      </c>
      <c r="B712" t="s">
        <v>1446</v>
      </c>
      <c r="C712" t="s">
        <v>418</v>
      </c>
      <c r="D712" t="s">
        <v>20</v>
      </c>
      <c r="E712" s="8">
        <v>45754</v>
      </c>
      <c r="F712" s="1" t="s">
        <v>22</v>
      </c>
      <c r="G712" s="1" t="s">
        <v>4</v>
      </c>
      <c r="H712" s="8"/>
      <c r="J712" t="b">
        <v>1</v>
      </c>
      <c r="K712" t="s">
        <v>1447</v>
      </c>
      <c r="L712" s="13" t="str">
        <f>HYPERLINK("https://uk1.aconex.co.uk/hub/index.html?mainTarget=%2FSearchControlledDoc%3FSEARCH_ACTION%3D15%26tab%3D0%26searchMode%3D1%26searchQuery%3Ddocno:%22"&amp;RawData[[#This Row],[Document Number]]&amp;"%22%20%2Bcversion%253A1",RawData[[#This Row],[Document Number]])</f>
        <v>FS1018-PIN-ZZ-00-D-O-2003</v>
      </c>
    </row>
    <row r="713" spans="1:12" x14ac:dyDescent="0.3">
      <c r="A713" t="s">
        <v>1448</v>
      </c>
      <c r="B713" t="s">
        <v>1449</v>
      </c>
      <c r="C713" t="s">
        <v>835</v>
      </c>
      <c r="D713" t="s">
        <v>19</v>
      </c>
      <c r="E713" s="8">
        <v>45729</v>
      </c>
      <c r="F713" s="1" t="s">
        <v>12</v>
      </c>
      <c r="G713" s="1" t="s">
        <v>24</v>
      </c>
      <c r="H713" s="8">
        <v>45747</v>
      </c>
      <c r="I713" s="1" t="s">
        <v>1785</v>
      </c>
      <c r="J713" t="b">
        <v>1</v>
      </c>
      <c r="K713" t="s">
        <v>1450</v>
      </c>
      <c r="L713" s="13" t="str">
        <f>HYPERLINK("https://uk1.aconex.co.uk/hub/index.html?mainTarget=%2FSearchControlledDoc%3FSEARCH_ACTION%3D15%26tab%3D0%26searchMode%3D1%26searchQuery%3Ddocno:%22"&amp;RawData[[#This Row],[Document Number]]&amp;"%22%20%2Bcversion%253A1",RawData[[#This Row],[Document Number]])</f>
        <v>FS1018-PIN-ZZ-00-D-O-3002</v>
      </c>
    </row>
    <row r="714" spans="1:12" ht="28.8" x14ac:dyDescent="0.3">
      <c r="A714" t="s">
        <v>1451</v>
      </c>
      <c r="B714" t="s">
        <v>1452</v>
      </c>
      <c r="C714" t="s">
        <v>11</v>
      </c>
      <c r="D714" t="s">
        <v>20</v>
      </c>
      <c r="E714" s="8">
        <v>45729</v>
      </c>
      <c r="F714" s="1" t="s">
        <v>12</v>
      </c>
      <c r="G714" s="1" t="s">
        <v>21</v>
      </c>
      <c r="H714" s="8">
        <v>45747</v>
      </c>
      <c r="I714" s="1" t="s">
        <v>1846</v>
      </c>
      <c r="J714" t="b">
        <v>1</v>
      </c>
      <c r="K714" t="s">
        <v>1453</v>
      </c>
      <c r="L714" s="13" t="str">
        <f>HYPERLINK("https://uk1.aconex.co.uk/hub/index.html?mainTarget=%2FSearchControlledDoc%3FSEARCH_ACTION%3D15%26tab%3D0%26searchMode%3D1%26searchQuery%3Ddocno:%22"&amp;RawData[[#This Row],[Document Number]]&amp;"%22%20%2Bcversion%253A1",RawData[[#This Row],[Document Number]])</f>
        <v>FS1018-PIN-ZZ-00-D-O-3004</v>
      </c>
    </row>
    <row r="715" spans="1:12" ht="28.8" x14ac:dyDescent="0.3">
      <c r="A715" t="s">
        <v>1451</v>
      </c>
      <c r="B715" t="s">
        <v>1452</v>
      </c>
      <c r="C715" t="s">
        <v>11</v>
      </c>
      <c r="D715" t="s">
        <v>20</v>
      </c>
      <c r="E715" s="8">
        <v>45747</v>
      </c>
      <c r="F715" s="1" t="s">
        <v>22</v>
      </c>
      <c r="G715" s="1" t="s">
        <v>4</v>
      </c>
      <c r="H715" s="8"/>
      <c r="J715" t="b">
        <v>1</v>
      </c>
      <c r="K715" t="s">
        <v>1453</v>
      </c>
      <c r="L715" s="13" t="str">
        <f>HYPERLINK("https://uk1.aconex.co.uk/hub/index.html?mainTarget=%2FSearchControlledDoc%3FSEARCH_ACTION%3D15%26tab%3D0%26searchMode%3D1%26searchQuery%3Ddocno:%22"&amp;RawData[[#This Row],[Document Number]]&amp;"%22%20%2Bcversion%253A1",RawData[[#This Row],[Document Number]])</f>
        <v>FS1018-PIN-ZZ-00-D-O-3004</v>
      </c>
    </row>
    <row r="716" spans="1:12" ht="28.8" x14ac:dyDescent="0.3">
      <c r="A716" t="s">
        <v>1454</v>
      </c>
      <c r="B716" t="s">
        <v>1455</v>
      </c>
      <c r="C716" t="s">
        <v>10</v>
      </c>
      <c r="D716" t="s">
        <v>20</v>
      </c>
      <c r="E716" s="8">
        <v>45729</v>
      </c>
      <c r="F716" s="1" t="s">
        <v>12</v>
      </c>
      <c r="G716" s="1" t="s">
        <v>21</v>
      </c>
      <c r="H716" s="8">
        <v>45747</v>
      </c>
      <c r="I716" s="1" t="s">
        <v>1847</v>
      </c>
      <c r="J716" t="b">
        <v>1</v>
      </c>
      <c r="K716" t="s">
        <v>1456</v>
      </c>
      <c r="L716" s="13" t="str">
        <f>HYPERLINK("https://uk1.aconex.co.uk/hub/index.html?mainTarget=%2FSearchControlledDoc%3FSEARCH_ACTION%3D15%26tab%3D0%26searchMode%3D1%26searchQuery%3Ddocno:%22"&amp;RawData[[#This Row],[Document Number]]&amp;"%22%20%2Bcversion%253A1",RawData[[#This Row],[Document Number]])</f>
        <v>FS1018-PIN-ZZ-00-D-O-4003</v>
      </c>
    </row>
    <row r="717" spans="1:12" ht="28.8" x14ac:dyDescent="0.3">
      <c r="A717" t="s">
        <v>1454</v>
      </c>
      <c r="B717" t="s">
        <v>1455</v>
      </c>
      <c r="C717" t="s">
        <v>10</v>
      </c>
      <c r="D717" t="s">
        <v>20</v>
      </c>
      <c r="E717" s="8">
        <v>45747</v>
      </c>
      <c r="F717" s="1" t="s">
        <v>22</v>
      </c>
      <c r="G717" s="1" t="s">
        <v>4</v>
      </c>
      <c r="H717" s="8"/>
      <c r="J717" t="b">
        <v>1</v>
      </c>
      <c r="K717" t="s">
        <v>1456</v>
      </c>
      <c r="L717" s="13" t="str">
        <f>HYPERLINK("https://uk1.aconex.co.uk/hub/index.html?mainTarget=%2FSearchControlledDoc%3FSEARCH_ACTION%3D15%26tab%3D0%26searchMode%3D1%26searchQuery%3Ddocno:%22"&amp;RawData[[#This Row],[Document Number]]&amp;"%22%20%2Bcversion%253A1",RawData[[#This Row],[Document Number]])</f>
        <v>FS1018-PIN-ZZ-00-D-O-4003</v>
      </c>
    </row>
    <row r="718" spans="1:12" x14ac:dyDescent="0.3">
      <c r="A718" t="s">
        <v>1457</v>
      </c>
      <c r="B718" t="s">
        <v>1458</v>
      </c>
      <c r="C718" t="s">
        <v>10</v>
      </c>
      <c r="D718" t="s">
        <v>19</v>
      </c>
      <c r="E718" s="8">
        <v>45729</v>
      </c>
      <c r="F718" s="1" t="s">
        <v>12</v>
      </c>
      <c r="G718" s="1" t="s">
        <v>24</v>
      </c>
      <c r="H718" s="8">
        <v>45747</v>
      </c>
      <c r="I718" s="1" t="s">
        <v>1785</v>
      </c>
      <c r="J718" t="b">
        <v>1</v>
      </c>
      <c r="K718" t="s">
        <v>1459</v>
      </c>
      <c r="L718" s="13" t="str">
        <f>HYPERLINK("https://uk1.aconex.co.uk/hub/index.html?mainTarget=%2FSearchControlledDoc%3FSEARCH_ACTION%3D15%26tab%3D0%26searchMode%3D1%26searchQuery%3Ddocno:%22"&amp;RawData[[#This Row],[Document Number]]&amp;"%22%20%2Bcversion%253A1",RawData[[#This Row],[Document Number]])</f>
        <v>FS1018-PIN-ZZ-00-D-O-4004</v>
      </c>
    </row>
    <row r="719" spans="1:12" x14ac:dyDescent="0.3">
      <c r="A719" t="s">
        <v>1460</v>
      </c>
      <c r="B719" t="s">
        <v>1461</v>
      </c>
      <c r="C719" t="s">
        <v>10</v>
      </c>
      <c r="D719" t="s">
        <v>19</v>
      </c>
      <c r="E719" s="8">
        <v>45729</v>
      </c>
      <c r="F719" s="1" t="s">
        <v>12</v>
      </c>
      <c r="G719" s="1" t="s">
        <v>24</v>
      </c>
      <c r="H719" s="8">
        <v>45747</v>
      </c>
      <c r="I719" s="1" t="s">
        <v>1785</v>
      </c>
      <c r="J719" t="b">
        <v>1</v>
      </c>
      <c r="K719" t="s">
        <v>1462</v>
      </c>
      <c r="L719" s="13" t="str">
        <f>HYPERLINK("https://uk1.aconex.co.uk/hub/index.html?mainTarget=%2FSearchControlledDoc%3FSEARCH_ACTION%3D15%26tab%3D0%26searchMode%3D1%26searchQuery%3Ddocno:%22"&amp;RawData[[#This Row],[Document Number]]&amp;"%22%20%2Bcversion%253A1",RawData[[#This Row],[Document Number]])</f>
        <v>FS1018-PIN-ZZ-00-D-O-4005</v>
      </c>
    </row>
    <row r="720" spans="1:12" ht="28.8" x14ac:dyDescent="0.3">
      <c r="A720" t="s">
        <v>1463</v>
      </c>
      <c r="B720" t="s">
        <v>1464</v>
      </c>
      <c r="C720" t="s">
        <v>10</v>
      </c>
      <c r="D720" t="s">
        <v>20</v>
      </c>
      <c r="E720" s="8">
        <v>45729</v>
      </c>
      <c r="F720" s="1" t="s">
        <v>12</v>
      </c>
      <c r="G720" s="1" t="s">
        <v>21</v>
      </c>
      <c r="H720" s="8">
        <v>45747</v>
      </c>
      <c r="I720" s="1" t="s">
        <v>1848</v>
      </c>
      <c r="J720" t="b">
        <v>1</v>
      </c>
      <c r="K720" t="s">
        <v>1465</v>
      </c>
      <c r="L720" s="13" t="str">
        <f>HYPERLINK("https://uk1.aconex.co.uk/hub/index.html?mainTarget=%2FSearchControlledDoc%3FSEARCH_ACTION%3D15%26tab%3D0%26searchMode%3D1%26searchQuery%3Ddocno:%22"&amp;RawData[[#This Row],[Document Number]]&amp;"%22%20%2Bcversion%253A1",RawData[[#This Row],[Document Number]])</f>
        <v>FS1018-PIN-ZZ-00-D-O-4006</v>
      </c>
    </row>
    <row r="721" spans="1:12" ht="28.8" x14ac:dyDescent="0.3">
      <c r="A721" t="s">
        <v>1463</v>
      </c>
      <c r="B721" t="s">
        <v>1464</v>
      </c>
      <c r="C721" t="s">
        <v>10</v>
      </c>
      <c r="D721" t="s">
        <v>20</v>
      </c>
      <c r="E721" s="8">
        <v>45747</v>
      </c>
      <c r="F721" s="1" t="s">
        <v>22</v>
      </c>
      <c r="G721" s="1" t="s">
        <v>4</v>
      </c>
      <c r="H721" s="8"/>
      <c r="J721" t="b">
        <v>1</v>
      </c>
      <c r="K721" t="s">
        <v>1465</v>
      </c>
      <c r="L721" s="13" t="str">
        <f>HYPERLINK("https://uk1.aconex.co.uk/hub/index.html?mainTarget=%2FSearchControlledDoc%3FSEARCH_ACTION%3D15%26tab%3D0%26searchMode%3D1%26searchQuery%3Ddocno:%22"&amp;RawData[[#This Row],[Document Number]]&amp;"%22%20%2Bcversion%253A1",RawData[[#This Row],[Document Number]])</f>
        <v>FS1018-PIN-ZZ-00-D-O-4006</v>
      </c>
    </row>
    <row r="722" spans="1:12" ht="28.8" x14ac:dyDescent="0.3">
      <c r="A722" t="s">
        <v>1466</v>
      </c>
      <c r="B722" t="s">
        <v>1467</v>
      </c>
      <c r="C722" t="s">
        <v>11</v>
      </c>
      <c r="D722" t="s">
        <v>20</v>
      </c>
      <c r="E722" s="8">
        <v>45729</v>
      </c>
      <c r="F722" s="1" t="s">
        <v>12</v>
      </c>
      <c r="G722" s="1" t="s">
        <v>21</v>
      </c>
      <c r="H722" s="8">
        <v>45747</v>
      </c>
      <c r="I722" s="1" t="s">
        <v>1849</v>
      </c>
      <c r="J722" t="b">
        <v>1</v>
      </c>
      <c r="K722" t="s">
        <v>1468</v>
      </c>
      <c r="L722" s="13" t="str">
        <f>HYPERLINK("https://uk1.aconex.co.uk/hub/index.html?mainTarget=%2FSearchControlledDoc%3FSEARCH_ACTION%3D15%26tab%3D0%26searchMode%3D1%26searchQuery%3Ddocno:%22"&amp;RawData[[#This Row],[Document Number]]&amp;"%22%20%2Bcversion%253A1",RawData[[#This Row],[Document Number]])</f>
        <v>FS1018-PIN-ZZ-00-D-O-4008</v>
      </c>
    </row>
    <row r="723" spans="1:12" ht="28.8" x14ac:dyDescent="0.3">
      <c r="A723" t="s">
        <v>1466</v>
      </c>
      <c r="B723" t="s">
        <v>1467</v>
      </c>
      <c r="C723" t="s">
        <v>11</v>
      </c>
      <c r="D723" t="s">
        <v>20</v>
      </c>
      <c r="E723" s="8">
        <v>45747</v>
      </c>
      <c r="F723" s="1" t="s">
        <v>22</v>
      </c>
      <c r="G723" s="1" t="s">
        <v>4</v>
      </c>
      <c r="H723" s="8"/>
      <c r="J723" t="b">
        <v>1</v>
      </c>
      <c r="K723" t="s">
        <v>1468</v>
      </c>
      <c r="L723" s="13" t="str">
        <f>HYPERLINK("https://uk1.aconex.co.uk/hub/index.html?mainTarget=%2FSearchControlledDoc%3FSEARCH_ACTION%3D15%26tab%3D0%26searchMode%3D1%26searchQuery%3Ddocno:%22"&amp;RawData[[#This Row],[Document Number]]&amp;"%22%20%2Bcversion%253A1",RawData[[#This Row],[Document Number]])</f>
        <v>FS1018-PIN-ZZ-00-D-O-4008</v>
      </c>
    </row>
    <row r="724" spans="1:12" x14ac:dyDescent="0.3">
      <c r="A724" t="s">
        <v>1469</v>
      </c>
      <c r="B724" t="s">
        <v>1470</v>
      </c>
      <c r="C724" t="s">
        <v>11</v>
      </c>
      <c r="D724" t="s">
        <v>19</v>
      </c>
      <c r="E724" s="8">
        <v>45729</v>
      </c>
      <c r="F724" s="1" t="s">
        <v>12</v>
      </c>
      <c r="G724" s="1" t="s">
        <v>24</v>
      </c>
      <c r="H724" s="8">
        <v>45747</v>
      </c>
      <c r="I724" s="1" t="s">
        <v>1785</v>
      </c>
      <c r="J724" t="b">
        <v>1</v>
      </c>
      <c r="K724" t="s">
        <v>1471</v>
      </c>
      <c r="L724" s="13" t="str">
        <f>HYPERLINK("https://uk1.aconex.co.uk/hub/index.html?mainTarget=%2FSearchControlledDoc%3FSEARCH_ACTION%3D15%26tab%3D0%26searchMode%3D1%26searchQuery%3Ddocno:%22"&amp;RawData[[#This Row],[Document Number]]&amp;"%22%20%2Bcversion%253A1",RawData[[#This Row],[Document Number]])</f>
        <v>FS1018-PIN-ZZ-00-D-O-4009</v>
      </c>
    </row>
    <row r="725" spans="1:12" ht="28.8" x14ac:dyDescent="0.3">
      <c r="A725" t="s">
        <v>1472</v>
      </c>
      <c r="B725" t="s">
        <v>1473</v>
      </c>
      <c r="C725" t="s">
        <v>10</v>
      </c>
      <c r="D725" t="s">
        <v>20</v>
      </c>
      <c r="E725" s="8">
        <v>45729</v>
      </c>
      <c r="F725" s="1" t="s">
        <v>12</v>
      </c>
      <c r="G725" s="1" t="s">
        <v>21</v>
      </c>
      <c r="H725" s="8">
        <v>45747</v>
      </c>
      <c r="I725" s="1" t="s">
        <v>1850</v>
      </c>
      <c r="J725" t="b">
        <v>1</v>
      </c>
      <c r="K725" t="s">
        <v>1474</v>
      </c>
      <c r="L725" s="13" t="str">
        <f>HYPERLINK("https://uk1.aconex.co.uk/hub/index.html?mainTarget=%2FSearchControlledDoc%3FSEARCH_ACTION%3D15%26tab%3D0%26searchMode%3D1%26searchQuery%3Ddocno:%22"&amp;RawData[[#This Row],[Document Number]]&amp;"%22%20%2Bcversion%253A1",RawData[[#This Row],[Document Number]])</f>
        <v>FS1018-PIN-ZZ-00-D-O-4015</v>
      </c>
    </row>
    <row r="726" spans="1:12" ht="28.8" x14ac:dyDescent="0.3">
      <c r="A726" t="s">
        <v>1472</v>
      </c>
      <c r="B726" t="s">
        <v>1473</v>
      </c>
      <c r="C726" t="s">
        <v>10</v>
      </c>
      <c r="D726" t="s">
        <v>20</v>
      </c>
      <c r="E726" s="8">
        <v>45747</v>
      </c>
      <c r="F726" s="1" t="s">
        <v>22</v>
      </c>
      <c r="G726" s="1" t="s">
        <v>4</v>
      </c>
      <c r="H726" s="8"/>
      <c r="J726" t="b">
        <v>1</v>
      </c>
      <c r="K726" t="s">
        <v>1474</v>
      </c>
      <c r="L726" s="13" t="str">
        <f>HYPERLINK("https://uk1.aconex.co.uk/hub/index.html?mainTarget=%2FSearchControlledDoc%3FSEARCH_ACTION%3D15%26tab%3D0%26searchMode%3D1%26searchQuery%3Ddocno:%22"&amp;RawData[[#This Row],[Document Number]]&amp;"%22%20%2Bcversion%253A1",RawData[[#This Row],[Document Number]])</f>
        <v>FS1018-PIN-ZZ-00-D-O-4015</v>
      </c>
    </row>
    <row r="727" spans="1:12" x14ac:dyDescent="0.3">
      <c r="A727" t="s">
        <v>1475</v>
      </c>
      <c r="B727" t="s">
        <v>1476</v>
      </c>
      <c r="C727" t="s">
        <v>10</v>
      </c>
      <c r="D727" t="s">
        <v>19</v>
      </c>
      <c r="E727" s="8">
        <v>45729</v>
      </c>
      <c r="F727" s="1" t="s">
        <v>12</v>
      </c>
      <c r="G727" s="1" t="s">
        <v>24</v>
      </c>
      <c r="H727" s="8">
        <v>45747</v>
      </c>
      <c r="I727" s="1" t="s">
        <v>1785</v>
      </c>
      <c r="J727" t="b">
        <v>1</v>
      </c>
      <c r="K727" t="s">
        <v>1477</v>
      </c>
      <c r="L727" s="13" t="str">
        <f>HYPERLINK("https://uk1.aconex.co.uk/hub/index.html?mainTarget=%2FSearchControlledDoc%3FSEARCH_ACTION%3D15%26tab%3D0%26searchMode%3D1%26searchQuery%3Ddocno:%22"&amp;RawData[[#This Row],[Document Number]]&amp;"%22%20%2Bcversion%253A1",RawData[[#This Row],[Document Number]])</f>
        <v>FS1018-PIN-ZZ-00-D-O-4018</v>
      </c>
    </row>
    <row r="728" spans="1:12" ht="28.8" x14ac:dyDescent="0.3">
      <c r="A728" t="s">
        <v>1478</v>
      </c>
      <c r="B728" t="s">
        <v>1470</v>
      </c>
      <c r="C728" t="s">
        <v>11</v>
      </c>
      <c r="D728" t="s">
        <v>20</v>
      </c>
      <c r="E728" s="8">
        <v>45729</v>
      </c>
      <c r="F728" s="1" t="s">
        <v>12</v>
      </c>
      <c r="G728" s="1" t="s">
        <v>21</v>
      </c>
      <c r="H728" s="8">
        <v>45747</v>
      </c>
      <c r="I728" s="1" t="s">
        <v>1849</v>
      </c>
      <c r="J728" t="b">
        <v>1</v>
      </c>
      <c r="K728" t="s">
        <v>1479</v>
      </c>
      <c r="L728" s="13" t="str">
        <f>HYPERLINK("https://uk1.aconex.co.uk/hub/index.html?mainTarget=%2FSearchControlledDoc%3FSEARCH_ACTION%3D15%26tab%3D0%26searchMode%3D1%26searchQuery%3Ddocno:%22"&amp;RawData[[#This Row],[Document Number]]&amp;"%22%20%2Bcversion%253A1",RawData[[#This Row],[Document Number]])</f>
        <v>FS1018-PIN-ZZ-00-D-O-5003</v>
      </c>
    </row>
    <row r="729" spans="1:12" ht="28.8" x14ac:dyDescent="0.3">
      <c r="A729" t="s">
        <v>1478</v>
      </c>
      <c r="B729" t="s">
        <v>1470</v>
      </c>
      <c r="C729" t="s">
        <v>11</v>
      </c>
      <c r="D729" t="s">
        <v>20</v>
      </c>
      <c r="E729" s="8">
        <v>45747</v>
      </c>
      <c r="F729" s="1" t="s">
        <v>22</v>
      </c>
      <c r="G729" s="1" t="s">
        <v>4</v>
      </c>
      <c r="H729" s="8"/>
      <c r="J729" t="b">
        <v>1</v>
      </c>
      <c r="K729" t="s">
        <v>1479</v>
      </c>
      <c r="L729" s="13" t="str">
        <f>HYPERLINK("https://uk1.aconex.co.uk/hub/index.html?mainTarget=%2FSearchControlledDoc%3FSEARCH_ACTION%3D15%26tab%3D0%26searchMode%3D1%26searchQuery%3Ddocno:%22"&amp;RawData[[#This Row],[Document Number]]&amp;"%22%20%2Bcversion%253A1",RawData[[#This Row],[Document Number]])</f>
        <v>FS1018-PIN-ZZ-00-D-O-5003</v>
      </c>
    </row>
    <row r="730" spans="1:12" x14ac:dyDescent="0.3">
      <c r="A730" t="s">
        <v>1480</v>
      </c>
      <c r="B730" t="s">
        <v>1481</v>
      </c>
      <c r="C730" t="s">
        <v>10</v>
      </c>
      <c r="D730" t="s">
        <v>19</v>
      </c>
      <c r="E730" s="8">
        <v>45729</v>
      </c>
      <c r="F730" s="1" t="s">
        <v>12</v>
      </c>
      <c r="G730" s="1" t="s">
        <v>24</v>
      </c>
      <c r="H730" s="8">
        <v>45747</v>
      </c>
      <c r="I730" s="1" t="s">
        <v>1785</v>
      </c>
      <c r="J730" t="b">
        <v>1</v>
      </c>
      <c r="K730" t="s">
        <v>1482</v>
      </c>
      <c r="L730" s="13" t="str">
        <f>HYPERLINK("https://uk1.aconex.co.uk/hub/index.html?mainTarget=%2FSearchControlledDoc%3FSEARCH_ACTION%3D15%26tab%3D0%26searchMode%3D1%26searchQuery%3Ddocno:%22"&amp;RawData[[#This Row],[Document Number]]&amp;"%22%20%2Bcversion%253A1",RawData[[#This Row],[Document Number]])</f>
        <v>FS1018-PIN-ZZ-00-D-O-5007</v>
      </c>
    </row>
    <row r="731" spans="1:12" x14ac:dyDescent="0.3">
      <c r="A731" t="s">
        <v>1483</v>
      </c>
      <c r="B731" t="s">
        <v>1484</v>
      </c>
      <c r="C731" t="s">
        <v>10</v>
      </c>
      <c r="D731" t="s">
        <v>19</v>
      </c>
      <c r="E731" s="8">
        <v>45729</v>
      </c>
      <c r="F731" s="1" t="s">
        <v>12</v>
      </c>
      <c r="G731" s="1" t="s">
        <v>24</v>
      </c>
      <c r="H731" s="8">
        <v>45747</v>
      </c>
      <c r="I731" s="1" t="s">
        <v>1785</v>
      </c>
      <c r="J731" t="b">
        <v>1</v>
      </c>
      <c r="K731" t="s">
        <v>1485</v>
      </c>
      <c r="L731" s="13" t="str">
        <f>HYPERLINK("https://uk1.aconex.co.uk/hub/index.html?mainTarget=%2FSearchControlledDoc%3FSEARCH_ACTION%3D15%26tab%3D0%26searchMode%3D1%26searchQuery%3Ddocno:%22"&amp;RawData[[#This Row],[Document Number]]&amp;"%22%20%2Bcversion%253A1",RawData[[#This Row],[Document Number]])</f>
        <v>FS1018-PIN-ZZ-00-D-O-5008</v>
      </c>
    </row>
    <row r="732" spans="1:12" x14ac:dyDescent="0.3">
      <c r="A732" t="s">
        <v>1486</v>
      </c>
      <c r="B732" t="s">
        <v>1487</v>
      </c>
      <c r="C732" t="s">
        <v>11</v>
      </c>
      <c r="D732" t="s">
        <v>19</v>
      </c>
      <c r="E732" s="8">
        <v>45729</v>
      </c>
      <c r="F732" s="1" t="s">
        <v>12</v>
      </c>
      <c r="G732" s="1" t="s">
        <v>24</v>
      </c>
      <c r="H732" s="8">
        <v>45747</v>
      </c>
      <c r="I732" s="1" t="s">
        <v>1785</v>
      </c>
      <c r="J732" t="b">
        <v>1</v>
      </c>
      <c r="K732" t="s">
        <v>1488</v>
      </c>
      <c r="L732" s="13" t="str">
        <f>HYPERLINK("https://uk1.aconex.co.uk/hub/index.html?mainTarget=%2FSearchControlledDoc%3FSEARCH_ACTION%3D15%26tab%3D0%26searchMode%3D1%26searchQuery%3Ddocno:%22"&amp;RawData[[#This Row],[Document Number]]&amp;"%22%20%2Bcversion%253A1",RawData[[#This Row],[Document Number]])</f>
        <v>FS1018-PIN-ZZ-00-D-O-5009</v>
      </c>
    </row>
    <row r="733" spans="1:12" x14ac:dyDescent="0.3">
      <c r="A733" t="s">
        <v>1489</v>
      </c>
      <c r="B733" t="s">
        <v>1487</v>
      </c>
      <c r="C733" t="s">
        <v>11</v>
      </c>
      <c r="D733" t="s">
        <v>19</v>
      </c>
      <c r="E733" s="8">
        <v>45729</v>
      </c>
      <c r="F733" s="1" t="s">
        <v>12</v>
      </c>
      <c r="G733" s="1" t="s">
        <v>24</v>
      </c>
      <c r="H733" s="8">
        <v>45747</v>
      </c>
      <c r="I733" s="1" t="s">
        <v>1785</v>
      </c>
      <c r="J733" t="b">
        <v>1</v>
      </c>
      <c r="K733" t="s">
        <v>1490</v>
      </c>
      <c r="L733" s="13" t="str">
        <f>HYPERLINK("https://uk1.aconex.co.uk/hub/index.html?mainTarget=%2FSearchControlledDoc%3FSEARCH_ACTION%3D15%26tab%3D0%26searchMode%3D1%26searchQuery%3Ddocno:%22"&amp;RawData[[#This Row],[Document Number]]&amp;"%22%20%2Bcversion%253A1",RawData[[#This Row],[Document Number]])</f>
        <v>FS1018-PIN-ZZ-00-D-O-5011</v>
      </c>
    </row>
    <row r="734" spans="1:12" x14ac:dyDescent="0.3">
      <c r="A734" t="s">
        <v>1491</v>
      </c>
      <c r="B734" t="s">
        <v>1492</v>
      </c>
      <c r="C734" t="s">
        <v>11</v>
      </c>
      <c r="D734" t="s">
        <v>19</v>
      </c>
      <c r="E734" s="8">
        <v>45729</v>
      </c>
      <c r="F734" s="1" t="s">
        <v>12</v>
      </c>
      <c r="G734" s="1" t="s">
        <v>24</v>
      </c>
      <c r="H734" s="8">
        <v>45747</v>
      </c>
      <c r="I734" s="1" t="s">
        <v>1785</v>
      </c>
      <c r="J734" t="b">
        <v>1</v>
      </c>
      <c r="K734" t="s">
        <v>1493</v>
      </c>
      <c r="L734" s="13" t="str">
        <f>HYPERLINK("https://uk1.aconex.co.uk/hub/index.html?mainTarget=%2FSearchControlledDoc%3FSEARCH_ACTION%3D15%26tab%3D0%26searchMode%3D1%26searchQuery%3Ddocno:%22"&amp;RawData[[#This Row],[Document Number]]&amp;"%22%20%2Bcversion%253A1",RawData[[#This Row],[Document Number]])</f>
        <v>FS1018-PIN-ZZ-00-D-O-5013</v>
      </c>
    </row>
    <row r="735" spans="1:12" x14ac:dyDescent="0.3">
      <c r="A735" t="s">
        <v>1494</v>
      </c>
      <c r="B735" t="s">
        <v>1495</v>
      </c>
      <c r="C735" t="s">
        <v>10</v>
      </c>
      <c r="D735" t="s">
        <v>19</v>
      </c>
      <c r="E735" s="8">
        <v>45729</v>
      </c>
      <c r="F735" s="1" t="s">
        <v>12</v>
      </c>
      <c r="G735" s="1" t="s">
        <v>24</v>
      </c>
      <c r="H735" s="8">
        <v>45747</v>
      </c>
      <c r="I735" s="1" t="s">
        <v>1785</v>
      </c>
      <c r="J735" t="b">
        <v>1</v>
      </c>
      <c r="K735" t="s">
        <v>1496</v>
      </c>
      <c r="L735" s="13" t="str">
        <f>HYPERLINK("https://uk1.aconex.co.uk/hub/index.html?mainTarget=%2FSearchControlledDoc%3FSEARCH_ACTION%3D15%26tab%3D0%26searchMode%3D1%26searchQuery%3Ddocno:%22"&amp;RawData[[#This Row],[Document Number]]&amp;"%22%20%2Bcversion%253A1",RawData[[#This Row],[Document Number]])</f>
        <v>FS1018-PIN-ZZ-00-D-O-5018</v>
      </c>
    </row>
    <row r="736" spans="1:12" x14ac:dyDescent="0.3">
      <c r="A736" t="s">
        <v>1497</v>
      </c>
      <c r="B736" t="s">
        <v>1498</v>
      </c>
      <c r="C736" t="s">
        <v>10</v>
      </c>
      <c r="D736" t="s">
        <v>19</v>
      </c>
      <c r="E736" s="8">
        <v>45729</v>
      </c>
      <c r="F736" s="1" t="s">
        <v>12</v>
      </c>
      <c r="G736" s="1" t="s">
        <v>24</v>
      </c>
      <c r="H736" s="8">
        <v>45747</v>
      </c>
      <c r="I736" s="1" t="s">
        <v>1785</v>
      </c>
      <c r="J736" t="b">
        <v>1</v>
      </c>
      <c r="K736" t="s">
        <v>1499</v>
      </c>
      <c r="L736" s="13" t="str">
        <f>HYPERLINK("https://uk1.aconex.co.uk/hub/index.html?mainTarget=%2FSearchControlledDoc%3FSEARCH_ACTION%3D15%26tab%3D0%26searchMode%3D1%26searchQuery%3Ddocno:%22"&amp;RawData[[#This Row],[Document Number]]&amp;"%22%20%2Bcversion%253A1",RawData[[#This Row],[Document Number]])</f>
        <v>FS1018-PIN-ZZ-00-D-O-5019</v>
      </c>
    </row>
    <row r="737" spans="1:12" x14ac:dyDescent="0.3">
      <c r="A737" t="s">
        <v>1500</v>
      </c>
      <c r="B737" t="s">
        <v>1501</v>
      </c>
      <c r="C737" t="s">
        <v>10</v>
      </c>
      <c r="D737" t="s">
        <v>19</v>
      </c>
      <c r="E737" s="8">
        <v>45729</v>
      </c>
      <c r="F737" s="1" t="s">
        <v>12</v>
      </c>
      <c r="G737" s="1" t="s">
        <v>24</v>
      </c>
      <c r="H737" s="8">
        <v>45747</v>
      </c>
      <c r="I737" s="1" t="s">
        <v>1785</v>
      </c>
      <c r="J737" t="b">
        <v>1</v>
      </c>
      <c r="K737" t="s">
        <v>1502</v>
      </c>
      <c r="L737" s="13" t="str">
        <f>HYPERLINK("https://uk1.aconex.co.uk/hub/index.html?mainTarget=%2FSearchControlledDoc%3FSEARCH_ACTION%3D15%26tab%3D0%26searchMode%3D1%26searchQuery%3Ddocno:%22"&amp;RawData[[#This Row],[Document Number]]&amp;"%22%20%2Bcversion%253A1",RawData[[#This Row],[Document Number]])</f>
        <v>FS1018-PIN-ZZ-00-D-O-5103</v>
      </c>
    </row>
    <row r="738" spans="1:12" ht="72" x14ac:dyDescent="0.3">
      <c r="A738" t="s">
        <v>1503</v>
      </c>
      <c r="B738" t="s">
        <v>1504</v>
      </c>
      <c r="C738" t="s">
        <v>11</v>
      </c>
      <c r="D738" t="s">
        <v>20</v>
      </c>
      <c r="E738" s="8">
        <v>45729</v>
      </c>
      <c r="F738" s="1" t="s">
        <v>12</v>
      </c>
      <c r="G738" s="1" t="s">
        <v>1027</v>
      </c>
      <c r="H738" s="8">
        <v>45747</v>
      </c>
      <c r="I738" s="1" t="s">
        <v>1851</v>
      </c>
      <c r="J738" t="b">
        <v>1</v>
      </c>
      <c r="K738" t="s">
        <v>1505</v>
      </c>
      <c r="L738" s="13" t="str">
        <f>HYPERLINK("https://uk1.aconex.co.uk/hub/index.html?mainTarget=%2FSearchControlledDoc%3FSEARCH_ACTION%3D15%26tab%3D0%26searchMode%3D1%26searchQuery%3Ddocno:%22"&amp;RawData[[#This Row],[Document Number]]&amp;"%22%20%2Bcversion%253A1",RawData[[#This Row],[Document Number]])</f>
        <v>FS1018-PIN-ZZ-00-D-O-5109</v>
      </c>
    </row>
    <row r="739" spans="1:12" ht="28.8" x14ac:dyDescent="0.3">
      <c r="A739" t="s">
        <v>1503</v>
      </c>
      <c r="B739" t="s">
        <v>1504</v>
      </c>
      <c r="C739" t="s">
        <v>11</v>
      </c>
      <c r="D739" t="s">
        <v>20</v>
      </c>
      <c r="E739" s="8">
        <v>45747</v>
      </c>
      <c r="F739" s="1" t="s">
        <v>22</v>
      </c>
      <c r="G739" s="1" t="s">
        <v>4</v>
      </c>
      <c r="H739" s="8"/>
      <c r="J739" t="b">
        <v>1</v>
      </c>
      <c r="K739" t="s">
        <v>1505</v>
      </c>
      <c r="L739" s="13" t="str">
        <f>HYPERLINK("https://uk1.aconex.co.uk/hub/index.html?mainTarget=%2FSearchControlledDoc%3FSEARCH_ACTION%3D15%26tab%3D0%26searchMode%3D1%26searchQuery%3Ddocno:%22"&amp;RawData[[#This Row],[Document Number]]&amp;"%22%20%2Bcversion%253A1",RawData[[#This Row],[Document Number]])</f>
        <v>FS1018-PIN-ZZ-00-D-O-5109</v>
      </c>
    </row>
    <row r="740" spans="1:12" ht="28.8" x14ac:dyDescent="0.3">
      <c r="A740" t="s">
        <v>1506</v>
      </c>
      <c r="B740" t="s">
        <v>1507</v>
      </c>
      <c r="C740" t="s">
        <v>11</v>
      </c>
      <c r="D740" t="s">
        <v>20</v>
      </c>
      <c r="E740" s="8">
        <v>45729</v>
      </c>
      <c r="F740" s="1" t="s">
        <v>12</v>
      </c>
      <c r="G740" s="1" t="s">
        <v>1027</v>
      </c>
      <c r="H740" s="8">
        <v>45747</v>
      </c>
      <c r="I740" s="1" t="s">
        <v>1852</v>
      </c>
      <c r="J740" t="b">
        <v>1</v>
      </c>
      <c r="K740" t="s">
        <v>1508</v>
      </c>
      <c r="L740" s="13" t="str">
        <f>HYPERLINK("https://uk1.aconex.co.uk/hub/index.html?mainTarget=%2FSearchControlledDoc%3FSEARCH_ACTION%3D15%26tab%3D0%26searchMode%3D1%26searchQuery%3Ddocno:%22"&amp;RawData[[#This Row],[Document Number]]&amp;"%22%20%2Bcversion%253A1",RawData[[#This Row],[Document Number]])</f>
        <v>FS1018-PIN-ZZ-00-D-O-5114</v>
      </c>
    </row>
    <row r="741" spans="1:12" ht="28.8" x14ac:dyDescent="0.3">
      <c r="A741" t="s">
        <v>1506</v>
      </c>
      <c r="B741" t="s">
        <v>1507</v>
      </c>
      <c r="C741" t="s">
        <v>11</v>
      </c>
      <c r="D741" t="s">
        <v>20</v>
      </c>
      <c r="E741" s="8">
        <v>45747</v>
      </c>
      <c r="F741" s="1" t="s">
        <v>22</v>
      </c>
      <c r="G741" s="1" t="s">
        <v>4</v>
      </c>
      <c r="H741" s="8"/>
      <c r="J741" t="b">
        <v>1</v>
      </c>
      <c r="K741" t="s">
        <v>1508</v>
      </c>
      <c r="L741" s="13" t="str">
        <f>HYPERLINK("https://uk1.aconex.co.uk/hub/index.html?mainTarget=%2FSearchControlledDoc%3FSEARCH_ACTION%3D15%26tab%3D0%26searchMode%3D1%26searchQuery%3Ddocno:%22"&amp;RawData[[#This Row],[Document Number]]&amp;"%22%20%2Bcversion%253A1",RawData[[#This Row],[Document Number]])</f>
        <v>FS1018-PIN-ZZ-00-D-O-5114</v>
      </c>
    </row>
    <row r="742" spans="1:12" ht="28.8" x14ac:dyDescent="0.3">
      <c r="A742" t="s">
        <v>1509</v>
      </c>
      <c r="B742" t="s">
        <v>1507</v>
      </c>
      <c r="C742" t="s">
        <v>11</v>
      </c>
      <c r="D742" t="s">
        <v>20</v>
      </c>
      <c r="E742" s="8">
        <v>45729</v>
      </c>
      <c r="F742" s="1" t="s">
        <v>12</v>
      </c>
      <c r="G742" s="1" t="s">
        <v>1027</v>
      </c>
      <c r="H742" s="8">
        <v>45747</v>
      </c>
      <c r="I742" s="1" t="s">
        <v>1853</v>
      </c>
      <c r="J742" t="b">
        <v>1</v>
      </c>
      <c r="K742" t="s">
        <v>1510</v>
      </c>
      <c r="L742" s="13" t="str">
        <f>HYPERLINK("https://uk1.aconex.co.uk/hub/index.html?mainTarget=%2FSearchControlledDoc%3FSEARCH_ACTION%3D15%26tab%3D0%26searchMode%3D1%26searchQuery%3Ddocno:%22"&amp;RawData[[#This Row],[Document Number]]&amp;"%22%20%2Bcversion%253A1",RawData[[#This Row],[Document Number]])</f>
        <v>FS1018-PIN-ZZ-00-D-O-5117</v>
      </c>
    </row>
    <row r="743" spans="1:12" ht="28.8" x14ac:dyDescent="0.3">
      <c r="A743" t="s">
        <v>1509</v>
      </c>
      <c r="B743" t="s">
        <v>1507</v>
      </c>
      <c r="C743" t="s">
        <v>11</v>
      </c>
      <c r="D743" t="s">
        <v>20</v>
      </c>
      <c r="E743" s="8">
        <v>45747</v>
      </c>
      <c r="F743" s="1" t="s">
        <v>22</v>
      </c>
      <c r="G743" s="1" t="s">
        <v>4</v>
      </c>
      <c r="H743" s="8"/>
      <c r="J743" t="b">
        <v>1</v>
      </c>
      <c r="K743" t="s">
        <v>1510</v>
      </c>
      <c r="L743" s="13" t="str">
        <f>HYPERLINK("https://uk1.aconex.co.uk/hub/index.html?mainTarget=%2FSearchControlledDoc%3FSEARCH_ACTION%3D15%26tab%3D0%26searchMode%3D1%26searchQuery%3Ddocno:%22"&amp;RawData[[#This Row],[Document Number]]&amp;"%22%20%2Bcversion%253A1",RawData[[#This Row],[Document Number]])</f>
        <v>FS1018-PIN-ZZ-00-D-O-5117</v>
      </c>
    </row>
    <row r="744" spans="1:12" ht="129.6" x14ac:dyDescent="0.3">
      <c r="A744" t="s">
        <v>1511</v>
      </c>
      <c r="B744" t="s">
        <v>1512</v>
      </c>
      <c r="C744" t="s">
        <v>11</v>
      </c>
      <c r="D744" t="s">
        <v>20</v>
      </c>
      <c r="E744" s="8">
        <v>45729</v>
      </c>
      <c r="F744" s="1" t="s">
        <v>12</v>
      </c>
      <c r="G744" s="1" t="s">
        <v>21</v>
      </c>
      <c r="H744" s="8">
        <v>45747</v>
      </c>
      <c r="I744" s="1" t="s">
        <v>1854</v>
      </c>
      <c r="J744" t="b">
        <v>1</v>
      </c>
      <c r="K744" t="s">
        <v>1513</v>
      </c>
      <c r="L744" s="13" t="str">
        <f>HYPERLINK("https://uk1.aconex.co.uk/hub/index.html?mainTarget=%2FSearchControlledDoc%3FSEARCH_ACTION%3D15%26tab%3D0%26searchMode%3D1%26searchQuery%3Ddocno:%22"&amp;RawData[[#This Row],[Document Number]]&amp;"%22%20%2Bcversion%253A1",RawData[[#This Row],[Document Number]])</f>
        <v>FS1018-PIN-ZZ-00-D-O-6001</v>
      </c>
    </row>
    <row r="745" spans="1:12" ht="28.8" x14ac:dyDescent="0.3">
      <c r="A745" t="s">
        <v>1511</v>
      </c>
      <c r="B745" t="s">
        <v>1512</v>
      </c>
      <c r="C745" t="s">
        <v>11</v>
      </c>
      <c r="D745" t="s">
        <v>20</v>
      </c>
      <c r="E745" s="8">
        <v>45747</v>
      </c>
      <c r="F745" s="1" t="s">
        <v>22</v>
      </c>
      <c r="G745" s="1" t="s">
        <v>4</v>
      </c>
      <c r="H745" s="8"/>
      <c r="J745" t="b">
        <v>1</v>
      </c>
      <c r="K745" t="s">
        <v>1513</v>
      </c>
      <c r="L745" s="13" t="str">
        <f>HYPERLINK("https://uk1.aconex.co.uk/hub/index.html?mainTarget=%2FSearchControlledDoc%3FSEARCH_ACTION%3D15%26tab%3D0%26searchMode%3D1%26searchQuery%3Ddocno:%22"&amp;RawData[[#This Row],[Document Number]]&amp;"%22%20%2Bcversion%253A1",RawData[[#This Row],[Document Number]])</f>
        <v>FS1018-PIN-ZZ-00-D-O-6001</v>
      </c>
    </row>
    <row r="746" spans="1:12" ht="43.2" x14ac:dyDescent="0.3">
      <c r="A746" t="s">
        <v>1514</v>
      </c>
      <c r="B746" t="s">
        <v>1515</v>
      </c>
      <c r="C746" t="s">
        <v>10</v>
      </c>
      <c r="D746" t="s">
        <v>20</v>
      </c>
      <c r="E746" s="8">
        <v>45729</v>
      </c>
      <c r="F746" s="1" t="s">
        <v>12</v>
      </c>
      <c r="G746" s="1" t="s">
        <v>21</v>
      </c>
      <c r="H746" s="8">
        <v>45747</v>
      </c>
      <c r="I746" s="1" t="s">
        <v>1855</v>
      </c>
      <c r="J746" t="b">
        <v>1</v>
      </c>
      <c r="K746" t="s">
        <v>1516</v>
      </c>
      <c r="L746" s="13" t="str">
        <f>HYPERLINK("https://uk1.aconex.co.uk/hub/index.html?mainTarget=%2FSearchControlledDoc%3FSEARCH_ACTION%3D15%26tab%3D0%26searchMode%3D1%26searchQuery%3Ddocno:%22"&amp;RawData[[#This Row],[Document Number]]&amp;"%22%20%2Bcversion%253A1",RawData[[#This Row],[Document Number]])</f>
        <v>FS1018-PIN-ZZ-00-D-O-6002</v>
      </c>
    </row>
    <row r="747" spans="1:12" ht="28.8" x14ac:dyDescent="0.3">
      <c r="A747" t="s">
        <v>1514</v>
      </c>
      <c r="B747" t="s">
        <v>1515</v>
      </c>
      <c r="C747" t="s">
        <v>10</v>
      </c>
      <c r="D747" t="s">
        <v>20</v>
      </c>
      <c r="E747" s="8">
        <v>45747</v>
      </c>
      <c r="F747" s="1" t="s">
        <v>22</v>
      </c>
      <c r="G747" s="1" t="s">
        <v>4</v>
      </c>
      <c r="H747" s="8"/>
      <c r="J747" t="b">
        <v>1</v>
      </c>
      <c r="K747" t="s">
        <v>1516</v>
      </c>
      <c r="L747" s="13" t="str">
        <f>HYPERLINK("https://uk1.aconex.co.uk/hub/index.html?mainTarget=%2FSearchControlledDoc%3FSEARCH_ACTION%3D15%26tab%3D0%26searchMode%3D1%26searchQuery%3Ddocno:%22"&amp;RawData[[#This Row],[Document Number]]&amp;"%22%20%2Bcversion%253A1",RawData[[#This Row],[Document Number]])</f>
        <v>FS1018-PIN-ZZ-00-D-O-6002</v>
      </c>
    </row>
    <row r="748" spans="1:12" ht="43.2" x14ac:dyDescent="0.3">
      <c r="A748" t="s">
        <v>1517</v>
      </c>
      <c r="B748" t="s">
        <v>1518</v>
      </c>
      <c r="C748" t="s">
        <v>10</v>
      </c>
      <c r="D748" t="s">
        <v>20</v>
      </c>
      <c r="E748" s="8">
        <v>45729</v>
      </c>
      <c r="F748" s="1" t="s">
        <v>12</v>
      </c>
      <c r="G748" s="1" t="s">
        <v>21</v>
      </c>
      <c r="H748" s="8">
        <v>45747</v>
      </c>
      <c r="I748" s="1" t="s">
        <v>1855</v>
      </c>
      <c r="J748" t="b">
        <v>1</v>
      </c>
      <c r="K748" t="s">
        <v>1519</v>
      </c>
      <c r="L748" s="13" t="str">
        <f>HYPERLINK("https://uk1.aconex.co.uk/hub/index.html?mainTarget=%2FSearchControlledDoc%3FSEARCH_ACTION%3D15%26tab%3D0%26searchMode%3D1%26searchQuery%3Ddocno:%22"&amp;RawData[[#This Row],[Document Number]]&amp;"%22%20%2Bcversion%253A1",RawData[[#This Row],[Document Number]])</f>
        <v>FS1018-PIN-ZZ-00-D-O-6003</v>
      </c>
    </row>
    <row r="749" spans="1:12" ht="28.8" x14ac:dyDescent="0.3">
      <c r="A749" t="s">
        <v>1517</v>
      </c>
      <c r="B749" t="s">
        <v>1518</v>
      </c>
      <c r="C749" t="s">
        <v>10</v>
      </c>
      <c r="D749" t="s">
        <v>20</v>
      </c>
      <c r="E749" s="8">
        <v>45747</v>
      </c>
      <c r="F749" s="1" t="s">
        <v>22</v>
      </c>
      <c r="G749" s="1" t="s">
        <v>4</v>
      </c>
      <c r="H749" s="8"/>
      <c r="J749" t="b">
        <v>1</v>
      </c>
      <c r="K749" t="s">
        <v>1519</v>
      </c>
      <c r="L749" s="13" t="str">
        <f>HYPERLINK("https://uk1.aconex.co.uk/hub/index.html?mainTarget=%2FSearchControlledDoc%3FSEARCH_ACTION%3D15%26tab%3D0%26searchMode%3D1%26searchQuery%3Ddocno:%22"&amp;RawData[[#This Row],[Document Number]]&amp;"%22%20%2Bcversion%253A1",RawData[[#This Row],[Document Number]])</f>
        <v>FS1018-PIN-ZZ-00-D-O-6003</v>
      </c>
    </row>
    <row r="750" spans="1:12" ht="43.2" x14ac:dyDescent="0.3">
      <c r="A750" t="s">
        <v>1520</v>
      </c>
      <c r="B750" t="s">
        <v>1521</v>
      </c>
      <c r="C750" t="s">
        <v>10</v>
      </c>
      <c r="D750" t="s">
        <v>20</v>
      </c>
      <c r="E750" s="8">
        <v>45729</v>
      </c>
      <c r="F750" s="1" t="s">
        <v>12</v>
      </c>
      <c r="G750" s="1" t="s">
        <v>21</v>
      </c>
      <c r="H750" s="8">
        <v>45747</v>
      </c>
      <c r="I750" s="1" t="s">
        <v>1856</v>
      </c>
      <c r="J750" t="b">
        <v>1</v>
      </c>
      <c r="K750" t="s">
        <v>1522</v>
      </c>
      <c r="L750" s="13" t="str">
        <f>HYPERLINK("https://uk1.aconex.co.uk/hub/index.html?mainTarget=%2FSearchControlledDoc%3FSEARCH_ACTION%3D15%26tab%3D0%26searchMode%3D1%26searchQuery%3Ddocno:%22"&amp;RawData[[#This Row],[Document Number]]&amp;"%22%20%2Bcversion%253A1",RawData[[#This Row],[Document Number]])</f>
        <v>FS1018-PIN-ZZ-00-D-O-6004</v>
      </c>
    </row>
    <row r="751" spans="1:12" ht="28.8" x14ac:dyDescent="0.3">
      <c r="A751" t="s">
        <v>1520</v>
      </c>
      <c r="B751" t="s">
        <v>1521</v>
      </c>
      <c r="C751" t="s">
        <v>10</v>
      </c>
      <c r="D751" t="s">
        <v>20</v>
      </c>
      <c r="E751" s="8">
        <v>45747</v>
      </c>
      <c r="F751" s="1" t="s">
        <v>22</v>
      </c>
      <c r="G751" s="1" t="s">
        <v>4</v>
      </c>
      <c r="H751" s="8"/>
      <c r="J751" t="b">
        <v>1</v>
      </c>
      <c r="K751" t="s">
        <v>1522</v>
      </c>
      <c r="L751" s="13" t="str">
        <f>HYPERLINK("https://uk1.aconex.co.uk/hub/index.html?mainTarget=%2FSearchControlledDoc%3FSEARCH_ACTION%3D15%26tab%3D0%26searchMode%3D1%26searchQuery%3Ddocno:%22"&amp;RawData[[#This Row],[Document Number]]&amp;"%22%20%2Bcversion%253A1",RawData[[#This Row],[Document Number]])</f>
        <v>FS1018-PIN-ZZ-00-D-O-6004</v>
      </c>
    </row>
    <row r="752" spans="1:12" ht="28.8" x14ac:dyDescent="0.3">
      <c r="A752" t="s">
        <v>1523</v>
      </c>
      <c r="B752" t="s">
        <v>1524</v>
      </c>
      <c r="C752" t="s">
        <v>11</v>
      </c>
      <c r="D752" t="s">
        <v>20</v>
      </c>
      <c r="E752" s="8">
        <v>45729</v>
      </c>
      <c r="F752" s="1" t="s">
        <v>12</v>
      </c>
      <c r="G752" s="1" t="s">
        <v>21</v>
      </c>
      <c r="H752" s="8">
        <v>45747</v>
      </c>
      <c r="I752" s="1" t="s">
        <v>1857</v>
      </c>
      <c r="J752" t="b">
        <v>1</v>
      </c>
      <c r="K752" t="s">
        <v>1525</v>
      </c>
      <c r="L752" s="13" t="str">
        <f>HYPERLINK("https://uk1.aconex.co.uk/hub/index.html?mainTarget=%2FSearchControlledDoc%3FSEARCH_ACTION%3D15%26tab%3D0%26searchMode%3D1%26searchQuery%3Ddocno:%22"&amp;RawData[[#This Row],[Document Number]]&amp;"%22%20%2Bcversion%253A1",RawData[[#This Row],[Document Number]])</f>
        <v>FS1018-PIN-ZZ-00-D-O-6005</v>
      </c>
    </row>
    <row r="753" spans="1:12" ht="28.8" x14ac:dyDescent="0.3">
      <c r="A753" t="s">
        <v>1523</v>
      </c>
      <c r="B753" t="s">
        <v>1524</v>
      </c>
      <c r="C753" t="s">
        <v>11</v>
      </c>
      <c r="D753" t="s">
        <v>20</v>
      </c>
      <c r="E753" s="8">
        <v>45747</v>
      </c>
      <c r="F753" s="1" t="s">
        <v>22</v>
      </c>
      <c r="G753" s="1" t="s">
        <v>4</v>
      </c>
      <c r="H753" s="8"/>
      <c r="J753" t="b">
        <v>1</v>
      </c>
      <c r="K753" t="s">
        <v>1525</v>
      </c>
      <c r="L753" s="13" t="str">
        <f>HYPERLINK("https://uk1.aconex.co.uk/hub/index.html?mainTarget=%2FSearchControlledDoc%3FSEARCH_ACTION%3D15%26tab%3D0%26searchMode%3D1%26searchQuery%3Ddocno:%22"&amp;RawData[[#This Row],[Document Number]]&amp;"%22%20%2Bcversion%253A1",RawData[[#This Row],[Document Number]])</f>
        <v>FS1018-PIN-ZZ-00-D-O-6005</v>
      </c>
    </row>
    <row r="754" spans="1:12" ht="57.6" x14ac:dyDescent="0.3">
      <c r="A754" t="s">
        <v>1526</v>
      </c>
      <c r="B754" t="s">
        <v>1527</v>
      </c>
      <c r="C754" t="s">
        <v>10</v>
      </c>
      <c r="D754" t="s">
        <v>20</v>
      </c>
      <c r="E754" s="8">
        <v>45729</v>
      </c>
      <c r="F754" s="1" t="s">
        <v>12</v>
      </c>
      <c r="G754" s="1" t="s">
        <v>21</v>
      </c>
      <c r="H754" s="8">
        <v>45747</v>
      </c>
      <c r="I754" s="1" t="s">
        <v>1858</v>
      </c>
      <c r="J754" t="b">
        <v>1</v>
      </c>
      <c r="K754" t="s">
        <v>1528</v>
      </c>
      <c r="L754" s="13" t="str">
        <f>HYPERLINK("https://uk1.aconex.co.uk/hub/index.html?mainTarget=%2FSearchControlledDoc%3FSEARCH_ACTION%3D15%26tab%3D0%26searchMode%3D1%26searchQuery%3Ddocno:%22"&amp;RawData[[#This Row],[Document Number]]&amp;"%22%20%2Bcversion%253A1",RawData[[#This Row],[Document Number]])</f>
        <v>FS1018-PIN-ZZ-00-D-O-6006</v>
      </c>
    </row>
    <row r="755" spans="1:12" ht="28.8" x14ac:dyDescent="0.3">
      <c r="A755" t="s">
        <v>1526</v>
      </c>
      <c r="B755" t="s">
        <v>1527</v>
      </c>
      <c r="C755" t="s">
        <v>10</v>
      </c>
      <c r="D755" t="s">
        <v>20</v>
      </c>
      <c r="E755" s="8">
        <v>45747</v>
      </c>
      <c r="F755" s="1" t="s">
        <v>22</v>
      </c>
      <c r="G755" s="1" t="s">
        <v>4</v>
      </c>
      <c r="H755" s="8"/>
      <c r="J755" t="b">
        <v>1</v>
      </c>
      <c r="K755" t="s">
        <v>1528</v>
      </c>
      <c r="L755" s="13" t="str">
        <f>HYPERLINK("https://uk1.aconex.co.uk/hub/index.html?mainTarget=%2FSearchControlledDoc%3FSEARCH_ACTION%3D15%26tab%3D0%26searchMode%3D1%26searchQuery%3Ddocno:%22"&amp;RawData[[#This Row],[Document Number]]&amp;"%22%20%2Bcversion%253A1",RawData[[#This Row],[Document Number]])</f>
        <v>FS1018-PIN-ZZ-00-D-O-6006</v>
      </c>
    </row>
    <row r="756" spans="1:12" ht="115.2" x14ac:dyDescent="0.3">
      <c r="A756" t="s">
        <v>1529</v>
      </c>
      <c r="B756" t="s">
        <v>1530</v>
      </c>
      <c r="C756" t="s">
        <v>418</v>
      </c>
      <c r="D756" t="s">
        <v>20</v>
      </c>
      <c r="E756" s="8">
        <v>45729</v>
      </c>
      <c r="F756" s="1" t="s">
        <v>12</v>
      </c>
      <c r="G756" s="1" t="s">
        <v>21</v>
      </c>
      <c r="H756" s="8">
        <v>45747</v>
      </c>
      <c r="I756" s="1" t="s">
        <v>1859</v>
      </c>
      <c r="J756" t="b">
        <v>1</v>
      </c>
      <c r="K756" t="s">
        <v>1531</v>
      </c>
      <c r="L756" s="13" t="str">
        <f>HYPERLINK("https://uk1.aconex.co.uk/hub/index.html?mainTarget=%2FSearchControlledDoc%3FSEARCH_ACTION%3D15%26tab%3D0%26searchMode%3D1%26searchQuery%3Ddocno:%22"&amp;RawData[[#This Row],[Document Number]]&amp;"%22%20%2Bcversion%253A1",RawData[[#This Row],[Document Number]])</f>
        <v>FS1018-PIN-ZZ-00-D-O-6007</v>
      </c>
    </row>
    <row r="757" spans="1:12" ht="28.8" x14ac:dyDescent="0.3">
      <c r="A757" t="s">
        <v>1529</v>
      </c>
      <c r="B757" t="s">
        <v>1530</v>
      </c>
      <c r="C757" t="s">
        <v>418</v>
      </c>
      <c r="D757" t="s">
        <v>20</v>
      </c>
      <c r="E757" s="8">
        <v>45747</v>
      </c>
      <c r="F757" s="1" t="s">
        <v>22</v>
      </c>
      <c r="G757" s="1" t="s">
        <v>4</v>
      </c>
      <c r="H757" s="8"/>
      <c r="J757" t="b">
        <v>1</v>
      </c>
      <c r="K757" t="s">
        <v>1531</v>
      </c>
      <c r="L757" s="13" t="str">
        <f>HYPERLINK("https://uk1.aconex.co.uk/hub/index.html?mainTarget=%2FSearchControlledDoc%3FSEARCH_ACTION%3D15%26tab%3D0%26searchMode%3D1%26searchQuery%3Ddocno:%22"&amp;RawData[[#This Row],[Document Number]]&amp;"%22%20%2Bcversion%253A1",RawData[[#This Row],[Document Number]])</f>
        <v>FS1018-PIN-ZZ-00-D-O-6007</v>
      </c>
    </row>
    <row r="758" spans="1:12" ht="115.2" x14ac:dyDescent="0.3">
      <c r="A758" t="s">
        <v>1532</v>
      </c>
      <c r="B758" t="s">
        <v>1533</v>
      </c>
      <c r="C758" t="s">
        <v>11</v>
      </c>
      <c r="D758" t="s">
        <v>20</v>
      </c>
      <c r="E758" s="8">
        <v>45729</v>
      </c>
      <c r="F758" s="1" t="s">
        <v>12</v>
      </c>
      <c r="G758" s="1" t="s">
        <v>21</v>
      </c>
      <c r="H758" s="8">
        <v>45747</v>
      </c>
      <c r="I758" s="1" t="s">
        <v>1859</v>
      </c>
      <c r="J758" t="b">
        <v>1</v>
      </c>
      <c r="K758" t="s">
        <v>1534</v>
      </c>
      <c r="L758" s="13" t="str">
        <f>HYPERLINK("https://uk1.aconex.co.uk/hub/index.html?mainTarget=%2FSearchControlledDoc%3FSEARCH_ACTION%3D15%26tab%3D0%26searchMode%3D1%26searchQuery%3Ddocno:%22"&amp;RawData[[#This Row],[Document Number]]&amp;"%22%20%2Bcversion%253A1",RawData[[#This Row],[Document Number]])</f>
        <v>FS1018-PIN-ZZ-00-D-O-6008</v>
      </c>
    </row>
    <row r="759" spans="1:12" ht="28.8" x14ac:dyDescent="0.3">
      <c r="A759" t="s">
        <v>1532</v>
      </c>
      <c r="B759" t="s">
        <v>1533</v>
      </c>
      <c r="C759" t="s">
        <v>11</v>
      </c>
      <c r="D759" t="s">
        <v>20</v>
      </c>
      <c r="E759" s="8">
        <v>45747</v>
      </c>
      <c r="F759" s="1" t="s">
        <v>22</v>
      </c>
      <c r="G759" s="1" t="s">
        <v>4</v>
      </c>
      <c r="H759" s="8"/>
      <c r="J759" t="b">
        <v>1</v>
      </c>
      <c r="K759" t="s">
        <v>1534</v>
      </c>
      <c r="L759" s="13" t="str">
        <f>HYPERLINK("https://uk1.aconex.co.uk/hub/index.html?mainTarget=%2FSearchControlledDoc%3FSEARCH_ACTION%3D15%26tab%3D0%26searchMode%3D1%26searchQuery%3Ddocno:%22"&amp;RawData[[#This Row],[Document Number]]&amp;"%22%20%2Bcversion%253A1",RawData[[#This Row],[Document Number]])</f>
        <v>FS1018-PIN-ZZ-00-D-O-6008</v>
      </c>
    </row>
    <row r="760" spans="1:12" x14ac:dyDescent="0.3">
      <c r="A760" t="s">
        <v>1535</v>
      </c>
      <c r="B760" t="s">
        <v>1536</v>
      </c>
      <c r="C760" t="s">
        <v>418</v>
      </c>
      <c r="D760" t="s">
        <v>19</v>
      </c>
      <c r="E760" s="8">
        <v>45729</v>
      </c>
      <c r="F760" s="1" t="s">
        <v>12</v>
      </c>
      <c r="G760" s="1" t="s">
        <v>24</v>
      </c>
      <c r="H760" s="8">
        <v>45747</v>
      </c>
      <c r="I760" s="1" t="s">
        <v>1785</v>
      </c>
      <c r="J760" t="b">
        <v>1</v>
      </c>
      <c r="K760" t="s">
        <v>1537</v>
      </c>
      <c r="L760" s="13" t="str">
        <f>HYPERLINK("https://uk1.aconex.co.uk/hub/index.html?mainTarget=%2FSearchControlledDoc%3FSEARCH_ACTION%3D15%26tab%3D0%26searchMode%3D1%26searchQuery%3Ddocno:%22"&amp;RawData[[#This Row],[Document Number]]&amp;"%22%20%2Bcversion%253A1",RawData[[#This Row],[Document Number]])</f>
        <v>FS1018-PIN-ZZ-00-D-O-6009</v>
      </c>
    </row>
    <row r="761" spans="1:12" x14ac:dyDescent="0.3">
      <c r="A761" t="s">
        <v>1538</v>
      </c>
      <c r="B761" t="s">
        <v>1539</v>
      </c>
      <c r="C761" t="s">
        <v>10</v>
      </c>
      <c r="D761" t="s">
        <v>19</v>
      </c>
      <c r="E761" s="8">
        <v>45729</v>
      </c>
      <c r="F761" s="1" t="s">
        <v>12</v>
      </c>
      <c r="G761" s="1" t="s">
        <v>24</v>
      </c>
      <c r="H761" s="8">
        <v>45747</v>
      </c>
      <c r="I761" s="1" t="s">
        <v>1785</v>
      </c>
      <c r="J761" t="b">
        <v>1</v>
      </c>
      <c r="K761" t="s">
        <v>1540</v>
      </c>
      <c r="L761" s="13" t="str">
        <f>HYPERLINK("https://uk1.aconex.co.uk/hub/index.html?mainTarget=%2FSearchControlledDoc%3FSEARCH_ACTION%3D15%26tab%3D0%26searchMode%3D1%26searchQuery%3Ddocno:%22"&amp;RawData[[#This Row],[Document Number]]&amp;"%22%20%2Bcversion%253A1",RawData[[#This Row],[Document Number]])</f>
        <v>FS1018-PIN-ZZ-00-D-O-6011</v>
      </c>
    </row>
    <row r="762" spans="1:12" x14ac:dyDescent="0.3">
      <c r="A762" t="s">
        <v>1541</v>
      </c>
      <c r="B762" t="s">
        <v>1542</v>
      </c>
      <c r="C762" t="s">
        <v>10</v>
      </c>
      <c r="D762" t="s">
        <v>19</v>
      </c>
      <c r="E762" s="8">
        <v>45729</v>
      </c>
      <c r="F762" s="1" t="s">
        <v>12</v>
      </c>
      <c r="G762" s="1" t="s">
        <v>24</v>
      </c>
      <c r="H762" s="8">
        <v>45747</v>
      </c>
      <c r="I762" s="1" t="s">
        <v>1785</v>
      </c>
      <c r="J762" t="b">
        <v>1</v>
      </c>
      <c r="K762" t="s">
        <v>1543</v>
      </c>
      <c r="L762" s="13" t="str">
        <f>HYPERLINK("https://uk1.aconex.co.uk/hub/index.html?mainTarget=%2FSearchControlledDoc%3FSEARCH_ACTION%3D15%26tab%3D0%26searchMode%3D1%26searchQuery%3Ddocno:%22"&amp;RawData[[#This Row],[Document Number]]&amp;"%22%20%2Bcversion%253A1",RawData[[#This Row],[Document Number]])</f>
        <v>FS1018-PIN-ZZ-00-D-O-6042</v>
      </c>
    </row>
    <row r="763" spans="1:12" ht="72" x14ac:dyDescent="0.3">
      <c r="A763" t="s">
        <v>1544</v>
      </c>
      <c r="B763" t="s">
        <v>1545</v>
      </c>
      <c r="C763" t="s">
        <v>10</v>
      </c>
      <c r="D763" t="s">
        <v>20</v>
      </c>
      <c r="E763" s="8">
        <v>45729</v>
      </c>
      <c r="F763" s="1" t="s">
        <v>12</v>
      </c>
      <c r="G763" s="1" t="s">
        <v>1027</v>
      </c>
      <c r="H763" s="8">
        <v>45747</v>
      </c>
      <c r="I763" s="1" t="s">
        <v>1851</v>
      </c>
      <c r="J763" t="b">
        <v>1</v>
      </c>
      <c r="K763" t="s">
        <v>1546</v>
      </c>
      <c r="L763" s="13" t="str">
        <f>HYPERLINK("https://uk1.aconex.co.uk/hub/index.html?mainTarget=%2FSearchControlledDoc%3FSEARCH_ACTION%3D15%26tab%3D0%26searchMode%3D1%26searchQuery%3Ddocno:%22"&amp;RawData[[#This Row],[Document Number]]&amp;"%22%20%2Bcversion%253A1",RawData[[#This Row],[Document Number]])</f>
        <v>FS1018-PIN-ZZ-00-D-O-6069</v>
      </c>
    </row>
    <row r="764" spans="1:12" ht="28.8" x14ac:dyDescent="0.3">
      <c r="A764" t="s">
        <v>1544</v>
      </c>
      <c r="B764" t="s">
        <v>1545</v>
      </c>
      <c r="C764" t="s">
        <v>10</v>
      </c>
      <c r="D764" t="s">
        <v>20</v>
      </c>
      <c r="E764" s="8">
        <v>45747</v>
      </c>
      <c r="F764" s="1" t="s">
        <v>22</v>
      </c>
      <c r="G764" s="1" t="s">
        <v>4</v>
      </c>
      <c r="H764" s="8"/>
      <c r="J764" t="b">
        <v>1</v>
      </c>
      <c r="K764" t="s">
        <v>1546</v>
      </c>
      <c r="L764" s="13" t="str">
        <f>HYPERLINK("https://uk1.aconex.co.uk/hub/index.html?mainTarget=%2FSearchControlledDoc%3FSEARCH_ACTION%3D15%26tab%3D0%26searchMode%3D1%26searchQuery%3Ddocno:%22"&amp;RawData[[#This Row],[Document Number]]&amp;"%22%20%2Bcversion%253A1",RawData[[#This Row],[Document Number]])</f>
        <v>FS1018-PIN-ZZ-00-D-O-6069</v>
      </c>
    </row>
    <row r="765" spans="1:12" x14ac:dyDescent="0.3">
      <c r="A765" t="s">
        <v>1547</v>
      </c>
      <c r="B765" t="s">
        <v>1548</v>
      </c>
      <c r="C765" t="s">
        <v>418</v>
      </c>
      <c r="D765" t="s">
        <v>20</v>
      </c>
      <c r="E765" s="8">
        <v>45729</v>
      </c>
      <c r="F765" s="1" t="s">
        <v>12</v>
      </c>
      <c r="G765" s="1" t="s">
        <v>21</v>
      </c>
      <c r="H765" s="8">
        <v>45747</v>
      </c>
      <c r="I765" s="1" t="s">
        <v>1860</v>
      </c>
      <c r="J765" t="b">
        <v>1</v>
      </c>
      <c r="K765" t="s">
        <v>1549</v>
      </c>
      <c r="L765" s="13" t="str">
        <f>HYPERLINK("https://uk1.aconex.co.uk/hub/index.html?mainTarget=%2FSearchControlledDoc%3FSEARCH_ACTION%3D15%26tab%3D0%26searchMode%3D1%26searchQuery%3Ddocno:%22"&amp;RawData[[#This Row],[Document Number]]&amp;"%22%20%2Bcversion%253A1",RawData[[#This Row],[Document Number]])</f>
        <v>FS1018-PIN-ZZ-00-D-O-7001</v>
      </c>
    </row>
    <row r="766" spans="1:12" ht="28.8" x14ac:dyDescent="0.3">
      <c r="A766" t="s">
        <v>1547</v>
      </c>
      <c r="B766" t="s">
        <v>1548</v>
      </c>
      <c r="C766" t="s">
        <v>418</v>
      </c>
      <c r="D766" t="s">
        <v>20</v>
      </c>
      <c r="E766" s="8">
        <v>45747</v>
      </c>
      <c r="F766" s="1" t="s">
        <v>22</v>
      </c>
      <c r="G766" s="1" t="s">
        <v>4</v>
      </c>
      <c r="H766" s="8"/>
      <c r="J766" t="b">
        <v>1</v>
      </c>
      <c r="K766" t="s">
        <v>1549</v>
      </c>
      <c r="L766" s="13" t="str">
        <f>HYPERLINK("https://uk1.aconex.co.uk/hub/index.html?mainTarget=%2FSearchControlledDoc%3FSEARCH_ACTION%3D15%26tab%3D0%26searchMode%3D1%26searchQuery%3Ddocno:%22"&amp;RawData[[#This Row],[Document Number]]&amp;"%22%20%2Bcversion%253A1",RawData[[#This Row],[Document Number]])</f>
        <v>FS1018-PIN-ZZ-00-D-O-7001</v>
      </c>
    </row>
    <row r="767" spans="1:12" ht="72" x14ac:dyDescent="0.3">
      <c r="A767" t="s">
        <v>1550</v>
      </c>
      <c r="B767" t="s">
        <v>1551</v>
      </c>
      <c r="C767" t="s">
        <v>418</v>
      </c>
      <c r="D767" t="s">
        <v>20</v>
      </c>
      <c r="E767" s="8">
        <v>45729</v>
      </c>
      <c r="F767" s="1" t="s">
        <v>12</v>
      </c>
      <c r="G767" s="1" t="s">
        <v>21</v>
      </c>
      <c r="H767" s="8">
        <v>45747</v>
      </c>
      <c r="I767" s="1" t="s">
        <v>1861</v>
      </c>
      <c r="J767" t="b">
        <v>1</v>
      </c>
      <c r="K767" t="s">
        <v>1552</v>
      </c>
      <c r="L767" s="13" t="str">
        <f>HYPERLINK("https://uk1.aconex.co.uk/hub/index.html?mainTarget=%2FSearchControlledDoc%3FSEARCH_ACTION%3D15%26tab%3D0%26searchMode%3D1%26searchQuery%3Ddocno:%22"&amp;RawData[[#This Row],[Document Number]]&amp;"%22%20%2Bcversion%253A1",RawData[[#This Row],[Document Number]])</f>
        <v>FS1018-PIN-ZZ-00-D-O-7003</v>
      </c>
    </row>
    <row r="768" spans="1:12" ht="28.8" x14ac:dyDescent="0.3">
      <c r="A768" t="s">
        <v>1550</v>
      </c>
      <c r="B768" t="s">
        <v>1551</v>
      </c>
      <c r="C768" t="s">
        <v>418</v>
      </c>
      <c r="D768" t="s">
        <v>20</v>
      </c>
      <c r="E768" s="8">
        <v>45747</v>
      </c>
      <c r="F768" s="1" t="s">
        <v>22</v>
      </c>
      <c r="G768" s="1" t="s">
        <v>4</v>
      </c>
      <c r="H768" s="8"/>
      <c r="J768" t="b">
        <v>1</v>
      </c>
      <c r="K768" t="s">
        <v>1552</v>
      </c>
      <c r="L768" s="13" t="str">
        <f>HYPERLINK("https://uk1.aconex.co.uk/hub/index.html?mainTarget=%2FSearchControlledDoc%3FSEARCH_ACTION%3D15%26tab%3D0%26searchMode%3D1%26searchQuery%3Ddocno:%22"&amp;RawData[[#This Row],[Document Number]]&amp;"%22%20%2Bcversion%253A1",RawData[[#This Row],[Document Number]])</f>
        <v>FS1018-PIN-ZZ-00-D-O-7003</v>
      </c>
    </row>
    <row r="769" spans="1:12" ht="28.8" x14ac:dyDescent="0.3">
      <c r="A769" t="s">
        <v>1553</v>
      </c>
      <c r="B769" t="s">
        <v>1554</v>
      </c>
      <c r="C769" t="s">
        <v>11</v>
      </c>
      <c r="D769" t="s">
        <v>20</v>
      </c>
      <c r="E769" s="8">
        <v>45729</v>
      </c>
      <c r="F769" s="1" t="s">
        <v>12</v>
      </c>
      <c r="G769" s="1" t="s">
        <v>21</v>
      </c>
      <c r="H769" s="8">
        <v>45749</v>
      </c>
      <c r="I769" s="1" t="s">
        <v>1933</v>
      </c>
      <c r="J769" t="b">
        <v>1</v>
      </c>
      <c r="K769" t="s">
        <v>1555</v>
      </c>
      <c r="L769" s="13" t="str">
        <f>HYPERLINK("https://uk1.aconex.co.uk/hub/index.html?mainTarget=%2FSearchControlledDoc%3FSEARCH_ACTION%3D15%26tab%3D0%26searchMode%3D1%26searchQuery%3Ddocno:%22"&amp;RawData[[#This Row],[Document Number]]&amp;"%22%20%2Bcversion%253A1",RawData[[#This Row],[Document Number]])</f>
        <v>FS1018-PIN-ZZ-00-D-O-7101</v>
      </c>
    </row>
    <row r="770" spans="1:12" ht="28.8" x14ac:dyDescent="0.3">
      <c r="A770" t="s">
        <v>1553</v>
      </c>
      <c r="B770" t="s">
        <v>1554</v>
      </c>
      <c r="C770" t="s">
        <v>11</v>
      </c>
      <c r="D770" t="s">
        <v>20</v>
      </c>
      <c r="E770" s="8">
        <v>45749</v>
      </c>
      <c r="F770" s="1" t="s">
        <v>22</v>
      </c>
      <c r="G770" s="1" t="s">
        <v>4</v>
      </c>
      <c r="H770" s="8"/>
      <c r="J770" t="b">
        <v>1</v>
      </c>
      <c r="K770" t="s">
        <v>1555</v>
      </c>
      <c r="L770" s="13" t="str">
        <f>HYPERLINK("https://uk1.aconex.co.uk/hub/index.html?mainTarget=%2FSearchControlledDoc%3FSEARCH_ACTION%3D15%26tab%3D0%26searchMode%3D1%26searchQuery%3Ddocno:%22"&amp;RawData[[#This Row],[Document Number]]&amp;"%22%20%2Bcversion%253A1",RawData[[#This Row],[Document Number]])</f>
        <v>FS1018-PIN-ZZ-00-D-O-7101</v>
      </c>
    </row>
    <row r="771" spans="1:12" ht="28.8" x14ac:dyDescent="0.3">
      <c r="A771" t="s">
        <v>1556</v>
      </c>
      <c r="B771" t="s">
        <v>1557</v>
      </c>
      <c r="C771" t="s">
        <v>11</v>
      </c>
      <c r="D771" t="s">
        <v>20</v>
      </c>
      <c r="E771" s="8">
        <v>45729</v>
      </c>
      <c r="F771" s="1" t="s">
        <v>12</v>
      </c>
      <c r="G771" s="1" t="s">
        <v>21</v>
      </c>
      <c r="H771" s="8">
        <v>45749</v>
      </c>
      <c r="I771" s="1" t="s">
        <v>1933</v>
      </c>
      <c r="J771" t="b">
        <v>1</v>
      </c>
      <c r="K771" t="s">
        <v>1558</v>
      </c>
      <c r="L771" s="13" t="str">
        <f>HYPERLINK("https://uk1.aconex.co.uk/hub/index.html?mainTarget=%2FSearchControlledDoc%3FSEARCH_ACTION%3D15%26tab%3D0%26searchMode%3D1%26searchQuery%3Ddocno:%22"&amp;RawData[[#This Row],[Document Number]]&amp;"%22%20%2Bcversion%253A1",RawData[[#This Row],[Document Number]])</f>
        <v>FS1018-PIN-ZZ-00-D-O-7201</v>
      </c>
    </row>
    <row r="772" spans="1:12" ht="28.8" x14ac:dyDescent="0.3">
      <c r="A772" t="s">
        <v>1556</v>
      </c>
      <c r="B772" t="s">
        <v>1557</v>
      </c>
      <c r="C772" t="s">
        <v>11</v>
      </c>
      <c r="D772" t="s">
        <v>20</v>
      </c>
      <c r="E772" s="8">
        <v>45749</v>
      </c>
      <c r="F772" s="1" t="s">
        <v>22</v>
      </c>
      <c r="G772" s="1" t="s">
        <v>4</v>
      </c>
      <c r="H772" s="8"/>
      <c r="J772" t="b">
        <v>1</v>
      </c>
      <c r="K772" t="s">
        <v>1558</v>
      </c>
      <c r="L772" s="13" t="str">
        <f>HYPERLINK("https://uk1.aconex.co.uk/hub/index.html?mainTarget=%2FSearchControlledDoc%3FSEARCH_ACTION%3D15%26tab%3D0%26searchMode%3D1%26searchQuery%3Ddocno:%22"&amp;RawData[[#This Row],[Document Number]]&amp;"%22%20%2Bcversion%253A1",RawData[[#This Row],[Document Number]])</f>
        <v>FS1018-PIN-ZZ-00-D-O-7201</v>
      </c>
    </row>
    <row r="773" spans="1:12" ht="158.4" x14ac:dyDescent="0.3">
      <c r="A773" t="s">
        <v>1559</v>
      </c>
      <c r="B773" t="s">
        <v>1560</v>
      </c>
      <c r="C773" t="s">
        <v>11</v>
      </c>
      <c r="D773" t="s">
        <v>20</v>
      </c>
      <c r="E773" s="8">
        <v>45729</v>
      </c>
      <c r="F773" s="1" t="s">
        <v>12</v>
      </c>
      <c r="G773" s="1" t="s">
        <v>21</v>
      </c>
      <c r="H773" s="8">
        <v>45749</v>
      </c>
      <c r="I773" s="1" t="s">
        <v>1934</v>
      </c>
      <c r="J773" t="b">
        <v>1</v>
      </c>
      <c r="K773" t="s">
        <v>1561</v>
      </c>
      <c r="L773" s="13" t="str">
        <f>HYPERLINK("https://uk1.aconex.co.uk/hub/index.html?mainTarget=%2FSearchControlledDoc%3FSEARCH_ACTION%3D15%26tab%3D0%26searchMode%3D1%26searchQuery%3Ddocno:%22"&amp;RawData[[#This Row],[Document Number]]&amp;"%22%20%2Bcversion%253A1",RawData[[#This Row],[Document Number]])</f>
        <v>FS1018-PIN-ZZ-00-D-O-7301</v>
      </c>
    </row>
    <row r="774" spans="1:12" ht="28.8" x14ac:dyDescent="0.3">
      <c r="A774" t="s">
        <v>1559</v>
      </c>
      <c r="B774" t="s">
        <v>1560</v>
      </c>
      <c r="C774" t="s">
        <v>11</v>
      </c>
      <c r="D774" t="s">
        <v>20</v>
      </c>
      <c r="E774" s="8">
        <v>45749</v>
      </c>
      <c r="F774" s="1" t="s">
        <v>22</v>
      </c>
      <c r="G774" s="1" t="s">
        <v>4</v>
      </c>
      <c r="H774" s="8"/>
      <c r="J774" t="b">
        <v>1</v>
      </c>
      <c r="K774" t="s">
        <v>1561</v>
      </c>
      <c r="L774" s="13" t="str">
        <f>HYPERLINK("https://uk1.aconex.co.uk/hub/index.html?mainTarget=%2FSearchControlledDoc%3FSEARCH_ACTION%3D15%26tab%3D0%26searchMode%3D1%26searchQuery%3Ddocno:%22"&amp;RawData[[#This Row],[Document Number]]&amp;"%22%20%2Bcversion%253A1",RawData[[#This Row],[Document Number]])</f>
        <v>FS1018-PIN-ZZ-00-D-O-7301</v>
      </c>
    </row>
    <row r="775" spans="1:12" ht="144" x14ac:dyDescent="0.3">
      <c r="A775" t="s">
        <v>1562</v>
      </c>
      <c r="B775" t="s">
        <v>1563</v>
      </c>
      <c r="C775" t="s">
        <v>11</v>
      </c>
      <c r="D775" t="s">
        <v>20</v>
      </c>
      <c r="E775" s="8">
        <v>45729</v>
      </c>
      <c r="F775" s="1" t="s">
        <v>12</v>
      </c>
      <c r="G775" s="1" t="s">
        <v>21</v>
      </c>
      <c r="H775" s="8">
        <v>45749</v>
      </c>
      <c r="I775" s="1" t="s">
        <v>1935</v>
      </c>
      <c r="J775" t="b">
        <v>1</v>
      </c>
      <c r="K775" t="s">
        <v>1564</v>
      </c>
      <c r="L775" s="13" t="str">
        <f>HYPERLINK("https://uk1.aconex.co.uk/hub/index.html?mainTarget=%2FSearchControlledDoc%3FSEARCH_ACTION%3D15%26tab%3D0%26searchMode%3D1%26searchQuery%3Ddocno:%22"&amp;RawData[[#This Row],[Document Number]]&amp;"%22%20%2Bcversion%253A1",RawData[[#This Row],[Document Number]])</f>
        <v>FS1018-PIN-ZZ-00-D-O-7401</v>
      </c>
    </row>
    <row r="776" spans="1:12" ht="28.8" x14ac:dyDescent="0.3">
      <c r="A776" t="s">
        <v>1562</v>
      </c>
      <c r="B776" t="s">
        <v>1563</v>
      </c>
      <c r="C776" t="s">
        <v>11</v>
      </c>
      <c r="D776" t="s">
        <v>20</v>
      </c>
      <c r="E776" s="8">
        <v>45749</v>
      </c>
      <c r="F776" s="1" t="s">
        <v>22</v>
      </c>
      <c r="G776" s="1" t="s">
        <v>4</v>
      </c>
      <c r="H776" s="8"/>
      <c r="J776" t="b">
        <v>1</v>
      </c>
      <c r="K776" t="s">
        <v>1564</v>
      </c>
      <c r="L776" s="13" t="str">
        <f>HYPERLINK("https://uk1.aconex.co.uk/hub/index.html?mainTarget=%2FSearchControlledDoc%3FSEARCH_ACTION%3D15%26tab%3D0%26searchMode%3D1%26searchQuery%3Ddocno:%22"&amp;RawData[[#This Row],[Document Number]]&amp;"%22%20%2Bcversion%253A1",RawData[[#This Row],[Document Number]])</f>
        <v>FS1018-PIN-ZZ-00-D-O-7401</v>
      </c>
    </row>
    <row r="777" spans="1:12" ht="72" x14ac:dyDescent="0.3">
      <c r="A777" t="s">
        <v>1565</v>
      </c>
      <c r="B777" t="s">
        <v>1566</v>
      </c>
      <c r="C777" t="s">
        <v>11</v>
      </c>
      <c r="D777" t="s">
        <v>20</v>
      </c>
      <c r="E777" s="8">
        <v>45729</v>
      </c>
      <c r="F777" s="1" t="s">
        <v>12</v>
      </c>
      <c r="G777" s="1" t="s">
        <v>21</v>
      </c>
      <c r="H777" s="8">
        <v>45749</v>
      </c>
      <c r="I777" s="1" t="s">
        <v>1936</v>
      </c>
      <c r="J777" t="b">
        <v>1</v>
      </c>
      <c r="K777" t="s">
        <v>1567</v>
      </c>
      <c r="L777" s="13" t="str">
        <f>HYPERLINK("https://uk1.aconex.co.uk/hub/index.html?mainTarget=%2FSearchControlledDoc%3FSEARCH_ACTION%3D15%26tab%3D0%26searchMode%3D1%26searchQuery%3Ddocno:%22"&amp;RawData[[#This Row],[Document Number]]&amp;"%22%20%2Bcversion%253A1",RawData[[#This Row],[Document Number]])</f>
        <v>FS1018-PIN-ZZ-00-D-O-7501</v>
      </c>
    </row>
    <row r="778" spans="1:12" ht="28.8" x14ac:dyDescent="0.3">
      <c r="A778" t="s">
        <v>1565</v>
      </c>
      <c r="B778" t="s">
        <v>1566</v>
      </c>
      <c r="C778" t="s">
        <v>11</v>
      </c>
      <c r="D778" t="s">
        <v>20</v>
      </c>
      <c r="E778" s="8">
        <v>45749</v>
      </c>
      <c r="F778" s="1" t="s">
        <v>22</v>
      </c>
      <c r="G778" s="1" t="s">
        <v>4</v>
      </c>
      <c r="H778" s="8"/>
      <c r="J778" t="b">
        <v>1</v>
      </c>
      <c r="K778" t="s">
        <v>1567</v>
      </c>
      <c r="L778" s="13" t="str">
        <f>HYPERLINK("https://uk1.aconex.co.uk/hub/index.html?mainTarget=%2FSearchControlledDoc%3FSEARCH_ACTION%3D15%26tab%3D0%26searchMode%3D1%26searchQuery%3Ddocno:%22"&amp;RawData[[#This Row],[Document Number]]&amp;"%22%20%2Bcversion%253A1",RawData[[#This Row],[Document Number]])</f>
        <v>FS1018-PIN-ZZ-00-D-O-7501</v>
      </c>
    </row>
    <row r="779" spans="1:12" x14ac:dyDescent="0.3">
      <c r="A779" t="s">
        <v>1568</v>
      </c>
      <c r="B779" t="s">
        <v>1569</v>
      </c>
      <c r="C779" t="s">
        <v>418</v>
      </c>
      <c r="D779" t="s">
        <v>19</v>
      </c>
      <c r="E779" s="8">
        <v>45729</v>
      </c>
      <c r="F779" s="1" t="s">
        <v>12</v>
      </c>
      <c r="G779" s="1" t="s">
        <v>24</v>
      </c>
      <c r="H779" s="8">
        <v>45747</v>
      </c>
      <c r="I779" s="1" t="s">
        <v>1785</v>
      </c>
      <c r="J779" t="b">
        <v>1</v>
      </c>
      <c r="K779" t="s">
        <v>1570</v>
      </c>
      <c r="L779" s="13" t="str">
        <f>HYPERLINK("https://uk1.aconex.co.uk/hub/index.html?mainTarget=%2FSearchControlledDoc%3FSEARCH_ACTION%3D15%26tab%3D0%26searchMode%3D1%26searchQuery%3Ddocno:%22"&amp;RawData[[#This Row],[Document Number]]&amp;"%22%20%2Bcversion%253A1",RawData[[#This Row],[Document Number]])</f>
        <v>FS1018-PIN-ZZ-00-D-O-8001</v>
      </c>
    </row>
    <row r="780" spans="1:12" x14ac:dyDescent="0.3">
      <c r="A780" t="s">
        <v>1571</v>
      </c>
      <c r="B780" t="s">
        <v>1572</v>
      </c>
      <c r="C780" t="s">
        <v>418</v>
      </c>
      <c r="D780" t="s">
        <v>19</v>
      </c>
      <c r="E780" s="8">
        <v>45729</v>
      </c>
      <c r="F780" s="1" t="s">
        <v>12</v>
      </c>
      <c r="G780" s="1" t="s">
        <v>24</v>
      </c>
      <c r="H780" s="8">
        <v>45747</v>
      </c>
      <c r="I780" s="1" t="s">
        <v>1785</v>
      </c>
      <c r="J780" t="b">
        <v>1</v>
      </c>
      <c r="K780" t="s">
        <v>1573</v>
      </c>
      <c r="L780" s="13" t="str">
        <f>HYPERLINK("https://uk1.aconex.co.uk/hub/index.html?mainTarget=%2FSearchControlledDoc%3FSEARCH_ACTION%3D15%26tab%3D0%26searchMode%3D1%26searchQuery%3Ddocno:%22"&amp;RawData[[#This Row],[Document Number]]&amp;"%22%20%2Bcversion%253A1",RawData[[#This Row],[Document Number]])</f>
        <v>FS1018-PIN-ZZ-00-D-O-8003</v>
      </c>
    </row>
    <row r="781" spans="1:12" ht="28.8" x14ac:dyDescent="0.3">
      <c r="A781" t="s">
        <v>1574</v>
      </c>
      <c r="B781" t="s">
        <v>1575</v>
      </c>
      <c r="C781" t="s">
        <v>11</v>
      </c>
      <c r="D781" t="s">
        <v>20</v>
      </c>
      <c r="E781" s="8">
        <v>45729</v>
      </c>
      <c r="F781" s="1" t="s">
        <v>12</v>
      </c>
      <c r="G781" s="1" t="s">
        <v>21</v>
      </c>
      <c r="H781" s="8">
        <v>45747</v>
      </c>
      <c r="I781" s="1" t="s">
        <v>1862</v>
      </c>
      <c r="J781" t="b">
        <v>1</v>
      </c>
      <c r="K781" t="s">
        <v>1576</v>
      </c>
      <c r="L781" s="13" t="str">
        <f>HYPERLINK("https://uk1.aconex.co.uk/hub/index.html?mainTarget=%2FSearchControlledDoc%3FSEARCH_ACTION%3D15%26tab%3D0%26searchMode%3D1%26searchQuery%3Ddocno:%22"&amp;RawData[[#This Row],[Document Number]]&amp;"%22%20%2Bcversion%253A1",RawData[[#This Row],[Document Number]])</f>
        <v>FS1018-PIN-ZZ-00-D-O-9001</v>
      </c>
    </row>
    <row r="782" spans="1:12" ht="28.8" x14ac:dyDescent="0.3">
      <c r="A782" t="s">
        <v>1574</v>
      </c>
      <c r="B782" t="s">
        <v>1575</v>
      </c>
      <c r="C782" t="s">
        <v>11</v>
      </c>
      <c r="D782" t="s">
        <v>20</v>
      </c>
      <c r="E782" s="8">
        <v>45747</v>
      </c>
      <c r="F782" s="1" t="s">
        <v>22</v>
      </c>
      <c r="G782" s="1" t="s">
        <v>4</v>
      </c>
      <c r="H782" s="8"/>
      <c r="J782" t="b">
        <v>1</v>
      </c>
      <c r="K782" t="s">
        <v>1576</v>
      </c>
      <c r="L782" s="13" t="str">
        <f>HYPERLINK("https://uk1.aconex.co.uk/hub/index.html?mainTarget=%2FSearchControlledDoc%3FSEARCH_ACTION%3D15%26tab%3D0%26searchMode%3D1%26searchQuery%3Ddocno:%22"&amp;RawData[[#This Row],[Document Number]]&amp;"%22%20%2Bcversion%253A1",RawData[[#This Row],[Document Number]])</f>
        <v>FS1018-PIN-ZZ-00-D-O-9001</v>
      </c>
    </row>
    <row r="783" spans="1:12" x14ac:dyDescent="0.3">
      <c r="A783" t="s">
        <v>1577</v>
      </c>
      <c r="B783" t="s">
        <v>1578</v>
      </c>
      <c r="C783" t="s">
        <v>11</v>
      </c>
      <c r="D783" t="s">
        <v>19</v>
      </c>
      <c r="E783" s="8">
        <v>45729</v>
      </c>
      <c r="F783" s="1" t="s">
        <v>12</v>
      </c>
      <c r="G783" s="1" t="s">
        <v>24</v>
      </c>
      <c r="H783" s="8">
        <v>45747</v>
      </c>
      <c r="I783" s="1" t="s">
        <v>1785</v>
      </c>
      <c r="J783" t="b">
        <v>1</v>
      </c>
      <c r="K783" t="s">
        <v>1579</v>
      </c>
      <c r="L783" s="13" t="str">
        <f>HYPERLINK("https://uk1.aconex.co.uk/hub/index.html?mainTarget=%2FSearchControlledDoc%3FSEARCH_ACTION%3D15%26tab%3D0%26searchMode%3D1%26searchQuery%3Ddocno:%22"&amp;RawData[[#This Row],[Document Number]]&amp;"%22%20%2Bcversion%253A1",RawData[[#This Row],[Document Number]])</f>
        <v>FS1018-PIN-ZZ-00-D-O-9003</v>
      </c>
    </row>
    <row r="784" spans="1:12" x14ac:dyDescent="0.3">
      <c r="A784" t="s">
        <v>1580</v>
      </c>
      <c r="B784" t="s">
        <v>1581</v>
      </c>
      <c r="C784" t="s">
        <v>835</v>
      </c>
      <c r="D784" t="s">
        <v>20</v>
      </c>
      <c r="E784" s="8">
        <v>45729</v>
      </c>
      <c r="F784" s="1" t="s">
        <v>12</v>
      </c>
      <c r="G784" s="1" t="s">
        <v>21</v>
      </c>
      <c r="H784" s="8">
        <v>45747</v>
      </c>
      <c r="I784" s="1" t="s">
        <v>1785</v>
      </c>
      <c r="J784" t="b">
        <v>1</v>
      </c>
      <c r="K784" t="s">
        <v>1582</v>
      </c>
      <c r="L784" s="13" t="str">
        <f>HYPERLINK("https://uk1.aconex.co.uk/hub/index.html?mainTarget=%2FSearchControlledDoc%3FSEARCH_ACTION%3D15%26tab%3D0%26searchMode%3D1%26searchQuery%3Ddocno:%22"&amp;RawData[[#This Row],[Document Number]]&amp;"%22%20%2Bcversion%253A1",RawData[[#This Row],[Document Number]])</f>
        <v>FS1018-PIN-ZZ-01-D-O-1000</v>
      </c>
    </row>
    <row r="785" spans="1:12" ht="28.8" x14ac:dyDescent="0.3">
      <c r="A785" t="s">
        <v>1580</v>
      </c>
      <c r="B785" t="s">
        <v>1581</v>
      </c>
      <c r="C785" t="s">
        <v>835</v>
      </c>
      <c r="D785" t="s">
        <v>20</v>
      </c>
      <c r="E785" s="8">
        <v>45747</v>
      </c>
      <c r="F785" s="1" t="s">
        <v>22</v>
      </c>
      <c r="G785" s="1" t="s">
        <v>4</v>
      </c>
      <c r="H785" s="8"/>
      <c r="J785" t="b">
        <v>1</v>
      </c>
      <c r="K785" t="s">
        <v>1582</v>
      </c>
      <c r="L785" s="13" t="str">
        <f>HYPERLINK("https://uk1.aconex.co.uk/hub/index.html?mainTarget=%2FSearchControlledDoc%3FSEARCH_ACTION%3D15%26tab%3D0%26searchMode%3D1%26searchQuery%3Ddocno:%22"&amp;RawData[[#This Row],[Document Number]]&amp;"%22%20%2Bcversion%253A1",RawData[[#This Row],[Document Number]])</f>
        <v>FS1018-PIN-ZZ-01-D-O-1000</v>
      </c>
    </row>
    <row r="786" spans="1:12" ht="43.2" x14ac:dyDescent="0.3">
      <c r="A786" t="s">
        <v>1583</v>
      </c>
      <c r="B786" t="s">
        <v>1584</v>
      </c>
      <c r="C786" t="s">
        <v>835</v>
      </c>
      <c r="D786" t="s">
        <v>20</v>
      </c>
      <c r="E786" s="8">
        <v>45729</v>
      </c>
      <c r="F786" s="1" t="s">
        <v>12</v>
      </c>
      <c r="G786" s="1" t="s">
        <v>21</v>
      </c>
      <c r="H786" s="8">
        <v>45747</v>
      </c>
      <c r="I786" s="1" t="s">
        <v>1863</v>
      </c>
      <c r="J786" t="b">
        <v>1</v>
      </c>
      <c r="K786" t="s">
        <v>1585</v>
      </c>
      <c r="L786" s="13" t="str">
        <f>HYPERLINK("https://uk1.aconex.co.uk/hub/index.html?mainTarget=%2FSearchControlledDoc%3FSEARCH_ACTION%3D15%26tab%3D0%26searchMode%3D1%26searchQuery%3Ddocno:%22"&amp;RawData[[#This Row],[Document Number]]&amp;"%22%20%2Bcversion%253A1",RawData[[#This Row],[Document Number]])</f>
        <v>FS1018-PIN-ZZ-01-D-O-1001</v>
      </c>
    </row>
    <row r="787" spans="1:12" ht="28.8" x14ac:dyDescent="0.3">
      <c r="A787" t="s">
        <v>1583</v>
      </c>
      <c r="B787" t="s">
        <v>1584</v>
      </c>
      <c r="C787" t="s">
        <v>835</v>
      </c>
      <c r="D787" t="s">
        <v>20</v>
      </c>
      <c r="E787" s="8">
        <v>45747</v>
      </c>
      <c r="F787" s="1" t="s">
        <v>22</v>
      </c>
      <c r="G787" s="1" t="s">
        <v>4</v>
      </c>
      <c r="H787" s="8"/>
      <c r="J787" t="b">
        <v>1</v>
      </c>
      <c r="K787" t="s">
        <v>1585</v>
      </c>
      <c r="L787" s="13" t="str">
        <f>HYPERLINK("https://uk1.aconex.co.uk/hub/index.html?mainTarget=%2FSearchControlledDoc%3FSEARCH_ACTION%3D15%26tab%3D0%26searchMode%3D1%26searchQuery%3Ddocno:%22"&amp;RawData[[#This Row],[Document Number]]&amp;"%22%20%2Bcversion%253A1",RawData[[#This Row],[Document Number]])</f>
        <v>FS1018-PIN-ZZ-01-D-O-1001</v>
      </c>
    </row>
    <row r="788" spans="1:12" ht="28.8" x14ac:dyDescent="0.3">
      <c r="A788" t="s">
        <v>1586</v>
      </c>
      <c r="B788" t="s">
        <v>1587</v>
      </c>
      <c r="C788" t="s">
        <v>418</v>
      </c>
      <c r="D788" t="s">
        <v>20</v>
      </c>
      <c r="E788" s="8">
        <v>45729</v>
      </c>
      <c r="F788" s="1" t="s">
        <v>12</v>
      </c>
      <c r="G788" s="1" t="s">
        <v>21</v>
      </c>
      <c r="H788" s="8">
        <v>45747</v>
      </c>
      <c r="I788" s="1" t="s">
        <v>1864</v>
      </c>
      <c r="J788" t="b">
        <v>1</v>
      </c>
      <c r="K788" t="s">
        <v>1588</v>
      </c>
      <c r="L788" s="13" t="str">
        <f>HYPERLINK("https://uk1.aconex.co.uk/hub/index.html?mainTarget=%2FSearchControlledDoc%3FSEARCH_ACTION%3D15%26tab%3D0%26searchMode%3D1%26searchQuery%3Ddocno:%22"&amp;RawData[[#This Row],[Document Number]]&amp;"%22%20%2Bcversion%253A1",RawData[[#This Row],[Document Number]])</f>
        <v>FS1018-PIN-ZZ-01-D-O-1002</v>
      </c>
    </row>
    <row r="789" spans="1:12" ht="28.8" x14ac:dyDescent="0.3">
      <c r="A789" t="s">
        <v>1586</v>
      </c>
      <c r="B789" t="s">
        <v>1587</v>
      </c>
      <c r="C789" t="s">
        <v>418</v>
      </c>
      <c r="D789" t="s">
        <v>20</v>
      </c>
      <c r="E789" s="8">
        <v>45747</v>
      </c>
      <c r="F789" s="1" t="s">
        <v>22</v>
      </c>
      <c r="G789" s="1" t="s">
        <v>4</v>
      </c>
      <c r="H789" s="8"/>
      <c r="J789" t="b">
        <v>1</v>
      </c>
      <c r="K789" t="s">
        <v>1588</v>
      </c>
      <c r="L789" s="13" t="str">
        <f>HYPERLINK("https://uk1.aconex.co.uk/hub/index.html?mainTarget=%2FSearchControlledDoc%3FSEARCH_ACTION%3D15%26tab%3D0%26searchMode%3D1%26searchQuery%3Ddocno:%22"&amp;RawData[[#This Row],[Document Number]]&amp;"%22%20%2Bcversion%253A1",RawData[[#This Row],[Document Number]])</f>
        <v>FS1018-PIN-ZZ-01-D-O-1002</v>
      </c>
    </row>
    <row r="790" spans="1:12" ht="28.8" x14ac:dyDescent="0.3">
      <c r="A790" t="s">
        <v>1589</v>
      </c>
      <c r="B790" t="s">
        <v>1590</v>
      </c>
      <c r="C790" t="s">
        <v>11</v>
      </c>
      <c r="D790" t="s">
        <v>20</v>
      </c>
      <c r="E790" s="8">
        <v>45729</v>
      </c>
      <c r="F790" s="1" t="s">
        <v>12</v>
      </c>
      <c r="G790" s="1" t="s">
        <v>21</v>
      </c>
      <c r="H790" s="8">
        <v>45747</v>
      </c>
      <c r="I790" s="1" t="s">
        <v>1864</v>
      </c>
      <c r="J790" t="b">
        <v>1</v>
      </c>
      <c r="K790" t="s">
        <v>1591</v>
      </c>
      <c r="L790" s="13" t="str">
        <f>HYPERLINK("https://uk1.aconex.co.uk/hub/index.html?mainTarget=%2FSearchControlledDoc%3FSEARCH_ACTION%3D15%26tab%3D0%26searchMode%3D1%26searchQuery%3Ddocno:%22"&amp;RawData[[#This Row],[Document Number]]&amp;"%22%20%2Bcversion%253A1",RawData[[#This Row],[Document Number]])</f>
        <v>FS1018-PIN-ZZ-01-D-O-1003</v>
      </c>
    </row>
    <row r="791" spans="1:12" ht="28.8" x14ac:dyDescent="0.3">
      <c r="A791" t="s">
        <v>1589</v>
      </c>
      <c r="B791" t="s">
        <v>1590</v>
      </c>
      <c r="C791" t="s">
        <v>11</v>
      </c>
      <c r="D791" t="s">
        <v>20</v>
      </c>
      <c r="E791" s="8">
        <v>45747</v>
      </c>
      <c r="F791" s="1" t="s">
        <v>22</v>
      </c>
      <c r="G791" s="1" t="s">
        <v>4</v>
      </c>
      <c r="H791" s="8"/>
      <c r="J791" t="b">
        <v>1</v>
      </c>
      <c r="K791" t="s">
        <v>1591</v>
      </c>
      <c r="L791" s="13" t="str">
        <f>HYPERLINK("https://uk1.aconex.co.uk/hub/index.html?mainTarget=%2FSearchControlledDoc%3FSEARCH_ACTION%3D15%26tab%3D0%26searchMode%3D1%26searchQuery%3Ddocno:%22"&amp;RawData[[#This Row],[Document Number]]&amp;"%22%20%2Bcversion%253A1",RawData[[#This Row],[Document Number]])</f>
        <v>FS1018-PIN-ZZ-01-D-O-1003</v>
      </c>
    </row>
    <row r="792" spans="1:12" ht="28.8" x14ac:dyDescent="0.3">
      <c r="A792" t="s">
        <v>1592</v>
      </c>
      <c r="B792" t="s">
        <v>1593</v>
      </c>
      <c r="C792" t="s">
        <v>11</v>
      </c>
      <c r="D792" t="s">
        <v>20</v>
      </c>
      <c r="E792" s="8">
        <v>45729</v>
      </c>
      <c r="F792" s="1" t="s">
        <v>12</v>
      </c>
      <c r="G792" s="1" t="s">
        <v>21</v>
      </c>
      <c r="H792" s="8">
        <v>45747</v>
      </c>
      <c r="I792" s="1" t="s">
        <v>1865</v>
      </c>
      <c r="J792" t="b">
        <v>1</v>
      </c>
      <c r="K792" t="s">
        <v>1594</v>
      </c>
      <c r="L792" s="13" t="str">
        <f>HYPERLINK("https://uk1.aconex.co.uk/hub/index.html?mainTarget=%2FSearchControlledDoc%3FSEARCH_ACTION%3D15%26tab%3D0%26searchMode%3D1%26searchQuery%3Ddocno:%22"&amp;RawData[[#This Row],[Document Number]]&amp;"%22%20%2Bcversion%253A1",RawData[[#This Row],[Document Number]])</f>
        <v>FS1018-PIN-ZZ-01-D-O-1004</v>
      </c>
    </row>
    <row r="793" spans="1:12" ht="28.8" x14ac:dyDescent="0.3">
      <c r="A793" t="s">
        <v>1592</v>
      </c>
      <c r="B793" t="s">
        <v>1593</v>
      </c>
      <c r="C793" t="s">
        <v>11</v>
      </c>
      <c r="D793" t="s">
        <v>20</v>
      </c>
      <c r="E793" s="8">
        <v>45747</v>
      </c>
      <c r="F793" s="1" t="s">
        <v>22</v>
      </c>
      <c r="G793" s="1" t="s">
        <v>4</v>
      </c>
      <c r="H793" s="8"/>
      <c r="J793" t="b">
        <v>1</v>
      </c>
      <c r="K793" t="s">
        <v>1594</v>
      </c>
      <c r="L793" s="13" t="str">
        <f>HYPERLINK("https://uk1.aconex.co.uk/hub/index.html?mainTarget=%2FSearchControlledDoc%3FSEARCH_ACTION%3D15%26tab%3D0%26searchMode%3D1%26searchQuery%3Ddocno:%22"&amp;RawData[[#This Row],[Document Number]]&amp;"%22%20%2Bcversion%253A1",RawData[[#This Row],[Document Number]])</f>
        <v>FS1018-PIN-ZZ-01-D-O-1004</v>
      </c>
    </row>
    <row r="794" spans="1:12" ht="28.8" x14ac:dyDescent="0.3">
      <c r="A794" t="s">
        <v>1595</v>
      </c>
      <c r="B794" t="s">
        <v>1596</v>
      </c>
      <c r="C794" t="s">
        <v>11</v>
      </c>
      <c r="D794" t="s">
        <v>20</v>
      </c>
      <c r="E794" s="8">
        <v>45729</v>
      </c>
      <c r="F794" s="1" t="s">
        <v>12</v>
      </c>
      <c r="G794" s="1" t="s">
        <v>21</v>
      </c>
      <c r="H794" s="8">
        <v>45747</v>
      </c>
      <c r="I794" s="1" t="s">
        <v>1864</v>
      </c>
      <c r="J794" t="b">
        <v>1</v>
      </c>
      <c r="K794" t="s">
        <v>1597</v>
      </c>
      <c r="L794" s="13" t="str">
        <f>HYPERLINK("https://uk1.aconex.co.uk/hub/index.html?mainTarget=%2FSearchControlledDoc%3FSEARCH_ACTION%3D15%26tab%3D0%26searchMode%3D1%26searchQuery%3Ddocno:%22"&amp;RawData[[#This Row],[Document Number]]&amp;"%22%20%2Bcversion%253A1",RawData[[#This Row],[Document Number]])</f>
        <v>FS1018-PIN-ZZ-01-D-O-1005</v>
      </c>
    </row>
    <row r="795" spans="1:12" ht="28.8" x14ac:dyDescent="0.3">
      <c r="A795" t="s">
        <v>1595</v>
      </c>
      <c r="B795" t="s">
        <v>1596</v>
      </c>
      <c r="C795" t="s">
        <v>11</v>
      </c>
      <c r="D795" t="s">
        <v>20</v>
      </c>
      <c r="E795" s="8">
        <v>45747</v>
      </c>
      <c r="F795" s="1" t="s">
        <v>22</v>
      </c>
      <c r="G795" s="1" t="s">
        <v>4</v>
      </c>
      <c r="H795" s="8"/>
      <c r="J795" t="b">
        <v>1</v>
      </c>
      <c r="K795" t="s">
        <v>1597</v>
      </c>
      <c r="L795" s="13" t="str">
        <f>HYPERLINK("https://uk1.aconex.co.uk/hub/index.html?mainTarget=%2FSearchControlledDoc%3FSEARCH_ACTION%3D15%26tab%3D0%26searchMode%3D1%26searchQuery%3Ddocno:%22"&amp;RawData[[#This Row],[Document Number]]&amp;"%22%20%2Bcversion%253A1",RawData[[#This Row],[Document Number]])</f>
        <v>FS1018-PIN-ZZ-01-D-O-1005</v>
      </c>
    </row>
    <row r="796" spans="1:12" ht="28.8" x14ac:dyDescent="0.3">
      <c r="A796" t="s">
        <v>1598</v>
      </c>
      <c r="B796" t="s">
        <v>1599</v>
      </c>
      <c r="C796" t="s">
        <v>11</v>
      </c>
      <c r="D796" t="s">
        <v>20</v>
      </c>
      <c r="E796" s="8">
        <v>45729</v>
      </c>
      <c r="F796" s="1" t="s">
        <v>12</v>
      </c>
      <c r="G796" s="1" t="s">
        <v>21</v>
      </c>
      <c r="H796" s="8">
        <v>45747</v>
      </c>
      <c r="I796" s="1" t="s">
        <v>1864</v>
      </c>
      <c r="J796" t="b">
        <v>1</v>
      </c>
      <c r="K796" t="s">
        <v>1600</v>
      </c>
      <c r="L796" s="13" t="str">
        <f>HYPERLINK("https://uk1.aconex.co.uk/hub/index.html?mainTarget=%2FSearchControlledDoc%3FSEARCH_ACTION%3D15%26tab%3D0%26searchMode%3D1%26searchQuery%3Ddocno:%22"&amp;RawData[[#This Row],[Document Number]]&amp;"%22%20%2Bcversion%253A1",RawData[[#This Row],[Document Number]])</f>
        <v>FS1018-PIN-ZZ-01-D-O-1006</v>
      </c>
    </row>
    <row r="797" spans="1:12" ht="28.8" x14ac:dyDescent="0.3">
      <c r="A797" t="s">
        <v>1598</v>
      </c>
      <c r="B797" t="s">
        <v>1599</v>
      </c>
      <c r="C797" t="s">
        <v>11</v>
      </c>
      <c r="D797" t="s">
        <v>20</v>
      </c>
      <c r="E797" s="8">
        <v>45747</v>
      </c>
      <c r="F797" s="1" t="s">
        <v>22</v>
      </c>
      <c r="G797" s="1" t="s">
        <v>4</v>
      </c>
      <c r="H797" s="8"/>
      <c r="J797" t="b">
        <v>1</v>
      </c>
      <c r="K797" t="s">
        <v>1600</v>
      </c>
      <c r="L797" s="13" t="str">
        <f>HYPERLINK("https://uk1.aconex.co.uk/hub/index.html?mainTarget=%2FSearchControlledDoc%3FSEARCH_ACTION%3D15%26tab%3D0%26searchMode%3D1%26searchQuery%3Ddocno:%22"&amp;RawData[[#This Row],[Document Number]]&amp;"%22%20%2Bcversion%253A1",RawData[[#This Row],[Document Number]])</f>
        <v>FS1018-PIN-ZZ-01-D-O-1006</v>
      </c>
    </row>
    <row r="798" spans="1:12" ht="28.8" x14ac:dyDescent="0.3">
      <c r="A798" t="s">
        <v>1601</v>
      </c>
      <c r="B798" t="s">
        <v>1602</v>
      </c>
      <c r="C798" t="s">
        <v>835</v>
      </c>
      <c r="D798" t="s">
        <v>20</v>
      </c>
      <c r="E798" s="8">
        <v>45729</v>
      </c>
      <c r="F798" s="1" t="s">
        <v>12</v>
      </c>
      <c r="G798" s="1" t="s">
        <v>21</v>
      </c>
      <c r="H798" s="8">
        <v>45747</v>
      </c>
      <c r="I798" s="1" t="s">
        <v>1865</v>
      </c>
      <c r="J798" t="b">
        <v>1</v>
      </c>
      <c r="K798" t="s">
        <v>1603</v>
      </c>
      <c r="L798" s="13" t="str">
        <f>HYPERLINK("https://uk1.aconex.co.uk/hub/index.html?mainTarget=%2FSearchControlledDoc%3FSEARCH_ACTION%3D15%26tab%3D0%26searchMode%3D1%26searchQuery%3Ddocno:%22"&amp;RawData[[#This Row],[Document Number]]&amp;"%22%20%2Bcversion%253A1",RawData[[#This Row],[Document Number]])</f>
        <v>FS1018-PIN-ZZ-01-D-O-1007</v>
      </c>
    </row>
    <row r="799" spans="1:12" ht="28.8" x14ac:dyDescent="0.3">
      <c r="A799" t="s">
        <v>1601</v>
      </c>
      <c r="B799" t="s">
        <v>1602</v>
      </c>
      <c r="C799" t="s">
        <v>835</v>
      </c>
      <c r="D799" t="s">
        <v>20</v>
      </c>
      <c r="E799" s="8">
        <v>45747</v>
      </c>
      <c r="F799" s="1" t="s">
        <v>22</v>
      </c>
      <c r="G799" s="1" t="s">
        <v>4</v>
      </c>
      <c r="H799" s="8"/>
      <c r="J799" t="b">
        <v>1</v>
      </c>
      <c r="K799" t="s">
        <v>1603</v>
      </c>
      <c r="L799" s="13" t="str">
        <f>HYPERLINK("https://uk1.aconex.co.uk/hub/index.html?mainTarget=%2FSearchControlledDoc%3FSEARCH_ACTION%3D15%26tab%3D0%26searchMode%3D1%26searchQuery%3Ddocno:%22"&amp;RawData[[#This Row],[Document Number]]&amp;"%22%20%2Bcversion%253A1",RawData[[#This Row],[Document Number]])</f>
        <v>FS1018-PIN-ZZ-01-D-O-1007</v>
      </c>
    </row>
    <row r="800" spans="1:12" ht="43.2" x14ac:dyDescent="0.3">
      <c r="A800" t="s">
        <v>1604</v>
      </c>
      <c r="B800" t="s">
        <v>1605</v>
      </c>
      <c r="C800" t="s">
        <v>418</v>
      </c>
      <c r="D800" t="s">
        <v>20</v>
      </c>
      <c r="E800" s="8">
        <v>45729</v>
      </c>
      <c r="F800" s="1" t="s">
        <v>12</v>
      </c>
      <c r="G800" s="1" t="s">
        <v>21</v>
      </c>
      <c r="H800" s="8">
        <v>45747</v>
      </c>
      <c r="I800" s="1" t="s">
        <v>1866</v>
      </c>
      <c r="J800" t="b">
        <v>1</v>
      </c>
      <c r="K800" t="s">
        <v>1606</v>
      </c>
      <c r="L800" s="13" t="str">
        <f>HYPERLINK("https://uk1.aconex.co.uk/hub/index.html?mainTarget=%2FSearchControlledDoc%3FSEARCH_ACTION%3D15%26tab%3D0%26searchMode%3D1%26searchQuery%3Ddocno:%22"&amp;RawData[[#This Row],[Document Number]]&amp;"%22%20%2Bcversion%253A1",RawData[[#This Row],[Document Number]])</f>
        <v>FS1018-PIN-ZZ-01-D-O-1008</v>
      </c>
    </row>
    <row r="801" spans="1:12" ht="28.8" x14ac:dyDescent="0.3">
      <c r="A801" t="s">
        <v>1604</v>
      </c>
      <c r="B801" t="s">
        <v>1605</v>
      </c>
      <c r="C801" t="s">
        <v>418</v>
      </c>
      <c r="D801" t="s">
        <v>20</v>
      </c>
      <c r="E801" s="8">
        <v>45747</v>
      </c>
      <c r="F801" s="1" t="s">
        <v>22</v>
      </c>
      <c r="G801" s="1" t="s">
        <v>4</v>
      </c>
      <c r="H801" s="8"/>
      <c r="J801" t="b">
        <v>1</v>
      </c>
      <c r="K801" t="s">
        <v>1606</v>
      </c>
      <c r="L801" s="13" t="str">
        <f>HYPERLINK("https://uk1.aconex.co.uk/hub/index.html?mainTarget=%2FSearchControlledDoc%3FSEARCH_ACTION%3D15%26tab%3D0%26searchMode%3D1%26searchQuery%3Ddocno:%22"&amp;RawData[[#This Row],[Document Number]]&amp;"%22%20%2Bcversion%253A1",RawData[[#This Row],[Document Number]])</f>
        <v>FS1018-PIN-ZZ-01-D-O-1008</v>
      </c>
    </row>
    <row r="802" spans="1:12" ht="43.2" x14ac:dyDescent="0.3">
      <c r="A802" t="s">
        <v>1607</v>
      </c>
      <c r="B802" t="s">
        <v>1608</v>
      </c>
      <c r="C802" t="s">
        <v>11</v>
      </c>
      <c r="D802" t="s">
        <v>20</v>
      </c>
      <c r="E802" s="8">
        <v>45729</v>
      </c>
      <c r="F802" s="1" t="s">
        <v>12</v>
      </c>
      <c r="G802" s="1" t="s">
        <v>21</v>
      </c>
      <c r="H802" s="8">
        <v>45747</v>
      </c>
      <c r="I802" s="1" t="s">
        <v>1867</v>
      </c>
      <c r="J802" t="b">
        <v>1</v>
      </c>
      <c r="K802" t="s">
        <v>1609</v>
      </c>
      <c r="L802" s="13" t="str">
        <f>HYPERLINK("https://uk1.aconex.co.uk/hub/index.html?mainTarget=%2FSearchControlledDoc%3FSEARCH_ACTION%3D15%26tab%3D0%26searchMode%3D1%26searchQuery%3Ddocno:%22"&amp;RawData[[#This Row],[Document Number]]&amp;"%22%20%2Bcversion%253A1",RawData[[#This Row],[Document Number]])</f>
        <v>FS1018-PIN-ZZ-01-D-O-1009</v>
      </c>
    </row>
    <row r="803" spans="1:12" ht="28.8" x14ac:dyDescent="0.3">
      <c r="A803" t="s">
        <v>1607</v>
      </c>
      <c r="B803" t="s">
        <v>1608</v>
      </c>
      <c r="C803" t="s">
        <v>11</v>
      </c>
      <c r="D803" t="s">
        <v>20</v>
      </c>
      <c r="E803" s="8">
        <v>45747</v>
      </c>
      <c r="F803" s="1" t="s">
        <v>22</v>
      </c>
      <c r="G803" s="1" t="s">
        <v>4</v>
      </c>
      <c r="H803" s="8"/>
      <c r="J803" t="b">
        <v>1</v>
      </c>
      <c r="K803" t="s">
        <v>1609</v>
      </c>
      <c r="L803" s="13" t="str">
        <f>HYPERLINK("https://uk1.aconex.co.uk/hub/index.html?mainTarget=%2FSearchControlledDoc%3FSEARCH_ACTION%3D15%26tab%3D0%26searchMode%3D1%26searchQuery%3Ddocno:%22"&amp;RawData[[#This Row],[Document Number]]&amp;"%22%20%2Bcversion%253A1",RawData[[#This Row],[Document Number]])</f>
        <v>FS1018-PIN-ZZ-01-D-O-1009</v>
      </c>
    </row>
    <row r="804" spans="1:12" ht="28.8" x14ac:dyDescent="0.3">
      <c r="A804" t="s">
        <v>1610</v>
      </c>
      <c r="B804" t="s">
        <v>1611</v>
      </c>
      <c r="C804" t="s">
        <v>835</v>
      </c>
      <c r="D804" t="s">
        <v>20</v>
      </c>
      <c r="E804" s="8">
        <v>45729</v>
      </c>
      <c r="F804" s="1" t="s">
        <v>12</v>
      </c>
      <c r="G804" s="1" t="s">
        <v>21</v>
      </c>
      <c r="H804" s="8">
        <v>45747</v>
      </c>
      <c r="I804" s="1" t="s">
        <v>1865</v>
      </c>
      <c r="J804" t="b">
        <v>1</v>
      </c>
      <c r="K804" t="s">
        <v>1612</v>
      </c>
      <c r="L804" s="13" t="str">
        <f>HYPERLINK("https://uk1.aconex.co.uk/hub/index.html?mainTarget=%2FSearchControlledDoc%3FSEARCH_ACTION%3D15%26tab%3D0%26searchMode%3D1%26searchQuery%3Ddocno:%22"&amp;RawData[[#This Row],[Document Number]]&amp;"%22%20%2Bcversion%253A1",RawData[[#This Row],[Document Number]])</f>
        <v>FS1018-PIN-ZZ-01-D-O-1021</v>
      </c>
    </row>
    <row r="805" spans="1:12" ht="28.8" x14ac:dyDescent="0.3">
      <c r="A805" t="s">
        <v>1610</v>
      </c>
      <c r="B805" t="s">
        <v>1611</v>
      </c>
      <c r="C805" t="s">
        <v>835</v>
      </c>
      <c r="D805" t="s">
        <v>20</v>
      </c>
      <c r="E805" s="8">
        <v>45747</v>
      </c>
      <c r="F805" s="1" t="s">
        <v>22</v>
      </c>
      <c r="G805" s="1" t="s">
        <v>4</v>
      </c>
      <c r="H805" s="8"/>
      <c r="J805" t="b">
        <v>1</v>
      </c>
      <c r="K805" t="s">
        <v>1612</v>
      </c>
      <c r="L805" s="13" t="str">
        <f>HYPERLINK("https://uk1.aconex.co.uk/hub/index.html?mainTarget=%2FSearchControlledDoc%3FSEARCH_ACTION%3D15%26tab%3D0%26searchMode%3D1%26searchQuery%3Ddocno:%22"&amp;RawData[[#This Row],[Document Number]]&amp;"%22%20%2Bcversion%253A1",RawData[[#This Row],[Document Number]])</f>
        <v>FS1018-PIN-ZZ-01-D-O-1021</v>
      </c>
    </row>
    <row r="806" spans="1:12" ht="43.2" x14ac:dyDescent="0.3">
      <c r="A806" t="s">
        <v>1613</v>
      </c>
      <c r="B806" t="s">
        <v>1614</v>
      </c>
      <c r="C806" t="s">
        <v>689</v>
      </c>
      <c r="D806" t="s">
        <v>20</v>
      </c>
      <c r="E806" s="8">
        <v>45729</v>
      </c>
      <c r="F806" s="1" t="s">
        <v>12</v>
      </c>
      <c r="G806" s="1" t="s">
        <v>21</v>
      </c>
      <c r="H806" s="8">
        <v>45747</v>
      </c>
      <c r="I806" s="1" t="s">
        <v>1868</v>
      </c>
      <c r="J806" t="b">
        <v>1</v>
      </c>
      <c r="K806" t="s">
        <v>1615</v>
      </c>
      <c r="L806" s="13" t="str">
        <f>HYPERLINK("https://uk1.aconex.co.uk/hub/index.html?mainTarget=%2FSearchControlledDoc%3FSEARCH_ACTION%3D15%26tab%3D0%26searchMode%3D1%26searchQuery%3Ddocno:%22"&amp;RawData[[#This Row],[Document Number]]&amp;"%22%20%2Bcversion%253A1",RawData[[#This Row],[Document Number]])</f>
        <v>FS1018-PIN-ZZ-01-D-O-1101</v>
      </c>
    </row>
    <row r="807" spans="1:12" ht="28.8" x14ac:dyDescent="0.3">
      <c r="A807" t="s">
        <v>1613</v>
      </c>
      <c r="B807" t="s">
        <v>1614</v>
      </c>
      <c r="C807" t="s">
        <v>689</v>
      </c>
      <c r="D807" t="s">
        <v>20</v>
      </c>
      <c r="E807" s="8">
        <v>45747</v>
      </c>
      <c r="F807" s="1" t="s">
        <v>22</v>
      </c>
      <c r="G807" s="1" t="s">
        <v>4</v>
      </c>
      <c r="H807" s="8"/>
      <c r="J807" t="b">
        <v>1</v>
      </c>
      <c r="K807" t="s">
        <v>1615</v>
      </c>
      <c r="L807" s="13" t="str">
        <f>HYPERLINK("https://uk1.aconex.co.uk/hub/index.html?mainTarget=%2FSearchControlledDoc%3FSEARCH_ACTION%3D15%26tab%3D0%26searchMode%3D1%26searchQuery%3Ddocno:%22"&amp;RawData[[#This Row],[Document Number]]&amp;"%22%20%2Bcversion%253A1",RawData[[#This Row],[Document Number]])</f>
        <v>FS1018-PIN-ZZ-01-D-O-1101</v>
      </c>
    </row>
    <row r="808" spans="1:12" ht="43.2" x14ac:dyDescent="0.3">
      <c r="A808" t="s">
        <v>1616</v>
      </c>
      <c r="B808" t="s">
        <v>1617</v>
      </c>
      <c r="C808" t="s">
        <v>418</v>
      </c>
      <c r="D808" t="s">
        <v>20</v>
      </c>
      <c r="E808" s="8">
        <v>45729</v>
      </c>
      <c r="F808" s="1" t="s">
        <v>12</v>
      </c>
      <c r="G808" s="1" t="s">
        <v>21</v>
      </c>
      <c r="H808" s="8">
        <v>45747</v>
      </c>
      <c r="I808" s="1" t="s">
        <v>1869</v>
      </c>
      <c r="J808" t="b">
        <v>1</v>
      </c>
      <c r="K808" t="s">
        <v>1618</v>
      </c>
      <c r="L808" s="13" t="str">
        <f>HYPERLINK("https://uk1.aconex.co.uk/hub/index.html?mainTarget=%2FSearchControlledDoc%3FSEARCH_ACTION%3D15%26tab%3D0%26searchMode%3D1%26searchQuery%3Ddocno:%22"&amp;RawData[[#This Row],[Document Number]]&amp;"%22%20%2Bcversion%253A1",RawData[[#This Row],[Document Number]])</f>
        <v>FS1018-PIN-ZZ-01-D-O-1102</v>
      </c>
    </row>
    <row r="809" spans="1:12" ht="28.8" x14ac:dyDescent="0.3">
      <c r="A809" t="s">
        <v>1616</v>
      </c>
      <c r="B809" t="s">
        <v>1617</v>
      </c>
      <c r="C809" t="s">
        <v>418</v>
      </c>
      <c r="D809" t="s">
        <v>20</v>
      </c>
      <c r="E809" s="8">
        <v>45747</v>
      </c>
      <c r="F809" s="1" t="s">
        <v>22</v>
      </c>
      <c r="G809" s="1" t="s">
        <v>4</v>
      </c>
      <c r="H809" s="8"/>
      <c r="J809" t="b">
        <v>1</v>
      </c>
      <c r="K809" t="s">
        <v>1618</v>
      </c>
      <c r="L809" s="13" t="str">
        <f>HYPERLINK("https://uk1.aconex.co.uk/hub/index.html?mainTarget=%2FSearchControlledDoc%3FSEARCH_ACTION%3D15%26tab%3D0%26searchMode%3D1%26searchQuery%3Ddocno:%22"&amp;RawData[[#This Row],[Document Number]]&amp;"%22%20%2Bcversion%253A1",RawData[[#This Row],[Document Number]])</f>
        <v>FS1018-PIN-ZZ-01-D-O-1102</v>
      </c>
    </row>
    <row r="810" spans="1:12" x14ac:dyDescent="0.3">
      <c r="A810" t="s">
        <v>1619</v>
      </c>
      <c r="B810" t="s">
        <v>1620</v>
      </c>
      <c r="C810" t="s">
        <v>835</v>
      </c>
      <c r="D810" t="s">
        <v>19</v>
      </c>
      <c r="E810" s="8">
        <v>45729</v>
      </c>
      <c r="F810" s="1" t="s">
        <v>12</v>
      </c>
      <c r="G810" s="1" t="s">
        <v>24</v>
      </c>
      <c r="H810" s="8">
        <v>45747</v>
      </c>
      <c r="I810" s="1" t="s">
        <v>1785</v>
      </c>
      <c r="J810" t="b">
        <v>1</v>
      </c>
      <c r="K810" t="s">
        <v>1621</v>
      </c>
      <c r="L810" s="13" t="str">
        <f>HYPERLINK("https://uk1.aconex.co.uk/hub/index.html?mainTarget=%2FSearchControlledDoc%3FSEARCH_ACTION%3D15%26tab%3D0%26searchMode%3D1%26searchQuery%3Ddocno:%22"&amp;RawData[[#This Row],[Document Number]]&amp;"%22%20%2Bcversion%253A1",RawData[[#This Row],[Document Number]])</f>
        <v>FS1018-PIN-ZZ-01-D-O-1108</v>
      </c>
    </row>
    <row r="811" spans="1:12" ht="28.8" x14ac:dyDescent="0.3">
      <c r="A811" t="s">
        <v>1622</v>
      </c>
      <c r="B811" t="s">
        <v>1623</v>
      </c>
      <c r="C811" t="s">
        <v>418</v>
      </c>
      <c r="D811" t="s">
        <v>20</v>
      </c>
      <c r="E811" s="8">
        <v>45729</v>
      </c>
      <c r="F811" s="1" t="s">
        <v>12</v>
      </c>
      <c r="G811" s="1" t="s">
        <v>21</v>
      </c>
      <c r="H811" s="8">
        <v>45747</v>
      </c>
      <c r="I811" s="1" t="s">
        <v>1870</v>
      </c>
      <c r="J811" t="b">
        <v>1</v>
      </c>
      <c r="K811" t="s">
        <v>1624</v>
      </c>
      <c r="L811" s="13" t="str">
        <f>HYPERLINK("https://uk1.aconex.co.uk/hub/index.html?mainTarget=%2FSearchControlledDoc%3FSEARCH_ACTION%3D15%26tab%3D0%26searchMode%3D1%26searchQuery%3Ddocno:%22"&amp;RawData[[#This Row],[Document Number]]&amp;"%22%20%2Bcversion%253A1",RawData[[#This Row],[Document Number]])</f>
        <v>FS1018-PIN-ZZ-01-D-O-3006</v>
      </c>
    </row>
    <row r="812" spans="1:12" ht="28.8" x14ac:dyDescent="0.3">
      <c r="A812" t="s">
        <v>1622</v>
      </c>
      <c r="B812" t="s">
        <v>1623</v>
      </c>
      <c r="C812" t="s">
        <v>418</v>
      </c>
      <c r="D812" t="s">
        <v>20</v>
      </c>
      <c r="E812" s="8">
        <v>45747</v>
      </c>
      <c r="F812" s="1" t="s">
        <v>22</v>
      </c>
      <c r="G812" s="1" t="s">
        <v>4</v>
      </c>
      <c r="H812" s="8"/>
      <c r="J812" t="b">
        <v>1</v>
      </c>
      <c r="K812" t="s">
        <v>1624</v>
      </c>
      <c r="L812" s="13" t="str">
        <f>HYPERLINK("https://uk1.aconex.co.uk/hub/index.html?mainTarget=%2FSearchControlledDoc%3FSEARCH_ACTION%3D15%26tab%3D0%26searchMode%3D1%26searchQuery%3Ddocno:%22"&amp;RawData[[#This Row],[Document Number]]&amp;"%22%20%2Bcversion%253A1",RawData[[#This Row],[Document Number]])</f>
        <v>FS1018-PIN-ZZ-01-D-O-3006</v>
      </c>
    </row>
    <row r="813" spans="1:12" ht="57.6" x14ac:dyDescent="0.3">
      <c r="A813" t="s">
        <v>1625</v>
      </c>
      <c r="B813" t="s">
        <v>1626</v>
      </c>
      <c r="C813" t="s">
        <v>11</v>
      </c>
      <c r="D813" t="s">
        <v>20</v>
      </c>
      <c r="E813" s="8">
        <v>45729</v>
      </c>
      <c r="F813" s="1" t="s">
        <v>12</v>
      </c>
      <c r="G813" s="1" t="s">
        <v>21</v>
      </c>
      <c r="H813" s="8">
        <v>45747</v>
      </c>
      <c r="I813" s="1" t="s">
        <v>1871</v>
      </c>
      <c r="J813" t="b">
        <v>1</v>
      </c>
      <c r="K813" t="s">
        <v>1627</v>
      </c>
      <c r="L813" s="13" t="str">
        <f>HYPERLINK("https://uk1.aconex.co.uk/hub/index.html?mainTarget=%2FSearchControlledDoc%3FSEARCH_ACTION%3D15%26tab%3D0%26searchMode%3D1%26searchQuery%3Ddocno:%22"&amp;RawData[[#This Row],[Document Number]]&amp;"%22%20%2Bcversion%253A1",RawData[[#This Row],[Document Number]])</f>
        <v>FS1018-PIN-ZZ-01-D-O-3009</v>
      </c>
    </row>
    <row r="814" spans="1:12" ht="28.8" x14ac:dyDescent="0.3">
      <c r="A814" t="s">
        <v>1625</v>
      </c>
      <c r="B814" t="s">
        <v>1626</v>
      </c>
      <c r="C814" t="s">
        <v>11</v>
      </c>
      <c r="D814" t="s">
        <v>20</v>
      </c>
      <c r="E814" s="8">
        <v>45747</v>
      </c>
      <c r="F814" s="1" t="s">
        <v>22</v>
      </c>
      <c r="G814" s="1" t="s">
        <v>4</v>
      </c>
      <c r="H814" s="8"/>
      <c r="J814" t="b">
        <v>1</v>
      </c>
      <c r="K814" t="s">
        <v>1627</v>
      </c>
      <c r="L814" s="13" t="str">
        <f>HYPERLINK("https://uk1.aconex.co.uk/hub/index.html?mainTarget=%2FSearchControlledDoc%3FSEARCH_ACTION%3D15%26tab%3D0%26searchMode%3D1%26searchQuery%3Ddocno:%22"&amp;RawData[[#This Row],[Document Number]]&amp;"%22%20%2Bcversion%253A1",RawData[[#This Row],[Document Number]])</f>
        <v>FS1018-PIN-ZZ-01-D-O-3009</v>
      </c>
    </row>
    <row r="815" spans="1:12" ht="28.8" x14ac:dyDescent="0.3">
      <c r="A815" t="s">
        <v>1628</v>
      </c>
      <c r="B815" t="s">
        <v>1629</v>
      </c>
      <c r="C815" t="s">
        <v>11</v>
      </c>
      <c r="D815" t="s">
        <v>20</v>
      </c>
      <c r="E815" s="8">
        <v>45729</v>
      </c>
      <c r="F815" s="1" t="s">
        <v>12</v>
      </c>
      <c r="G815" s="1" t="s">
        <v>21</v>
      </c>
      <c r="H815" s="8">
        <v>45747</v>
      </c>
      <c r="I815" s="1" t="s">
        <v>1872</v>
      </c>
      <c r="J815" t="b">
        <v>1</v>
      </c>
      <c r="K815" t="s">
        <v>1630</v>
      </c>
      <c r="L815" s="13" t="str">
        <f>HYPERLINK("https://uk1.aconex.co.uk/hub/index.html?mainTarget=%2FSearchControlledDoc%3FSEARCH_ACTION%3D15%26tab%3D0%26searchMode%3D1%26searchQuery%3Ddocno:%22"&amp;RawData[[#This Row],[Document Number]]&amp;"%22%20%2Bcversion%253A1",RawData[[#This Row],[Document Number]])</f>
        <v>FS1018-PIN-ZZ-01-D-O-4002</v>
      </c>
    </row>
    <row r="816" spans="1:12" ht="28.8" x14ac:dyDescent="0.3">
      <c r="A816" t="s">
        <v>1628</v>
      </c>
      <c r="B816" t="s">
        <v>1629</v>
      </c>
      <c r="C816" t="s">
        <v>11</v>
      </c>
      <c r="D816" t="s">
        <v>20</v>
      </c>
      <c r="E816" s="8">
        <v>45747</v>
      </c>
      <c r="F816" s="1" t="s">
        <v>22</v>
      </c>
      <c r="G816" s="1" t="s">
        <v>4</v>
      </c>
      <c r="H816" s="8"/>
      <c r="J816" t="b">
        <v>1</v>
      </c>
      <c r="K816" t="s">
        <v>1630</v>
      </c>
      <c r="L816" s="13" t="str">
        <f>HYPERLINK("https://uk1.aconex.co.uk/hub/index.html?mainTarget=%2FSearchControlledDoc%3FSEARCH_ACTION%3D15%26tab%3D0%26searchMode%3D1%26searchQuery%3Ddocno:%22"&amp;RawData[[#This Row],[Document Number]]&amp;"%22%20%2Bcversion%253A1",RawData[[#This Row],[Document Number]])</f>
        <v>FS1018-PIN-ZZ-01-D-O-4002</v>
      </c>
    </row>
    <row r="817" spans="1:12" ht="43.2" x14ac:dyDescent="0.3">
      <c r="A817" t="s">
        <v>1631</v>
      </c>
      <c r="B817" t="s">
        <v>1632</v>
      </c>
      <c r="C817" t="s">
        <v>11</v>
      </c>
      <c r="D817" t="s">
        <v>20</v>
      </c>
      <c r="E817" s="8">
        <v>45729</v>
      </c>
      <c r="F817" s="1" t="s">
        <v>12</v>
      </c>
      <c r="G817" s="1" t="s">
        <v>21</v>
      </c>
      <c r="H817" s="8">
        <v>45747</v>
      </c>
      <c r="I817" s="1" t="s">
        <v>1873</v>
      </c>
      <c r="J817" t="b">
        <v>1</v>
      </c>
      <c r="K817" t="s">
        <v>1633</v>
      </c>
      <c r="L817" s="13" t="str">
        <f>HYPERLINK("https://uk1.aconex.co.uk/hub/index.html?mainTarget=%2FSearchControlledDoc%3FSEARCH_ACTION%3D15%26tab%3D0%26searchMode%3D1%26searchQuery%3Ddocno:%22"&amp;RawData[[#This Row],[Document Number]]&amp;"%22%20%2Bcversion%253A1",RawData[[#This Row],[Document Number]])</f>
        <v>FS1018-PIN-ZZ-01-D-O-4007</v>
      </c>
    </row>
    <row r="818" spans="1:12" ht="28.8" x14ac:dyDescent="0.3">
      <c r="A818" t="s">
        <v>1631</v>
      </c>
      <c r="B818" t="s">
        <v>1632</v>
      </c>
      <c r="C818" t="s">
        <v>11</v>
      </c>
      <c r="D818" t="s">
        <v>20</v>
      </c>
      <c r="E818" s="8">
        <v>45747</v>
      </c>
      <c r="F818" s="1" t="s">
        <v>22</v>
      </c>
      <c r="G818" s="1" t="s">
        <v>4</v>
      </c>
      <c r="H818" s="8"/>
      <c r="J818" t="b">
        <v>1</v>
      </c>
      <c r="K818" t="s">
        <v>1633</v>
      </c>
      <c r="L818" s="13" t="str">
        <f>HYPERLINK("https://uk1.aconex.co.uk/hub/index.html?mainTarget=%2FSearchControlledDoc%3FSEARCH_ACTION%3D15%26tab%3D0%26searchMode%3D1%26searchQuery%3Ddocno:%22"&amp;RawData[[#This Row],[Document Number]]&amp;"%22%20%2Bcversion%253A1",RawData[[#This Row],[Document Number]])</f>
        <v>FS1018-PIN-ZZ-01-D-O-4007</v>
      </c>
    </row>
    <row r="819" spans="1:12" x14ac:dyDescent="0.3">
      <c r="A819" t="s">
        <v>1634</v>
      </c>
      <c r="B819" t="s">
        <v>1635</v>
      </c>
      <c r="C819" t="s">
        <v>418</v>
      </c>
      <c r="D819" t="s">
        <v>19</v>
      </c>
      <c r="E819" s="8">
        <v>45729</v>
      </c>
      <c r="F819" s="1" t="s">
        <v>12</v>
      </c>
      <c r="G819" s="1" t="s">
        <v>24</v>
      </c>
      <c r="H819" s="8">
        <v>45747</v>
      </c>
      <c r="I819" s="1" t="s">
        <v>1785</v>
      </c>
      <c r="J819" t="b">
        <v>1</v>
      </c>
      <c r="K819" t="s">
        <v>1636</v>
      </c>
      <c r="L819" s="13" t="str">
        <f>HYPERLINK("https://uk1.aconex.co.uk/hub/index.html?mainTarget=%2FSearchControlledDoc%3FSEARCH_ACTION%3D15%26tab%3D0%26searchMode%3D1%26searchQuery%3Ddocno:%22"&amp;RawData[[#This Row],[Document Number]]&amp;"%22%20%2Bcversion%253A1",RawData[[#This Row],[Document Number]])</f>
        <v>FS1018-PIN-ZZ-01-D-O-4012</v>
      </c>
    </row>
    <row r="820" spans="1:12" x14ac:dyDescent="0.3">
      <c r="A820" t="s">
        <v>1637</v>
      </c>
      <c r="B820" t="s">
        <v>1638</v>
      </c>
      <c r="C820" t="s">
        <v>418</v>
      </c>
      <c r="D820" t="s">
        <v>19</v>
      </c>
      <c r="E820" s="8">
        <v>45729</v>
      </c>
      <c r="F820" s="1" t="s">
        <v>12</v>
      </c>
      <c r="G820" s="1" t="s">
        <v>24</v>
      </c>
      <c r="H820" s="8">
        <v>45747</v>
      </c>
      <c r="I820" s="1" t="s">
        <v>1785</v>
      </c>
      <c r="J820" t="b">
        <v>1</v>
      </c>
      <c r="K820" t="s">
        <v>1639</v>
      </c>
      <c r="L820" s="13" t="str">
        <f>HYPERLINK("https://uk1.aconex.co.uk/hub/index.html?mainTarget=%2FSearchControlledDoc%3FSEARCH_ACTION%3D15%26tab%3D0%26searchMode%3D1%26searchQuery%3Ddocno:%22"&amp;RawData[[#This Row],[Document Number]]&amp;"%22%20%2Bcversion%253A1",RawData[[#This Row],[Document Number]])</f>
        <v>FS1018-PIN-ZZ-01-D-O-4013</v>
      </c>
    </row>
    <row r="821" spans="1:12" ht="43.2" x14ac:dyDescent="0.3">
      <c r="A821" t="s">
        <v>1640</v>
      </c>
      <c r="B821" t="s">
        <v>1641</v>
      </c>
      <c r="C821" t="s">
        <v>11</v>
      </c>
      <c r="D821" t="s">
        <v>20</v>
      </c>
      <c r="E821" s="8">
        <v>45729</v>
      </c>
      <c r="F821" s="1" t="s">
        <v>12</v>
      </c>
      <c r="G821" s="1" t="s">
        <v>21</v>
      </c>
      <c r="H821" s="8">
        <v>45747</v>
      </c>
      <c r="I821" s="1" t="s">
        <v>1874</v>
      </c>
      <c r="J821" t="b">
        <v>1</v>
      </c>
      <c r="K821" t="s">
        <v>1642</v>
      </c>
      <c r="L821" s="13" t="str">
        <f>HYPERLINK("https://uk1.aconex.co.uk/hub/index.html?mainTarget=%2FSearchControlledDoc%3FSEARCH_ACTION%3D15%26tab%3D0%26searchMode%3D1%26searchQuery%3Ddocno:%22"&amp;RawData[[#This Row],[Document Number]]&amp;"%22%20%2Bcversion%253A1",RawData[[#This Row],[Document Number]])</f>
        <v>FS1018-PIN-ZZ-01-D-O-4016</v>
      </c>
    </row>
    <row r="822" spans="1:12" ht="28.8" x14ac:dyDescent="0.3">
      <c r="A822" t="s">
        <v>1640</v>
      </c>
      <c r="B822" t="s">
        <v>1641</v>
      </c>
      <c r="C822" t="s">
        <v>11</v>
      </c>
      <c r="D822" t="s">
        <v>20</v>
      </c>
      <c r="E822" s="8">
        <v>45747</v>
      </c>
      <c r="F822" s="1" t="s">
        <v>22</v>
      </c>
      <c r="G822" s="1" t="s">
        <v>4</v>
      </c>
      <c r="H822" s="8"/>
      <c r="J822" t="b">
        <v>1</v>
      </c>
      <c r="K822" t="s">
        <v>1642</v>
      </c>
      <c r="L822" s="13" t="str">
        <f>HYPERLINK("https://uk1.aconex.co.uk/hub/index.html?mainTarget=%2FSearchControlledDoc%3FSEARCH_ACTION%3D15%26tab%3D0%26searchMode%3D1%26searchQuery%3Ddocno:%22"&amp;RawData[[#This Row],[Document Number]]&amp;"%22%20%2Bcversion%253A1",RawData[[#This Row],[Document Number]])</f>
        <v>FS1018-PIN-ZZ-01-D-O-4016</v>
      </c>
    </row>
    <row r="823" spans="1:12" ht="28.8" x14ac:dyDescent="0.3">
      <c r="A823" t="s">
        <v>1643</v>
      </c>
      <c r="B823" t="s">
        <v>1644</v>
      </c>
      <c r="C823" t="s">
        <v>10</v>
      </c>
      <c r="D823" t="s">
        <v>20</v>
      </c>
      <c r="E823" s="8">
        <v>45729</v>
      </c>
      <c r="F823" s="1" t="s">
        <v>12</v>
      </c>
      <c r="G823" s="1" t="s">
        <v>21</v>
      </c>
      <c r="H823" s="8">
        <v>45747</v>
      </c>
      <c r="I823" s="1" t="s">
        <v>1875</v>
      </c>
      <c r="J823" t="b">
        <v>1</v>
      </c>
      <c r="K823" t="s">
        <v>1645</v>
      </c>
      <c r="L823" s="13" t="str">
        <f>HYPERLINK("https://uk1.aconex.co.uk/hub/index.html?mainTarget=%2FSearchControlledDoc%3FSEARCH_ACTION%3D15%26tab%3D0%26searchMode%3D1%26searchQuery%3Ddocno:%22"&amp;RawData[[#This Row],[Document Number]]&amp;"%22%20%2Bcversion%253A1",RawData[[#This Row],[Document Number]])</f>
        <v>FS1018-PIN-ZZ-01-D-O-4017</v>
      </c>
    </row>
    <row r="824" spans="1:12" ht="28.8" x14ac:dyDescent="0.3">
      <c r="A824" t="s">
        <v>1643</v>
      </c>
      <c r="B824" t="s">
        <v>1644</v>
      </c>
      <c r="C824" t="s">
        <v>10</v>
      </c>
      <c r="D824" t="s">
        <v>20</v>
      </c>
      <c r="E824" s="8">
        <v>45747</v>
      </c>
      <c r="F824" s="1" t="s">
        <v>22</v>
      </c>
      <c r="G824" s="1" t="s">
        <v>4</v>
      </c>
      <c r="H824" s="8"/>
      <c r="J824" t="b">
        <v>1</v>
      </c>
      <c r="K824" t="s">
        <v>1645</v>
      </c>
      <c r="L824" s="13" t="str">
        <f>HYPERLINK("https://uk1.aconex.co.uk/hub/index.html?mainTarget=%2FSearchControlledDoc%3FSEARCH_ACTION%3D15%26tab%3D0%26searchMode%3D1%26searchQuery%3Ddocno:%22"&amp;RawData[[#This Row],[Document Number]]&amp;"%22%20%2Bcversion%253A1",RawData[[#This Row],[Document Number]])</f>
        <v>FS1018-PIN-ZZ-01-D-O-4017</v>
      </c>
    </row>
    <row r="825" spans="1:12" x14ac:dyDescent="0.3">
      <c r="A825" t="s">
        <v>1646</v>
      </c>
      <c r="B825" t="s">
        <v>1647</v>
      </c>
      <c r="C825" t="s">
        <v>10</v>
      </c>
      <c r="D825" t="s">
        <v>19</v>
      </c>
      <c r="E825" s="8">
        <v>45729</v>
      </c>
      <c r="F825" s="1" t="s">
        <v>12</v>
      </c>
      <c r="G825" s="1" t="s">
        <v>24</v>
      </c>
      <c r="H825" s="8">
        <v>45747</v>
      </c>
      <c r="I825" s="1" t="s">
        <v>1785</v>
      </c>
      <c r="J825" t="b">
        <v>1</v>
      </c>
      <c r="K825" t="s">
        <v>1648</v>
      </c>
      <c r="L825" s="13" t="str">
        <f>HYPERLINK("https://uk1.aconex.co.uk/hub/index.html?mainTarget=%2FSearchControlledDoc%3FSEARCH_ACTION%3D15%26tab%3D0%26searchMode%3D1%26searchQuery%3Ddocno:%22"&amp;RawData[[#This Row],[Document Number]]&amp;"%22%20%2Bcversion%253A1",RawData[[#This Row],[Document Number]])</f>
        <v>FS1018-PIN-ZZ-01-D-O-5006</v>
      </c>
    </row>
    <row r="826" spans="1:12" ht="57.6" x14ac:dyDescent="0.3">
      <c r="A826" t="s">
        <v>1649</v>
      </c>
      <c r="B826" t="s">
        <v>1575</v>
      </c>
      <c r="C826" t="s">
        <v>11</v>
      </c>
      <c r="D826" t="s">
        <v>20</v>
      </c>
      <c r="E826" s="8">
        <v>45729</v>
      </c>
      <c r="F826" s="1" t="s">
        <v>12</v>
      </c>
      <c r="G826" s="1" t="s">
        <v>21</v>
      </c>
      <c r="H826" s="8">
        <v>45747</v>
      </c>
      <c r="I826" s="1" t="s">
        <v>1876</v>
      </c>
      <c r="J826" t="b">
        <v>1</v>
      </c>
      <c r="K826" t="s">
        <v>1650</v>
      </c>
      <c r="L826" s="13" t="str">
        <f>HYPERLINK("https://uk1.aconex.co.uk/hub/index.html?mainTarget=%2FSearchControlledDoc%3FSEARCH_ACTION%3D15%26tab%3D0%26searchMode%3D1%26searchQuery%3Ddocno:%22"&amp;RawData[[#This Row],[Document Number]]&amp;"%22%20%2Bcversion%253A1",RawData[[#This Row],[Document Number]])</f>
        <v>FS1018-PIN-ZZ-01-D-O-5017</v>
      </c>
    </row>
    <row r="827" spans="1:12" ht="28.8" x14ac:dyDescent="0.3">
      <c r="A827" t="s">
        <v>1649</v>
      </c>
      <c r="B827" t="s">
        <v>1575</v>
      </c>
      <c r="C827" t="s">
        <v>11</v>
      </c>
      <c r="D827" t="s">
        <v>20</v>
      </c>
      <c r="E827" s="8">
        <v>45747</v>
      </c>
      <c r="F827" s="1" t="s">
        <v>22</v>
      </c>
      <c r="G827" s="1" t="s">
        <v>4</v>
      </c>
      <c r="H827" s="8"/>
      <c r="J827" t="b">
        <v>1</v>
      </c>
      <c r="K827" t="s">
        <v>1650</v>
      </c>
      <c r="L827" s="13" t="str">
        <f>HYPERLINK("https://uk1.aconex.co.uk/hub/index.html?mainTarget=%2FSearchControlledDoc%3FSEARCH_ACTION%3D15%26tab%3D0%26searchMode%3D1%26searchQuery%3Ddocno:%22"&amp;RawData[[#This Row],[Document Number]]&amp;"%22%20%2Bcversion%253A1",RawData[[#This Row],[Document Number]])</f>
        <v>FS1018-PIN-ZZ-01-D-O-5017</v>
      </c>
    </row>
    <row r="828" spans="1:12" x14ac:dyDescent="0.3">
      <c r="A828" t="s">
        <v>1651</v>
      </c>
      <c r="B828" t="s">
        <v>1652</v>
      </c>
      <c r="C828" t="s">
        <v>11</v>
      </c>
      <c r="D828" t="s">
        <v>19</v>
      </c>
      <c r="E828" s="8">
        <v>45729</v>
      </c>
      <c r="F828" s="1" t="s">
        <v>12</v>
      </c>
      <c r="G828" s="1" t="s">
        <v>24</v>
      </c>
      <c r="H828" s="8">
        <v>45747</v>
      </c>
      <c r="I828" s="1" t="s">
        <v>1785</v>
      </c>
      <c r="J828" t="b">
        <v>1</v>
      </c>
      <c r="K828" t="s">
        <v>1653</v>
      </c>
      <c r="L828" s="13" t="str">
        <f>HYPERLINK("https://uk1.aconex.co.uk/hub/index.html?mainTarget=%2FSearchControlledDoc%3FSEARCH_ACTION%3D15%26tab%3D0%26searchMode%3D1%26searchQuery%3Ddocno:%22"&amp;RawData[[#This Row],[Document Number]]&amp;"%22%20%2Bcversion%253A1",RawData[[#This Row],[Document Number]])</f>
        <v>FS1018-PIN-ZZ-01-D-O-5104</v>
      </c>
    </row>
    <row r="829" spans="1:12" ht="72" x14ac:dyDescent="0.3">
      <c r="A829" t="s">
        <v>1654</v>
      </c>
      <c r="B829" t="s">
        <v>1655</v>
      </c>
      <c r="C829" t="s">
        <v>11</v>
      </c>
      <c r="D829" t="s">
        <v>20</v>
      </c>
      <c r="E829" s="8">
        <v>45729</v>
      </c>
      <c r="F829" s="1" t="s">
        <v>12</v>
      </c>
      <c r="G829" s="1" t="s">
        <v>1027</v>
      </c>
      <c r="H829" s="8">
        <v>45747</v>
      </c>
      <c r="I829" s="1" t="s">
        <v>1851</v>
      </c>
      <c r="J829" t="b">
        <v>1</v>
      </c>
      <c r="K829" t="s">
        <v>1656</v>
      </c>
      <c r="L829" s="13" t="str">
        <f>HYPERLINK("https://uk1.aconex.co.uk/hub/index.html?mainTarget=%2FSearchControlledDoc%3FSEARCH_ACTION%3D15%26tab%3D0%26searchMode%3D1%26searchQuery%3Ddocno:%22"&amp;RawData[[#This Row],[Document Number]]&amp;"%22%20%2Bcversion%253A1",RawData[[#This Row],[Document Number]])</f>
        <v>FS1018-PIN-ZZ-01-D-O-5110</v>
      </c>
    </row>
    <row r="830" spans="1:12" ht="28.8" x14ac:dyDescent="0.3">
      <c r="A830" t="s">
        <v>1654</v>
      </c>
      <c r="B830" t="s">
        <v>1655</v>
      </c>
      <c r="C830" t="s">
        <v>11</v>
      </c>
      <c r="D830" t="s">
        <v>20</v>
      </c>
      <c r="E830" s="8">
        <v>45747</v>
      </c>
      <c r="F830" s="1" t="s">
        <v>22</v>
      </c>
      <c r="G830" s="1" t="s">
        <v>4</v>
      </c>
      <c r="H830" s="8"/>
      <c r="J830" t="b">
        <v>1</v>
      </c>
      <c r="K830" t="s">
        <v>1656</v>
      </c>
      <c r="L830" s="13" t="str">
        <f>HYPERLINK("https://uk1.aconex.co.uk/hub/index.html?mainTarget=%2FSearchControlledDoc%3FSEARCH_ACTION%3D15%26tab%3D0%26searchMode%3D1%26searchQuery%3Ddocno:%22"&amp;RawData[[#This Row],[Document Number]]&amp;"%22%20%2Bcversion%253A1",RawData[[#This Row],[Document Number]])</f>
        <v>FS1018-PIN-ZZ-01-D-O-5110</v>
      </c>
    </row>
    <row r="831" spans="1:12" ht="72" x14ac:dyDescent="0.3">
      <c r="A831" t="s">
        <v>1657</v>
      </c>
      <c r="B831" t="s">
        <v>1658</v>
      </c>
      <c r="C831" t="s">
        <v>11</v>
      </c>
      <c r="D831" t="s">
        <v>20</v>
      </c>
      <c r="E831" s="8">
        <v>45729</v>
      </c>
      <c r="F831" s="1" t="s">
        <v>12</v>
      </c>
      <c r="G831" s="1" t="s">
        <v>1027</v>
      </c>
      <c r="H831" s="8">
        <v>45747</v>
      </c>
      <c r="I831" s="1" t="s">
        <v>1851</v>
      </c>
      <c r="J831" t="b">
        <v>1</v>
      </c>
      <c r="K831" t="s">
        <v>1659</v>
      </c>
      <c r="L831" s="13" t="str">
        <f>HYPERLINK("https://uk1.aconex.co.uk/hub/index.html?mainTarget=%2FSearchControlledDoc%3FSEARCH_ACTION%3D15%26tab%3D0%26searchMode%3D1%26searchQuery%3Ddocno:%22"&amp;RawData[[#This Row],[Document Number]]&amp;"%22%20%2Bcversion%253A1",RawData[[#This Row],[Document Number]])</f>
        <v>FS1018-PIN-ZZ-01-D-O-5111</v>
      </c>
    </row>
    <row r="832" spans="1:12" ht="28.8" x14ac:dyDescent="0.3">
      <c r="A832" t="s">
        <v>1657</v>
      </c>
      <c r="B832" t="s">
        <v>1658</v>
      </c>
      <c r="C832" t="s">
        <v>11</v>
      </c>
      <c r="D832" t="s">
        <v>20</v>
      </c>
      <c r="E832" s="8">
        <v>45747</v>
      </c>
      <c r="F832" s="1" t="s">
        <v>22</v>
      </c>
      <c r="G832" s="1" t="s">
        <v>4</v>
      </c>
      <c r="H832" s="8"/>
      <c r="J832" t="b">
        <v>1</v>
      </c>
      <c r="K832" t="s">
        <v>1659</v>
      </c>
      <c r="L832" s="13" t="str">
        <f>HYPERLINK("https://uk1.aconex.co.uk/hub/index.html?mainTarget=%2FSearchControlledDoc%3FSEARCH_ACTION%3D15%26tab%3D0%26searchMode%3D1%26searchQuery%3Ddocno:%22"&amp;RawData[[#This Row],[Document Number]]&amp;"%22%20%2Bcversion%253A1",RawData[[#This Row],[Document Number]])</f>
        <v>FS1018-PIN-ZZ-01-D-O-5111</v>
      </c>
    </row>
    <row r="833" spans="1:12" ht="72" x14ac:dyDescent="0.3">
      <c r="A833" t="s">
        <v>1660</v>
      </c>
      <c r="B833" t="s">
        <v>1661</v>
      </c>
      <c r="C833" t="s">
        <v>11</v>
      </c>
      <c r="D833" t="s">
        <v>20</v>
      </c>
      <c r="E833" s="8">
        <v>45729</v>
      </c>
      <c r="F833" s="1" t="s">
        <v>12</v>
      </c>
      <c r="G833" s="1" t="s">
        <v>1027</v>
      </c>
      <c r="H833" s="8">
        <v>45747</v>
      </c>
      <c r="I833" s="1" t="s">
        <v>1851</v>
      </c>
      <c r="J833" t="b">
        <v>1</v>
      </c>
      <c r="K833" t="s">
        <v>1662</v>
      </c>
      <c r="L833" s="13" t="str">
        <f>HYPERLINK("https://uk1.aconex.co.uk/hub/index.html?mainTarget=%2FSearchControlledDoc%3FSEARCH_ACTION%3D15%26tab%3D0%26searchMode%3D1%26searchQuery%3Ddocno:%22"&amp;RawData[[#This Row],[Document Number]]&amp;"%22%20%2Bcversion%253A1",RawData[[#This Row],[Document Number]])</f>
        <v>FS1018-PIN-ZZ-01-D-O-5112</v>
      </c>
    </row>
    <row r="834" spans="1:12" ht="28.8" x14ac:dyDescent="0.3">
      <c r="A834" t="s">
        <v>1660</v>
      </c>
      <c r="B834" t="s">
        <v>1661</v>
      </c>
      <c r="C834" t="s">
        <v>11</v>
      </c>
      <c r="D834" t="s">
        <v>20</v>
      </c>
      <c r="E834" s="8">
        <v>45747</v>
      </c>
      <c r="F834" s="1" t="s">
        <v>22</v>
      </c>
      <c r="G834" s="1" t="s">
        <v>4</v>
      </c>
      <c r="H834" s="8"/>
      <c r="J834" t="b">
        <v>1</v>
      </c>
      <c r="K834" t="s">
        <v>1662</v>
      </c>
      <c r="L834" s="13" t="str">
        <f>HYPERLINK("https://uk1.aconex.co.uk/hub/index.html?mainTarget=%2FSearchControlledDoc%3FSEARCH_ACTION%3D15%26tab%3D0%26searchMode%3D1%26searchQuery%3Ddocno:%22"&amp;RawData[[#This Row],[Document Number]]&amp;"%22%20%2Bcversion%253A1",RawData[[#This Row],[Document Number]])</f>
        <v>FS1018-PIN-ZZ-01-D-O-5112</v>
      </c>
    </row>
    <row r="835" spans="1:12" ht="72" x14ac:dyDescent="0.3">
      <c r="A835" t="s">
        <v>1663</v>
      </c>
      <c r="B835" t="s">
        <v>1664</v>
      </c>
      <c r="C835" t="s">
        <v>11</v>
      </c>
      <c r="D835" t="s">
        <v>20</v>
      </c>
      <c r="E835" s="8">
        <v>45729</v>
      </c>
      <c r="F835" s="1" t="s">
        <v>12</v>
      </c>
      <c r="G835" s="1" t="s">
        <v>1027</v>
      </c>
      <c r="H835" s="8">
        <v>45747</v>
      </c>
      <c r="I835" s="1" t="s">
        <v>1851</v>
      </c>
      <c r="J835" t="b">
        <v>1</v>
      </c>
      <c r="K835" t="s">
        <v>1665</v>
      </c>
      <c r="L835" s="13" t="str">
        <f>HYPERLINK("https://uk1.aconex.co.uk/hub/index.html?mainTarget=%2FSearchControlledDoc%3FSEARCH_ACTION%3D15%26tab%3D0%26searchMode%3D1%26searchQuery%3Ddocno:%22"&amp;RawData[[#This Row],[Document Number]]&amp;"%22%20%2Bcversion%253A1",RawData[[#This Row],[Document Number]])</f>
        <v>FS1018-PIN-ZZ-01-D-O-5113</v>
      </c>
    </row>
    <row r="836" spans="1:12" ht="28.8" x14ac:dyDescent="0.3">
      <c r="A836" t="s">
        <v>1663</v>
      </c>
      <c r="B836" t="s">
        <v>1664</v>
      </c>
      <c r="C836" t="s">
        <v>11</v>
      </c>
      <c r="D836" t="s">
        <v>20</v>
      </c>
      <c r="E836" s="8">
        <v>45747</v>
      </c>
      <c r="F836" s="1" t="s">
        <v>22</v>
      </c>
      <c r="G836" s="1" t="s">
        <v>4</v>
      </c>
      <c r="H836" s="8"/>
      <c r="J836" t="b">
        <v>1</v>
      </c>
      <c r="K836" t="s">
        <v>1665</v>
      </c>
      <c r="L836" s="13" t="str">
        <f>HYPERLINK("https://uk1.aconex.co.uk/hub/index.html?mainTarget=%2FSearchControlledDoc%3FSEARCH_ACTION%3D15%26tab%3D0%26searchMode%3D1%26searchQuery%3Ddocno:%22"&amp;RawData[[#This Row],[Document Number]]&amp;"%22%20%2Bcversion%253A1",RawData[[#This Row],[Document Number]])</f>
        <v>FS1018-PIN-ZZ-01-D-O-5113</v>
      </c>
    </row>
    <row r="837" spans="1:12" x14ac:dyDescent="0.3">
      <c r="A837" t="s">
        <v>1666</v>
      </c>
      <c r="B837" t="s">
        <v>1667</v>
      </c>
      <c r="C837" t="s">
        <v>10</v>
      </c>
      <c r="D837" t="s">
        <v>19</v>
      </c>
      <c r="E837" s="8">
        <v>45729</v>
      </c>
      <c r="F837" s="1" t="s">
        <v>12</v>
      </c>
      <c r="G837" s="1" t="s">
        <v>24</v>
      </c>
      <c r="H837" s="8">
        <v>45747</v>
      </c>
      <c r="I837" s="1" t="s">
        <v>1785</v>
      </c>
      <c r="J837" t="b">
        <v>1</v>
      </c>
      <c r="K837" t="s">
        <v>1668</v>
      </c>
      <c r="L837" s="13" t="str">
        <f>HYPERLINK("https://uk1.aconex.co.uk/hub/index.html?mainTarget=%2FSearchControlledDoc%3FSEARCH_ACTION%3D15%26tab%3D0%26searchMode%3D1%26searchQuery%3Ddocno:%22"&amp;RawData[[#This Row],[Document Number]]&amp;"%22%20%2Bcversion%253A1",RawData[[#This Row],[Document Number]])</f>
        <v>FS1018-PIN-ZZ-01-D-O-5116</v>
      </c>
    </row>
    <row r="838" spans="1:12" ht="28.8" x14ac:dyDescent="0.3">
      <c r="A838" t="s">
        <v>1669</v>
      </c>
      <c r="B838" t="s">
        <v>1670</v>
      </c>
      <c r="C838" t="s">
        <v>11</v>
      </c>
      <c r="D838" t="s">
        <v>20</v>
      </c>
      <c r="E838" s="8">
        <v>45729</v>
      </c>
      <c r="F838" s="1" t="s">
        <v>12</v>
      </c>
      <c r="G838" s="1" t="s">
        <v>21</v>
      </c>
      <c r="H838" s="8">
        <v>45747</v>
      </c>
      <c r="I838" s="1" t="s">
        <v>1865</v>
      </c>
      <c r="J838" t="b">
        <v>1</v>
      </c>
      <c r="K838" t="s">
        <v>1671</v>
      </c>
      <c r="L838" s="13" t="str">
        <f>HYPERLINK("https://uk1.aconex.co.uk/hub/index.html?mainTarget=%2FSearchControlledDoc%3FSEARCH_ACTION%3D15%26tab%3D0%26searchMode%3D1%26searchQuery%3Ddocno:%22"&amp;RawData[[#This Row],[Document Number]]&amp;"%22%20%2Bcversion%253A1",RawData[[#This Row],[Document Number]])</f>
        <v>FS1018-PIN-ZZ-02-D-O-1010</v>
      </c>
    </row>
    <row r="839" spans="1:12" ht="28.8" x14ac:dyDescent="0.3">
      <c r="A839" t="s">
        <v>1669</v>
      </c>
      <c r="B839" t="s">
        <v>1670</v>
      </c>
      <c r="C839" t="s">
        <v>11</v>
      </c>
      <c r="D839" t="s">
        <v>20</v>
      </c>
      <c r="E839" s="8">
        <v>45747</v>
      </c>
      <c r="F839" s="1" t="s">
        <v>22</v>
      </c>
      <c r="G839" s="1" t="s">
        <v>4</v>
      </c>
      <c r="H839" s="8"/>
      <c r="J839" t="b">
        <v>1</v>
      </c>
      <c r="K839" t="s">
        <v>1671</v>
      </c>
      <c r="L839" s="13" t="str">
        <f>HYPERLINK("https://uk1.aconex.co.uk/hub/index.html?mainTarget=%2FSearchControlledDoc%3FSEARCH_ACTION%3D15%26tab%3D0%26searchMode%3D1%26searchQuery%3Ddocno:%22"&amp;RawData[[#This Row],[Document Number]]&amp;"%22%20%2Bcversion%253A1",RawData[[#This Row],[Document Number]])</f>
        <v>FS1018-PIN-ZZ-02-D-O-1010</v>
      </c>
    </row>
    <row r="840" spans="1:12" ht="28.8" x14ac:dyDescent="0.3">
      <c r="A840" t="s">
        <v>1672</v>
      </c>
      <c r="B840" t="s">
        <v>1673</v>
      </c>
      <c r="C840" t="s">
        <v>11</v>
      </c>
      <c r="D840" t="s">
        <v>20</v>
      </c>
      <c r="E840" s="8">
        <v>45729</v>
      </c>
      <c r="F840" s="1" t="s">
        <v>12</v>
      </c>
      <c r="G840" s="1" t="s">
        <v>21</v>
      </c>
      <c r="H840" s="8">
        <v>45747</v>
      </c>
      <c r="I840" s="1" t="s">
        <v>1864</v>
      </c>
      <c r="J840" t="b">
        <v>1</v>
      </c>
      <c r="K840" t="s">
        <v>1674</v>
      </c>
      <c r="L840" s="13" t="str">
        <f>HYPERLINK("https://uk1.aconex.co.uk/hub/index.html?mainTarget=%2FSearchControlledDoc%3FSEARCH_ACTION%3D15%26tab%3D0%26searchMode%3D1%26searchQuery%3Ddocno:%22"&amp;RawData[[#This Row],[Document Number]]&amp;"%22%20%2Bcversion%253A1",RawData[[#This Row],[Document Number]])</f>
        <v>FS1018-PIN-ZZ-02-D-O-1011</v>
      </c>
    </row>
    <row r="841" spans="1:12" ht="28.8" x14ac:dyDescent="0.3">
      <c r="A841" t="s">
        <v>1672</v>
      </c>
      <c r="B841" t="s">
        <v>1673</v>
      </c>
      <c r="C841" t="s">
        <v>11</v>
      </c>
      <c r="D841" t="s">
        <v>20</v>
      </c>
      <c r="E841" s="8">
        <v>45747</v>
      </c>
      <c r="F841" s="1" t="s">
        <v>22</v>
      </c>
      <c r="G841" s="1" t="s">
        <v>4</v>
      </c>
      <c r="H841" s="8"/>
      <c r="J841" t="b">
        <v>1</v>
      </c>
      <c r="K841" t="s">
        <v>1674</v>
      </c>
      <c r="L841" s="13" t="str">
        <f>HYPERLINK("https://uk1.aconex.co.uk/hub/index.html?mainTarget=%2FSearchControlledDoc%3FSEARCH_ACTION%3D15%26tab%3D0%26searchMode%3D1%26searchQuery%3Ddocno:%22"&amp;RawData[[#This Row],[Document Number]]&amp;"%22%20%2Bcversion%253A1",RawData[[#This Row],[Document Number]])</f>
        <v>FS1018-PIN-ZZ-02-D-O-1011</v>
      </c>
    </row>
    <row r="842" spans="1:12" ht="28.8" x14ac:dyDescent="0.3">
      <c r="A842" t="s">
        <v>1675</v>
      </c>
      <c r="B842" t="s">
        <v>1676</v>
      </c>
      <c r="C842" t="s">
        <v>11</v>
      </c>
      <c r="D842" t="s">
        <v>20</v>
      </c>
      <c r="E842" s="8">
        <v>45729</v>
      </c>
      <c r="F842" s="1" t="s">
        <v>12</v>
      </c>
      <c r="G842" s="1" t="s">
        <v>21</v>
      </c>
      <c r="H842" s="8">
        <v>45747</v>
      </c>
      <c r="I842" s="1" t="s">
        <v>1864</v>
      </c>
      <c r="J842" t="b">
        <v>1</v>
      </c>
      <c r="K842" t="s">
        <v>1677</v>
      </c>
      <c r="L842" s="13" t="str">
        <f>HYPERLINK("https://uk1.aconex.co.uk/hub/index.html?mainTarget=%2FSearchControlledDoc%3FSEARCH_ACTION%3D15%26tab%3D0%26searchMode%3D1%26searchQuery%3Ddocno:%22"&amp;RawData[[#This Row],[Document Number]]&amp;"%22%20%2Bcversion%253A1",RawData[[#This Row],[Document Number]])</f>
        <v>FS1018-PIN-ZZ-02-D-O-1012</v>
      </c>
    </row>
    <row r="843" spans="1:12" ht="28.8" x14ac:dyDescent="0.3">
      <c r="A843" t="s">
        <v>1675</v>
      </c>
      <c r="B843" t="s">
        <v>1676</v>
      </c>
      <c r="C843" t="s">
        <v>11</v>
      </c>
      <c r="D843" t="s">
        <v>20</v>
      </c>
      <c r="E843" s="8">
        <v>45747</v>
      </c>
      <c r="F843" s="1" t="s">
        <v>22</v>
      </c>
      <c r="G843" s="1" t="s">
        <v>4</v>
      </c>
      <c r="H843" s="8"/>
      <c r="J843" t="b">
        <v>1</v>
      </c>
      <c r="K843" t="s">
        <v>1677</v>
      </c>
      <c r="L843" s="13" t="str">
        <f>HYPERLINK("https://uk1.aconex.co.uk/hub/index.html?mainTarget=%2FSearchControlledDoc%3FSEARCH_ACTION%3D15%26tab%3D0%26searchMode%3D1%26searchQuery%3Ddocno:%22"&amp;RawData[[#This Row],[Document Number]]&amp;"%22%20%2Bcversion%253A1",RawData[[#This Row],[Document Number]])</f>
        <v>FS1018-PIN-ZZ-02-D-O-1012</v>
      </c>
    </row>
    <row r="844" spans="1:12" ht="28.8" x14ac:dyDescent="0.3">
      <c r="A844" t="s">
        <v>1678</v>
      </c>
      <c r="B844" t="s">
        <v>1679</v>
      </c>
      <c r="C844" t="s">
        <v>418</v>
      </c>
      <c r="D844" t="s">
        <v>20</v>
      </c>
      <c r="E844" s="8">
        <v>45729</v>
      </c>
      <c r="F844" s="1" t="s">
        <v>12</v>
      </c>
      <c r="G844" s="1" t="s">
        <v>21</v>
      </c>
      <c r="H844" s="8">
        <v>45747</v>
      </c>
      <c r="I844" s="1" t="s">
        <v>1864</v>
      </c>
      <c r="J844" t="b">
        <v>1</v>
      </c>
      <c r="K844" t="s">
        <v>1680</v>
      </c>
      <c r="L844" s="13" t="str">
        <f>HYPERLINK("https://uk1.aconex.co.uk/hub/index.html?mainTarget=%2FSearchControlledDoc%3FSEARCH_ACTION%3D15%26tab%3D0%26searchMode%3D1%26searchQuery%3Ddocno:%22"&amp;RawData[[#This Row],[Document Number]]&amp;"%22%20%2Bcversion%253A1",RawData[[#This Row],[Document Number]])</f>
        <v>FS1018-PIN-ZZ-02-D-O-1013</v>
      </c>
    </row>
    <row r="845" spans="1:12" ht="28.8" x14ac:dyDescent="0.3">
      <c r="A845" t="s">
        <v>1678</v>
      </c>
      <c r="B845" t="s">
        <v>1679</v>
      </c>
      <c r="C845" t="s">
        <v>418</v>
      </c>
      <c r="D845" t="s">
        <v>20</v>
      </c>
      <c r="E845" s="8">
        <v>45747</v>
      </c>
      <c r="F845" s="1" t="s">
        <v>22</v>
      </c>
      <c r="G845" s="1" t="s">
        <v>4</v>
      </c>
      <c r="H845" s="8"/>
      <c r="J845" t="b">
        <v>1</v>
      </c>
      <c r="K845" t="s">
        <v>1680</v>
      </c>
      <c r="L845" s="13" t="str">
        <f>HYPERLINK("https://uk1.aconex.co.uk/hub/index.html?mainTarget=%2FSearchControlledDoc%3FSEARCH_ACTION%3D15%26tab%3D0%26searchMode%3D1%26searchQuery%3Ddocno:%22"&amp;RawData[[#This Row],[Document Number]]&amp;"%22%20%2Bcversion%253A1",RawData[[#This Row],[Document Number]])</f>
        <v>FS1018-PIN-ZZ-02-D-O-1013</v>
      </c>
    </row>
    <row r="846" spans="1:12" ht="28.8" x14ac:dyDescent="0.3">
      <c r="A846" t="s">
        <v>1681</v>
      </c>
      <c r="B846" t="s">
        <v>1682</v>
      </c>
      <c r="C846" t="s">
        <v>11</v>
      </c>
      <c r="D846" t="s">
        <v>20</v>
      </c>
      <c r="E846" s="8">
        <v>45729</v>
      </c>
      <c r="F846" s="1" t="s">
        <v>12</v>
      </c>
      <c r="G846" s="1" t="s">
        <v>21</v>
      </c>
      <c r="H846" s="8">
        <v>45747</v>
      </c>
      <c r="I846" s="1" t="s">
        <v>1865</v>
      </c>
      <c r="J846" t="b">
        <v>1</v>
      </c>
      <c r="K846" t="s">
        <v>1683</v>
      </c>
      <c r="L846" s="13" t="str">
        <f>HYPERLINK("https://uk1.aconex.co.uk/hub/index.html?mainTarget=%2FSearchControlledDoc%3FSEARCH_ACTION%3D15%26tab%3D0%26searchMode%3D1%26searchQuery%3Ddocno:%22"&amp;RawData[[#This Row],[Document Number]]&amp;"%22%20%2Bcversion%253A1",RawData[[#This Row],[Document Number]])</f>
        <v>FS1018-PIN-ZZ-02-D-O-1014</v>
      </c>
    </row>
    <row r="847" spans="1:12" ht="28.8" x14ac:dyDescent="0.3">
      <c r="A847" t="s">
        <v>1681</v>
      </c>
      <c r="B847" t="s">
        <v>1682</v>
      </c>
      <c r="C847" t="s">
        <v>11</v>
      </c>
      <c r="D847" t="s">
        <v>20</v>
      </c>
      <c r="E847" s="8">
        <v>45747</v>
      </c>
      <c r="F847" s="1" t="s">
        <v>22</v>
      </c>
      <c r="G847" s="1" t="s">
        <v>4</v>
      </c>
      <c r="H847" s="8"/>
      <c r="J847" t="b">
        <v>1</v>
      </c>
      <c r="K847" t="s">
        <v>1683</v>
      </c>
      <c r="L847" s="13" t="str">
        <f>HYPERLINK("https://uk1.aconex.co.uk/hub/index.html?mainTarget=%2FSearchControlledDoc%3FSEARCH_ACTION%3D15%26tab%3D0%26searchMode%3D1%26searchQuery%3Ddocno:%22"&amp;RawData[[#This Row],[Document Number]]&amp;"%22%20%2Bcversion%253A1",RawData[[#This Row],[Document Number]])</f>
        <v>FS1018-PIN-ZZ-02-D-O-1014</v>
      </c>
    </row>
    <row r="848" spans="1:12" ht="28.8" x14ac:dyDescent="0.3">
      <c r="A848" t="s">
        <v>1684</v>
      </c>
      <c r="B848" t="s">
        <v>1685</v>
      </c>
      <c r="C848" t="s">
        <v>11</v>
      </c>
      <c r="D848" t="s">
        <v>20</v>
      </c>
      <c r="E848" s="8">
        <v>45729</v>
      </c>
      <c r="F848" s="1" t="s">
        <v>12</v>
      </c>
      <c r="G848" s="1" t="s">
        <v>21</v>
      </c>
      <c r="H848" s="8">
        <v>45747</v>
      </c>
      <c r="I848" s="1" t="s">
        <v>1864</v>
      </c>
      <c r="J848" t="b">
        <v>1</v>
      </c>
      <c r="K848" t="s">
        <v>1686</v>
      </c>
      <c r="L848" s="13" t="str">
        <f>HYPERLINK("https://uk1.aconex.co.uk/hub/index.html?mainTarget=%2FSearchControlledDoc%3FSEARCH_ACTION%3D15%26tab%3D0%26searchMode%3D1%26searchQuery%3Ddocno:%22"&amp;RawData[[#This Row],[Document Number]]&amp;"%22%20%2Bcversion%253A1",RawData[[#This Row],[Document Number]])</f>
        <v>FS1018-PIN-ZZ-02-D-O-1015</v>
      </c>
    </row>
    <row r="849" spans="1:12" ht="28.8" x14ac:dyDescent="0.3">
      <c r="A849" t="s">
        <v>1684</v>
      </c>
      <c r="B849" t="s">
        <v>1685</v>
      </c>
      <c r="C849" t="s">
        <v>11</v>
      </c>
      <c r="D849" t="s">
        <v>20</v>
      </c>
      <c r="E849" s="8">
        <v>45747</v>
      </c>
      <c r="F849" s="1" t="s">
        <v>22</v>
      </c>
      <c r="G849" s="1" t="s">
        <v>4</v>
      </c>
      <c r="H849" s="8"/>
      <c r="J849" t="b">
        <v>1</v>
      </c>
      <c r="K849" t="s">
        <v>1686</v>
      </c>
      <c r="L849" s="13" t="str">
        <f>HYPERLINK("https://uk1.aconex.co.uk/hub/index.html?mainTarget=%2FSearchControlledDoc%3FSEARCH_ACTION%3D15%26tab%3D0%26searchMode%3D1%26searchQuery%3Ddocno:%22"&amp;RawData[[#This Row],[Document Number]]&amp;"%22%20%2Bcversion%253A1",RawData[[#This Row],[Document Number]])</f>
        <v>FS1018-PIN-ZZ-02-D-O-1015</v>
      </c>
    </row>
    <row r="850" spans="1:12" ht="28.8" x14ac:dyDescent="0.3">
      <c r="A850" t="s">
        <v>1687</v>
      </c>
      <c r="B850" t="s">
        <v>1688</v>
      </c>
      <c r="C850" t="s">
        <v>418</v>
      </c>
      <c r="D850" t="s">
        <v>20</v>
      </c>
      <c r="E850" s="8">
        <v>45729</v>
      </c>
      <c r="F850" s="1" t="s">
        <v>12</v>
      </c>
      <c r="G850" s="1" t="s">
        <v>21</v>
      </c>
      <c r="H850" s="8">
        <v>45747</v>
      </c>
      <c r="I850" s="1" t="s">
        <v>1865</v>
      </c>
      <c r="J850" t="b">
        <v>1</v>
      </c>
      <c r="K850" t="s">
        <v>1689</v>
      </c>
      <c r="L850" s="13" t="str">
        <f>HYPERLINK("https://uk1.aconex.co.uk/hub/index.html?mainTarget=%2FSearchControlledDoc%3FSEARCH_ACTION%3D15%26tab%3D0%26searchMode%3D1%26searchQuery%3Ddocno:%22"&amp;RawData[[#This Row],[Document Number]]&amp;"%22%20%2Bcversion%253A1",RawData[[#This Row],[Document Number]])</f>
        <v>FS1018-PIN-ZZ-02-D-O-1016</v>
      </c>
    </row>
    <row r="851" spans="1:12" ht="28.8" x14ac:dyDescent="0.3">
      <c r="A851" t="s">
        <v>1687</v>
      </c>
      <c r="B851" t="s">
        <v>1688</v>
      </c>
      <c r="C851" t="s">
        <v>418</v>
      </c>
      <c r="D851" t="s">
        <v>20</v>
      </c>
      <c r="E851" s="8">
        <v>45747</v>
      </c>
      <c r="F851" s="1" t="s">
        <v>22</v>
      </c>
      <c r="G851" s="1" t="s">
        <v>4</v>
      </c>
      <c r="H851" s="8"/>
      <c r="J851" t="b">
        <v>1</v>
      </c>
      <c r="K851" t="s">
        <v>1689</v>
      </c>
      <c r="L851" s="13" t="str">
        <f>HYPERLINK("https://uk1.aconex.co.uk/hub/index.html?mainTarget=%2FSearchControlledDoc%3FSEARCH_ACTION%3D15%26tab%3D0%26searchMode%3D1%26searchQuery%3Ddocno:%22"&amp;RawData[[#This Row],[Document Number]]&amp;"%22%20%2Bcversion%253A1",RawData[[#This Row],[Document Number]])</f>
        <v>FS1018-PIN-ZZ-02-D-O-1016</v>
      </c>
    </row>
    <row r="852" spans="1:12" ht="86.4" x14ac:dyDescent="0.3">
      <c r="A852" t="s">
        <v>1690</v>
      </c>
      <c r="B852" t="s">
        <v>1691</v>
      </c>
      <c r="C852" t="s">
        <v>11</v>
      </c>
      <c r="D852" t="s">
        <v>20</v>
      </c>
      <c r="E852" s="8">
        <v>45729</v>
      </c>
      <c r="F852" s="1" t="s">
        <v>12</v>
      </c>
      <c r="G852" s="1" t="s">
        <v>1027</v>
      </c>
      <c r="H852" s="8">
        <v>45747</v>
      </c>
      <c r="I852" s="1" t="s">
        <v>1877</v>
      </c>
      <c r="J852" t="b">
        <v>1</v>
      </c>
      <c r="K852" t="s">
        <v>1692</v>
      </c>
      <c r="L852" s="13" t="str">
        <f>HYPERLINK("https://uk1.aconex.co.uk/hub/index.html?mainTarget=%2FSearchControlledDoc%3FSEARCH_ACTION%3D15%26tab%3D0%26searchMode%3D1%26searchQuery%3Ddocno:%22"&amp;RawData[[#This Row],[Document Number]]&amp;"%22%20%2Bcversion%253A1",RawData[[#This Row],[Document Number]])</f>
        <v>FS1018-PIN-ZZ-02-D-O-1042</v>
      </c>
    </row>
    <row r="853" spans="1:12" ht="28.8" x14ac:dyDescent="0.3">
      <c r="A853" t="s">
        <v>1690</v>
      </c>
      <c r="B853" t="s">
        <v>1691</v>
      </c>
      <c r="C853" t="s">
        <v>11</v>
      </c>
      <c r="D853" t="s">
        <v>20</v>
      </c>
      <c r="E853" s="8">
        <v>45747</v>
      </c>
      <c r="F853" s="1" t="s">
        <v>22</v>
      </c>
      <c r="G853" s="1" t="s">
        <v>4</v>
      </c>
      <c r="H853" s="8"/>
      <c r="J853" t="b">
        <v>1</v>
      </c>
      <c r="K853" t="s">
        <v>1692</v>
      </c>
      <c r="L853" s="13" t="str">
        <f>HYPERLINK("https://uk1.aconex.co.uk/hub/index.html?mainTarget=%2FSearchControlledDoc%3FSEARCH_ACTION%3D15%26tab%3D0%26searchMode%3D1%26searchQuery%3Ddocno:%22"&amp;RawData[[#This Row],[Document Number]]&amp;"%22%20%2Bcversion%253A1",RawData[[#This Row],[Document Number]])</f>
        <v>FS1018-PIN-ZZ-02-D-O-1042</v>
      </c>
    </row>
    <row r="854" spans="1:12" ht="28.8" x14ac:dyDescent="0.3">
      <c r="A854" t="s">
        <v>1693</v>
      </c>
      <c r="B854" t="s">
        <v>1694</v>
      </c>
      <c r="C854" t="s">
        <v>835</v>
      </c>
      <c r="D854" t="s">
        <v>20</v>
      </c>
      <c r="E854" s="8">
        <v>45729</v>
      </c>
      <c r="F854" s="1" t="s">
        <v>12</v>
      </c>
      <c r="G854" s="1" t="s">
        <v>21</v>
      </c>
      <c r="H854" s="8">
        <v>45747</v>
      </c>
      <c r="I854" s="1" t="s">
        <v>1864</v>
      </c>
      <c r="J854" t="b">
        <v>1</v>
      </c>
      <c r="K854" t="s">
        <v>1695</v>
      </c>
      <c r="L854" s="13" t="str">
        <f>HYPERLINK("https://uk1.aconex.co.uk/hub/index.html?mainTarget=%2FSearchControlledDoc%3FSEARCH_ACTION%3D15%26tab%3D0%26searchMode%3D1%26searchQuery%3Ddocno:%22"&amp;RawData[[#This Row],[Document Number]]&amp;"%22%20%2Bcversion%253A1",RawData[[#This Row],[Document Number]])</f>
        <v>FS1018-PIN-ZZ-02-D-O-1103</v>
      </c>
    </row>
    <row r="855" spans="1:12" ht="28.8" x14ac:dyDescent="0.3">
      <c r="A855" t="s">
        <v>1693</v>
      </c>
      <c r="B855" t="s">
        <v>1694</v>
      </c>
      <c r="C855" t="s">
        <v>835</v>
      </c>
      <c r="D855" t="s">
        <v>20</v>
      </c>
      <c r="E855" s="8">
        <v>45747</v>
      </c>
      <c r="F855" s="1" t="s">
        <v>22</v>
      </c>
      <c r="G855" s="1" t="s">
        <v>4</v>
      </c>
      <c r="H855" s="8"/>
      <c r="J855" t="b">
        <v>1</v>
      </c>
      <c r="K855" t="s">
        <v>1695</v>
      </c>
      <c r="L855" s="13" t="str">
        <f>HYPERLINK("https://uk1.aconex.co.uk/hub/index.html?mainTarget=%2FSearchControlledDoc%3FSEARCH_ACTION%3D15%26tab%3D0%26searchMode%3D1%26searchQuery%3Ddocno:%22"&amp;RawData[[#This Row],[Document Number]]&amp;"%22%20%2Bcversion%253A1",RawData[[#This Row],[Document Number]])</f>
        <v>FS1018-PIN-ZZ-02-D-O-1103</v>
      </c>
    </row>
    <row r="856" spans="1:12" ht="28.8" x14ac:dyDescent="0.3">
      <c r="A856" t="s">
        <v>1696</v>
      </c>
      <c r="B856" t="s">
        <v>1697</v>
      </c>
      <c r="C856" t="s">
        <v>11</v>
      </c>
      <c r="D856" t="s">
        <v>20</v>
      </c>
      <c r="E856" s="8">
        <v>45729</v>
      </c>
      <c r="F856" s="1" t="s">
        <v>12</v>
      </c>
      <c r="G856" s="1" t="s">
        <v>21</v>
      </c>
      <c r="H856" s="8">
        <v>45747</v>
      </c>
      <c r="I856" s="1" t="s">
        <v>1864</v>
      </c>
      <c r="J856" t="b">
        <v>1</v>
      </c>
      <c r="K856" t="s">
        <v>1698</v>
      </c>
      <c r="L856" s="13" t="str">
        <f>HYPERLINK("https://uk1.aconex.co.uk/hub/index.html?mainTarget=%2FSearchControlledDoc%3FSEARCH_ACTION%3D15%26tab%3D0%26searchMode%3D1%26searchQuery%3Ddocno:%22"&amp;RawData[[#This Row],[Document Number]]&amp;"%22%20%2Bcversion%253A1",RawData[[#This Row],[Document Number]])</f>
        <v>FS1018-PIN-ZZ-02-D-O-1104</v>
      </c>
    </row>
    <row r="857" spans="1:12" ht="28.8" x14ac:dyDescent="0.3">
      <c r="A857" t="s">
        <v>1696</v>
      </c>
      <c r="B857" t="s">
        <v>1697</v>
      </c>
      <c r="C857" t="s">
        <v>11</v>
      </c>
      <c r="D857" t="s">
        <v>20</v>
      </c>
      <c r="E857" s="8">
        <v>45747</v>
      </c>
      <c r="F857" s="1" t="s">
        <v>22</v>
      </c>
      <c r="G857" s="1" t="s">
        <v>4</v>
      </c>
      <c r="H857" s="8"/>
      <c r="J857" t="b">
        <v>1</v>
      </c>
      <c r="K857" t="s">
        <v>1698</v>
      </c>
      <c r="L857" s="13" t="str">
        <f>HYPERLINK("https://uk1.aconex.co.uk/hub/index.html?mainTarget=%2FSearchControlledDoc%3FSEARCH_ACTION%3D15%26tab%3D0%26searchMode%3D1%26searchQuery%3Ddocno:%22"&amp;RawData[[#This Row],[Document Number]]&amp;"%22%20%2Bcversion%253A1",RawData[[#This Row],[Document Number]])</f>
        <v>FS1018-PIN-ZZ-02-D-O-1104</v>
      </c>
    </row>
    <row r="858" spans="1:12" ht="28.8" x14ac:dyDescent="0.3">
      <c r="A858" t="s">
        <v>1699</v>
      </c>
      <c r="B858" t="s">
        <v>1700</v>
      </c>
      <c r="C858" t="s">
        <v>11</v>
      </c>
      <c r="D858" t="s">
        <v>20</v>
      </c>
      <c r="E858" s="8">
        <v>45729</v>
      </c>
      <c r="F858" s="1" t="s">
        <v>12</v>
      </c>
      <c r="G858" s="1" t="s">
        <v>21</v>
      </c>
      <c r="H858" s="8">
        <v>45747</v>
      </c>
      <c r="I858" s="1" t="s">
        <v>1878</v>
      </c>
      <c r="J858" t="b">
        <v>1</v>
      </c>
      <c r="K858" t="s">
        <v>1701</v>
      </c>
      <c r="L858" s="13" t="str">
        <f>HYPERLINK("https://uk1.aconex.co.uk/hub/index.html?mainTarget=%2FSearchControlledDoc%3FSEARCH_ACTION%3D15%26tab%3D0%26searchMode%3D1%26searchQuery%3Ddocno:%22"&amp;RawData[[#This Row],[Document Number]]&amp;"%22%20%2Bcversion%253A1",RawData[[#This Row],[Document Number]])</f>
        <v>FS1018-PIN-ZZ-02-D-O-1105</v>
      </c>
    </row>
    <row r="859" spans="1:12" ht="28.8" x14ac:dyDescent="0.3">
      <c r="A859" t="s">
        <v>1699</v>
      </c>
      <c r="B859" t="s">
        <v>1700</v>
      </c>
      <c r="C859" t="s">
        <v>11</v>
      </c>
      <c r="D859" t="s">
        <v>20</v>
      </c>
      <c r="E859" s="8">
        <v>45747</v>
      </c>
      <c r="F859" s="1" t="s">
        <v>22</v>
      </c>
      <c r="G859" s="1" t="s">
        <v>4</v>
      </c>
      <c r="H859" s="8"/>
      <c r="J859" t="b">
        <v>1</v>
      </c>
      <c r="K859" t="s">
        <v>1701</v>
      </c>
      <c r="L859" s="13" t="str">
        <f>HYPERLINK("https://uk1.aconex.co.uk/hub/index.html?mainTarget=%2FSearchControlledDoc%3FSEARCH_ACTION%3D15%26tab%3D0%26searchMode%3D1%26searchQuery%3Ddocno:%22"&amp;RawData[[#This Row],[Document Number]]&amp;"%22%20%2Bcversion%253A1",RawData[[#This Row],[Document Number]])</f>
        <v>FS1018-PIN-ZZ-02-D-O-1105</v>
      </c>
    </row>
    <row r="860" spans="1:12" ht="28.8" x14ac:dyDescent="0.3">
      <c r="A860" t="s">
        <v>1702</v>
      </c>
      <c r="B860" t="s">
        <v>1703</v>
      </c>
      <c r="C860" t="s">
        <v>418</v>
      </c>
      <c r="D860" t="s">
        <v>20</v>
      </c>
      <c r="E860" s="8">
        <v>45729</v>
      </c>
      <c r="F860" s="1" t="s">
        <v>12</v>
      </c>
      <c r="G860" s="1" t="s">
        <v>21</v>
      </c>
      <c r="H860" s="8">
        <v>45747</v>
      </c>
      <c r="I860" s="1" t="s">
        <v>1865</v>
      </c>
      <c r="J860" t="b">
        <v>1</v>
      </c>
      <c r="K860" t="s">
        <v>1704</v>
      </c>
      <c r="L860" s="13" t="str">
        <f>HYPERLINK("https://uk1.aconex.co.uk/hub/index.html?mainTarget=%2FSearchControlledDoc%3FSEARCH_ACTION%3D15%26tab%3D0%26searchMode%3D1%26searchQuery%3Ddocno:%22"&amp;RawData[[#This Row],[Document Number]]&amp;"%22%20%2Bcversion%253A1",RawData[[#This Row],[Document Number]])</f>
        <v>FS1018-PIN-ZZ-02-D-O-1106</v>
      </c>
    </row>
    <row r="861" spans="1:12" ht="28.8" x14ac:dyDescent="0.3">
      <c r="A861" t="s">
        <v>1702</v>
      </c>
      <c r="B861" t="s">
        <v>1703</v>
      </c>
      <c r="C861" t="s">
        <v>418</v>
      </c>
      <c r="D861" t="s">
        <v>20</v>
      </c>
      <c r="E861" s="8">
        <v>45747</v>
      </c>
      <c r="F861" s="1" t="s">
        <v>22</v>
      </c>
      <c r="G861" s="1" t="s">
        <v>4</v>
      </c>
      <c r="H861" s="8"/>
      <c r="J861" t="b">
        <v>1</v>
      </c>
      <c r="K861" t="s">
        <v>1704</v>
      </c>
      <c r="L861" s="13" t="str">
        <f>HYPERLINK("https://uk1.aconex.co.uk/hub/index.html?mainTarget=%2FSearchControlledDoc%3FSEARCH_ACTION%3D15%26tab%3D0%26searchMode%3D1%26searchQuery%3Ddocno:%22"&amp;RawData[[#This Row],[Document Number]]&amp;"%22%20%2Bcversion%253A1",RawData[[#This Row],[Document Number]])</f>
        <v>FS1018-PIN-ZZ-02-D-O-1106</v>
      </c>
    </row>
    <row r="862" spans="1:12" ht="28.8" x14ac:dyDescent="0.3">
      <c r="A862" t="s">
        <v>1705</v>
      </c>
      <c r="B862" t="s">
        <v>1706</v>
      </c>
      <c r="C862" t="s">
        <v>11</v>
      </c>
      <c r="D862" t="s">
        <v>20</v>
      </c>
      <c r="E862" s="8">
        <v>45729</v>
      </c>
      <c r="F862" s="1" t="s">
        <v>12</v>
      </c>
      <c r="G862" s="1" t="s">
        <v>21</v>
      </c>
      <c r="H862" s="8">
        <v>45747</v>
      </c>
      <c r="I862" s="1" t="s">
        <v>1878</v>
      </c>
      <c r="J862" t="b">
        <v>1</v>
      </c>
      <c r="K862" t="s">
        <v>1707</v>
      </c>
      <c r="L862" s="13" t="str">
        <f>HYPERLINK("https://uk1.aconex.co.uk/hub/index.html?mainTarget=%2FSearchControlledDoc%3FSEARCH_ACTION%3D15%26tab%3D0%26searchMode%3D1%26searchQuery%3Ddocno:%22"&amp;RawData[[#This Row],[Document Number]]&amp;"%22%20%2Bcversion%253A1",RawData[[#This Row],[Document Number]])</f>
        <v>FS1018-PIN-ZZ-02-D-O-1107</v>
      </c>
    </row>
    <row r="863" spans="1:12" ht="28.8" x14ac:dyDescent="0.3">
      <c r="A863" t="s">
        <v>1705</v>
      </c>
      <c r="B863" t="s">
        <v>1706</v>
      </c>
      <c r="C863" t="s">
        <v>11</v>
      </c>
      <c r="D863" t="s">
        <v>20</v>
      </c>
      <c r="E863" s="8">
        <v>45747</v>
      </c>
      <c r="F863" s="1" t="s">
        <v>22</v>
      </c>
      <c r="G863" s="1" t="s">
        <v>4</v>
      </c>
      <c r="H863" s="8"/>
      <c r="J863" t="b">
        <v>1</v>
      </c>
      <c r="K863" t="s">
        <v>1707</v>
      </c>
      <c r="L863" s="13" t="str">
        <f>HYPERLINK("https://uk1.aconex.co.uk/hub/index.html?mainTarget=%2FSearchControlledDoc%3FSEARCH_ACTION%3D15%26tab%3D0%26searchMode%3D1%26searchQuery%3Ddocno:%22"&amp;RawData[[#This Row],[Document Number]]&amp;"%22%20%2Bcversion%253A1",RawData[[#This Row],[Document Number]])</f>
        <v>FS1018-PIN-ZZ-02-D-O-1107</v>
      </c>
    </row>
    <row r="864" spans="1:12" ht="57.6" x14ac:dyDescent="0.3">
      <c r="A864" t="s">
        <v>1708</v>
      </c>
      <c r="B864" t="s">
        <v>1709</v>
      </c>
      <c r="C864" t="s">
        <v>835</v>
      </c>
      <c r="D864" t="s">
        <v>20</v>
      </c>
      <c r="E864" s="8">
        <v>45729</v>
      </c>
      <c r="F864" s="1" t="s">
        <v>12</v>
      </c>
      <c r="G864" s="1" t="s">
        <v>21</v>
      </c>
      <c r="H864" s="8">
        <v>45747</v>
      </c>
      <c r="I864" s="1" t="s">
        <v>1879</v>
      </c>
      <c r="J864" t="b">
        <v>1</v>
      </c>
      <c r="K864" t="s">
        <v>1710</v>
      </c>
      <c r="L864" s="13" t="str">
        <f>HYPERLINK("https://uk1.aconex.co.uk/hub/index.html?mainTarget=%2FSearchControlledDoc%3FSEARCH_ACTION%3D15%26tab%3D0%26searchMode%3D1%26searchQuery%3Ddocno:%22"&amp;RawData[[#This Row],[Document Number]]&amp;"%22%20%2Bcversion%253A1",RawData[[#This Row],[Document Number]])</f>
        <v>FS1018-PIN-ZZ-02-D-O-2000</v>
      </c>
    </row>
    <row r="865" spans="1:12" ht="28.8" x14ac:dyDescent="0.3">
      <c r="A865" t="s">
        <v>1708</v>
      </c>
      <c r="B865" t="s">
        <v>1709</v>
      </c>
      <c r="C865" t="s">
        <v>835</v>
      </c>
      <c r="D865" t="s">
        <v>20</v>
      </c>
      <c r="E865" s="8">
        <v>45747</v>
      </c>
      <c r="F865" s="1" t="s">
        <v>22</v>
      </c>
      <c r="G865" s="1" t="s">
        <v>4</v>
      </c>
      <c r="H865" s="8"/>
      <c r="J865" t="b">
        <v>1</v>
      </c>
      <c r="K865" t="s">
        <v>1710</v>
      </c>
      <c r="L865" s="13" t="str">
        <f>HYPERLINK("https://uk1.aconex.co.uk/hub/index.html?mainTarget=%2FSearchControlledDoc%3FSEARCH_ACTION%3D15%26tab%3D0%26searchMode%3D1%26searchQuery%3Ddocno:%22"&amp;RawData[[#This Row],[Document Number]]&amp;"%22%20%2Bcversion%253A1",RawData[[#This Row],[Document Number]])</f>
        <v>FS1018-PIN-ZZ-02-D-O-2000</v>
      </c>
    </row>
    <row r="866" spans="1:12" ht="72" x14ac:dyDescent="0.3">
      <c r="A866" t="s">
        <v>1711</v>
      </c>
      <c r="B866" t="s">
        <v>1712</v>
      </c>
      <c r="C866" t="s">
        <v>11</v>
      </c>
      <c r="D866" t="s">
        <v>20</v>
      </c>
      <c r="E866" s="8">
        <v>45729</v>
      </c>
      <c r="F866" s="1" t="s">
        <v>12</v>
      </c>
      <c r="G866" s="1" t="s">
        <v>1027</v>
      </c>
      <c r="H866" s="8">
        <v>45747</v>
      </c>
      <c r="I866" s="1" t="s">
        <v>1851</v>
      </c>
      <c r="J866" t="b">
        <v>1</v>
      </c>
      <c r="K866" t="s">
        <v>1713</v>
      </c>
      <c r="L866" s="13" t="str">
        <f>HYPERLINK("https://uk1.aconex.co.uk/hub/index.html?mainTarget=%2FSearchControlledDoc%3FSEARCH_ACTION%3D15%26tab%3D0%26searchMode%3D1%26searchQuery%3Ddocno:%22"&amp;RawData[[#This Row],[Document Number]]&amp;"%22%20%2Bcversion%253A1",RawData[[#This Row],[Document Number]])</f>
        <v>FS1018-PIN-ZZ-02-D-O-2042</v>
      </c>
    </row>
    <row r="867" spans="1:12" ht="28.8" x14ac:dyDescent="0.3">
      <c r="A867" t="s">
        <v>1711</v>
      </c>
      <c r="B867" t="s">
        <v>1712</v>
      </c>
      <c r="C867" t="s">
        <v>11</v>
      </c>
      <c r="D867" t="s">
        <v>20</v>
      </c>
      <c r="E867" s="8">
        <v>45747</v>
      </c>
      <c r="F867" s="1" t="s">
        <v>22</v>
      </c>
      <c r="G867" s="1" t="s">
        <v>4</v>
      </c>
      <c r="H867" s="8"/>
      <c r="J867" t="b">
        <v>1</v>
      </c>
      <c r="K867" t="s">
        <v>1713</v>
      </c>
      <c r="L867" s="13" t="str">
        <f>HYPERLINK("https://uk1.aconex.co.uk/hub/index.html?mainTarget=%2FSearchControlledDoc%3FSEARCH_ACTION%3D15%26tab%3D0%26searchMode%3D1%26searchQuery%3Ddocno:%22"&amp;RawData[[#This Row],[Document Number]]&amp;"%22%20%2Bcversion%253A1",RawData[[#This Row],[Document Number]])</f>
        <v>FS1018-PIN-ZZ-02-D-O-2042</v>
      </c>
    </row>
    <row r="868" spans="1:12" ht="57.6" x14ac:dyDescent="0.3">
      <c r="A868" t="s">
        <v>1714</v>
      </c>
      <c r="B868" t="s">
        <v>1715</v>
      </c>
      <c r="C868" t="s">
        <v>10</v>
      </c>
      <c r="D868" t="s">
        <v>20</v>
      </c>
      <c r="E868" s="8">
        <v>45729</v>
      </c>
      <c r="F868" s="1" t="s">
        <v>12</v>
      </c>
      <c r="G868" s="1" t="s">
        <v>21</v>
      </c>
      <c r="H868" s="8">
        <v>45747</v>
      </c>
      <c r="I868" s="1" t="s">
        <v>1880</v>
      </c>
      <c r="J868" t="b">
        <v>1</v>
      </c>
      <c r="K868" t="s">
        <v>1716</v>
      </c>
      <c r="L868" s="13" t="str">
        <f>HYPERLINK("https://uk1.aconex.co.uk/hub/index.html?mainTarget=%2FSearchControlledDoc%3FSEARCH_ACTION%3D15%26tab%3D0%26searchMode%3D1%26searchQuery%3Ddocno:%22"&amp;RawData[[#This Row],[Document Number]]&amp;"%22%20%2Bcversion%253A1",RawData[[#This Row],[Document Number]])</f>
        <v>FS1018-PIN-ZZ-02-D-O-3008</v>
      </c>
    </row>
    <row r="869" spans="1:12" ht="28.8" x14ac:dyDescent="0.3">
      <c r="A869" t="s">
        <v>1714</v>
      </c>
      <c r="B869" t="s">
        <v>1715</v>
      </c>
      <c r="C869" t="s">
        <v>10</v>
      </c>
      <c r="D869" t="s">
        <v>20</v>
      </c>
      <c r="E869" s="8">
        <v>45747</v>
      </c>
      <c r="F869" s="1" t="s">
        <v>22</v>
      </c>
      <c r="G869" s="1" t="s">
        <v>4</v>
      </c>
      <c r="H869" s="8"/>
      <c r="J869" t="b">
        <v>1</v>
      </c>
      <c r="K869" t="s">
        <v>1716</v>
      </c>
      <c r="L869" s="13" t="str">
        <f>HYPERLINK("https://uk1.aconex.co.uk/hub/index.html?mainTarget=%2FSearchControlledDoc%3FSEARCH_ACTION%3D15%26tab%3D0%26searchMode%3D1%26searchQuery%3Ddocno:%22"&amp;RawData[[#This Row],[Document Number]]&amp;"%22%20%2Bcversion%253A1",RawData[[#This Row],[Document Number]])</f>
        <v>FS1018-PIN-ZZ-02-D-O-3008</v>
      </c>
    </row>
    <row r="870" spans="1:12" ht="72" x14ac:dyDescent="0.3">
      <c r="A870" t="s">
        <v>1717</v>
      </c>
      <c r="B870" t="s">
        <v>1718</v>
      </c>
      <c r="C870" t="s">
        <v>11</v>
      </c>
      <c r="D870" t="s">
        <v>20</v>
      </c>
      <c r="E870" s="8">
        <v>45729</v>
      </c>
      <c r="F870" s="1" t="s">
        <v>12</v>
      </c>
      <c r="G870" s="1" t="s">
        <v>1027</v>
      </c>
      <c r="H870" s="8">
        <v>45747</v>
      </c>
      <c r="I870" s="1" t="s">
        <v>1851</v>
      </c>
      <c r="J870" t="b">
        <v>1</v>
      </c>
      <c r="K870" t="s">
        <v>1719</v>
      </c>
      <c r="L870" s="13" t="str">
        <f>HYPERLINK("https://uk1.aconex.co.uk/hub/index.html?mainTarget=%2FSearchControlledDoc%3FSEARCH_ACTION%3D15%26tab%3D0%26searchMode%3D1%26searchQuery%3Ddocno:%22"&amp;RawData[[#This Row],[Document Number]]&amp;"%22%20%2Bcversion%253A1",RawData[[#This Row],[Document Number]])</f>
        <v>FS1018-PIN-ZZ-02-D-O-3042</v>
      </c>
    </row>
    <row r="871" spans="1:12" ht="28.8" x14ac:dyDescent="0.3">
      <c r="A871" t="s">
        <v>1717</v>
      </c>
      <c r="B871" t="s">
        <v>1718</v>
      </c>
      <c r="C871" t="s">
        <v>11</v>
      </c>
      <c r="D871" t="s">
        <v>20</v>
      </c>
      <c r="E871" s="8">
        <v>45747</v>
      </c>
      <c r="F871" s="1" t="s">
        <v>22</v>
      </c>
      <c r="G871" s="1" t="s">
        <v>4</v>
      </c>
      <c r="H871" s="8"/>
      <c r="J871" t="b">
        <v>1</v>
      </c>
      <c r="K871" t="s">
        <v>1719</v>
      </c>
      <c r="L871" s="13" t="str">
        <f>HYPERLINK("https://uk1.aconex.co.uk/hub/index.html?mainTarget=%2FSearchControlledDoc%3FSEARCH_ACTION%3D15%26tab%3D0%26searchMode%3D1%26searchQuery%3Ddocno:%22"&amp;RawData[[#This Row],[Document Number]]&amp;"%22%20%2Bcversion%253A1",RawData[[#This Row],[Document Number]])</f>
        <v>FS1018-PIN-ZZ-02-D-O-3042</v>
      </c>
    </row>
    <row r="872" spans="1:12" ht="57.6" x14ac:dyDescent="0.3">
      <c r="A872" t="s">
        <v>1720</v>
      </c>
      <c r="B872" t="s">
        <v>1721</v>
      </c>
      <c r="C872" t="s">
        <v>835</v>
      </c>
      <c r="D872" t="s">
        <v>20</v>
      </c>
      <c r="E872" s="8">
        <v>45729</v>
      </c>
      <c r="F872" s="1" t="s">
        <v>12</v>
      </c>
      <c r="G872" s="1" t="s">
        <v>21</v>
      </c>
      <c r="H872" s="8">
        <v>45747</v>
      </c>
      <c r="I872" s="1" t="s">
        <v>1881</v>
      </c>
      <c r="J872" t="b">
        <v>1</v>
      </c>
      <c r="K872" t="s">
        <v>1722</v>
      </c>
      <c r="L872" s="13" t="str">
        <f>HYPERLINK("https://uk1.aconex.co.uk/hub/index.html?mainTarget=%2FSearchControlledDoc%3FSEARCH_ACTION%3D15%26tab%3D0%26searchMode%3D1%26searchQuery%3Ddocno:%22"&amp;RawData[[#This Row],[Document Number]]&amp;"%22%20%2Bcversion%253A1",RawData[[#This Row],[Document Number]])</f>
        <v>FS1018-PIN-ZZ-02-D-O-4001</v>
      </c>
    </row>
    <row r="873" spans="1:12" ht="28.8" x14ac:dyDescent="0.3">
      <c r="A873" t="s">
        <v>1720</v>
      </c>
      <c r="B873" t="s">
        <v>1721</v>
      </c>
      <c r="C873" t="s">
        <v>835</v>
      </c>
      <c r="D873" t="s">
        <v>20</v>
      </c>
      <c r="E873" s="8">
        <v>45747</v>
      </c>
      <c r="F873" s="1" t="s">
        <v>22</v>
      </c>
      <c r="G873" s="1" t="s">
        <v>4</v>
      </c>
      <c r="H873" s="8"/>
      <c r="J873" t="b">
        <v>1</v>
      </c>
      <c r="K873" t="s">
        <v>1722</v>
      </c>
      <c r="L873" s="13" t="str">
        <f>HYPERLINK("https://uk1.aconex.co.uk/hub/index.html?mainTarget=%2FSearchControlledDoc%3FSEARCH_ACTION%3D15%26tab%3D0%26searchMode%3D1%26searchQuery%3Ddocno:%22"&amp;RawData[[#This Row],[Document Number]]&amp;"%22%20%2Bcversion%253A1",RawData[[#This Row],[Document Number]])</f>
        <v>FS1018-PIN-ZZ-02-D-O-4001</v>
      </c>
    </row>
    <row r="874" spans="1:12" ht="28.8" x14ac:dyDescent="0.3">
      <c r="A874" t="s">
        <v>1723</v>
      </c>
      <c r="B874" t="s">
        <v>1724</v>
      </c>
      <c r="C874" t="s">
        <v>10</v>
      </c>
      <c r="D874" t="s">
        <v>20</v>
      </c>
      <c r="E874" s="8">
        <v>45729</v>
      </c>
      <c r="F874" s="1" t="s">
        <v>12</v>
      </c>
      <c r="G874" s="1" t="s">
        <v>21</v>
      </c>
      <c r="H874" s="8">
        <v>45747</v>
      </c>
      <c r="I874" s="1" t="s">
        <v>1865</v>
      </c>
      <c r="J874" t="b">
        <v>1</v>
      </c>
      <c r="K874" t="s">
        <v>1725</v>
      </c>
      <c r="L874" s="13" t="str">
        <f>HYPERLINK("https://uk1.aconex.co.uk/hub/index.html?mainTarget=%2FSearchControlledDoc%3FSEARCH_ACTION%3D15%26tab%3D0%26searchMode%3D1%26searchQuery%3Ddocno:%22"&amp;RawData[[#This Row],[Document Number]]&amp;"%22%20%2Bcversion%253A1",RawData[[#This Row],[Document Number]])</f>
        <v>FS1018-PIN-ZZ-02-D-O-4014</v>
      </c>
    </row>
    <row r="875" spans="1:12" ht="28.8" x14ac:dyDescent="0.3">
      <c r="A875" t="s">
        <v>1723</v>
      </c>
      <c r="B875" t="s">
        <v>1724</v>
      </c>
      <c r="C875" t="s">
        <v>10</v>
      </c>
      <c r="D875" t="s">
        <v>20</v>
      </c>
      <c r="E875" s="8">
        <v>45747</v>
      </c>
      <c r="F875" s="1" t="s">
        <v>22</v>
      </c>
      <c r="G875" s="1" t="s">
        <v>4</v>
      </c>
      <c r="H875" s="8"/>
      <c r="J875" t="b">
        <v>1</v>
      </c>
      <c r="K875" t="s">
        <v>1725</v>
      </c>
      <c r="L875" s="13" t="str">
        <f>HYPERLINK("https://uk1.aconex.co.uk/hub/index.html?mainTarget=%2FSearchControlledDoc%3FSEARCH_ACTION%3D15%26tab%3D0%26searchMode%3D1%26searchQuery%3Ddocno:%22"&amp;RawData[[#This Row],[Document Number]]&amp;"%22%20%2Bcversion%253A1",RawData[[#This Row],[Document Number]])</f>
        <v>FS1018-PIN-ZZ-02-D-O-4014</v>
      </c>
    </row>
    <row r="876" spans="1:12" ht="28.8" x14ac:dyDescent="0.3">
      <c r="A876" t="s">
        <v>1726</v>
      </c>
      <c r="B876" t="s">
        <v>1727</v>
      </c>
      <c r="C876" t="s">
        <v>11</v>
      </c>
      <c r="D876" t="s">
        <v>20</v>
      </c>
      <c r="E876" s="8">
        <v>45729</v>
      </c>
      <c r="F876" s="1" t="s">
        <v>12</v>
      </c>
      <c r="G876" s="1" t="s">
        <v>21</v>
      </c>
      <c r="H876" s="8">
        <v>45747</v>
      </c>
      <c r="I876" s="1" t="s">
        <v>1882</v>
      </c>
      <c r="J876" t="b">
        <v>1</v>
      </c>
      <c r="K876" t="s">
        <v>1728</v>
      </c>
      <c r="L876" s="13" t="str">
        <f>HYPERLINK("https://uk1.aconex.co.uk/hub/index.html?mainTarget=%2FSearchControlledDoc%3FSEARCH_ACTION%3D15%26tab%3D0%26searchMode%3D1%26searchQuery%3Ddocno:%22"&amp;RawData[[#This Row],[Document Number]]&amp;"%22%20%2Bcversion%253A1",RawData[[#This Row],[Document Number]])</f>
        <v>FS1018-PIN-ZZ-02-D-O-5004</v>
      </c>
    </row>
    <row r="877" spans="1:12" ht="28.8" x14ac:dyDescent="0.3">
      <c r="A877" t="s">
        <v>1726</v>
      </c>
      <c r="B877" t="s">
        <v>1727</v>
      </c>
      <c r="C877" t="s">
        <v>11</v>
      </c>
      <c r="D877" t="s">
        <v>20</v>
      </c>
      <c r="E877" s="8">
        <v>45747</v>
      </c>
      <c r="F877" s="1" t="s">
        <v>22</v>
      </c>
      <c r="G877" s="1" t="s">
        <v>4</v>
      </c>
      <c r="H877" s="8"/>
      <c r="J877" t="b">
        <v>1</v>
      </c>
      <c r="K877" t="s">
        <v>1728</v>
      </c>
      <c r="L877" s="13" t="str">
        <f>HYPERLINK("https://uk1.aconex.co.uk/hub/index.html?mainTarget=%2FSearchControlledDoc%3FSEARCH_ACTION%3D15%26tab%3D0%26searchMode%3D1%26searchQuery%3Ddocno:%22"&amp;RawData[[#This Row],[Document Number]]&amp;"%22%20%2Bcversion%253A1",RawData[[#This Row],[Document Number]])</f>
        <v>FS1018-PIN-ZZ-02-D-O-5004</v>
      </c>
    </row>
    <row r="878" spans="1:12" x14ac:dyDescent="0.3">
      <c r="A878" t="s">
        <v>1729</v>
      </c>
      <c r="B878" t="s">
        <v>1730</v>
      </c>
      <c r="C878" t="s">
        <v>10</v>
      </c>
      <c r="D878" t="s">
        <v>19</v>
      </c>
      <c r="E878" s="8">
        <v>45729</v>
      </c>
      <c r="F878" s="1" t="s">
        <v>12</v>
      </c>
      <c r="G878" s="1" t="s">
        <v>24</v>
      </c>
      <c r="H878" s="8">
        <v>45747</v>
      </c>
      <c r="I878" s="1" t="s">
        <v>1785</v>
      </c>
      <c r="J878" t="b">
        <v>1</v>
      </c>
      <c r="K878" t="s">
        <v>1731</v>
      </c>
      <c r="L878" s="13" t="str">
        <f>HYPERLINK("https://uk1.aconex.co.uk/hub/index.html?mainTarget=%2FSearchControlledDoc%3FSEARCH_ACTION%3D15%26tab%3D0%26searchMode%3D1%26searchQuery%3Ddocno:%22"&amp;RawData[[#This Row],[Document Number]]&amp;"%22%20%2Bcversion%253A1",RawData[[#This Row],[Document Number]])</f>
        <v>FS1018-PIN-ZZ-02-D-O-5005</v>
      </c>
    </row>
    <row r="879" spans="1:12" ht="43.2" x14ac:dyDescent="0.3">
      <c r="A879" t="s">
        <v>1732</v>
      </c>
      <c r="B879" t="s">
        <v>1733</v>
      </c>
      <c r="C879" t="s">
        <v>11</v>
      </c>
      <c r="D879" t="s">
        <v>20</v>
      </c>
      <c r="E879" s="8">
        <v>45729</v>
      </c>
      <c r="F879" s="1" t="s">
        <v>12</v>
      </c>
      <c r="G879" s="1" t="s">
        <v>21</v>
      </c>
      <c r="H879" s="8">
        <v>45747</v>
      </c>
      <c r="I879" s="1" t="s">
        <v>1883</v>
      </c>
      <c r="J879" t="b">
        <v>1</v>
      </c>
      <c r="K879" t="s">
        <v>1734</v>
      </c>
      <c r="L879" s="13" t="str">
        <f>HYPERLINK("https://uk1.aconex.co.uk/hub/index.html?mainTarget=%2FSearchControlledDoc%3FSEARCH_ACTION%3D15%26tab%3D0%26searchMode%3D1%26searchQuery%3Ddocno:%22"&amp;RawData[[#This Row],[Document Number]]&amp;"%22%20%2Bcversion%253A1",RawData[[#This Row],[Document Number]])</f>
        <v>FS1018-PIN-ZZ-02-D-O-5020</v>
      </c>
    </row>
    <row r="880" spans="1:12" ht="28.8" x14ac:dyDescent="0.3">
      <c r="A880" t="s">
        <v>1732</v>
      </c>
      <c r="B880" t="s">
        <v>1733</v>
      </c>
      <c r="C880" t="s">
        <v>11</v>
      </c>
      <c r="D880" t="s">
        <v>20</v>
      </c>
      <c r="E880" s="8">
        <v>45747</v>
      </c>
      <c r="F880" s="1" t="s">
        <v>22</v>
      </c>
      <c r="G880" s="1" t="s">
        <v>4</v>
      </c>
      <c r="H880" s="8"/>
      <c r="J880" t="b">
        <v>1</v>
      </c>
      <c r="K880" t="s">
        <v>1734</v>
      </c>
      <c r="L880" s="13" t="str">
        <f>HYPERLINK("https://uk1.aconex.co.uk/hub/index.html?mainTarget=%2FSearchControlledDoc%3FSEARCH_ACTION%3D15%26tab%3D0%26searchMode%3D1%26searchQuery%3Ddocno:%22"&amp;RawData[[#This Row],[Document Number]]&amp;"%22%20%2Bcversion%253A1",RawData[[#This Row],[Document Number]])</f>
        <v>FS1018-PIN-ZZ-02-D-O-5020</v>
      </c>
    </row>
    <row r="881" spans="1:12" x14ac:dyDescent="0.3">
      <c r="A881" t="s">
        <v>1735</v>
      </c>
      <c r="B881" t="s">
        <v>1736</v>
      </c>
      <c r="C881" t="s">
        <v>10</v>
      </c>
      <c r="D881" t="s">
        <v>19</v>
      </c>
      <c r="E881" s="8">
        <v>45729</v>
      </c>
      <c r="F881" s="1" t="s">
        <v>12</v>
      </c>
      <c r="G881" s="1" t="s">
        <v>24</v>
      </c>
      <c r="H881" s="8">
        <v>45747</v>
      </c>
      <c r="I881" s="1" t="s">
        <v>1785</v>
      </c>
      <c r="J881" t="b">
        <v>1</v>
      </c>
      <c r="K881" t="s">
        <v>1737</v>
      </c>
      <c r="L881" s="13" t="str">
        <f>HYPERLINK("https://uk1.aconex.co.uk/hub/index.html?mainTarget=%2FSearchControlledDoc%3FSEARCH_ACTION%3D15%26tab%3D0%26searchMode%3D1%26searchQuery%3Ddocno:%22"&amp;RawData[[#This Row],[Document Number]]&amp;"%22%20%2Bcversion%253A1",RawData[[#This Row],[Document Number]])</f>
        <v>FS1018-PIN-ZZ-02-D-O-5102</v>
      </c>
    </row>
    <row r="882" spans="1:12" ht="28.8" x14ac:dyDescent="0.3">
      <c r="A882" t="s">
        <v>1738</v>
      </c>
      <c r="B882" t="s">
        <v>1739</v>
      </c>
      <c r="C882" t="s">
        <v>10</v>
      </c>
      <c r="D882" t="s">
        <v>20</v>
      </c>
      <c r="E882" s="8">
        <v>45729</v>
      </c>
      <c r="F882" s="1" t="s">
        <v>12</v>
      </c>
      <c r="G882" s="1" t="s">
        <v>21</v>
      </c>
      <c r="H882" s="8">
        <v>45747</v>
      </c>
      <c r="I882" s="1" t="s">
        <v>1884</v>
      </c>
      <c r="J882" t="b">
        <v>1</v>
      </c>
      <c r="K882" t="s">
        <v>1740</v>
      </c>
      <c r="L882" s="13" t="str">
        <f>HYPERLINK("https://uk1.aconex.co.uk/hub/index.html?mainTarget=%2FSearchControlledDoc%3FSEARCH_ACTION%3D15%26tab%3D0%26searchMode%3D1%26searchQuery%3Ddocno:%22"&amp;RawData[[#This Row],[Document Number]]&amp;"%22%20%2Bcversion%253A1",RawData[[#This Row],[Document Number]])</f>
        <v>FS1018-PIN-ZZ-02-D-O-5115</v>
      </c>
    </row>
    <row r="883" spans="1:12" ht="28.8" x14ac:dyDescent="0.3">
      <c r="A883" t="s">
        <v>1738</v>
      </c>
      <c r="B883" t="s">
        <v>1739</v>
      </c>
      <c r="C883" t="s">
        <v>10</v>
      </c>
      <c r="D883" t="s">
        <v>20</v>
      </c>
      <c r="E883" s="8">
        <v>45747</v>
      </c>
      <c r="F883" s="1" t="s">
        <v>22</v>
      </c>
      <c r="G883" s="1" t="s">
        <v>4</v>
      </c>
      <c r="H883" s="8"/>
      <c r="J883" t="b">
        <v>1</v>
      </c>
      <c r="K883" t="s">
        <v>1740</v>
      </c>
      <c r="L883" s="13" t="str">
        <f>HYPERLINK("https://uk1.aconex.co.uk/hub/index.html?mainTarget=%2FSearchControlledDoc%3FSEARCH_ACTION%3D15%26tab%3D0%26searchMode%3D1%26searchQuery%3Ddocno:%22"&amp;RawData[[#This Row],[Document Number]]&amp;"%22%20%2Bcversion%253A1",RawData[[#This Row],[Document Number]])</f>
        <v>FS1018-PIN-ZZ-02-D-O-5115</v>
      </c>
    </row>
    <row r="884" spans="1:12" ht="72" x14ac:dyDescent="0.3">
      <c r="A884" t="s">
        <v>1741</v>
      </c>
      <c r="B884" t="s">
        <v>1742</v>
      </c>
      <c r="C884" t="s">
        <v>10</v>
      </c>
      <c r="D884" t="s">
        <v>20</v>
      </c>
      <c r="E884" s="8">
        <v>45729</v>
      </c>
      <c r="F884" s="1" t="s">
        <v>12</v>
      </c>
      <c r="G884" s="1" t="s">
        <v>1027</v>
      </c>
      <c r="H884" s="8">
        <v>45747</v>
      </c>
      <c r="I884" s="1" t="s">
        <v>1851</v>
      </c>
      <c r="J884" t="b">
        <v>1</v>
      </c>
      <c r="K884" t="s">
        <v>1743</v>
      </c>
      <c r="L884" s="13" t="str">
        <f>HYPERLINK("https://uk1.aconex.co.uk/hub/index.html?mainTarget=%2FSearchControlledDoc%3FSEARCH_ACTION%3D15%26tab%3D0%26searchMode%3D1%26searchQuery%3Ddocno:%22"&amp;RawData[[#This Row],[Document Number]]&amp;"%22%20%2Bcversion%253A1",RawData[[#This Row],[Document Number]])</f>
        <v>FS1018-PIN-ZZ-02-D-O-6113</v>
      </c>
    </row>
    <row r="885" spans="1:12" ht="28.8" x14ac:dyDescent="0.3">
      <c r="A885" t="s">
        <v>1741</v>
      </c>
      <c r="B885" t="s">
        <v>1742</v>
      </c>
      <c r="C885" t="s">
        <v>10</v>
      </c>
      <c r="D885" t="s">
        <v>20</v>
      </c>
      <c r="E885" s="8">
        <v>45747</v>
      </c>
      <c r="F885" s="1" t="s">
        <v>22</v>
      </c>
      <c r="G885" s="1" t="s">
        <v>4</v>
      </c>
      <c r="H885" s="8"/>
      <c r="J885" t="b">
        <v>1</v>
      </c>
      <c r="K885" t="s">
        <v>1743</v>
      </c>
      <c r="L885" s="13" t="str">
        <f>HYPERLINK("https://uk1.aconex.co.uk/hub/index.html?mainTarget=%2FSearchControlledDoc%3FSEARCH_ACTION%3D15%26tab%3D0%26searchMode%3D1%26searchQuery%3Ddocno:%22"&amp;RawData[[#This Row],[Document Number]]&amp;"%22%20%2Bcversion%253A1",RawData[[#This Row],[Document Number]])</f>
        <v>FS1018-PIN-ZZ-02-D-O-6113</v>
      </c>
    </row>
    <row r="886" spans="1:12" ht="72" x14ac:dyDescent="0.3">
      <c r="A886" t="s">
        <v>1744</v>
      </c>
      <c r="B886" t="s">
        <v>1742</v>
      </c>
      <c r="C886" t="s">
        <v>10</v>
      </c>
      <c r="D886" t="s">
        <v>20</v>
      </c>
      <c r="E886" s="8">
        <v>45729</v>
      </c>
      <c r="F886" s="1" t="s">
        <v>12</v>
      </c>
      <c r="G886" s="1" t="s">
        <v>1027</v>
      </c>
      <c r="H886" s="8">
        <v>45747</v>
      </c>
      <c r="I886" s="1" t="s">
        <v>1851</v>
      </c>
      <c r="J886" t="b">
        <v>1</v>
      </c>
      <c r="K886" t="s">
        <v>1745</v>
      </c>
      <c r="L886" s="13" t="str">
        <f>HYPERLINK("https://uk1.aconex.co.uk/hub/index.html?mainTarget=%2FSearchControlledDoc%3FSEARCH_ACTION%3D15%26tab%3D0%26searchMode%3D1%26searchQuery%3Ddocno:%22"&amp;RawData[[#This Row],[Document Number]]&amp;"%22%20%2Bcversion%253A1",RawData[[#This Row],[Document Number]])</f>
        <v>FS1018-PIN-ZZ-02-D-O-7113</v>
      </c>
    </row>
    <row r="887" spans="1:12" ht="28.8" x14ac:dyDescent="0.3">
      <c r="A887" t="s">
        <v>1744</v>
      </c>
      <c r="B887" t="s">
        <v>1742</v>
      </c>
      <c r="C887" t="s">
        <v>10</v>
      </c>
      <c r="D887" t="s">
        <v>20</v>
      </c>
      <c r="E887" s="8">
        <v>45747</v>
      </c>
      <c r="F887" s="1" t="s">
        <v>22</v>
      </c>
      <c r="G887" s="1" t="s">
        <v>4</v>
      </c>
      <c r="H887" s="8"/>
      <c r="J887" t="b">
        <v>1</v>
      </c>
      <c r="K887" t="s">
        <v>1745</v>
      </c>
      <c r="L887" s="13" t="str">
        <f>HYPERLINK("https://uk1.aconex.co.uk/hub/index.html?mainTarget=%2FSearchControlledDoc%3FSEARCH_ACTION%3D15%26tab%3D0%26searchMode%3D1%26searchQuery%3Ddocno:%22"&amp;RawData[[#This Row],[Document Number]]&amp;"%22%20%2Bcversion%253A1",RawData[[#This Row],[Document Number]])</f>
        <v>FS1018-PIN-ZZ-02-D-O-7113</v>
      </c>
    </row>
    <row r="888" spans="1:12" ht="72" x14ac:dyDescent="0.3">
      <c r="A888" t="s">
        <v>1746</v>
      </c>
      <c r="B888" t="s">
        <v>1742</v>
      </c>
      <c r="C888" t="s">
        <v>10</v>
      </c>
      <c r="D888" t="s">
        <v>20</v>
      </c>
      <c r="E888" s="8">
        <v>45729</v>
      </c>
      <c r="F888" s="1" t="s">
        <v>12</v>
      </c>
      <c r="G888" s="1" t="s">
        <v>1027</v>
      </c>
      <c r="H888" s="8">
        <v>45747</v>
      </c>
      <c r="I888" s="1" t="s">
        <v>1851</v>
      </c>
      <c r="J888" t="b">
        <v>1</v>
      </c>
      <c r="K888" t="s">
        <v>1747</v>
      </c>
      <c r="L888" s="13" t="str">
        <f>HYPERLINK("https://uk1.aconex.co.uk/hub/index.html?mainTarget=%2FSearchControlledDoc%3FSEARCH_ACTION%3D15%26tab%3D0%26searchMode%3D1%26searchQuery%3Ddocno:%22"&amp;RawData[[#This Row],[Document Number]]&amp;"%22%20%2Bcversion%253A1",RawData[[#This Row],[Document Number]])</f>
        <v>FS1018-PIN-ZZ-02-D-O-8113</v>
      </c>
    </row>
    <row r="889" spans="1:12" ht="28.8" x14ac:dyDescent="0.3">
      <c r="A889" t="s">
        <v>1746</v>
      </c>
      <c r="B889" t="s">
        <v>1742</v>
      </c>
      <c r="C889" t="s">
        <v>10</v>
      </c>
      <c r="D889" t="s">
        <v>20</v>
      </c>
      <c r="E889" s="8">
        <v>45747</v>
      </c>
      <c r="F889" s="1" t="s">
        <v>22</v>
      </c>
      <c r="G889" s="1" t="s">
        <v>4</v>
      </c>
      <c r="H889" s="8"/>
      <c r="J889" t="b">
        <v>1</v>
      </c>
      <c r="K889" t="s">
        <v>1747</v>
      </c>
      <c r="L889" s="13" t="str">
        <f>HYPERLINK("https://uk1.aconex.co.uk/hub/index.html?mainTarget=%2FSearchControlledDoc%3FSEARCH_ACTION%3D15%26tab%3D0%26searchMode%3D1%26searchQuery%3Ddocno:%22"&amp;RawData[[#This Row],[Document Number]]&amp;"%22%20%2Bcversion%253A1",RawData[[#This Row],[Document Number]])</f>
        <v>FS1018-PIN-ZZ-02-D-O-8113</v>
      </c>
    </row>
    <row r="890" spans="1:12" ht="72" x14ac:dyDescent="0.3">
      <c r="A890" t="s">
        <v>1748</v>
      </c>
      <c r="B890" t="s">
        <v>1742</v>
      </c>
      <c r="C890" t="s">
        <v>10</v>
      </c>
      <c r="D890" t="s">
        <v>20</v>
      </c>
      <c r="E890" s="8">
        <v>45729</v>
      </c>
      <c r="F890" s="1" t="s">
        <v>12</v>
      </c>
      <c r="G890" s="1" t="s">
        <v>1027</v>
      </c>
      <c r="H890" s="8">
        <v>45747</v>
      </c>
      <c r="I890" s="1" t="s">
        <v>1851</v>
      </c>
      <c r="J890" t="b">
        <v>1</v>
      </c>
      <c r="K890" t="s">
        <v>1749</v>
      </c>
      <c r="L890" s="13" t="str">
        <f>HYPERLINK("https://uk1.aconex.co.uk/hub/index.html?mainTarget=%2FSearchControlledDoc%3FSEARCH_ACTION%3D15%26tab%3D0%26searchMode%3D1%26searchQuery%3Ddocno:%22"&amp;RawData[[#This Row],[Document Number]]&amp;"%22%20%2Bcversion%253A1",RawData[[#This Row],[Document Number]])</f>
        <v>FS1018-PIN-ZZ-02-D-O-9113</v>
      </c>
    </row>
    <row r="891" spans="1:12" ht="28.8" x14ac:dyDescent="0.3">
      <c r="A891" t="s">
        <v>1748</v>
      </c>
      <c r="B891" t="s">
        <v>1742</v>
      </c>
      <c r="C891" t="s">
        <v>10</v>
      </c>
      <c r="D891" t="s">
        <v>20</v>
      </c>
      <c r="E891" s="8">
        <v>45747</v>
      </c>
      <c r="F891" s="1" t="s">
        <v>22</v>
      </c>
      <c r="G891" s="1" t="s">
        <v>4</v>
      </c>
      <c r="H891" s="8"/>
      <c r="J891" t="b">
        <v>1</v>
      </c>
      <c r="K891" t="s">
        <v>1749</v>
      </c>
      <c r="L891" s="13" t="str">
        <f>HYPERLINK("https://uk1.aconex.co.uk/hub/index.html?mainTarget=%2FSearchControlledDoc%3FSEARCH_ACTION%3D15%26tab%3D0%26searchMode%3D1%26searchQuery%3Ddocno:%22"&amp;RawData[[#This Row],[Document Number]]&amp;"%22%20%2Bcversion%253A1",RawData[[#This Row],[Document Number]])</f>
        <v>FS1018-PIN-ZZ-02-D-O-9113</v>
      </c>
    </row>
    <row r="892" spans="1:12" x14ac:dyDescent="0.3">
      <c r="A892" t="s">
        <v>1750</v>
      </c>
      <c r="B892" t="s">
        <v>1751</v>
      </c>
      <c r="C892" t="s">
        <v>10</v>
      </c>
      <c r="D892" t="s">
        <v>20</v>
      </c>
      <c r="E892" s="8">
        <v>45729</v>
      </c>
      <c r="F892" s="1" t="s">
        <v>12</v>
      </c>
      <c r="G892" s="1" t="s">
        <v>21</v>
      </c>
      <c r="H892" s="8">
        <v>45747</v>
      </c>
      <c r="I892" s="1" t="s">
        <v>1885</v>
      </c>
      <c r="J892" t="b">
        <v>1</v>
      </c>
      <c r="K892" t="s">
        <v>1752</v>
      </c>
      <c r="L892" s="13" t="str">
        <f>HYPERLINK("https://uk1.aconex.co.uk/hub/index.html?mainTarget=%2FSearchControlledDoc%3FSEARCH_ACTION%3D15%26tab%3D0%26searchMode%3D1%26searchQuery%3Ddocno:%22"&amp;RawData[[#This Row],[Document Number]]&amp;"%22%20%2Bcversion%253A1",RawData[[#This Row],[Document Number]])</f>
        <v>FS1018-PIN-ZZ-ZZ-L-O-0005</v>
      </c>
    </row>
    <row r="893" spans="1:12" ht="28.8" x14ac:dyDescent="0.3">
      <c r="A893" t="s">
        <v>1750</v>
      </c>
      <c r="B893" t="s">
        <v>1751</v>
      </c>
      <c r="C893" t="s">
        <v>10</v>
      </c>
      <c r="D893" t="s">
        <v>20</v>
      </c>
      <c r="E893" s="8">
        <v>45747</v>
      </c>
      <c r="F893" s="1" t="s">
        <v>22</v>
      </c>
      <c r="G893" s="1" t="s">
        <v>4</v>
      </c>
      <c r="H893" s="8"/>
      <c r="J893" t="b">
        <v>1</v>
      </c>
      <c r="K893" t="s">
        <v>1752</v>
      </c>
      <c r="L893" s="13" t="str">
        <f>HYPERLINK("https://uk1.aconex.co.uk/hub/index.html?mainTarget=%2FSearchControlledDoc%3FSEARCH_ACTION%3D15%26tab%3D0%26searchMode%3D1%26searchQuery%3Ddocno:%22"&amp;RawData[[#This Row],[Document Number]]&amp;"%22%20%2Bcversion%253A1",RawData[[#This Row],[Document Number]])</f>
        <v>FS1018-PIN-ZZ-ZZ-L-O-0005</v>
      </c>
    </row>
    <row r="894" spans="1:12" x14ac:dyDescent="0.3">
      <c r="A894" t="s">
        <v>1753</v>
      </c>
      <c r="B894" t="s">
        <v>1754</v>
      </c>
      <c r="C894" t="s">
        <v>13</v>
      </c>
      <c r="D894" t="s">
        <v>20</v>
      </c>
      <c r="E894" s="8">
        <v>45729</v>
      </c>
      <c r="F894" s="1" t="s">
        <v>12</v>
      </c>
      <c r="G894" s="1" t="s">
        <v>21</v>
      </c>
      <c r="H894" s="8">
        <v>45747</v>
      </c>
      <c r="I894" s="1" t="s">
        <v>1885</v>
      </c>
      <c r="J894" t="b">
        <v>1</v>
      </c>
      <c r="K894" t="s">
        <v>1755</v>
      </c>
      <c r="L894" s="13" t="str">
        <f>HYPERLINK("https://uk1.aconex.co.uk/hub/index.html?mainTarget=%2FSearchControlledDoc%3FSEARCH_ACTION%3D15%26tab%3D0%26searchMode%3D1%26searchQuery%3Ddocno:%22"&amp;RawData[[#This Row],[Document Number]]&amp;"%22%20%2Bcversion%253A1",RawData[[#This Row],[Document Number]])</f>
        <v>FS1018-PIN-ZZ-ZZ-L-O-0006</v>
      </c>
    </row>
    <row r="895" spans="1:12" ht="28.8" x14ac:dyDescent="0.3">
      <c r="A895" t="s">
        <v>1753</v>
      </c>
      <c r="B895" t="s">
        <v>1754</v>
      </c>
      <c r="C895" t="s">
        <v>13</v>
      </c>
      <c r="D895" t="s">
        <v>20</v>
      </c>
      <c r="E895" s="8">
        <v>45747</v>
      </c>
      <c r="F895" s="1" t="s">
        <v>22</v>
      </c>
      <c r="G895" s="1" t="s">
        <v>4</v>
      </c>
      <c r="H895" s="8"/>
      <c r="J895" t="b">
        <v>1</v>
      </c>
      <c r="K895" t="s">
        <v>1755</v>
      </c>
      <c r="L895" s="13" t="str">
        <f>HYPERLINK("https://uk1.aconex.co.uk/hub/index.html?mainTarget=%2FSearchControlledDoc%3FSEARCH_ACTION%3D15%26tab%3D0%26searchMode%3D1%26searchQuery%3Ddocno:%22"&amp;RawData[[#This Row],[Document Number]]&amp;"%22%20%2Bcversion%253A1",RawData[[#This Row],[Document Number]])</f>
        <v>FS1018-PIN-ZZ-ZZ-L-O-0006</v>
      </c>
    </row>
    <row r="896" spans="1:12" x14ac:dyDescent="0.3">
      <c r="A896" t="s">
        <v>1756</v>
      </c>
      <c r="B896" t="s">
        <v>1757</v>
      </c>
      <c r="C896" t="s">
        <v>13</v>
      </c>
      <c r="D896" t="s">
        <v>20</v>
      </c>
      <c r="E896" s="8">
        <v>45729</v>
      </c>
      <c r="F896" s="1" t="s">
        <v>12</v>
      </c>
      <c r="G896" s="1" t="s">
        <v>21</v>
      </c>
      <c r="H896" s="8">
        <v>45747</v>
      </c>
      <c r="I896" s="1" t="s">
        <v>1885</v>
      </c>
      <c r="J896" t="b">
        <v>1</v>
      </c>
      <c r="K896" t="s">
        <v>1758</v>
      </c>
      <c r="L896" s="13" t="str">
        <f>HYPERLINK("https://uk1.aconex.co.uk/hub/index.html?mainTarget=%2FSearchControlledDoc%3FSEARCH_ACTION%3D15%26tab%3D0%26searchMode%3D1%26searchQuery%3Ddocno:%22"&amp;RawData[[#This Row],[Document Number]]&amp;"%22%20%2Bcversion%253A1",RawData[[#This Row],[Document Number]])</f>
        <v>FS1018-PIN-ZZ-ZZ-L-O-0007</v>
      </c>
    </row>
    <row r="897" spans="1:12" ht="28.8" x14ac:dyDescent="0.3">
      <c r="A897" t="s">
        <v>1756</v>
      </c>
      <c r="B897" t="s">
        <v>1757</v>
      </c>
      <c r="C897" t="s">
        <v>13</v>
      </c>
      <c r="D897" t="s">
        <v>20</v>
      </c>
      <c r="E897" s="8">
        <v>45747</v>
      </c>
      <c r="F897" s="1" t="s">
        <v>22</v>
      </c>
      <c r="G897" s="1" t="s">
        <v>4</v>
      </c>
      <c r="H897" s="8"/>
      <c r="J897" t="b">
        <v>1</v>
      </c>
      <c r="K897" t="s">
        <v>1758</v>
      </c>
      <c r="L897" s="13" t="str">
        <f>HYPERLINK("https://uk1.aconex.co.uk/hub/index.html?mainTarget=%2FSearchControlledDoc%3FSEARCH_ACTION%3D15%26tab%3D0%26searchMode%3D1%26searchQuery%3Ddocno:%22"&amp;RawData[[#This Row],[Document Number]]&amp;"%22%20%2Bcversion%253A1",RawData[[#This Row],[Document Number]])</f>
        <v>FS1018-PIN-ZZ-ZZ-L-O-0007</v>
      </c>
    </row>
    <row r="898" spans="1:12" ht="28.8" x14ac:dyDescent="0.3">
      <c r="A898" t="s">
        <v>1759</v>
      </c>
      <c r="B898" t="s">
        <v>1760</v>
      </c>
      <c r="C898" t="s">
        <v>763</v>
      </c>
      <c r="D898" t="s">
        <v>20</v>
      </c>
      <c r="E898" s="8">
        <v>45764</v>
      </c>
      <c r="F898" s="1" t="s">
        <v>22</v>
      </c>
      <c r="G898" s="1" t="s">
        <v>4</v>
      </c>
      <c r="H898" s="8"/>
      <c r="J898" t="b">
        <v>1</v>
      </c>
      <c r="K898" t="s">
        <v>1761</v>
      </c>
      <c r="L898" s="13" t="str">
        <f>HYPERLINK("https://uk1.aconex.co.uk/hub/index.html?mainTarget=%2FSearchControlledDoc%3FSEARCH_ACTION%3D15%26tab%3D0%26searchMode%3D1%26searchQuery%3Ddocno:%22"&amp;RawData[[#This Row],[Document Number]]&amp;"%22%20%2Bcversion%253A1",RawData[[#This Row],[Document Number]])</f>
        <v>FS1018-PIN-ZZ-ZZ-M-O-0001</v>
      </c>
    </row>
    <row r="899" spans="1:12" ht="43.2" x14ac:dyDescent="0.3">
      <c r="A899" t="s">
        <v>1759</v>
      </c>
      <c r="B899" t="s">
        <v>1760</v>
      </c>
      <c r="C899" t="s">
        <v>763</v>
      </c>
      <c r="D899" t="s">
        <v>20</v>
      </c>
      <c r="E899" s="8">
        <v>45764</v>
      </c>
      <c r="F899" s="1" t="s">
        <v>12</v>
      </c>
      <c r="G899" s="1" t="s">
        <v>21</v>
      </c>
      <c r="H899" s="8">
        <v>45764</v>
      </c>
      <c r="I899" s="1" t="s">
        <v>2051</v>
      </c>
      <c r="J899" t="b">
        <v>1</v>
      </c>
      <c r="K899" t="s">
        <v>1761</v>
      </c>
      <c r="L899" s="13" t="str">
        <f>HYPERLINK("https://uk1.aconex.co.uk/hub/index.html?mainTarget=%2FSearchControlledDoc%3FSEARCH_ACTION%3D15%26tab%3D0%26searchMode%3D1%26searchQuery%3Ddocno:%22"&amp;RawData[[#This Row],[Document Number]]&amp;"%22%20%2Bcversion%253A1",RawData[[#This Row],[Document Number]])</f>
        <v>FS1018-PIN-ZZ-ZZ-M-O-0001</v>
      </c>
    </row>
    <row r="900" spans="1:12" x14ac:dyDescent="0.3">
      <c r="A900" t="s">
        <v>1762</v>
      </c>
      <c r="B900" t="s">
        <v>1763</v>
      </c>
      <c r="C900" t="s">
        <v>695</v>
      </c>
      <c r="D900" t="s">
        <v>19</v>
      </c>
      <c r="E900" s="8">
        <v>45756</v>
      </c>
      <c r="F900" s="1" t="s">
        <v>12</v>
      </c>
      <c r="G900" s="1" t="s">
        <v>24</v>
      </c>
      <c r="H900" s="8">
        <v>45763</v>
      </c>
      <c r="I900" s="1" t="s">
        <v>1785</v>
      </c>
      <c r="J900" t="b">
        <v>1</v>
      </c>
      <c r="K900" t="s">
        <v>1764</v>
      </c>
      <c r="L900" s="13" t="str">
        <f>HYPERLINK("https://uk1.aconex.co.uk/hub/index.html?mainTarget=%2FSearchControlledDoc%3FSEARCH_ACTION%3D15%26tab%3D0%26searchMode%3D1%26searchQuery%3Ddocno:%22"&amp;RawData[[#This Row],[Document Number]]&amp;"%22%20%2Bcversion%253A1",RawData[[#This Row],[Document Number]])</f>
        <v>FS1018-PIN-ZZ-ZZ-M-O-0002</v>
      </c>
    </row>
    <row r="901" spans="1:12" ht="28.8" x14ac:dyDescent="0.3">
      <c r="A901" t="s">
        <v>1762</v>
      </c>
      <c r="B901" t="s">
        <v>1763</v>
      </c>
      <c r="C901" t="s">
        <v>695</v>
      </c>
      <c r="D901" t="s">
        <v>20</v>
      </c>
      <c r="E901" s="8">
        <v>45764</v>
      </c>
      <c r="F901" s="1" t="s">
        <v>22</v>
      </c>
      <c r="G901" s="1" t="s">
        <v>4</v>
      </c>
      <c r="H901" s="8"/>
      <c r="J901" t="b">
        <v>1</v>
      </c>
      <c r="K901" t="s">
        <v>1764</v>
      </c>
      <c r="L901" s="13" t="str">
        <f>HYPERLINK("https://uk1.aconex.co.uk/hub/index.html?mainTarget=%2FSearchControlledDoc%3FSEARCH_ACTION%3D15%26tab%3D0%26searchMode%3D1%26searchQuery%3Ddocno:%22"&amp;RawData[[#This Row],[Document Number]]&amp;"%22%20%2Bcversion%253A1",RawData[[#This Row],[Document Number]])</f>
        <v>FS1018-PIN-ZZ-ZZ-M-O-0002</v>
      </c>
    </row>
    <row r="902" spans="1:12" ht="28.8" x14ac:dyDescent="0.3">
      <c r="A902" t="s">
        <v>1762</v>
      </c>
      <c r="B902" t="s">
        <v>1763</v>
      </c>
      <c r="C902" t="s">
        <v>695</v>
      </c>
      <c r="D902" t="s">
        <v>20</v>
      </c>
      <c r="E902" s="8">
        <v>45764</v>
      </c>
      <c r="F902" s="1" t="s">
        <v>12</v>
      </c>
      <c r="G902" s="1" t="s">
        <v>21</v>
      </c>
      <c r="H902" s="8">
        <v>45764</v>
      </c>
      <c r="I902" s="1" t="s">
        <v>2052</v>
      </c>
      <c r="J902" t="b">
        <v>1</v>
      </c>
      <c r="K902" t="s">
        <v>1764</v>
      </c>
      <c r="L902" s="13" t="str">
        <f>HYPERLINK("https://uk1.aconex.co.uk/hub/index.html?mainTarget=%2FSearchControlledDoc%3FSEARCH_ACTION%3D15%26tab%3D0%26searchMode%3D1%26searchQuery%3Ddocno:%22"&amp;RawData[[#This Row],[Document Number]]&amp;"%22%20%2Bcversion%253A1",RawData[[#This Row],[Document Number]])</f>
        <v>FS1018-PIN-ZZ-ZZ-M-O-0002</v>
      </c>
    </row>
    <row r="903" spans="1:12" x14ac:dyDescent="0.3">
      <c r="A903" t="s">
        <v>1765</v>
      </c>
      <c r="B903" t="s">
        <v>1766</v>
      </c>
      <c r="C903" t="s">
        <v>799</v>
      </c>
      <c r="D903" t="s">
        <v>19</v>
      </c>
      <c r="E903" s="8">
        <v>45756</v>
      </c>
      <c r="F903" s="1" t="s">
        <v>12</v>
      </c>
      <c r="G903" s="1" t="s">
        <v>24</v>
      </c>
      <c r="H903" s="8">
        <v>45763</v>
      </c>
      <c r="I903" s="1" t="s">
        <v>1785</v>
      </c>
      <c r="J903" t="b">
        <v>1</v>
      </c>
      <c r="K903" t="s">
        <v>1767</v>
      </c>
      <c r="L903" s="13" t="str">
        <f>HYPERLINK("https://uk1.aconex.co.uk/hub/index.html?mainTarget=%2FSearchControlledDoc%3FSEARCH_ACTION%3D15%26tab%3D0%26searchMode%3D1%26searchQuery%3Ddocno:%22"&amp;RawData[[#This Row],[Document Number]]&amp;"%22%20%2Bcversion%253A1",RawData[[#This Row],[Document Number]])</f>
        <v>FS1018-PIN-ZZ-ZZ-M-O-0003</v>
      </c>
    </row>
    <row r="904" spans="1:12" x14ac:dyDescent="0.3">
      <c r="A904" t="s">
        <v>1765</v>
      </c>
      <c r="B904" t="s">
        <v>1766</v>
      </c>
      <c r="C904" t="s">
        <v>799</v>
      </c>
      <c r="D904" t="s">
        <v>19</v>
      </c>
      <c r="E904" s="8">
        <v>45764</v>
      </c>
      <c r="F904" s="1" t="s">
        <v>12</v>
      </c>
      <c r="G904" s="1" t="s">
        <v>24</v>
      </c>
      <c r="H904" s="8">
        <v>45764</v>
      </c>
      <c r="I904" s="1" t="s">
        <v>1785</v>
      </c>
      <c r="J904" t="b">
        <v>1</v>
      </c>
      <c r="K904" t="s">
        <v>1767</v>
      </c>
      <c r="L904" s="13" t="str">
        <f>HYPERLINK("https://uk1.aconex.co.uk/hub/index.html?mainTarget=%2FSearchControlledDoc%3FSEARCH_ACTION%3D15%26tab%3D0%26searchMode%3D1%26searchQuery%3Ddocno:%22"&amp;RawData[[#This Row],[Document Number]]&amp;"%22%20%2Bcversion%253A1",RawData[[#This Row],[Document Number]])</f>
        <v>FS1018-PIN-ZZ-ZZ-M-O-0003</v>
      </c>
    </row>
    <row r="905" spans="1:12" x14ac:dyDescent="0.3">
      <c r="A905" t="s">
        <v>1768</v>
      </c>
      <c r="B905" t="s">
        <v>1769</v>
      </c>
      <c r="C905" t="s">
        <v>11</v>
      </c>
      <c r="D905" t="s">
        <v>19</v>
      </c>
      <c r="E905" s="8">
        <v>45756</v>
      </c>
      <c r="F905" s="1" t="s">
        <v>12</v>
      </c>
      <c r="G905" s="1" t="s">
        <v>24</v>
      </c>
      <c r="H905" s="8">
        <v>45763</v>
      </c>
      <c r="I905" s="1" t="s">
        <v>1785</v>
      </c>
      <c r="J905" t="b">
        <v>1</v>
      </c>
      <c r="K905" t="s">
        <v>1770</v>
      </c>
      <c r="L905" s="13" t="str">
        <f>HYPERLINK("https://uk1.aconex.co.uk/hub/index.html?mainTarget=%2FSearchControlledDoc%3FSEARCH_ACTION%3D15%26tab%3D0%26searchMode%3D1%26searchQuery%3Ddocno:%22"&amp;RawData[[#This Row],[Document Number]]&amp;"%22%20%2Bcversion%253A1",RawData[[#This Row],[Document Number]])</f>
        <v>FS1018-PIN-ZZ-ZZ-M-O-0004</v>
      </c>
    </row>
    <row r="906" spans="1:12" ht="43.2" x14ac:dyDescent="0.3">
      <c r="A906" t="s">
        <v>1771</v>
      </c>
      <c r="B906" t="s">
        <v>1772</v>
      </c>
      <c r="C906" t="s">
        <v>11</v>
      </c>
      <c r="D906" t="s">
        <v>20</v>
      </c>
      <c r="E906" s="8">
        <v>45756</v>
      </c>
      <c r="F906" s="1" t="s">
        <v>12</v>
      </c>
      <c r="G906" s="1" t="s">
        <v>21</v>
      </c>
      <c r="H906" s="8">
        <v>45763</v>
      </c>
      <c r="I906" s="1" t="s">
        <v>2053</v>
      </c>
      <c r="J906" t="b">
        <v>1</v>
      </c>
      <c r="K906" t="s">
        <v>1773</v>
      </c>
      <c r="L906" s="13" t="str">
        <f>HYPERLINK("https://uk1.aconex.co.uk/hub/index.html?mainTarget=%2FSearchControlledDoc%3FSEARCH_ACTION%3D15%26tab%3D0%26searchMode%3D1%26searchQuery%3Ddocno:%22"&amp;RawData[[#This Row],[Document Number]]&amp;"%22%20%2Bcversion%253A1",RawData[[#This Row],[Document Number]])</f>
        <v>FS1018-PIN-ZZ-ZZ-M-O-0005</v>
      </c>
    </row>
    <row r="907" spans="1:12" ht="28.8" x14ac:dyDescent="0.3">
      <c r="A907" t="s">
        <v>1771</v>
      </c>
      <c r="B907" t="s">
        <v>1772</v>
      </c>
      <c r="C907" t="s">
        <v>11</v>
      </c>
      <c r="D907" t="s">
        <v>20</v>
      </c>
      <c r="E907" s="8">
        <v>45763</v>
      </c>
      <c r="F907" s="1" t="s">
        <v>22</v>
      </c>
      <c r="G907" s="1" t="s">
        <v>4</v>
      </c>
      <c r="H907" s="8"/>
      <c r="J907" t="b">
        <v>1</v>
      </c>
      <c r="K907" t="s">
        <v>1773</v>
      </c>
      <c r="L907" s="13" t="str">
        <f>HYPERLINK("https://uk1.aconex.co.uk/hub/index.html?mainTarget=%2FSearchControlledDoc%3FSEARCH_ACTION%3D15%26tab%3D0%26searchMode%3D1%26searchQuery%3Ddocno:%22"&amp;RawData[[#This Row],[Document Number]]&amp;"%22%20%2Bcversion%253A1",RawData[[#This Row],[Document Number]])</f>
        <v>FS1018-PIN-ZZ-ZZ-M-O-0005</v>
      </c>
    </row>
    <row r="908" spans="1:12" x14ac:dyDescent="0.3">
      <c r="A908" t="s">
        <v>1774</v>
      </c>
      <c r="B908" t="s">
        <v>1775</v>
      </c>
      <c r="C908" t="s">
        <v>10</v>
      </c>
      <c r="D908" t="s">
        <v>19</v>
      </c>
      <c r="E908" s="8">
        <v>45756</v>
      </c>
      <c r="F908" s="1" t="s">
        <v>12</v>
      </c>
      <c r="G908" s="1" t="s">
        <v>24</v>
      </c>
      <c r="H908" s="8">
        <v>45763</v>
      </c>
      <c r="I908" s="1" t="s">
        <v>1785</v>
      </c>
      <c r="J908" t="b">
        <v>1</v>
      </c>
      <c r="K908" t="s">
        <v>1776</v>
      </c>
      <c r="L908" s="13" t="str">
        <f>HYPERLINK("https://uk1.aconex.co.uk/hub/index.html?mainTarget=%2FSearchControlledDoc%3FSEARCH_ACTION%3D15%26tab%3D0%26searchMode%3D1%26searchQuery%3Ddocno:%22"&amp;RawData[[#This Row],[Document Number]]&amp;"%22%20%2Bcversion%253A1",RawData[[#This Row],[Document Number]])</f>
        <v>FS1018-PIN-ZZ-ZZ-M-O-0006</v>
      </c>
    </row>
  </sheetData>
  <conditionalFormatting sqref="G1:G1048576">
    <cfRule type="containsText" dxfId="8" priority="1" operator="containsText" text="Pending">
      <formula>NOT(ISERROR(SEARCH("Pending",G1)))</formula>
    </cfRule>
    <cfRule type="containsText" dxfId="7" priority="2" operator="containsText" text="C - ">
      <formula>NOT(ISERROR(SEARCH("C - ",G1)))</formula>
    </cfRule>
    <cfRule type="containsText" dxfId="6" priority="3" operator="containsText" text="A - ">
      <formula>NOT(ISERROR(SEARCH("A - ",G1)))</formula>
    </cfRule>
    <cfRule type="containsText" dxfId="5" priority="4" operator="containsText" text="B - ">
      <formula>NOT(ISERROR(SEARCH("B - ",G1)))</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4D8EE5-2CA9-4D81-A215-46F270C0A502}">
  <ds:schemaRefs>
    <ds:schemaRef ds:uri="http://schemas.microsoft.com/DataMashup"/>
  </ds:schemaRefs>
</ds:datastoreItem>
</file>

<file path=docMetadata/LabelInfo.xml><?xml version="1.0" encoding="utf-8"?>
<clbl:labelList xmlns:clbl="http://schemas.microsoft.com/office/2020/mipLabelMetadata">
  <clbl:label id="{428e5717-1df4-456d-8576-f827ff2d20e1}" enabled="1" method="Privileged" siteId="{69033406-071b-4a95-919c-befbd00ae2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Tracker</vt:lpstr>
      <vt:lpstr>RawData</vt:lpstr>
      <vt:lpstr>DateGenerated</vt:lpstr>
      <vt:lpstr>Summary!Print_Area</vt:lpstr>
      <vt:lpstr>Tracker!Print_Titles</vt:lpstr>
      <vt:lpstr>ProjectName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Millinship</dc:creator>
  <cp:lastModifiedBy>Nicole Millinship</cp:lastModifiedBy>
  <cp:lastPrinted>2025-03-23T21:17:24Z</cp:lastPrinted>
  <dcterms:created xsi:type="dcterms:W3CDTF">2024-12-09T14:44:19Z</dcterms:created>
  <dcterms:modified xsi:type="dcterms:W3CDTF">2025-04-24T13:39:08Z</dcterms:modified>
</cp:coreProperties>
</file>