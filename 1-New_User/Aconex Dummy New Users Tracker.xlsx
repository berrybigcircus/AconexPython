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iri\Documents\AconexPython\1-New_User\"/>
    </mc:Choice>
  </mc:AlternateContent>
  <xr:revisionPtr revIDLastSave="0" documentId="13_ncr:1_{B63EFAF2-7E91-40D0-870C-DD603EBF7C0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Tracker" sheetId="1" r:id="rId1"/>
    <sheet name="List dropdowns" sheetId="2" r:id="rId2"/>
    <sheet name="charts" sheetId="3" r:id="rId3"/>
  </sheets>
  <definedNames>
    <definedName name="ProjectList">'List dropdowns'!$A$2:$A$24</definedName>
    <definedName name="YN">'List dropdowns'!$B$2:$B$3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2" i="1"/>
  <c r="J3" i="1"/>
  <c r="J4" i="1"/>
  <c r="J5" i="1"/>
  <c r="J6" i="1"/>
  <c r="J7" i="1"/>
  <c r="J8" i="1"/>
  <c r="J9" i="1"/>
</calcChain>
</file>

<file path=xl/sharedStrings.xml><?xml version="1.0" encoding="utf-8"?>
<sst xmlns="http://schemas.openxmlformats.org/spreadsheetml/2006/main" count="115" uniqueCount="80">
  <si>
    <t>User</t>
  </si>
  <si>
    <t>Company</t>
  </si>
  <si>
    <t>Project</t>
  </si>
  <si>
    <t>Org Admin(s)</t>
  </si>
  <si>
    <t>Done?</t>
  </si>
  <si>
    <t>Action with</t>
  </si>
  <si>
    <t>Comments</t>
  </si>
  <si>
    <t>Date Started</t>
  </si>
  <si>
    <t>Date Completed</t>
  </si>
  <si>
    <t>Total Days</t>
  </si>
  <si>
    <t>NCM - UoN D&amp;F Building</t>
  </si>
  <si>
    <t>Yes</t>
  </si>
  <si>
    <t>MCB - UoM Chemistry L2&amp;L3</t>
  </si>
  <si>
    <t>BBC - Beacon Barracks</t>
  </si>
  <si>
    <t>PHR - Pilot House Leicester</t>
  </si>
  <si>
    <t>WFS - DfE Wisbech</t>
  </si>
  <si>
    <t>Org admin</t>
  </si>
  <si>
    <t>LEU - Endoscopy Unit</t>
  </si>
  <si>
    <t>Cancelled</t>
  </si>
  <si>
    <t>HB</t>
  </si>
  <si>
    <t>SHP - DfE Sacred Heart</t>
  </si>
  <si>
    <t>No</t>
  </si>
  <si>
    <t>AHR - Addenbrookes</t>
  </si>
  <si>
    <t>BIH - Belper Hub</t>
  </si>
  <si>
    <t>Stechford Police</t>
  </si>
  <si>
    <t>TCZ - Twycross Zoo</t>
  </si>
  <si>
    <t>Account Issue</t>
  </si>
  <si>
    <t>Oracle Support</t>
  </si>
  <si>
    <t>RMH - RAF Menwith Hill</t>
  </si>
  <si>
    <t>STF - Schluter Systems</t>
  </si>
  <si>
    <t>PSD - SH Petnet Solutions</t>
  </si>
  <si>
    <t>EDH - LU Energy &amp; Data</t>
  </si>
  <si>
    <t>GKB - UoM George Kenyon</t>
  </si>
  <si>
    <t>ML1 - UoM Chemistry L1</t>
  </si>
  <si>
    <t>WPS - Wolverhampton Police</t>
  </si>
  <si>
    <t>DSW - Manchester Dover Street</t>
  </si>
  <si>
    <t>QMC Endoscopy</t>
  </si>
  <si>
    <t>CDC - NUHT</t>
  </si>
  <si>
    <t>(All)</t>
  </si>
  <si>
    <t>Row Labels</t>
  </si>
  <si>
    <t>Average of Total Days</t>
  </si>
  <si>
    <t>Count of User</t>
  </si>
  <si>
    <t>2023</t>
  </si>
  <si>
    <t>Qtr3</t>
  </si>
  <si>
    <t>Qtr4</t>
  </si>
  <si>
    <t>2024</t>
  </si>
  <si>
    <t>Qtr1</t>
  </si>
  <si>
    <t>Qtr2</t>
  </si>
  <si>
    <t>Grand Total</t>
  </si>
  <si>
    <t>Jun</t>
  </si>
  <si>
    <t>Apr</t>
  </si>
  <si>
    <t>May</t>
  </si>
  <si>
    <t>Sep</t>
  </si>
  <si>
    <t>Jul</t>
  </si>
  <si>
    <t>Aug</t>
  </si>
  <si>
    <t>Oct</t>
  </si>
  <si>
    <t>Nov</t>
  </si>
  <si>
    <t>Dec</t>
  </si>
  <si>
    <t>Anthony Apple</t>
  </si>
  <si>
    <t>Angela Apple</t>
  </si>
  <si>
    <t>Company A</t>
  </si>
  <si>
    <t>HB Test</t>
  </si>
  <si>
    <t>Company B</t>
  </si>
  <si>
    <t>Bertha Bagel</t>
  </si>
  <si>
    <t>Bob Banana</t>
  </si>
  <si>
    <t>Charlotte Newgent</t>
  </si>
  <si>
    <t>Dolph Lundgren</t>
  </si>
  <si>
    <t>Fabulous Architects</t>
  </si>
  <si>
    <t>Creative Spaces Ltd</t>
  </si>
  <si>
    <t>Skyhigh Seating Systems Pty Ltd</t>
  </si>
  <si>
    <t xml:space="preserve">	testing_1</t>
  </si>
  <si>
    <t>Isaac Nasser</t>
  </si>
  <si>
    <t>User One</t>
  </si>
  <si>
    <t>Isaac Nasser &lt;blackhole@aconex.com&gt;</t>
  </si>
  <si>
    <t>Charlotte Newgent &lt;blackhole@aconex.com&gt;</t>
  </si>
  <si>
    <t>Type</t>
  </si>
  <si>
    <t>Gotham City Area Transit Authority</t>
  </si>
  <si>
    <t>Luca Brewer</t>
  </si>
  <si>
    <t>HB Test 2</t>
  </si>
  <si>
    <t>Added to All?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</si>
</sst>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i/>
      <sz val="10"/>
      <color theme="1"/>
      <name val="Century Gothic"/>
      <family val="2"/>
      <scheme val="minor"/>
    </font>
    <font>
      <i/>
      <sz val="11"/>
      <color rgb="FF7F7F7F"/>
      <name val="Century Gothic"/>
      <family val="2"/>
      <scheme val="minor"/>
    </font>
    <font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4" fontId="0" fillId="0" borderId="0" xfId="0" applyNumberFormat="1" applyAlignment="1">
      <alignment horizontal="left" wrapText="1"/>
    </xf>
    <xf numFmtId="0" fontId="1" fillId="0" borderId="0" xfId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0" xfId="2"/>
    <xf numFmtId="0" fontId="0" fillId="0" borderId="0" xfId="0" applyAlignment="1">
      <alignment horizontal="left" indent="2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vertical="top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</cellXfs>
  <cellStyles count="3">
    <cellStyle name="Explanatory Text" xfId="2" builtinId="53"/>
    <cellStyle name="Heading 4" xfId="1" builtinId="19"/>
    <cellStyle name="Normal" xfId="0" builtinId="0"/>
  </cellStyles>
  <dxfs count="18"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i/>
        <strike val="0"/>
        <outline val="0"/>
        <shadow val="0"/>
        <u val="none"/>
        <vertAlign val="baseline"/>
        <sz val="10"/>
        <color theme="1"/>
        <name val="Century Gothic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[Aconex Dummy New Users Tracker.xlsx]charts!PivotTable1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charts!$B$4</c:f>
              <c:strCache>
                <c:ptCount val="1"/>
                <c:pt idx="0">
                  <c:v>Average of Total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charts!$A$5:$A$25</c:f>
              <c:multiLvlStrCache>
                <c:ptCount val="13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5">
                    <c:v>Apr</c:v>
                  </c:pt>
                  <c:pt idx="6">
                    <c:v>May</c:v>
                  </c:pt>
                  <c:pt idx="7">
                    <c:v>Jun</c:v>
                  </c:pt>
                  <c:pt idx="8">
                    <c:v>Jul</c:v>
                  </c:pt>
                  <c:pt idx="9">
                    <c:v>Aug</c:v>
                  </c:pt>
                  <c:pt idx="10">
                    <c:v>Sep</c:v>
                  </c:pt>
                  <c:pt idx="11">
                    <c:v>Oct</c:v>
                  </c:pt>
                  <c:pt idx="12">
                    <c:v>Nov</c:v>
                  </c:pt>
                </c:lvl>
                <c:lvl>
                  <c:pt idx="0">
                    <c:v>Qtr3</c:v>
                  </c:pt>
                  <c:pt idx="1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8">
                    <c:v>Qtr3</c:v>
                  </c:pt>
                  <c:pt idx="11">
                    <c:v>Qtr4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</c:lvl>
              </c:multiLvlStrCache>
            </c:multiLvlStrRef>
          </c:cat>
          <c:val>
            <c:numRef>
              <c:f>charts!$B$5:$B$25</c:f>
              <c:numCache>
                <c:formatCode>General</c:formatCode>
                <c:ptCount val="13"/>
                <c:pt idx="0">
                  <c:v>29</c:v>
                </c:pt>
                <c:pt idx="1">
                  <c:v>6.666666666666667</c:v>
                </c:pt>
                <c:pt idx="2">
                  <c:v>34.520000000000003</c:v>
                </c:pt>
                <c:pt idx="3">
                  <c:v>30.2</c:v>
                </c:pt>
                <c:pt idx="4">
                  <c:v>30.805555555555557</c:v>
                </c:pt>
                <c:pt idx="5">
                  <c:v>36.628571428571426</c:v>
                </c:pt>
                <c:pt idx="6">
                  <c:v>37.833333333333336</c:v>
                </c:pt>
                <c:pt idx="7">
                  <c:v>23.884615384615383</c:v>
                </c:pt>
                <c:pt idx="8">
                  <c:v>29.4</c:v>
                </c:pt>
                <c:pt idx="9">
                  <c:v>14.948717948717949</c:v>
                </c:pt>
                <c:pt idx="10">
                  <c:v>22.9</c:v>
                </c:pt>
                <c:pt idx="11">
                  <c:v>12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E-48EF-99CC-89BDF934460C}"/>
            </c:ext>
          </c:extLst>
        </c:ser>
        <c:ser>
          <c:idx val="1"/>
          <c:order val="1"/>
          <c:tx>
            <c:strRef>
              <c:f>charts!$C$4</c:f>
              <c:strCache>
                <c:ptCount val="1"/>
                <c:pt idx="0">
                  <c:v>Count of User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charts!$A$5:$A$25</c:f>
              <c:multiLvlStrCache>
                <c:ptCount val="13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5">
                    <c:v>Apr</c:v>
                  </c:pt>
                  <c:pt idx="6">
                    <c:v>May</c:v>
                  </c:pt>
                  <c:pt idx="7">
                    <c:v>Jun</c:v>
                  </c:pt>
                  <c:pt idx="8">
                    <c:v>Jul</c:v>
                  </c:pt>
                  <c:pt idx="9">
                    <c:v>Aug</c:v>
                  </c:pt>
                  <c:pt idx="10">
                    <c:v>Sep</c:v>
                  </c:pt>
                  <c:pt idx="11">
                    <c:v>Oct</c:v>
                  </c:pt>
                  <c:pt idx="12">
                    <c:v>Nov</c:v>
                  </c:pt>
                </c:lvl>
                <c:lvl>
                  <c:pt idx="0">
                    <c:v>Qtr3</c:v>
                  </c:pt>
                  <c:pt idx="1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8">
                    <c:v>Qtr3</c:v>
                  </c:pt>
                  <c:pt idx="11">
                    <c:v>Qtr4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</c:lvl>
              </c:multiLvlStrCache>
            </c:multiLvlStrRef>
          </c:cat>
          <c:val>
            <c:numRef>
              <c:f>charts!$C$5:$C$25</c:f>
              <c:numCache>
                <c:formatCode>General</c:formatCode>
                <c:ptCount val="13"/>
                <c:pt idx="0">
                  <c:v>1</c:v>
                </c:pt>
                <c:pt idx="1">
                  <c:v>3</c:v>
                </c:pt>
                <c:pt idx="2">
                  <c:v>25</c:v>
                </c:pt>
                <c:pt idx="3">
                  <c:v>5</c:v>
                </c:pt>
                <c:pt idx="4">
                  <c:v>36</c:v>
                </c:pt>
                <c:pt idx="5">
                  <c:v>35</c:v>
                </c:pt>
                <c:pt idx="6">
                  <c:v>12</c:v>
                </c:pt>
                <c:pt idx="7">
                  <c:v>78</c:v>
                </c:pt>
                <c:pt idx="8">
                  <c:v>25</c:v>
                </c:pt>
                <c:pt idx="9">
                  <c:v>39</c:v>
                </c:pt>
                <c:pt idx="10">
                  <c:v>10</c:v>
                </c:pt>
                <c:pt idx="11">
                  <c:v>31</c:v>
                </c:pt>
                <c:pt idx="1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1E-48EF-99CC-89BDF9344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723487"/>
        <c:axId val="286723967"/>
      </c:barChart>
      <c:catAx>
        <c:axId val="28672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723967"/>
        <c:crosses val="autoZero"/>
        <c:auto val="1"/>
        <c:lblAlgn val="ctr"/>
        <c:lblOffset val="100"/>
        <c:noMultiLvlLbl val="0"/>
      </c:catAx>
      <c:valAx>
        <c:axId val="28672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72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374500</xdr:colOff>
      <xdr:row>1</xdr:row>
      <xdr:rowOff>69476</xdr:rowOff>
    </xdr:from>
    <xdr:to>
      <xdr:col>12</xdr:col>
      <xdr:colOff>497989</xdr:colOff>
      <xdr:row>25</xdr:row>
      <xdr:rowOff>21470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9865C9-6094-D195-603C-4EF41109D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e Millinship" refreshedDate="45610.443683449077" createdVersion="8" refreshedVersion="8" minRefreshableVersion="3" recordCount="311" xr:uid="{8DBB057B-A5A3-4C47-ABDA-110CA31583B8}">
  <cacheSource type="worksheet">
    <worksheetSource name="Table1"/>
  </cacheSource>
  <cacheFields count="13">
    <cacheField name="User" numFmtId="0">
      <sharedItems/>
    </cacheField>
    <cacheField name="Company" numFmtId="0">
      <sharedItems containsBlank="1"/>
    </cacheField>
    <cacheField name="Project" numFmtId="0">
      <sharedItems count="12">
        <s v="NCM - UoN D&amp;F Building"/>
        <s v="MCB - UoM Chemistry L2&amp;L3"/>
        <s v="BBC - Beacon Barracks"/>
        <s v="PHR - Pilot House Leicester"/>
        <s v="WFS - DfE Wisbech"/>
        <s v="LEU - Endoscopy Unit"/>
        <s v="SHP - DfE Sacred Heart"/>
        <s v="AHR - Addenbrookes"/>
        <s v="Wolverhampton Police"/>
        <s v="BIH - Belper Hub"/>
        <s v="Stechford Police"/>
        <s v="TCZ - Twycross Zoo"/>
      </sharedItems>
    </cacheField>
    <cacheField name="Org Admin(s)" numFmtId="0">
      <sharedItems containsBlank="1"/>
    </cacheField>
    <cacheField name="Done?" numFmtId="0">
      <sharedItems count="4">
        <s v="Yes"/>
        <s v="Cancelled"/>
        <s v="No"/>
        <s v="Account Issue" u="1"/>
      </sharedItems>
    </cacheField>
    <cacheField name="Action with" numFmtId="0">
      <sharedItems containsBlank="1"/>
    </cacheField>
    <cacheField name="Comments" numFmtId="0">
      <sharedItems containsBlank="1"/>
    </cacheField>
    <cacheField name="Date Started" numFmtId="14">
      <sharedItems containsSemiMixedTypes="0" containsNonDate="0" containsDate="1" containsString="0" minDate="2023-09-27T00:00:00" maxDate="2024-11-15T00:00:00" count="108">
        <d v="2023-09-27T00:00:00"/>
        <d v="2023-10-16T00:00:00"/>
        <d v="2023-10-30T00:00:00"/>
        <d v="2023-11-02T00:00:00"/>
        <d v="2023-11-03T00:00:00"/>
        <d v="2023-11-08T00:00:00"/>
        <d v="2023-11-06T00:00:00"/>
        <d v="2023-11-09T00:00:00"/>
        <d v="2023-11-10T00:00:00"/>
        <d v="2023-11-13T00:00:00"/>
        <d v="2023-11-14T00:00:00"/>
        <d v="2023-11-15T00:00:00"/>
        <d v="2023-11-16T00:00:00"/>
        <d v="2023-11-21T00:00:00"/>
        <d v="2023-11-22T00:00:00"/>
        <d v="2023-11-29T00:00:00"/>
        <d v="2023-12-07T00:00:00"/>
        <d v="2023-12-14T00:00:00"/>
        <d v="2024-01-08T00:00:00"/>
        <d v="2024-01-19T00:00:00"/>
        <d v="2024-01-29T00:00:00"/>
        <d v="2024-02-09T00:00:00"/>
        <d v="2024-02-13T00:00:00"/>
        <d v="2024-02-14T00:00:00"/>
        <d v="2024-02-15T00:00:00"/>
        <d v="2024-11-12T00:00:00"/>
        <d v="2024-03-11T00:00:00"/>
        <d v="2024-03-14T00:00:00"/>
        <d v="2024-03-21T00:00:00"/>
        <d v="2024-02-19T00:00:00"/>
        <d v="2024-03-25T00:00:00"/>
        <d v="2024-04-04T00:00:00"/>
        <d v="2024-04-15T00:00:00"/>
        <d v="2024-04-16T00:00:00"/>
        <d v="2024-04-17T00:00:00"/>
        <d v="2024-04-23T00:00:00"/>
        <d v="2024-04-26T00:00:00"/>
        <d v="2024-05-09T00:00:00"/>
        <d v="2024-05-14T00:00:00"/>
        <d v="2023-12-20T00:00:00"/>
        <d v="2024-02-23T00:00:00"/>
        <d v="2024-06-03T00:00:00"/>
        <d v="2024-04-19T00:00:00"/>
        <d v="2024-04-22T00:00:00"/>
        <d v="2024-06-06T00:00:00"/>
        <d v="2024-06-12T00:00:00"/>
        <d v="2024-05-17T00:00:00"/>
        <d v="2024-06-04T00:00:00"/>
        <d v="2023-11-30T00:00:00"/>
        <d v="2024-03-19T00:00:00"/>
        <d v="2024-05-22T00:00:00"/>
        <d v="2024-05-23T00:00:00"/>
        <d v="2024-05-28T00:00:00"/>
        <d v="2024-05-31T00:00:00"/>
        <d v="2024-06-25T00:00:00"/>
        <d v="2024-06-17T00:00:00"/>
        <d v="2024-06-05T00:00:00"/>
        <d v="2024-04-24T00:00:00"/>
        <d v="2024-06-11T00:00:00"/>
        <d v="2024-07-24T00:00:00"/>
        <d v="2024-08-06T00:00:00"/>
        <d v="2024-06-13T00:00:00"/>
        <d v="2024-08-20T00:00:00"/>
        <d v="2024-06-18T00:00:00"/>
        <d v="2024-06-19T00:00:00"/>
        <d v="2024-06-24T00:00:00"/>
        <d v="2024-07-11T00:00:00"/>
        <d v="2024-07-10T00:00:00"/>
        <d v="2024-02-21T00:00:00"/>
        <d v="2024-06-26T00:00:00"/>
        <d v="2024-07-04T00:00:00"/>
        <d v="2024-07-05T00:00:00"/>
        <d v="2024-07-09T00:00:00"/>
        <d v="2024-07-12T00:00:00"/>
        <d v="2024-07-16T00:00:00"/>
        <d v="2024-07-17T00:00:00"/>
        <d v="2024-04-03T00:00:00"/>
        <d v="2024-07-18T00:00:00"/>
        <d v="2024-07-22T00:00:00"/>
        <d v="2024-07-23T00:00:00"/>
        <d v="2024-07-26T00:00:00"/>
        <d v="2024-07-30T00:00:00"/>
        <d v="2024-08-01T00:00:00"/>
        <d v="2024-08-02T00:00:00"/>
        <d v="2024-08-08T00:00:00"/>
        <d v="2024-08-09T00:00:00"/>
        <d v="2024-08-12T00:00:00"/>
        <d v="2024-08-16T00:00:00"/>
        <d v="2024-08-21T00:00:00"/>
        <d v="2024-08-23T00:00:00"/>
        <d v="2024-08-27T00:00:00"/>
        <d v="2024-08-28T00:00:00"/>
        <d v="2024-08-29T00:00:00"/>
        <d v="2024-09-09T00:00:00"/>
        <d v="2024-09-13T00:00:00"/>
        <d v="2024-09-18T00:00:00"/>
        <d v="2024-09-20T00:00:00"/>
        <d v="2024-09-23T00:00:00"/>
        <d v="2024-10-04T00:00:00"/>
        <d v="2024-10-11T00:00:00"/>
        <d v="2024-10-14T00:00:00"/>
        <d v="2024-10-15T00:00:00"/>
        <d v="2024-10-16T00:00:00"/>
        <d v="2024-10-23T00:00:00"/>
        <d v="2024-10-24T00:00:00"/>
        <d v="2024-11-08T00:00:00"/>
        <d v="2024-11-14T00:00:00"/>
        <d v="2024-08-30T00:00:00" u="1"/>
      </sharedItems>
      <fieldGroup par="12"/>
    </cacheField>
    <cacheField name="Date Completed" numFmtId="0">
      <sharedItems containsNonDate="0" containsDate="1" containsString="0" containsBlank="1" minDate="2023-10-25T00:00:00" maxDate="2024-11-13T00:00:00"/>
    </cacheField>
    <cacheField name="Total Days" numFmtId="0">
      <sharedItems containsSemiMixedTypes="0" containsString="0" containsNumber="1" containsInteger="1" minValue="1" maxValue="368"/>
    </cacheField>
    <cacheField name="Months (Date Started)" numFmtId="0" databaseField="0">
      <fieldGroup base="7">
        <rangePr groupBy="months" startDate="2023-09-27T00:00:00" endDate="2024-11-15T00:00:00"/>
        <groupItems count="14">
          <s v="&lt;27/09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/11/2024"/>
        </groupItems>
      </fieldGroup>
    </cacheField>
    <cacheField name="Quarters (Date Started)" numFmtId="0" databaseField="0">
      <fieldGroup base="7">
        <rangePr groupBy="quarters" startDate="2023-09-27T00:00:00" endDate="2024-11-15T00:00:00"/>
        <groupItems count="6">
          <s v="&lt;27/09/2023"/>
          <s v="Qtr1"/>
          <s v="Qtr2"/>
          <s v="Qtr3"/>
          <s v="Qtr4"/>
          <s v="&gt;15/11/2024"/>
        </groupItems>
      </fieldGroup>
    </cacheField>
    <cacheField name="Years (Date Started)" numFmtId="0" databaseField="0">
      <fieldGroup base="7">
        <rangePr groupBy="years" startDate="2023-09-27T00:00:00" endDate="2024-11-15T00:00:00"/>
        <groupItems count="4">
          <s v="&lt;27/09/2023"/>
          <s v="2023"/>
          <s v="2024"/>
          <s v="&gt;15/1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s v="Dave Taylder"/>
    <s v="_x0009_Howard Ward Associates Ltd"/>
    <x v="0"/>
    <s v="_x0009_jo.heffernan@hwaconsulting.co.uk"/>
    <x v="0"/>
    <m/>
    <s v="Used guest account trick to find Dave and add him"/>
    <x v="0"/>
    <d v="2023-10-25T00:00:00"/>
    <n v="29"/>
  </r>
  <r>
    <s v="Ben Eames &lt;Ben.Eames@nottingham.ac.uk&gt;"/>
    <s v="University of Nottingham"/>
    <x v="0"/>
    <s v="Mita Saxena estatessystems@nottingham.ac.uk"/>
    <x v="0"/>
    <m/>
    <s v="Org admin changed, needs to create account for Ben"/>
    <x v="1"/>
    <d v="2023-11-02T00:00:00"/>
    <n v="18"/>
  </r>
  <r>
    <s v="Catherine Pollitt"/>
    <s v="SP Decorators"/>
    <x v="1"/>
    <s v="N/A"/>
    <x v="0"/>
    <m/>
    <s v="Guest account"/>
    <x v="2"/>
    <d v="2023-10-30T00:00:00"/>
    <n v="1"/>
  </r>
  <r>
    <s v="Patrick Goudkuil &lt;patrick@djgoode.co.uk&gt;"/>
    <s v="D.J. Goode and Associates Ltd"/>
    <x v="2"/>
    <s v="helen@djgoode.co.uk_x000a_mark@djgoode.co.uk"/>
    <x v="0"/>
    <m/>
    <s v="Found Patrick with guest account trick"/>
    <x v="2"/>
    <d v="2023-10-30T00:00:00"/>
    <n v="1"/>
  </r>
  <r>
    <s v="Richard Mckenzie &lt;richard@logicaluminium.com&gt;"/>
    <s v="Logic Aluminium Systems Ltd"/>
    <x v="3"/>
    <s v="_x0009_john@logicaluminium.com"/>
    <x v="0"/>
    <m/>
    <s v="Guest account trick"/>
    <x v="3"/>
    <d v="2023-11-02T00:00:00"/>
    <n v="1"/>
  </r>
  <r>
    <s v="Ryan Cameron &lt;ryan@logicaluminium.com&gt; "/>
    <s v="Logic Aluminium Systems Ltd"/>
    <x v="3"/>
    <s v="_x0009_john@logicaluminium.com"/>
    <x v="0"/>
    <m/>
    <m/>
    <x v="3"/>
    <d v="2023-11-02T00:00:00"/>
    <n v="1"/>
  </r>
  <r>
    <s v=" Ian Lyne ilyne@titanintsol.com"/>
    <s v="Horbury Building Systems"/>
    <x v="0"/>
    <m/>
    <x v="0"/>
    <m/>
    <s v="Accounts under Horbury Group"/>
    <x v="4"/>
    <d v="2023-11-03T00:00:00"/>
    <n v="1"/>
  </r>
  <r>
    <s v="Ed Filtness efiltness@titanintsol.com "/>
    <s v="Horbury Building Systems"/>
    <x v="0"/>
    <m/>
    <x v="0"/>
    <m/>
    <s v="Accounts under Horbury Group"/>
    <x v="4"/>
    <d v="2023-11-03T00:00:00"/>
    <n v="1"/>
  </r>
  <r>
    <s v="Adrian Franks"/>
    <s v="Electract Ltd"/>
    <x v="2"/>
    <m/>
    <x v="0"/>
    <m/>
    <s v="Guest account trick"/>
    <x v="5"/>
    <d v="2023-11-08T00:00:00"/>
    <n v="1"/>
  </r>
  <r>
    <s v="christian.alexander@altoconstruct.co.uk"/>
    <s v="Alto Construct"/>
    <x v="2"/>
    <s v="Andrew Peacock &lt;Andrew.Peacock@altoconstruct.co.uk&gt; "/>
    <x v="0"/>
    <m/>
    <s v="Can't login - doesn't know login name / email_x000a_Told to ask Andy to confirm it"/>
    <x v="6"/>
    <d v="2023-11-13T00:00:00"/>
    <n v="8"/>
  </r>
  <r>
    <s v="Harry Cherry &gt;harry.cherry@hexaconsulting.co.uk&lt;"/>
    <s v="Hexa Consulting"/>
    <x v="4"/>
    <m/>
    <x v="0"/>
    <m/>
    <m/>
    <x v="7"/>
    <d v="2023-11-09T00:00:00"/>
    <n v="1"/>
  </r>
  <r>
    <s v="Jonathan Nimer &gt;jonathan.nimer@cpmg-architects.com&lt;"/>
    <s v="CPMG"/>
    <x v="4"/>
    <s v="Anil"/>
    <x v="0"/>
    <m/>
    <m/>
    <x v="8"/>
    <d v="2023-11-10T00:00:00"/>
    <n v="1"/>
  </r>
  <r>
    <s v="Christina Agathangelou &gt;Christina.Agathangelou@cpmg-architects.com&lt;"/>
    <s v="CPMG"/>
    <x v="4"/>
    <s v="Anil"/>
    <x v="0"/>
    <m/>
    <m/>
    <x v="8"/>
    <d v="2023-11-10T00:00:00"/>
    <n v="1"/>
  </r>
  <r>
    <s v="Linda Wynder &lt;linda.wynder@boonedam.com&gt;"/>
    <s v="Boon Edam (UK) Limited"/>
    <x v="0"/>
    <s v="meghan.allen@boonedam.com_x000a_linda.wynder@boonedam.com"/>
    <x v="0"/>
    <m/>
    <m/>
    <x v="9"/>
    <d v="2023-11-13T00:00:00"/>
    <n v="1"/>
  </r>
  <r>
    <s v="Meghan Allen &lt;meghan.allen@boonedam.com&gt;"/>
    <s v="Boon Edam (UK) Limited"/>
    <x v="0"/>
    <s v="meghan.allen@boonedam.com_x000a_linda.wynder@boonedam.com"/>
    <x v="0"/>
    <m/>
    <m/>
    <x v="9"/>
    <d v="2023-11-13T00:00:00"/>
    <n v="1"/>
  </r>
  <r>
    <s v="James Storey &gt;james.storey@active-flooring.com&lt;"/>
    <s v="Active Flooring"/>
    <x v="1"/>
    <m/>
    <x v="0"/>
    <m/>
    <s v="Guest account"/>
    <x v="10"/>
    <d v="2023-11-14T00:00:00"/>
    <n v="1"/>
  </r>
  <r>
    <s v="David Lavery  &gt;david.lavery@active-flooring.com&lt;"/>
    <s v="Active Flooring"/>
    <x v="1"/>
    <m/>
    <x v="0"/>
    <m/>
    <s v="Guest account trick"/>
    <x v="10"/>
    <d v="2023-11-14T00:00:00"/>
    <n v="1"/>
  </r>
  <r>
    <s v="jake@amicibrickwork.com"/>
    <s v="Amici Brickwork"/>
    <x v="3"/>
    <s v="Jake &lt;jake@amicibrickwork.com&gt;"/>
    <x v="0"/>
    <s v="User"/>
    <s v="Jake says that Amici Building Contractors is separate to Amici Brickwork, so he will register himself under Amici Brickwork"/>
    <x v="11"/>
    <d v="2023-11-16T00:00:00"/>
    <n v="2"/>
  </r>
  <r>
    <s v="shaun@amicibrickwork.com"/>
    <s v="_x0009_Amici Building Contractors Limited"/>
    <x v="3"/>
    <s v="andy@amicibrickwork.com"/>
    <x v="0"/>
    <m/>
    <m/>
    <x v="11"/>
    <d v="2023-11-15T00:00:00"/>
    <n v="1"/>
  </r>
  <r>
    <s v="Mark Coates &lt;mark@djgoode.co.uk&gt;"/>
    <s v="_x0009_D.J. Goode and Associates Ltd"/>
    <x v="2"/>
    <m/>
    <x v="0"/>
    <m/>
    <m/>
    <x v="12"/>
    <d v="2023-11-16T00:00:00"/>
    <n v="1"/>
  </r>
  <r>
    <s v="Liam Hegarty &lt;LiamHegarty@pickeverard.co.uk&gt;"/>
    <s v="Pick Everard"/>
    <x v="2"/>
    <m/>
    <x v="0"/>
    <m/>
    <s v="Needs one of the admins to create an account for him"/>
    <x v="12"/>
    <d v="2023-11-20T00:00:00"/>
    <n v="5"/>
  </r>
  <r>
    <s v="Max hebden &lt;max@whittbrothers.co.uk&gt;"/>
    <s v="Whitt Brothers"/>
    <x v="0"/>
    <s v="alex@whittbrothers.co.uk"/>
    <x v="0"/>
    <s v="Org admin"/>
    <m/>
    <x v="13"/>
    <d v="2023-11-22T00:00:00"/>
    <n v="2"/>
  </r>
  <r>
    <s v="alex@whittbrothers.co.uk"/>
    <s v="Whitt Brothers"/>
    <x v="0"/>
    <s v="alex@whittbrothers.co.uk"/>
    <x v="0"/>
    <m/>
    <m/>
    <x v="13"/>
    <d v="2023-11-21T00:00:00"/>
    <n v="1"/>
  </r>
  <r>
    <s v="Mark Maddison &lt;Mark.Maddison@arup.com&gt;"/>
    <s v="ARUP"/>
    <x v="0"/>
    <s v="Various"/>
    <x v="0"/>
    <s v="Org admin"/>
    <m/>
    <x v="14"/>
    <d v="2024-03-07T00:00:00"/>
    <n v="107"/>
  </r>
  <r>
    <s v="Martin Evley "/>
    <s v="University of Nottingham"/>
    <x v="0"/>
    <s v="Mita at estatessystems@nottingham.ac.uk "/>
    <x v="0"/>
    <m/>
    <m/>
    <x v="14"/>
    <d v="2023-11-24T00:00:00"/>
    <n v="3"/>
  </r>
  <r>
    <s v="Dami Akingbade &lt;dami.akingbade@hwaconsulting.co.uk&gt;"/>
    <s v="Howard Ward Associates Ltd"/>
    <x v="0"/>
    <s v="_x0009_jo.heffernan@hwaconsulting.co.uk"/>
    <x v="0"/>
    <s v="Org admin"/>
    <m/>
    <x v="14"/>
    <d v="2023-11-22T00:00:00"/>
    <n v="1"/>
  </r>
  <r>
    <s v="Joe Wharton &lt;joe.wharton@active-flooring.com&gt;"/>
    <s v="Active Flooring"/>
    <x v="1"/>
    <m/>
    <x v="0"/>
    <m/>
    <s v="GUEST ACCOUNT - have asked him to get upgraded to full account"/>
    <x v="15"/>
    <d v="2023-11-29T00:00:00"/>
    <n v="1"/>
  </r>
  <r>
    <s v="Mark Boag Mark.boag@permabondlaminates.co.uk"/>
    <s v="Permabond Laminates"/>
    <x v="1"/>
    <m/>
    <x v="0"/>
    <m/>
    <s v="GUEST ACCOUNT - have asked him to get upgraded to full account"/>
    <x v="16"/>
    <d v="2023-12-07T00:00:00"/>
    <n v="1"/>
  </r>
  <r>
    <s v="Mark Edge  m.edge@permabondlaminates.co.uk"/>
    <s v="Permabond Laminates"/>
    <x v="1"/>
    <m/>
    <x v="0"/>
    <m/>
    <m/>
    <x v="16"/>
    <d v="2023-12-07T00:00:00"/>
    <n v="1"/>
  </r>
  <r>
    <s v="Carl Martin  c.martin@permabondlaminates.co.uk"/>
    <s v="Permabond Laminates"/>
    <x v="1"/>
    <m/>
    <x v="0"/>
    <m/>
    <m/>
    <x v="16"/>
    <d v="2023-12-07T00:00:00"/>
    <n v="1"/>
  </r>
  <r>
    <s v="Carlos Gomes &lt;C.Gomes@bondbryan.co.uk&gt;"/>
    <s v="_x0009_Bond Bryan"/>
    <x v="0"/>
    <s v="documentcontrol@bondbryan.co.uk"/>
    <x v="0"/>
    <s v="Org admin"/>
    <m/>
    <x v="17"/>
    <d v="2023-12-19T00:00:00"/>
    <n v="6"/>
  </r>
  <r>
    <s v="Martin martin@elitefirestop.co.uk"/>
    <s v="Elite Fire Stop"/>
    <x v="2"/>
    <s v="Connor Holmes &lt;connor@elitefirestop.co.uk&gt;"/>
    <x v="0"/>
    <s v="Org admin"/>
    <m/>
    <x v="18"/>
    <d v="2024-01-16T00:00:00"/>
    <n v="9"/>
  </r>
  <r>
    <s v="Emma Green (emma.green@elitefirestop.co.uk)"/>
    <s v="Elite Fire Stop"/>
    <x v="2"/>
    <s v="Connor Holmes &lt;connor@elitefirestop.co.uk&gt;"/>
    <x v="0"/>
    <m/>
    <m/>
    <x v="18"/>
    <d v="2024-01-16T00:00:00"/>
    <n v="9"/>
  </r>
  <r>
    <s v="Barry Deane info@emceilings.co.uk"/>
    <s v="East Midlands Ceiling"/>
    <x v="0"/>
    <m/>
    <x v="0"/>
    <s v="User"/>
    <s v="New organisation"/>
    <x v="19"/>
    <d v="2024-02-07T00:00:00"/>
    <n v="20"/>
  </r>
  <r>
    <s v="joe.fisher@morrisig.co.uk"/>
    <s v="Alto Construct"/>
    <x v="2"/>
    <s v="adam.bateman@altoconstruct.co.uk"/>
    <x v="0"/>
    <s v="Org admin"/>
    <m/>
    <x v="20"/>
    <d v="2024-01-29T00:00:00"/>
    <n v="1"/>
  </r>
  <r>
    <s v="James Connelly &lt;Jamesc@nraroofing.co.uk&gt; "/>
    <s v="NRA Roofing"/>
    <x v="3"/>
    <s v="craig@nraroofing.co.uk"/>
    <x v="0"/>
    <m/>
    <m/>
    <x v="21"/>
    <d v="2024-02-16T00:00:00"/>
    <n v="8"/>
  </r>
  <r>
    <s v="Danny Orwin &lt;Danny@telling-finishings.co.uk&gt;"/>
    <s v="Telliing ( Finishings ) Ltd"/>
    <x v="0"/>
    <s v="Danny@telling-finishings.co.uk"/>
    <x v="0"/>
    <m/>
    <s v="Under a funny organisation name"/>
    <x v="22"/>
    <d v="2024-02-13T00:00:00"/>
    <n v="1"/>
  </r>
  <r>
    <s v="Glen Furnival &lt;glen@fpc.uk.com&gt;"/>
    <s v="Fire Protection Compliance Ltd"/>
    <x v="0"/>
    <s v="Glen Furnival &lt;glen@fpc.uk.com&gt;"/>
    <x v="0"/>
    <m/>
    <s v="New organisation"/>
    <x v="23"/>
    <d v="2024-02-15T00:00:00"/>
    <n v="2"/>
  </r>
  <r>
    <s v="Sally Nwachukwu &lt;SallyNwachukwu@pickeverard.co.uk&gt;"/>
    <s v="Pick Everard"/>
    <x v="2"/>
    <s v="Kriti Kanabar &lt;KritiKanabar@pickeverard.co.uk&gt;"/>
    <x v="0"/>
    <m/>
    <s v="Need them to log in so I can see account"/>
    <x v="24"/>
    <d v="2024-02-16T00:00:00"/>
    <n v="2"/>
  </r>
  <r>
    <s v="Mark@nsceilings.co.uk-"/>
    <s v="Nottingham Suspended Ceilings"/>
    <x v="2"/>
    <s v="Mark@nsceilings.co.uk-"/>
    <x v="0"/>
    <s v="User"/>
    <s v="2sv fixed"/>
    <x v="25"/>
    <d v="2024-11-12T00:00:00"/>
    <n v="1"/>
  </r>
  <r>
    <s v="richard.hinton@apexacoustics.co.uk"/>
    <s v="Apex Acoustics"/>
    <x v="5"/>
    <s v="nick.conlan@apexacoustics.co.uk"/>
    <x v="0"/>
    <s v="Org admin"/>
    <m/>
    <x v="26"/>
    <d v="2024-03-15T00:00:00"/>
    <n v="5"/>
  </r>
  <r>
    <s v="taher.el-hagagi@curtins.com"/>
    <s v="Curtins"/>
    <x v="5"/>
    <s v="loads"/>
    <x v="0"/>
    <s v="User"/>
    <s v="he has two accounts now - I've asked him to log in and check he can see the project"/>
    <x v="26"/>
    <d v="2024-03-15T00:00:00"/>
    <n v="5"/>
  </r>
  <r>
    <s v="mark@mtengineeringsolutions.co.uk"/>
    <s v="MT Engineering Solutions Ltd"/>
    <x v="5"/>
    <s v="mark@mtengineeringsolutions.co.uk"/>
    <x v="0"/>
    <s v="User"/>
    <s v="he has two accounts as well so watch out"/>
    <x v="26"/>
    <d v="2024-03-18T00:00:00"/>
    <n v="8"/>
  </r>
  <r>
    <s v="claudia.r.thompson@uhl-tr.nhs.uk"/>
    <s v="University Hospitals of Leicester NHS Trust"/>
    <x v="5"/>
    <s v="tanzil.talab@uhl-tr.nhs.uk"/>
    <x v="0"/>
    <s v="User"/>
    <m/>
    <x v="26"/>
    <d v="2024-03-18T00:00:00"/>
    <n v="8"/>
  </r>
  <r>
    <s v="timothy.oliver@uhl-tr.nhs.uk"/>
    <s v="University Hospitals of Leicester NHS Trust"/>
    <x v="5"/>
    <s v="tanzil.talab@uhl-tr.nhs.uk"/>
    <x v="0"/>
    <s v="User"/>
    <m/>
    <x v="26"/>
    <d v="2024-03-18T00:00:00"/>
    <n v="8"/>
  </r>
  <r>
    <s v="tanzil.talab@uhl-tr.nhs.uk"/>
    <s v="University Hospitals of Leicester NHS Trust"/>
    <x v="5"/>
    <s v="tanzil.talab@uhl-tr.nhs.uk"/>
    <x v="0"/>
    <s v="User"/>
    <m/>
    <x v="26"/>
    <d v="2024-03-18T00:00:00"/>
    <n v="8"/>
  </r>
  <r>
    <s v="Ryan.Milbourne@uhl-tr.nhs.uk"/>
    <s v="University Hospitals of Leicester NHS Trust"/>
    <x v="5"/>
    <s v="tanzil.talab@uhl-tr.nhs.uk"/>
    <x v="0"/>
    <s v="User"/>
    <m/>
    <x v="26"/>
    <d v="2024-03-18T00:00:00"/>
    <n v="8"/>
  </r>
  <r>
    <s v="sam@selcon.co.uk"/>
    <s v="Selcon "/>
    <x v="5"/>
    <s v="rebecca@selcon.co.uk"/>
    <x v="0"/>
    <s v="User"/>
    <m/>
    <x v="26"/>
    <d v="2024-03-15T00:00:00"/>
    <n v="5"/>
  </r>
  <r>
    <s v="darrel@selcon.co.uk"/>
    <s v="Selcon "/>
    <x v="5"/>
    <s v="rebecca@selcon.co.uk"/>
    <x v="0"/>
    <s v="User"/>
    <m/>
    <x v="26"/>
    <d v="2024-03-15T00:00:00"/>
    <n v="5"/>
  </r>
  <r>
    <s v="rebecca@selcon.co.uk"/>
    <s v="Selcon "/>
    <x v="5"/>
    <s v="rebecca@selcon.co.uk"/>
    <x v="0"/>
    <s v="User"/>
    <m/>
    <x v="26"/>
    <d v="2024-03-15T00:00:00"/>
    <n v="5"/>
  </r>
  <r>
    <s v="L.Skatula@pandhs.co.uk"/>
    <s v="P+HS Architects"/>
    <x v="5"/>
    <s v="L.Skatula@pandhs.co.uk"/>
    <x v="0"/>
    <s v="User"/>
    <m/>
    <x v="26"/>
    <d v="2024-03-19T00:00:00"/>
    <n v="9"/>
  </r>
  <r>
    <s v="shane.toye@curtins.com"/>
    <s v="Curtins"/>
    <x v="5"/>
    <s v="loads"/>
    <x v="0"/>
    <s v="Org admin"/>
    <s v="chased 25.03"/>
    <x v="26"/>
    <d v="2024-04-17T00:00:00"/>
    <n v="38"/>
  </r>
  <r>
    <s v="Max@louvre.co.uk"/>
    <s v="Bridge louvre"/>
    <x v="2"/>
    <m/>
    <x v="0"/>
    <m/>
    <m/>
    <x v="27"/>
    <d v="2024-03-14T00:00:00"/>
    <n v="1"/>
  </r>
  <r>
    <s v="Jon@louvre.co.uk"/>
    <s v="Bridge louvre"/>
    <x v="2"/>
    <m/>
    <x v="0"/>
    <m/>
    <m/>
    <x v="27"/>
    <d v="2024-03-14T00:00:00"/>
    <n v="1"/>
  </r>
  <r>
    <s v="Josh Harris &lt;josh.harris@kaydeesayfa.co.uk&gt; "/>
    <s v="KaydeeSayfa"/>
    <x v="2"/>
    <s v="Josh Harris &lt;josh.harris@kaydeesayfa.co.uk&gt; "/>
    <x v="0"/>
    <s v="User"/>
    <m/>
    <x v="28"/>
    <d v="2024-03-21T00:00:00"/>
    <n v="1"/>
  </r>
  <r>
    <s v="ryan.doherty@wd-drywall.co.uk"/>
    <s v="WD Drywall"/>
    <x v="2"/>
    <m/>
    <x v="0"/>
    <m/>
    <m/>
    <x v="28"/>
    <d v="2024-03-21T00:00:00"/>
    <n v="1"/>
  </r>
  <r>
    <s v="Rajas Jagdale &lt;rjagdale@orona.co.uk&gt;"/>
    <s v="Orona Lifts"/>
    <x v="2"/>
    <m/>
    <x v="0"/>
    <m/>
    <m/>
    <x v="29"/>
    <d v="2024-03-25T00:00:00"/>
    <n v="36"/>
  </r>
  <r>
    <s v="Michael Horton &lt;michael.horton@wd-drywall.co.uk&gt;"/>
    <s v="WD Drywall"/>
    <x v="2"/>
    <s v="ryan doherty"/>
    <x v="0"/>
    <s v="Org admin"/>
    <s v="I guess he made him an account in the end -_-"/>
    <x v="30"/>
    <d v="2024-04-08T00:00:00"/>
    <n v="15"/>
  </r>
  <r>
    <s v="Richard Ellis &lt;r.ellis@stephengeorge.co.uk&gt;"/>
    <s v="Stephen George &amp; Partners LLP"/>
    <x v="5"/>
    <s v="Richard Ellis &lt;r.ellis@stephengeorge.co.uk&gt;"/>
    <x v="0"/>
    <s v="User"/>
    <s v="New organisation"/>
    <x v="31"/>
    <d v="2024-04-08T00:00:00"/>
    <n v="5"/>
  </r>
  <r>
    <s v="Ben Archer &lt;BenArcher@Dab-engineering.co.uk&gt;"/>
    <s v="DAB Civils"/>
    <x v="5"/>
    <s v="mnicholls@dab-engineering.co.uk"/>
    <x v="0"/>
    <m/>
    <m/>
    <x v="32"/>
    <d v="2024-04-15T00:00:00"/>
    <n v="1"/>
  </r>
  <r>
    <s v="tom.leedham@ascotdoors.co.uk"/>
    <s v="Ascot Doors Ltd"/>
    <x v="2"/>
    <s v=" sam.dingley@ascotdoors.co.uk"/>
    <x v="0"/>
    <m/>
    <m/>
    <x v="32"/>
    <d v="2024-04-15T00:00:00"/>
    <n v="1"/>
  </r>
  <r>
    <s v="Jason.stiles@staffordbridge.com  "/>
    <s v="Stafford Bridge Doors Ltd"/>
    <x v="2"/>
    <m/>
    <x v="0"/>
    <m/>
    <s v="need to send transmittal"/>
    <x v="33"/>
    <d v="2024-04-16T00:00:00"/>
    <n v="1"/>
  </r>
  <r>
    <s v="James Carters-Shelton &lt;James.Carters-Shelton@cpwp.com&gt;;"/>
    <s v="Couch Perry and Wilkes LLP"/>
    <x v="5"/>
    <s v="Various inc carl hubbard"/>
    <x v="0"/>
    <m/>
    <m/>
    <x v="32"/>
    <d v="2024-05-14T00:00:00"/>
    <n v="30"/>
  </r>
  <r>
    <s v="Alexander Russell &lt;Alexander.Russell@cpwp.com&gt;"/>
    <s v="Couch Perry and Wilkes LLP"/>
    <x v="5"/>
    <s v="Various inc carl hubbard"/>
    <x v="0"/>
    <m/>
    <m/>
    <x v="32"/>
    <d v="2024-05-14T00:00:00"/>
    <n v="30"/>
  </r>
  <r>
    <s v="Hossain, Sayera &lt;Sayera.Hossain@aecom.com&gt;"/>
    <s v="_x0009_AECOM"/>
    <x v="0"/>
    <s v="_x0009_krista.pasnak@aecom.com"/>
    <x v="0"/>
    <m/>
    <m/>
    <x v="33"/>
    <d v="2024-04-16T00:00:00"/>
    <n v="1"/>
  </r>
  <r>
    <s v="Matt Nicholls &lt;MNicholls@Dab-engineering.co.uk&gt;"/>
    <s v="DAB Civils"/>
    <x v="5"/>
    <s v="_x0009_mnicholls@dab-engineering.co.uk"/>
    <x v="0"/>
    <m/>
    <m/>
    <x v="33"/>
    <d v="2024-04-16T00:00:00"/>
    <n v="1"/>
  </r>
  <r>
    <s v="Kilic, Seydihan &lt;Seydihan.Kilic@aecom.com&gt;"/>
    <s v="_x0009_AECOM"/>
    <x v="0"/>
    <s v="_x0009_krista.pasnak@aecom.com"/>
    <x v="0"/>
    <m/>
    <m/>
    <x v="33"/>
    <d v="2024-04-16T00:00:00"/>
    <n v="1"/>
  </r>
  <r>
    <s v="jay pearch"/>
    <s v="MJ Robinson"/>
    <x v="5"/>
    <m/>
    <x v="0"/>
    <m/>
    <m/>
    <x v="33"/>
    <d v="2024-04-16T00:00:00"/>
    <n v="1"/>
  </r>
  <r>
    <s v="Charlie.fraser@staffordbridge.com"/>
    <s v="Stafford Bridge Doors Ltd"/>
    <x v="2"/>
    <m/>
    <x v="0"/>
    <m/>
    <s v="he has account but can't get it to appear"/>
    <x v="33"/>
    <d v="2024-04-24T00:00:00"/>
    <n v="9"/>
  </r>
  <r>
    <s v="Warren Branson &lt;Warren.Branson@cpwp.com&gt;"/>
    <s v="Couch Perry and Wilkes LLP"/>
    <x v="5"/>
    <s v="Various inc carl hubbard"/>
    <x v="0"/>
    <m/>
    <m/>
    <x v="34"/>
    <d v="2024-04-17T00:00:00"/>
    <n v="1"/>
  </r>
  <r>
    <s v="Emma.wilkinson@voestalpine.com "/>
    <s v="Metsec PLC"/>
    <x v="5"/>
    <s v="Emma.Wilkinson@voestalpine.com"/>
    <x v="0"/>
    <s v="User"/>
    <s v="New organisation"/>
    <x v="35"/>
    <d v="2024-04-23T00:00:00"/>
    <n v="1"/>
  </r>
  <r>
    <s v="Andrew.Tucker@voestalpine.com "/>
    <s v="Metsec PLC"/>
    <x v="5"/>
    <s v="Emma.Wilkinson@voestalpine.com"/>
    <x v="0"/>
    <s v="User"/>
    <s v="New organisation"/>
    <x v="35"/>
    <d v="2024-04-23T00:00:00"/>
    <n v="1"/>
  </r>
  <r>
    <s v="Charlotte.Knights@voestalpine.com"/>
    <s v="Metsec plc"/>
    <x v="5"/>
    <s v="Emma.Wilkinson@voestalpine.com"/>
    <x v="0"/>
    <s v="User"/>
    <s v="New organisation"/>
    <x v="35"/>
    <d v="2024-04-23T00:00:00"/>
    <n v="1"/>
  </r>
  <r>
    <s v="sasha.martin@voestalpine.com"/>
    <s v="Metsec plc"/>
    <x v="5"/>
    <s v="Emma.Wilkinson@voestalpine.com"/>
    <x v="0"/>
    <s v="User"/>
    <s v="New organisation"/>
    <x v="35"/>
    <d v="2024-04-23T00:00:00"/>
    <n v="1"/>
  </r>
  <r>
    <s v="rahim.razaq@voestalpine.com "/>
    <s v="Metsec PLC"/>
    <x v="5"/>
    <s v="Emma.Wilkinson@voestalpine.com"/>
    <x v="0"/>
    <s v="User"/>
    <s v="New organisation"/>
    <x v="35"/>
    <d v="2024-04-23T00:00:00"/>
    <n v="1"/>
  </r>
  <r>
    <s v="James.Pearce@voestalpine.com"/>
    <s v="Metsec PLC"/>
    <x v="5"/>
    <s v="Emma.Wilkinson@voestalpine.com"/>
    <x v="0"/>
    <s v="User"/>
    <s v="New organisation"/>
    <x v="35"/>
    <d v="2024-04-23T00:00:00"/>
    <n v="1"/>
  </r>
  <r>
    <s v="neil.betteridge@swindaleassociates.co.uk "/>
    <s v="Swindale Associates Ltd"/>
    <x v="5"/>
    <s v="_x0009_neil.betteridge@swindaleassociates.co.uk"/>
    <x v="0"/>
    <m/>
    <m/>
    <x v="35"/>
    <d v="2024-04-23T00:00:00"/>
    <n v="1"/>
  </r>
  <r>
    <s v="lyn.holland@swindaleassociates.co.uk "/>
    <s v="Swindale Associates Ltd"/>
    <x v="5"/>
    <s v="_x0009_neil.betteridge@swindaleassociates.co.uk"/>
    <x v="0"/>
    <m/>
    <m/>
    <x v="35"/>
    <d v="2024-04-23T00:00:00"/>
    <n v="1"/>
  </r>
  <r>
    <s v="steve.swindale@swindaleassociates.co.uk "/>
    <s v="Swindale Associates Ltd"/>
    <x v="5"/>
    <s v="_x0009_neil.betteridge@swindaleassociates.co.uk"/>
    <x v="0"/>
    <m/>
    <m/>
    <x v="35"/>
    <d v="2024-04-23T00:00:00"/>
    <n v="1"/>
  </r>
  <r>
    <s v="Stu Wheeler &lt;swheeler@dab-engineering.co.uk&gt;"/>
    <s v="DAB Civils"/>
    <x v="5"/>
    <s v="_x0009_mnicholls@dab-engineering.co.uk"/>
    <x v="0"/>
    <m/>
    <m/>
    <x v="36"/>
    <d v="2024-04-29T00:00:00"/>
    <n v="4"/>
  </r>
  <r>
    <s v="Kyle Merrigan &lt;KyleMerrigan@Dab-engineering.co.uk&gt;"/>
    <s v="DAB Civils"/>
    <x v="5"/>
    <s v="_x0009_mnicholls@dab-engineering.co.uk"/>
    <x v="0"/>
    <m/>
    <m/>
    <x v="36"/>
    <d v="2024-04-29T00:00:00"/>
    <n v="4"/>
  </r>
  <r>
    <s v="Jamie O'Hagan &lt;jamie@sfsinfo.com&gt;"/>
    <s v="Structural Fireproofing Systems"/>
    <x v="0"/>
    <s v="judith@sfsinfo.com"/>
    <x v="0"/>
    <m/>
    <m/>
    <x v="37"/>
    <d v="2024-05-09T00:00:00"/>
    <n v="1"/>
  </r>
  <r>
    <s v="Kenny Lau &lt;kenny.lau@manchester.ac.uk&gt;"/>
    <s v="The University of Manchester"/>
    <x v="1"/>
    <m/>
    <x v="0"/>
    <m/>
    <m/>
    <x v="38"/>
    <d v="2024-05-14T00:00:00"/>
    <n v="1"/>
  </r>
  <r>
    <s v="Daniel.hickey@staffordbridge.com"/>
    <s v="Stafford Bridge Doors Ltd"/>
    <x v="2"/>
    <m/>
    <x v="1"/>
    <m/>
    <s v="no account?"/>
    <x v="33"/>
    <d v="2024-04-24T00:00:00"/>
    <n v="9"/>
  </r>
  <r>
    <s v="'mark.astle@bfl.uk.com'"/>
    <s v="Beresfords Flooring"/>
    <x v="2"/>
    <m/>
    <x v="1"/>
    <s v="User"/>
    <s v="I give up"/>
    <x v="39"/>
    <d v="2024-05-09T00:00:00"/>
    <n v="142"/>
  </r>
  <r>
    <s v="wayne.howland@curtins.com"/>
    <s v="Curtins"/>
    <x v="5"/>
    <s v="loads"/>
    <x v="1"/>
    <s v="Org admin"/>
    <s v="chased 25.03_x000a_Idk, they haven't done it so I give up"/>
    <x v="26"/>
    <d v="2024-05-22T00:00:00"/>
    <n v="73"/>
  </r>
  <r>
    <s v="mark.lusher@curtins.com"/>
    <s v="Curtins"/>
    <x v="5"/>
    <s v="loads"/>
    <x v="0"/>
    <s v="Org admin"/>
    <s v="chased 17.04"/>
    <x v="26"/>
    <d v="2024-04-18T00:00:00"/>
    <n v="39"/>
  </r>
  <r>
    <s v="Daniel Latimore &lt;daniel.latimore@movawall.co.uk&gt;"/>
    <s v="London Wall Design Ltd"/>
    <x v="2"/>
    <s v="_x0009_paul.baker@londonwall.co.uk"/>
    <x v="0"/>
    <m/>
    <m/>
    <x v="29"/>
    <d v="2024-05-23T00:00:00"/>
    <n v="95"/>
  </r>
  <r>
    <s v="Barney Bradley &lt;barneyb@marksman-roofing.co.uk&gt;"/>
    <s v="Marksman Roofing + Cladding Ltd"/>
    <x v="2"/>
    <s v="Mark  Mcgarrigle &lt;mark@marksman-roofing.co.uk&gt;"/>
    <x v="0"/>
    <s v="User"/>
    <s v="Mark unhid his account &lt;3"/>
    <x v="40"/>
    <d v="2024-05-31T00:00:00"/>
    <n v="99"/>
  </r>
  <r>
    <s v="James.southerland119@mod.go.uk"/>
    <s v="Defence Infrastructure Organisation"/>
    <x v="2"/>
    <s v="william.pearson102@mod.gov.uk"/>
    <x v="1"/>
    <s v="User"/>
    <s v="admin no longer available, asked to contact aconex support_x000a_Give up tbh DIO don't want on"/>
    <x v="26"/>
    <d v="2024-05-31T00:00:00"/>
    <n v="82"/>
  </r>
  <r>
    <s v="david@raisedfloor.co.uk"/>
    <s v="Raised Floor Solutions Ltd"/>
    <x v="5"/>
    <s v="_x0009_david@raisedfloor.co.uk"/>
    <x v="1"/>
    <s v="HB"/>
    <s v="mike is on as aguest I give up"/>
    <x v="33"/>
    <d v="2024-09-05T00:00:00"/>
    <n v="143"/>
  </r>
  <r>
    <s v="stuart.harding@staffordbridge.com &lt;Stuart.Harding@staffordbridge.com&gt;"/>
    <s v="Stafford Bridge Doors Ltd  "/>
    <x v="2"/>
    <s v="Charlie.fraser@staffordbridge.com_x000a_Jason.stiles@staffordbridge.com_x000a_Jordan.arnold@staffordbridge.com"/>
    <x v="1"/>
    <m/>
    <s v="I think he doesn't need on, the others do"/>
    <x v="32"/>
    <d v="2024-05-31T00:00:00"/>
    <n v="47"/>
  </r>
  <r>
    <s v="Debbie.dale@altoconstruct.co.uk"/>
    <s v="Alto Construct Limited"/>
    <x v="2"/>
    <s v="adam.bateman@altoconstruct.co.uk"/>
    <x v="0"/>
    <m/>
    <m/>
    <x v="41"/>
    <d v="2024-06-03T00:00:00"/>
    <n v="1"/>
  </r>
  <r>
    <s v="Andy Fairless andy@etaprojects.co.uk"/>
    <s v="Eta Projects"/>
    <x v="5"/>
    <s v="Various, jack@etaprojects.co.uk"/>
    <x v="0"/>
    <s v="User"/>
    <s v="thank god"/>
    <x v="42"/>
    <d v="2024-09-23T00:00:00"/>
    <n v="158"/>
  </r>
  <r>
    <s v="Bernard Saunders &lt;bernard.saunders@quadrantai.co.uk&gt;"/>
    <s v="Quadrant AI"/>
    <x v="3"/>
    <s v="_x0009_joe@quadrantai.co.uk"/>
    <x v="1"/>
    <s v="Org admin"/>
    <s v="He has a guest account he says is blocked. I told him to get his account upgraded_x000a_31.05.24 - sent him follow up"/>
    <x v="43"/>
    <d v="2024-09-02T00:00:00"/>
    <n v="134"/>
  </r>
  <r>
    <s v="Travis.Hunter@voestalpine.com; "/>
    <s v="Metsec PLC"/>
    <x v="5"/>
    <s v="Emma.Wilkinson@voestalpine.com"/>
    <x v="1"/>
    <s v="User"/>
    <s v="he doesn't want access"/>
    <x v="35"/>
    <d v="2024-04-23T00:00:00"/>
    <n v="1"/>
  </r>
  <r>
    <s v="Chris Middleton chrismiddleton@acousticdesign.co.uk"/>
    <s v="Acoustic Design"/>
    <x v="6"/>
    <s v="_x0009_andrewlockwood@acousticdesign.co.uk"/>
    <x v="0"/>
    <m/>
    <m/>
    <x v="44"/>
    <d v="2024-06-06T00:00:00"/>
    <n v="1"/>
  </r>
  <r>
    <s v="Jake Schofield &lt;j.schofield@andersongreen.co.uk&gt;"/>
    <s v="Anderson Green"/>
    <x v="6"/>
    <s v="j.schofield@andersongreen.co.uk_x000a_l.senior@andersongreen.co.uk_x000a_l.foster@andersongreen.co.uk"/>
    <x v="0"/>
    <m/>
    <m/>
    <x v="45"/>
    <d v="2024-06-12T00:00:00"/>
    <n v="1"/>
  </r>
  <r>
    <s v="Michael Hanlon &lt;michael.hanlon@raisedfloor.co.uk&gt; "/>
    <s v="Raised Floor Solutions Ltd"/>
    <x v="5"/>
    <s v="_x0009_david@raisedfloor.co.uk"/>
    <x v="2"/>
    <s v="Org admin"/>
    <s v="31.05.2024 - chased David"/>
    <x v="37"/>
    <m/>
    <n v="190"/>
  </r>
  <r>
    <s v="john@sfsinfo.com"/>
    <s v="Structural Fireproofing Systems"/>
    <x v="0"/>
    <s v="judith@sfsinfo.com"/>
    <x v="1"/>
    <m/>
    <m/>
    <x v="37"/>
    <m/>
    <n v="190"/>
  </r>
  <r>
    <s v="Carl.Hubbard@cpwp.com' &lt;Carl.Hubbard@cpwp.com&gt;; "/>
    <s v="Couch Perry and Wilkes LLP"/>
    <x v="5"/>
    <s v="Various inc carl hubbard"/>
    <x v="0"/>
    <s v="User"/>
    <s v="He can't log in as 2FA is activated and he doesn't remember setting it up. Emailed him but he's on holiday now_x000a_05.07 - did Carl ever get sorted? Who knows"/>
    <x v="46"/>
    <d v="2024-07-05T00:00:00"/>
    <n v="50"/>
  </r>
  <r>
    <s v="Andrew Deal &lt;andrew.deal@coopersfire.com&gt;"/>
    <s v="Coopers Fire Ltd"/>
    <x v="2"/>
    <s v="andrew.deal@coopersfire.com"/>
    <x v="0"/>
    <m/>
    <m/>
    <x v="47"/>
    <d v="2024-06-04T00:00:00"/>
    <n v="1"/>
  </r>
  <r>
    <s v="andrew.hind2@nhs.net&gt;; "/>
    <s v="Cambridge University Hospitals"/>
    <x v="7"/>
    <s v="adam.gaskin@addenbrookes.nhs.uk_x000a_james.haynes@nhs.net_x000a_mark.speck@addenbrookes.nhs.uk"/>
    <x v="1"/>
    <s v="Org admin"/>
    <s v="Account to be created"/>
    <x v="48"/>
    <m/>
    <n v="351"/>
  </r>
  <r>
    <s v="Pete Sheung &lt;PeteSheung@pickeverard.co.uk&gt;"/>
    <s v="Pick Everard"/>
    <x v="2"/>
    <m/>
    <x v="0"/>
    <m/>
    <m/>
    <x v="45"/>
    <d v="2024-06-12T00:00:00"/>
    <n v="1"/>
  </r>
  <r>
    <s v="Kevin.Byrne@nottingham.ac.uk"/>
    <s v="University of Nottingham"/>
    <x v="0"/>
    <s v="Mita Saxena estatessystems@nottingham.ac.uk"/>
    <x v="1"/>
    <s v="Org admin"/>
    <s v="I give up"/>
    <x v="19"/>
    <d v="2024-05-09T00:00:00"/>
    <n v="112"/>
  </r>
  <r>
    <s v="J.Almond@pandhs.co.uk"/>
    <s v="P+HS"/>
    <x v="5"/>
    <s v="L.Skatula@pandhs.co.uk"/>
    <x v="1"/>
    <m/>
    <s v="Lukasz hasn't made accounts for them so dropping it"/>
    <x v="26"/>
    <d v="2024-05-09T00:00:00"/>
    <n v="60"/>
  </r>
  <r>
    <s v="T.Wilson@pandhs.co.uk"/>
    <s v="P+HS"/>
    <x v="5"/>
    <s v="L.Skatula@pandhs.co.uk"/>
    <x v="1"/>
    <m/>
    <s v="Lukasz hasn't made accounts for them so dropping it"/>
    <x v="26"/>
    <d v="2024-05-09T00:00:00"/>
    <n v="60"/>
  </r>
  <r>
    <s v="Steven Miller &lt;Steven.Miller@Salusai.co.uk&gt;"/>
    <s v="Salus Approved Inspectors"/>
    <x v="0"/>
    <s v="_x0009_james.emery@salusai.co.uk"/>
    <x v="0"/>
    <m/>
    <s v="he actually did get on in the end big up"/>
    <x v="49"/>
    <d v="2024-03-20T00:00:00"/>
    <n v="2"/>
  </r>
  <r>
    <s v="Harry Toplis &lt;Harry.Toplis@cpwp.com&gt;"/>
    <s v="Couch Perry and Wilkes LLP"/>
    <x v="5"/>
    <s v="Various inc carl hubbard"/>
    <x v="1"/>
    <m/>
    <s v="does not require access"/>
    <x v="32"/>
    <d v="2024-05-14T00:00:00"/>
    <n v="30"/>
  </r>
  <r>
    <s v="Richard.rowles@raisedfloor.co.uk; "/>
    <s v="Raised Floor Solutions Ltd"/>
    <x v="5"/>
    <s v="_x0009_david@raisedfloor.co.uk"/>
    <x v="1"/>
    <s v="Org admin"/>
    <s v="Not needed for project"/>
    <x v="33"/>
    <d v="2024-05-09T00:00:00"/>
    <n v="24"/>
  </r>
  <r>
    <s v="Jade.Edmead@voestalpine.com"/>
    <s v="Metsec PLC"/>
    <x v="5"/>
    <s v="Emma.Wilkinson@voestalpine.com"/>
    <x v="1"/>
    <s v="User"/>
    <s v="does not require access"/>
    <x v="35"/>
    <d v="2024-04-23T00:00:00"/>
    <n v="1"/>
  </r>
  <r>
    <s v="jeff.cook@wm-saunders.co.uk "/>
    <s v="William Saunders LLP"/>
    <x v="0"/>
    <s v="ben.kripp@wm-saunders.co.uk"/>
    <x v="0"/>
    <m/>
    <m/>
    <x v="38"/>
    <d v="2024-05-14T00:00:00"/>
    <n v="1"/>
  </r>
  <r>
    <s v="darren.homer@wm-saunders.co.uk"/>
    <s v="William Saunders LLP"/>
    <x v="0"/>
    <s v="ben.kripp@wm-saunders.co.uk"/>
    <x v="0"/>
    <m/>
    <m/>
    <x v="38"/>
    <d v="2024-05-14T00:00:00"/>
    <n v="1"/>
  </r>
  <r>
    <s v="Danny Wilson &lt;danny@sfsinfo.com&gt;"/>
    <s v="Structural Fireproofing Systems Ltd"/>
    <x v="0"/>
    <s v="_x0009_judith@sfsinfo.com"/>
    <x v="0"/>
    <m/>
    <m/>
    <x v="50"/>
    <d v="2024-05-31T00:00:00"/>
    <n v="10"/>
  </r>
  <r>
    <s v="Andy Holman &lt;a.holman@awsturnerfain.co.uk&gt;; "/>
    <s v="AWS Turner Fain"/>
    <x v="3"/>
    <m/>
    <x v="0"/>
    <m/>
    <s v="guest account only"/>
    <x v="51"/>
    <d v="2024-05-23T00:00:00"/>
    <n v="1"/>
  </r>
  <r>
    <s v="Judith Lewin"/>
    <s v="Structural Fireproofing Systems Ltd"/>
    <x v="0"/>
    <s v="_x0009_judith@sfsinfo.com"/>
    <x v="0"/>
    <m/>
    <m/>
    <x v="52"/>
    <d v="2024-05-28T00:00:00"/>
    <n v="1"/>
  </r>
  <r>
    <s v="Bradley Banks &lt;bbanks@rg-p.co.uk&gt;"/>
    <s v="_x0009_rg+p Ltd"/>
    <x v="3"/>
    <m/>
    <x v="0"/>
    <m/>
    <s v="Asked Tay"/>
    <x v="53"/>
    <d v="2024-06-03T00:00:00"/>
    <n v="4"/>
  </r>
  <r>
    <s v="Lee Griffiths &lt;lgriffiths@rg-p.co.uk&gt;"/>
    <s v="_x0009_rg+p Ltd"/>
    <x v="3"/>
    <m/>
    <x v="0"/>
    <m/>
    <s v="Asked Tay"/>
    <x v="53"/>
    <d v="2024-06-03T00:00:00"/>
    <n v="4"/>
  </r>
  <r>
    <s v="Ryan Richardson' &lt;ryan.richardson@mtechengineering.co.uk&gt;"/>
    <s v="M-Tech Engineering"/>
    <x v="2"/>
    <s v="davide@mtechengineering.co.uk_x000a_pedro@mtechengineering.co.uk_x000a_dean@mtechengineering.co.uk_x000a_matt@mtechengineering.co.uk"/>
    <x v="0"/>
    <m/>
    <m/>
    <x v="54"/>
    <d v="2024-06-25T00:00:00"/>
    <n v="1"/>
  </r>
  <r>
    <s v="Anna Neale &lt;AnnaNeale@pickeverard.co.uk&gt;"/>
    <s v="Pick Everard"/>
    <x v="2"/>
    <s v="Kriti Kanabar &lt;KritiKanabar@pickeverard.co.uk&gt;"/>
    <x v="0"/>
    <s v="Org admin"/>
    <m/>
    <x v="55"/>
    <d v="2024-06-28T00:00:00"/>
    <n v="12"/>
  </r>
  <r>
    <s v="carl.smith@wm-saunders.co.uk"/>
    <s v="William Saunders LLP"/>
    <x v="0"/>
    <s v="ben.kripp@wm-saunders.co.uk"/>
    <x v="0"/>
    <m/>
    <m/>
    <x v="47"/>
    <d v="2024-06-06T00:00:00"/>
    <n v="3"/>
  </r>
  <r>
    <s v="Fraser.lamont@wm-saunders.co.uk"/>
    <s v="William Saunders LLP"/>
    <x v="0"/>
    <s v="ben.kripp@wm-saunders.co.uk"/>
    <x v="0"/>
    <m/>
    <m/>
    <x v="47"/>
    <d v="2024-06-06T00:00:00"/>
    <n v="3"/>
  </r>
  <r>
    <s v="Gerry Fenton | Norsign &lt;gerry.f@norsign.co.uk&gt;"/>
    <s v="Norsign LLP"/>
    <x v="0"/>
    <s v="guy.m@norsign.co.uk_x000a_mark.s@norsign.co.uk"/>
    <x v="1"/>
    <s v="Org admin"/>
    <s v="11.06 - asked Gerry to speak to Guy to find out if he has an account"/>
    <x v="56"/>
    <d v="2024-09-02T00:00:00"/>
    <n v="90"/>
  </r>
  <r>
    <s v="Joe Barlow j.barlow@andersongreen.co.uk"/>
    <s v="Anderson Green"/>
    <x v="6"/>
    <s v="j.schofield@andersongreen.co.uk_x000a_l.senior@andersongreen.co.uk_x000a_l.foster@andersongreen.co.uk"/>
    <x v="0"/>
    <m/>
    <m/>
    <x v="44"/>
    <d v="2024-06-12T00:00:00"/>
    <n v="7"/>
  </r>
  <r>
    <s v="John Hollingsworth J.Hollingsworth@andersongreen.co.uk"/>
    <s v="Anderson Green"/>
    <x v="6"/>
    <s v="j.schofield@andersongreen.co.uk_x000a_l.senior@andersongreen.co.uk_x000a_l.foster@andersongreen.co.uk"/>
    <x v="0"/>
    <m/>
    <m/>
    <x v="44"/>
    <d v="2024-06-06T00:00:00"/>
    <n v="1"/>
  </r>
  <r>
    <s v="Matt Montford m.montford@andersongreen.co.uk"/>
    <s v="Anderson Green"/>
    <x v="6"/>
    <s v="j.schofield@andersongreen.co.uk_x000a_l.senior@andersongreen.co.uk_x000a_l.foster@andersongreen.co.uk"/>
    <x v="0"/>
    <m/>
    <m/>
    <x v="44"/>
    <d v="2024-06-12T00:00:00"/>
    <n v="7"/>
  </r>
  <r>
    <s v="Richard Keeble R.Keeble@andersongreen.co.uk;"/>
    <s v="Anderson Green"/>
    <x v="6"/>
    <s v="j.schofield@andersongreen.co.uk_x000a_l.senior@andersongreen.co.uk_x000a_l.foster@andersongreen.co.uk"/>
    <x v="0"/>
    <m/>
    <m/>
    <x v="44"/>
    <d v="2024-06-06T00:00:00"/>
    <n v="1"/>
  </r>
  <r>
    <s v="Valentinas Denisovas V.Denisovas@andersongreen.co.uk; "/>
    <s v="Anderson Green"/>
    <x v="6"/>
    <s v="j.schofield@andersongreen.co.uk_x000a_l.senior@andersongreen.co.uk_x000a_l.foster@andersongreen.co.uk"/>
    <x v="0"/>
    <m/>
    <m/>
    <x v="44"/>
    <d v="2024-06-06T00:00:00"/>
    <n v="1"/>
  </r>
  <r>
    <s v="Laura Morgan &lt;l.morgan@andersongreen.co.uk&gt;"/>
    <s v="Anderson Green"/>
    <x v="6"/>
    <s v="j.schofield@andersongreen.co.uk_x000a_l.senior@andersongreen.co.uk_x000a_l.foster@andersongreen.co.uk"/>
    <x v="0"/>
    <m/>
    <m/>
    <x v="45"/>
    <d v="2024-06-12T00:00:00"/>
    <n v="1"/>
  </r>
  <r>
    <s v="Mia Sankauskas &lt;m.sankauskas@andersongreen.co.uk&gt;"/>
    <s v="Anderson Green"/>
    <x v="6"/>
    <s v="j.schofield@andersongreen.co.uk_x000a_l.senior@andersongreen.co.uk_x000a_l.foster@andersongreen.co.uk"/>
    <x v="0"/>
    <m/>
    <m/>
    <x v="45"/>
    <d v="2024-06-12T00:00:00"/>
    <n v="1"/>
  </r>
  <r>
    <s v="Abigail Tucker abigail.tucker@dppukltd.com"/>
    <s v="DPP Planning"/>
    <x v="6"/>
    <s v="_x0009_debbie.harrop@dppukltd.com"/>
    <x v="0"/>
    <m/>
    <s v="idk when she got added but there she is"/>
    <x v="44"/>
    <d v="2024-07-05T00:00:00"/>
    <n v="30"/>
  </r>
  <r>
    <s v="Jonathan Nimer &lt;jonathan.nimer@cpmg-architects.com&gt;"/>
    <s v="CPMG"/>
    <x v="6"/>
    <s v="Anil.Parmar@cpmg-architects.com_x000a__x0009_gemma.pont@cpmg-architects.com"/>
    <x v="0"/>
    <m/>
    <m/>
    <x v="45"/>
    <d v="2024-06-12T00:00:00"/>
    <n v="1"/>
  </r>
  <r>
    <s v="Andrew Ball  Pinnacle andrew.b@pinnacle-furniture.co.uk"/>
    <s v="Eightspace LLP t/a Pinnacle Furniture"/>
    <x v="6"/>
    <s v="aidan.h@pinnacle-furniture.co.uk_x000a_bill.s@pinnacle-furniture.co.uk_x000a__x0009_siena.ridewood@8space.co.uk"/>
    <x v="1"/>
    <s v="Org admin"/>
    <s v="I don't think he needs one, loren, carly and andrea are on"/>
    <x v="44"/>
    <d v="2024-07-05T00:00:00"/>
    <n v="30"/>
  </r>
  <r>
    <s v="Tom Rigley Tom.Rigley@cpmg-architects.com"/>
    <s v="CPMG"/>
    <x v="6"/>
    <s v="Anil.Parmar@cpmg-architects.com_x000a__x0009_gemma.pont@cpmg-architects.com"/>
    <x v="0"/>
    <m/>
    <m/>
    <x v="44"/>
    <d v="2024-06-06T00:00:00"/>
    <n v="1"/>
  </r>
  <r>
    <s v="Mark Harrison mark@evrconsulting.co.uk"/>
    <s v="EVR Consulting"/>
    <x v="6"/>
    <s v="bethan@evrconsulting.co.uk"/>
    <x v="1"/>
    <s v="Org admin"/>
    <s v="I don't think he needs one either, bethan's on"/>
    <x v="44"/>
    <d v="2024-07-05T00:00:00"/>
    <n v="30"/>
  </r>
  <r>
    <s v="Bob Robinson &lt;bob.robinson@dppukltd.com&gt;"/>
    <s v="DPP Planning"/>
    <x v="6"/>
    <s v="debbie.harrop@dppukltd.com"/>
    <x v="0"/>
    <m/>
    <m/>
    <x v="57"/>
    <m/>
    <n v="205"/>
  </r>
  <r>
    <s v="Oliver Corbett &lt;oliver.corbett@dppukltd.com&gt; "/>
    <s v="DPP Planning"/>
    <x v="6"/>
    <s v="debbie.harrop@dppukltd.com"/>
    <x v="0"/>
    <m/>
    <m/>
    <x v="57"/>
    <m/>
    <n v="205"/>
  </r>
  <r>
    <s v="Tom Beaumont &lt;tom.beaumont@hexaconsulting.co.uk&gt;"/>
    <s v="Hexa Consulting"/>
    <x v="6"/>
    <s v="Harry.Cherry@hexaconsulting.co.uk_x000a_James.Garment@hexaconsulting.co.uk"/>
    <x v="0"/>
    <m/>
    <s v="he has a proper account now :)"/>
    <x v="58"/>
    <d v="2024-07-16T00:00:00"/>
    <n v="36"/>
  </r>
  <r>
    <s v="Carly Hewison | Pinnacle Carly.H@pinnacle-furniture.co.uk "/>
    <s v="Eightspace LLP t/a Pinnacle Furniture"/>
    <x v="6"/>
    <s v="aidan.h@pinnacle-furniture.co.uk_x000a_bill.s@pinnacle-furniture.co.uk_x000a__x0009_siena.ridewood@8space.co.uk"/>
    <x v="0"/>
    <m/>
    <m/>
    <x v="44"/>
    <d v="2024-06-12T00:00:00"/>
    <n v="7"/>
  </r>
  <r>
    <s v="Loren Clayton   loren.c@pinnacle-furniture.co.uk"/>
    <s v="Eightspace LLP t/a Pinnacle Furniture"/>
    <x v="6"/>
    <s v="aidan.h@pinnacle-furniture.co.uk_x000a_bill.s@pinnacle-furniture.co.uk_x000a__x0009_siena.ridewood@8space.co.uk"/>
    <x v="0"/>
    <m/>
    <m/>
    <x v="44"/>
    <d v="2024-06-06T00:00:00"/>
    <n v="1"/>
  </r>
  <r>
    <s v="Bethan Evans bethan@evrconsulting.co.uk"/>
    <s v="EVR Consulting"/>
    <x v="6"/>
    <s v="bethan@evrconsulting.co.uk"/>
    <x v="0"/>
    <m/>
    <m/>
    <x v="44"/>
    <d v="2024-06-06T00:00:00"/>
    <n v="1"/>
  </r>
  <r>
    <s v="ady.wren@cpmg-architects.com"/>
    <s v="CPMG"/>
    <x v="6"/>
    <s v="Anil.Parmar@cpmg-architects.com_x000a__x0009_gemma.pont@cpmg-architects.com"/>
    <x v="1"/>
    <s v="Org admin"/>
    <m/>
    <x v="45"/>
    <m/>
    <n v="156"/>
  </r>
  <r>
    <s v="Aaron Hand aaron.hand@hexaconsulting.co.uk"/>
    <s v="Hexa Consulting"/>
    <x v="6"/>
    <s v="Harry.Cherry@hexaconsulting.co.uk_x000a__x0009_James.Garment@hexaconsulting.co.uk"/>
    <x v="0"/>
    <m/>
    <m/>
    <x v="44"/>
    <d v="2024-06-06T00:00:00"/>
    <n v="1"/>
  </r>
  <r>
    <s v="David Strong david.strong@hexaconsulting.co.uk"/>
    <s v="Hexa Consulting"/>
    <x v="6"/>
    <s v="Harry.Cherry@hexaconsulting.co.uk_x000a__x0009_James.Garment@hexaconsulting.co.uk"/>
    <x v="0"/>
    <m/>
    <m/>
    <x v="44"/>
    <d v="2024-06-06T00:00:00"/>
    <n v="1"/>
  </r>
  <r>
    <s v="Harry Davison harry.davison@hexaconsulting.co.uk "/>
    <s v="Hexa Consulting"/>
    <x v="6"/>
    <s v="Harry.Cherry@hexaconsulting.co.uk_x000a__x0009_James.Garment@hexaconsulting.co.uk"/>
    <x v="0"/>
    <m/>
    <m/>
    <x v="44"/>
    <d v="2024-06-11T00:00:00"/>
    <n v="6"/>
  </r>
  <r>
    <s v="Scott Thompson scott.thompson@hexaconsulting.co.uk"/>
    <s v="Hexa Consulting"/>
    <x v="6"/>
    <s v="Harry.Cherry@hexaconsulting.co.uk_x000a__x0009_James.Garment@hexaconsulting.co.uk"/>
    <x v="0"/>
    <m/>
    <m/>
    <x v="44"/>
    <d v="2024-06-12T00:00:00"/>
    <n v="7"/>
  </r>
  <r>
    <s v="Sean Byron &lt;sean.byron@hexaconsulting.co.uk&gt; "/>
    <s v="Hexa Consulting"/>
    <x v="6"/>
    <s v="Harry.Cherry@hexaconsulting.co.uk_x000a__x0009_James.Garment@hexaconsulting.co.uk"/>
    <x v="0"/>
    <m/>
    <m/>
    <x v="45"/>
    <d v="2024-06-12T00:00:00"/>
    <n v="1"/>
  </r>
  <r>
    <s v="luke.williams@cpmg-architects.com "/>
    <s v="CPMG"/>
    <x v="6"/>
    <s v="Anil.Parmar@cpmg-architects.com_x000a__x0009_gemma.pont@cpmg-architects.com"/>
    <x v="0"/>
    <m/>
    <m/>
    <x v="45"/>
    <m/>
    <n v="156"/>
  </r>
  <r>
    <s v="Bianca Coutinho bianca.coutinho@ofrconsultants.com"/>
    <s v="OFR Consultants"/>
    <x v="6"/>
    <s v="karen.hugh@ofrconsultants.com"/>
    <x v="0"/>
    <m/>
    <m/>
    <x v="58"/>
    <d v="2024-06-12T00:00:00"/>
    <n v="2"/>
  </r>
  <r>
    <s v="Andrew Thomas &lt;Andrew.Thomas@electract.co.uk&gt;"/>
    <s v="Electract Ltd"/>
    <x v="2"/>
    <s v="Richard Perkins"/>
    <x v="0"/>
    <s v="Org admin"/>
    <m/>
    <x v="59"/>
    <d v="2024-08-19T00:00:00"/>
    <n v="27"/>
  </r>
  <r>
    <s v="Kate Swinburne kate.swinburne@ofrconsultants.com ; "/>
    <s v="OFR Consultants"/>
    <x v="6"/>
    <s v="karen.hugh@ofrconsultants.com"/>
    <x v="0"/>
    <m/>
    <m/>
    <x v="44"/>
    <d v="2024-06-06T00:00:00"/>
    <n v="1"/>
  </r>
  <r>
    <s v="jon jon@one-environments.co.uk; "/>
    <s v="One Environments"/>
    <x v="6"/>
    <s v="_x0009_jon@one-environments.co.uk"/>
    <x v="0"/>
    <m/>
    <m/>
    <x v="44"/>
    <d v="2024-06-06T00:00:00"/>
    <n v="1"/>
  </r>
  <r>
    <s v="Keith Jex &lt;k.jex@one-environments.co.uk&gt;"/>
    <s v="One Environments"/>
    <x v="6"/>
    <s v="_x0009_jon@one-environments.co.uk_x000a_Keith Jex &lt;k.jex@one-environments.co.uk&gt;"/>
    <x v="0"/>
    <m/>
    <m/>
    <x v="44"/>
    <d v="2024-06-06T00:00:00"/>
    <n v="1"/>
  </r>
  <r>
    <s v="Richard Alldread r.alldread@one-environments.co.uk; "/>
    <s v="One Environments"/>
    <x v="6"/>
    <s v="_x0009_jon@one-environments.co.uk"/>
    <x v="0"/>
    <m/>
    <m/>
    <x v="44"/>
    <d v="2024-06-06T00:00:00"/>
    <n v="1"/>
  </r>
  <r>
    <s v="Steven.Colclough189@mod.gov.uk"/>
    <s v="Defence Infrastructure Organisation"/>
    <x v="2"/>
    <s v="william.pearson102@mod.gov.uk"/>
    <x v="1"/>
    <s v="User"/>
    <s v="admin no longer available, asked to contact aconex support_x000a_"/>
    <x v="60"/>
    <d v="2024-08-20T00:00:00"/>
    <n v="15"/>
  </r>
  <r>
    <s v="andrea.c@pinnacle-furniture.co.uk"/>
    <s v="Eightspace LLP t/a Pinnacle Furniture"/>
    <x v="6"/>
    <s v="aidan.h@pinnacle-furniture.co.uk_x000a_bill.s@pinnacle-furniture.co.uk_x000a__x0009_siena.ridewood@8space.co.uk"/>
    <x v="0"/>
    <m/>
    <m/>
    <x v="61"/>
    <d v="2024-06-13T00:00:00"/>
    <n v="1"/>
  </r>
  <r>
    <s v="Tom Shervington &lt;tom.shervington@atlas-washrooms.co.uk&gt;"/>
    <s v="_x0009_Atlas Washroom Systems Ltd"/>
    <x v="2"/>
    <s v="ryan.spinks@atlas-washrooms.co.uk"/>
    <x v="0"/>
    <m/>
    <m/>
    <x v="62"/>
    <d v="2024-08-20T00:00:00"/>
    <n v="1"/>
  </r>
  <r>
    <s v="MALIK, Amjad &lt;Amjad.MALIK@education.gov.uk&gt;; "/>
    <s v="DFE"/>
    <x v="6"/>
    <s v="julia.gollings@education.gov.uk_x000a_benjamin.smith@education.gov.uk_x000a_dfe.bim@education.gov.uk"/>
    <x v="0"/>
    <m/>
    <m/>
    <x v="63"/>
    <d v="2024-06-24T00:00:00"/>
    <n v="7"/>
  </r>
  <r>
    <s v="BARLOW, Oliver &lt;Oliver.BARLOW@education.gov.uk&gt;;"/>
    <s v="DFE"/>
    <x v="6"/>
    <s v="julia.gollings@education.gov.uk_x000a_benjamin.smith@education.gov.uk_x000a_dfe.bim@education.gov.uk"/>
    <x v="0"/>
    <m/>
    <m/>
    <x v="63"/>
    <d v="2024-06-24T00:00:00"/>
    <n v="7"/>
  </r>
  <r>
    <s v=" HEALY, Kieran-PSBP &lt;Kieran.HEALY@education.gov.uk&gt;"/>
    <s v="DFE"/>
    <x v="6"/>
    <s v="julia.gollings@education.gov.uk_x000a_benjamin.smith@education.gov.uk_x000a_dfe.bim@education.gov.uk"/>
    <x v="0"/>
    <m/>
    <m/>
    <x v="63"/>
    <d v="2024-06-24T00:00:00"/>
    <n v="7"/>
  </r>
  <r>
    <s v="Skerton, Simon &lt;Simon.Skerton@atkinsrealis.com&gt;;"/>
    <s v="AtkinsRéalis"/>
    <x v="6"/>
    <s v="svc_corp_aconexlby@atkinsglobal.com_x000a_Hammad.Shah@atkinsrealis.com_x000a__x0009_Nina.Mercier@atkinsrealis.com"/>
    <x v="0"/>
    <s v="Org admin"/>
    <s v="Added, no transmittal sent (client team)"/>
    <x v="63"/>
    <d v="2024-06-26T00:00:00"/>
    <n v="9"/>
  </r>
  <r>
    <s v=" Charles, Reneta Carine &lt;RenetaCarine.Charles@atkinsrealis.com&gt;"/>
    <s v="AtkinsRéalis"/>
    <x v="6"/>
    <s v="svc_corp_aconexlby@atkinsglobal.com_x000a_Hammad.Shah@atkinsrealis.com_x000a__x0009_Nina.Mercier@atkinsrealis.com"/>
    <x v="0"/>
    <s v="Org admin"/>
    <s v="Added, no transmittal sent (client team)"/>
    <x v="63"/>
    <d v="2024-06-26T00:00:00"/>
    <n v="9"/>
  </r>
  <r>
    <s v="HARRIS, Kevin &lt;Kevin.HARRIS@education.gov.uk&gt; "/>
    <s v="DFE"/>
    <x v="6"/>
    <s v="julia.gollings@education.gov.uk_x000a_benjamin.smith@education.gov.uk_x000a_dfe.bim@education.gov.uk"/>
    <x v="0"/>
    <m/>
    <m/>
    <x v="63"/>
    <d v="2024-06-24T00:00:00"/>
    <n v="7"/>
  </r>
  <r>
    <s v="WILSON, Alison6 &lt;Alison6.WILSON@education.gov.uk&gt; "/>
    <s v="DFE"/>
    <x v="6"/>
    <s v="julia.gollings@education.gov.uk_x000a_benjamin.smith@education.gov.uk_x000a_dfe.bim@education.gov.uk"/>
    <x v="0"/>
    <m/>
    <m/>
    <x v="63"/>
    <d v="2024-06-24T00:00:00"/>
    <n v="7"/>
  </r>
  <r>
    <s v="HAMMOND, Tanya &lt;Tanya.HAMMOND@education.gov.uk&gt;"/>
    <s v="DFE"/>
    <x v="6"/>
    <s v="julia.gollings@education.gov.uk_x000a_benjamin.smith@education.gov.uk_x000a_dfe.bim@education.gov.uk"/>
    <x v="0"/>
    <m/>
    <m/>
    <x v="63"/>
    <d v="2024-06-24T00:00:00"/>
    <n v="7"/>
  </r>
  <r>
    <s v="Paul Winter - &lt;paul.winter@westmidlands.police.uk&gt;;  "/>
    <s v="West Midlands Police"/>
    <x v="8"/>
    <m/>
    <x v="1"/>
    <s v="User"/>
    <s v="New organisation_x000a_chased 02.07"/>
    <x v="64"/>
    <d v="2024-07-16T00:00:00"/>
    <n v="28"/>
  </r>
  <r>
    <s v="Rob Tart - &lt;rob.tart@westmidlands.police.uk&gt;;"/>
    <s v="West Midlands Police"/>
    <x v="8"/>
    <m/>
    <x v="1"/>
    <s v="User"/>
    <s v="New organisation_x000a_chased 02.07"/>
    <x v="64"/>
    <d v="2024-07-16T00:00:00"/>
    <n v="28"/>
  </r>
  <r>
    <s v=" Sandaljit Bains - &lt;sandaljit.bains@westmidlands.police.uk&gt;;"/>
    <s v="West Midlands Police"/>
    <x v="8"/>
    <m/>
    <x v="1"/>
    <s v="User"/>
    <s v="New organisation_x000a_chased 02.07"/>
    <x v="64"/>
    <d v="2024-07-16T00:00:00"/>
    <n v="28"/>
  </r>
  <r>
    <s v="Ben Devenport - &lt;benjamin.davenport@westmidlands.police.uk&gt;"/>
    <s v="West Midlands Police"/>
    <x v="8"/>
    <m/>
    <x v="1"/>
    <s v="User"/>
    <s v="New organisation_x000a_chased 02.07"/>
    <x v="64"/>
    <d v="2024-07-16T00:00:00"/>
    <n v="28"/>
  </r>
  <r>
    <s v="Joselyn.Jacob@atkinsrealis.com"/>
    <s v="AtkinsRéalis"/>
    <x v="6"/>
    <s v="svc_corp_aconexlby@atkinsglobal.com_x000a_Hammad.Shah@atkinsrealis.com_x000a__x0009_Nina.Mercier@atkinsrealis.com"/>
    <x v="0"/>
    <s v="Org admin"/>
    <m/>
    <x v="65"/>
    <d v="2024-06-27T00:00:00"/>
    <n v="4"/>
  </r>
  <r>
    <s v="Craig.Schranz@atkinsrealis.com"/>
    <s v="AtkinsRéalis"/>
    <x v="6"/>
    <s v="svc_corp_aconexlby@atkinsglobal.com_x000a_Hammad.Shah@atkinsrealis.com_x000a__x0009_Nina.Mercier@atkinsrealis.com"/>
    <x v="0"/>
    <s v="Org admin"/>
    <m/>
    <x v="65"/>
    <d v="2024-06-27T00:00:00"/>
    <n v="4"/>
  </r>
  <r>
    <s v="Charlotte.McAllister@atkinsrealis.com"/>
    <s v="AtkinsRéalis"/>
    <x v="6"/>
    <s v="svc_corp_aconexlby@atkinsglobal.com_x000a_Hammad.Shah@atkinsrealis.com_x000a__x0009_Nina.Mercier@atkinsrealis.com"/>
    <x v="0"/>
    <m/>
    <s v="Added, no transmittal sent (client team)"/>
    <x v="65"/>
    <d v="2024-06-24T00:00:00"/>
    <n v="1"/>
  </r>
  <r>
    <s v="Joelle.Doocey@atkinsrealis.com"/>
    <s v="AtkinsRéalis"/>
    <x v="6"/>
    <s v="svc_corp_aconexlby@atkinsglobal.com_x000a_Hammad.Shah@atkinsrealis.com_x000a__x0009_Nina.Mercier@atkinsrealis.com"/>
    <x v="0"/>
    <m/>
    <m/>
    <x v="65"/>
    <d v="2024-07-16T00:00:00"/>
    <n v="23"/>
  </r>
  <r>
    <s v="nick vandenberg"/>
    <s v="AtkinsRéalis"/>
    <x v="6"/>
    <s v="svc_corp_aconexlby@atkinsglobal.com_x000a_Hammad.Shah@atkinsrealis.com_x000a__x0009_Nina.Mercier@atkinsrealis.com"/>
    <x v="1"/>
    <m/>
    <m/>
    <x v="65"/>
    <m/>
    <n v="144"/>
  </r>
  <r>
    <s v="Paul Sawyer psawyer@racecottam.com"/>
    <s v="_x0009_Race Cottam Associates"/>
    <x v="9"/>
    <s v="Nathan Halligan &lt;NHalligan@racecottam.com&gt;"/>
    <x v="0"/>
    <s v="HB"/>
    <s v="Need to send him a project invite when I've decided what that project invite looks like"/>
    <x v="65"/>
    <d v="2024-07-08T00:00:00"/>
    <n v="15"/>
  </r>
  <r>
    <s v="Lauren.Southall@atkinsrealis.com"/>
    <s v="AtkinsRéalis"/>
    <x v="6"/>
    <s v="svc_corp_aconexlby@atkinsglobal.com_x000a_Hammad.Shah@atkinsrealis.com_x000a__x0009_Nina.Mercier@atkinsrealis.com"/>
    <x v="0"/>
    <s v="Org admin"/>
    <m/>
    <x v="65"/>
    <d v="2024-06-28T00:00:00"/>
    <n v="5"/>
  </r>
  <r>
    <s v="Paul Foster pfoster@racecottam.com"/>
    <s v="_x0009_Race Cottam Associates"/>
    <x v="9"/>
    <s v="Nathan Halligan &lt;NHalligan@racecottam.com&gt;"/>
    <x v="0"/>
    <s v="HB"/>
    <s v="Need to send him a project invite when I've decided what that project invite looks like"/>
    <x v="65"/>
    <d v="2024-07-08T00:00:00"/>
    <n v="15"/>
  </r>
  <r>
    <s v="Nathan Halligan &lt;NHalligan@racecottam.com&gt;"/>
    <s v="_x0009_Race Cottam Associates"/>
    <x v="9"/>
    <s v="Nathan Halligan &lt;NHalligan@racecottam.com&gt;"/>
    <x v="0"/>
    <s v="HB"/>
    <s v="Need to send him a project invite when I've decided what that project invite looks like"/>
    <x v="65"/>
    <d v="2024-07-08T00:00:00"/>
    <n v="15"/>
  </r>
  <r>
    <s v=" ahmed Hussain &lt;ahmed@ahfire.co.uk&gt; "/>
    <s v="AH Fire"/>
    <x v="9"/>
    <m/>
    <x v="0"/>
    <s v="HB"/>
    <s v="need to send project invite mail"/>
    <x v="66"/>
    <d v="2024-07-22T00:00:00"/>
    <n v="12"/>
  </r>
  <r>
    <s v="andrew.stackhouse@ashandlacy.com"/>
    <s v="Ash and Lacy"/>
    <x v="9"/>
    <s v="faraaz.arshid@ashandlacy.com"/>
    <x v="1"/>
    <s v="Org admin"/>
    <s v="faraaz says no"/>
    <x v="67"/>
    <d v="2024-09-19T00:00:00"/>
    <n v="72"/>
  </r>
  <r>
    <s v="kevin.harris@education.gov.uk"/>
    <s v="DfE"/>
    <x v="6"/>
    <s v="julia.gollings@education.gov.uk_x000a_benjamin.smith@education.gov.uk_x000a_dfe.bim@education.gov.uk"/>
    <x v="0"/>
    <m/>
    <s v="dunno when he got on now"/>
    <x v="65"/>
    <d v="2024-06-28T00:00:00"/>
    <n v="5"/>
  </r>
  <r>
    <s v="Alan McEwan &lt;alan.mcewan@movawall.co.uk&gt;"/>
    <s v="Movawall"/>
    <x v="2"/>
    <m/>
    <x v="1"/>
    <s v="User"/>
    <s v="New organisation_x000a_22.05 - chased"/>
    <x v="68"/>
    <m/>
    <n v="268"/>
  </r>
  <r>
    <s v="s.townsend@associated-architects.co.uk "/>
    <s v="Associated Architects"/>
    <x v="8"/>
    <s v="j.belcher@associated-architects.co.uk_x000a_m.uljanovs@associated-architects.co.uk_x000a_r.bowman@associated-architects.co.uk_x000a__x0009_w.jukes@associated-architects.co.uk"/>
    <x v="0"/>
    <m/>
    <m/>
    <x v="54"/>
    <d v="2024-07-23T00:00:00"/>
    <n v="29"/>
  </r>
  <r>
    <s v="trevor.cartwright@hctcc.co.uk"/>
    <s v="HCT Construction Consultants"/>
    <x v="8"/>
    <m/>
    <x v="1"/>
    <s v="User"/>
    <s v="another one I give up on"/>
    <x v="54"/>
    <d v="2024-08-05T00:00:00"/>
    <n v="42"/>
  </r>
  <r>
    <s v="kelly.hinchy@westmidlands.police.uk"/>
    <s v="West Midlands Police"/>
    <x v="8"/>
    <m/>
    <x v="1"/>
    <s v="User"/>
    <s v="New organisation_x000a_chased 02.07"/>
    <x v="54"/>
    <d v="2024-08-05T00:00:00"/>
    <n v="42"/>
  </r>
  <r>
    <s v=" john.abbott@westmidlands.police.uk"/>
    <s v="West Midlands Police"/>
    <x v="8"/>
    <m/>
    <x v="1"/>
    <s v="User"/>
    <s v="New organisation_x000a_chased 02.07"/>
    <x v="54"/>
    <m/>
    <n v="143"/>
  </r>
  <r>
    <s v="Stuart Lanigan "/>
    <s v="Associated Architects"/>
    <x v="8"/>
    <s v="j.belcher@associated-architects.co.uk_x000a_m.uljanovs@associated-architects.co.uk_x000a_r.bowman@associated-architects.co.uk_x000a__x0009_w.jukes@associated-architects.co.uk"/>
    <x v="0"/>
    <s v="User"/>
    <s v="chased 05.08"/>
    <x v="69"/>
    <d v="2024-08-05T00:00:00"/>
    <n v="41"/>
  </r>
  <r>
    <s v="j.davey@associated-architects.co.uk"/>
    <s v="Associated Architects"/>
    <x v="8"/>
    <s v="j.belcher@associated-architects.co.uk_x000a_m.uljanovs@associated-architects.co.uk_x000a_r.bowman@associated-architects.co.uk_x000a__x0009_w.jukes@associated-architects.co.uk"/>
    <x v="0"/>
    <s v="HB"/>
    <s v="Need to send project invite"/>
    <x v="54"/>
    <d v="2024-06-26T00:00:00"/>
    <n v="2"/>
  </r>
  <r>
    <s v=" zunaidabba@hoarelea.com"/>
    <s v="Hoare Lea"/>
    <x v="8"/>
    <m/>
    <x v="0"/>
    <s v="HB"/>
    <s v="Need to send project invite_x000a_Asked zunaid who else needs access"/>
    <x v="54"/>
    <d v="2024-06-25T00:00:00"/>
    <n v="1"/>
  </r>
  <r>
    <s v="Pavithra.Karthik@hspconsulting.com"/>
    <s v="HSP Consulting"/>
    <x v="8"/>
    <m/>
    <x v="0"/>
    <s v="HB"/>
    <s v="Need to send project invite"/>
    <x v="54"/>
    <d v="2024-07-02T00:00:00"/>
    <n v="8"/>
  </r>
  <r>
    <s v="Harry Taylor &lt;Harry@nraroofing.co.uk&gt;"/>
    <s v="NRA Roofing"/>
    <x v="3"/>
    <s v="craig@nraroofing.co.uk_x000a_kristian@nraroofing.co.uk_x000a_paul@nraroofing.co.uk"/>
    <x v="2"/>
    <s v="Org admin"/>
    <s v="I made them guests but I told them I wanted them to have proper accounts_x000a_he rang and said his admins were too busy to make him an account lol"/>
    <x v="69"/>
    <m/>
    <n v="142"/>
  </r>
  <r>
    <s v="Murray Bonser &lt;Murray@nraroofing.co.uk&gt;"/>
    <s v="NRA Roofing"/>
    <x v="3"/>
    <s v="craig@nraroofing.co.uk_x000a_kristian@nraroofing.co.uk_x000a_paul@nraroofing.co.uk"/>
    <x v="2"/>
    <s v="Org admin"/>
    <s v="I made them guests but I told them I wanted them to have proper accounts"/>
    <x v="69"/>
    <m/>
    <n v="142"/>
  </r>
  <r>
    <s v="Will.Hayden@atkinsrealis.com"/>
    <s v="AtkinsRéalis"/>
    <x v="6"/>
    <s v="svc_corp_aconexlby@atkinsglobal.com_x000a_Hammad.Shah@atkinsrealis.com_x000a__x0009_Nina.Mercier@atkinsrealis.com"/>
    <x v="0"/>
    <m/>
    <m/>
    <x v="65"/>
    <d v="2024-06-28T00:00:00"/>
    <n v="5"/>
  </r>
  <r>
    <s v="Stephen.Fleming@atkinsrealis.com"/>
    <s v="AtkinsRéalis"/>
    <x v="6"/>
    <s v="svc_corp_aconexlby@atkinsglobal.com_x000a_Hammad.Shah@atkinsrealis.com_x000a__x0009_Nina.Mercier@atkinsrealis.com"/>
    <x v="0"/>
    <m/>
    <m/>
    <x v="65"/>
    <d v="2024-06-28T00:00:00"/>
    <n v="5"/>
  </r>
  <r>
    <s v="Martin.Whitchurch@atkinsrealis.com"/>
    <s v="AtkinsRéalis"/>
    <x v="6"/>
    <s v="svc_corp_aconexlby@atkinsglobal.com_x000a_Hammad.Shah@atkinsrealis.com_x000a__x0009_Nina.Mercier@atkinsrealis.com"/>
    <x v="0"/>
    <m/>
    <m/>
    <x v="65"/>
    <d v="2024-06-28T00:00:00"/>
    <n v="5"/>
  </r>
  <r>
    <s v="Matt Blatchford &lt;matt.blatchford@m-ec.co.uk&gt;"/>
    <s v="M-EC"/>
    <x v="3"/>
    <s v="Matt Blatchford &lt;matt.blatchford@m-ec.co.uk&gt;"/>
    <x v="2"/>
    <s v="User"/>
    <s v="lance is admin now and he's still not done this_x000a_He has guest account at least"/>
    <x v="70"/>
    <m/>
    <n v="134"/>
  </r>
  <r>
    <s v="Stuart Petrie-Tootell &lt;spetrie-tootell@mdaconsulting.co.uk&gt;"/>
    <s v="MDA Consulting"/>
    <x v="3"/>
    <s v="_x0009_sgatehouse@mdaconsulting.co.uk"/>
    <x v="0"/>
    <s v="Org admin"/>
    <s v="19.09 - cahsed 2"/>
    <x v="71"/>
    <d v="2024-09-20T00:00:00"/>
    <n v="78"/>
  </r>
  <r>
    <s v="Faraaz Arshid &lt;faraaz.arshid@ashandlacy.com&gt;"/>
    <s v="Ash and Lacy"/>
    <x v="9"/>
    <s v="faraaz.arshid@ashandlacy.com"/>
    <x v="0"/>
    <m/>
    <m/>
    <x v="67"/>
    <d v="2024-07-18T00:00:00"/>
    <n v="9"/>
  </r>
  <r>
    <s v="Nathan.Bird@ascotdoors.co.uk"/>
    <s v="Ascot Doors Ltd"/>
    <x v="3"/>
    <m/>
    <x v="1"/>
    <m/>
    <s v="asked to advise"/>
    <x v="72"/>
    <d v="2024-09-19T00:00:00"/>
    <n v="73"/>
  </r>
  <r>
    <s v="Craig Freeman &lt;craig.freeman@style-partitions.co.uk&gt;"/>
    <s v="STYLE PARTITIONS"/>
    <x v="3"/>
    <s v="_x0009_emma.morley@style-partitions.co.uk_x000a_on.richards@style-partitions.co.uk_x000a_Scott.mckenna@style-partitions.co.uk"/>
    <x v="0"/>
    <s v="User"/>
    <s v="I keep picking up an account but it's not appearing so I've told him to unhide his account"/>
    <x v="72"/>
    <d v="2024-08-19T00:00:00"/>
    <n v="42"/>
  </r>
  <r>
    <s v="Ian.watts@velux.co.uk"/>
    <s v="_x0009_velux commercial xtralite"/>
    <x v="3"/>
    <s v="Jim Lowrie &lt;jim.lowrie@velux.co.uk&gt; _x000a_jeff.armstrong@velux.co.uk"/>
    <x v="1"/>
    <s v="User"/>
    <s v="asked to advise"/>
    <x v="72"/>
    <d v="2024-09-19T00:00:00"/>
    <n v="73"/>
  </r>
  <r>
    <s v="Ali Mahmood - Ali.mahmood@excelsiorps.co.uk"/>
    <s v="Excelsior Panelling Systems Ltd"/>
    <x v="3"/>
    <s v="jon@excelsiorps.co.uk_x000a_kevin@excelsiorps.co.uk_x000a_sanders@excelsiorps.com"/>
    <x v="0"/>
    <s v="Org admin"/>
    <s v="asked kevin to create account"/>
    <x v="67"/>
    <d v="2024-07-10T00:00:00"/>
    <n v="1"/>
  </r>
  <r>
    <s v="steve.english@eastwoodce.com"/>
    <s v="Eastwood and Partners"/>
    <x v="9"/>
    <s v="samuel.hinson@eastwoodandpartners.com_x000a_joanna.almond@eastwoodandpartners.com_x000a__x0009_jblackwell@eastwoodandpartners.com"/>
    <x v="1"/>
    <s v="User"/>
    <s v="i still think he needs an account"/>
    <x v="65"/>
    <d v="2024-08-28T00:00:00"/>
    <n v="66"/>
  </r>
  <r>
    <s v="Andy Holman &lt;a.holman@awsturnerfain.co.uk&gt; "/>
    <s v="AWS Turner Fain"/>
    <x v="3"/>
    <s v="_x0009_s.dixon@awsturnerfain.co.uk"/>
    <x v="0"/>
    <s v="Org admin"/>
    <m/>
    <x v="67"/>
    <d v="2024-07-10T00:00:00"/>
    <n v="1"/>
  </r>
  <r>
    <s v="ready@racecottam.com"/>
    <s v="Race Cottam Associates"/>
    <x v="9"/>
    <s v="Nathan Halligan &lt;NHalligan@racecottam.com&gt;"/>
    <x v="0"/>
    <s v="Org admin"/>
    <m/>
    <x v="59"/>
    <d v="2024-08-01T00:00:00"/>
    <n v="9"/>
  </r>
  <r>
    <s v="Tilly.Hardcastle@stroma.com"/>
    <s v="Stroma Acousticians "/>
    <x v="9"/>
    <s v="_x0009_R.Defleury@stroma.com_x000a__x0009_r.waiting@stroma.com"/>
    <x v="0"/>
    <m/>
    <s v="Need to send project invite mail"/>
    <x v="65"/>
    <d v="2024-07-10T00:00:00"/>
    <n v="17"/>
  </r>
  <r>
    <s v="charlotte.westwood@wsp.com"/>
    <s v="WSP UK Limited"/>
    <x v="4"/>
    <s v="jonathan.rezainamaghi@wsp.com; Julia.Ramula@wsp.com"/>
    <x v="0"/>
    <m/>
    <s v="she already had n account"/>
    <x v="73"/>
    <d v="2024-07-12T00:00:00"/>
    <n v="1"/>
  </r>
  <r>
    <s v="Bradley Amin &lt;B.Amin@csjconstruction.co.uk&gt; "/>
    <s v="CSJ Construction"/>
    <x v="3"/>
    <s v="j.beck@csjconstruction.co.uk"/>
    <x v="0"/>
    <m/>
    <m/>
    <x v="74"/>
    <d v="2024-07-17T00:00:00"/>
    <n v="2"/>
  </r>
  <r>
    <s v="Jennifer Beck &lt;j.beck@csjconstruction.co.uk&gt;"/>
    <s v="CSJ Construction"/>
    <x v="3"/>
    <s v="j.beck@csjconstruction.co.uk"/>
    <x v="0"/>
    <m/>
    <m/>
    <x v="75"/>
    <d v="2024-07-17T00:00:00"/>
    <n v="1"/>
  </r>
  <r>
    <s v="Andy Read &lt;andy.read@kaydeesayfa.co.uk&gt;"/>
    <s v="KaydeeSayfa"/>
    <x v="2"/>
    <s v="Josh Harris &lt;josh.harris@kaydeesayfa.co.uk&gt; "/>
    <x v="1"/>
    <s v="Org admin"/>
    <s v="31.05 - chased"/>
    <x v="76"/>
    <m/>
    <n v="226"/>
  </r>
  <r>
    <s v="Claire Skeet &lt;claire.skeet@enviraclad.com&gt; "/>
    <s v="Enviraclad"/>
    <x v="0"/>
    <s v="chris.terry@enviraclad.com"/>
    <x v="1"/>
    <s v="Org admin"/>
    <s v="there were loads of enviraclads so we'll see"/>
    <x v="77"/>
    <d v="2024-09-02T00:00:00"/>
    <n v="47"/>
  </r>
  <r>
    <s v="Chris Dunn &lt;Chris.Dunn@enviraclad.com&gt;"/>
    <s v="Enviraclad"/>
    <x v="0"/>
    <s v="chris.terry@enviraclad.com"/>
    <x v="1"/>
    <s v="Org admin"/>
    <s v="New organisation"/>
    <x v="77"/>
    <d v="2024-09-02T00:00:00"/>
    <n v="47"/>
  </r>
  <r>
    <s v="Dan Doherty &lt;DDoherty@Dab-engineering.co.uk&gt;"/>
    <s v="DAB Civils"/>
    <x v="5"/>
    <m/>
    <x v="0"/>
    <m/>
    <m/>
    <x v="78"/>
    <d v="2024-07-22T00:00:00"/>
    <n v="1"/>
  </r>
  <r>
    <s v="Daniel Young &lt;d.young@one-environments.co.uk&gt;"/>
    <s v="One Environments"/>
    <x v="6"/>
    <m/>
    <x v="0"/>
    <s v="Org admin"/>
    <m/>
    <x v="79"/>
    <d v="2024-07-24T00:00:00"/>
    <n v="2"/>
  </r>
  <r>
    <s v="liam@dohertyengineers.co.uk"/>
    <s v="Doherty Engineers"/>
    <x v="2"/>
    <m/>
    <x v="1"/>
    <s v="User"/>
    <s v="User to register organisation_x000a_Chased 22/11"/>
    <x v="9"/>
    <m/>
    <n v="368"/>
  </r>
  <r>
    <s v="tom.chaffer@stroma.com"/>
    <s v="Stroma Built Environment"/>
    <x v="9"/>
    <s v="_x0009_R.Defleury@stroma.com_x000a__x0009_r.waiting@stroma.com"/>
    <x v="0"/>
    <m/>
    <s v="Need to send him a project invite when I've decided what that project invite looks like"/>
    <x v="65"/>
    <d v="2024-07-01T00:00:00"/>
    <n v="8"/>
  </r>
  <r>
    <s v="Tristan Gill &lt;tristan.gill@eastwoodce.com&gt;"/>
    <s v="Eastwood and Partners"/>
    <x v="9"/>
    <s v="samuel.hinson@eastwoodandpartners.com_x000a_joanna.almond@eastwoodandpartners.com_x000a__x0009_jblackwell@eastwoodandpartners.com"/>
    <x v="0"/>
    <s v="HB"/>
    <s v="Need to send project invite mail"/>
    <x v="80"/>
    <d v="2024-07-26T00:00:00"/>
    <n v="1"/>
  </r>
  <r>
    <s v="Victoria Shailer &lt;victoria.shailer@eastwoodce.com&gt;"/>
    <s v="Eastwood and Partners"/>
    <x v="9"/>
    <s v="samuel.hinson@eastwoodandpartners.com_x000a_joanna.almond@eastwoodandpartners.com_x000a__x0009_jblackwell@eastwoodandpartners.com"/>
    <x v="0"/>
    <s v="HB"/>
    <s v="Need to send project invite mail"/>
    <x v="80"/>
    <d v="2024-07-26T00:00:00"/>
    <n v="1"/>
  </r>
  <r>
    <s v="James Liu &lt;james.liu@eastwoodce.com&gt;"/>
    <s v="Eastwood and Partners"/>
    <x v="9"/>
    <s v="samuel.hinson@eastwoodandpartners.com_x000a_joanna.almond@eastwoodandpartners.com_x000a__x0009_jblackwell@eastwoodandpartners.com"/>
    <x v="0"/>
    <s v="HB"/>
    <s v="Need to send project invite mail"/>
    <x v="80"/>
    <d v="2024-07-26T00:00:00"/>
    <n v="1"/>
  </r>
  <r>
    <s v="Ghena Zakhour &lt;Ghena.Zakhour@uk.rlb.com&gt;"/>
    <s v="Rider Levett Bucknall"/>
    <x v="5"/>
    <s v="Andy.Draper@uk.rlb.com_x000a_rlblicensedsoftware@uk.rlb.com"/>
    <x v="0"/>
    <m/>
    <m/>
    <x v="81"/>
    <d v="2024-08-30T00:00:00"/>
    <n v="32"/>
  </r>
  <r>
    <s v="Elliot Tiney (Elliot.tiney@cpmg-architects.com"/>
    <s v="CPMG"/>
    <x v="6"/>
    <s v="Anil.Parmar@cpmg-architects.com_x000a__x0009_gemma.pont@cpmg-architects.com"/>
    <x v="0"/>
    <m/>
    <s v="also WFS"/>
    <x v="82"/>
    <d v="2024-08-01T00:00:00"/>
    <n v="1"/>
  </r>
  <r>
    <s v="Mal Guite (mal.guite@cpmg-architects.com) "/>
    <s v="CPMG"/>
    <x v="6"/>
    <s v="Anil.Parmar@cpmg-architects.com_x000a__x0009_gemma.pont@cpmg-architects.com"/>
    <x v="0"/>
    <m/>
    <m/>
    <x v="82"/>
    <d v="2024-08-01T00:00:00"/>
    <n v="1"/>
  </r>
  <r>
    <s v="ben.reed@stroma.com"/>
    <s v="Stroma Built Environment"/>
    <x v="9"/>
    <m/>
    <x v="0"/>
    <m/>
    <m/>
    <x v="83"/>
    <d v="2024-08-02T00:00:00"/>
    <n v="1"/>
  </r>
  <r>
    <s v="Zubair Dadabhai &lt;Zubair.Dadabhai@mottmac.com&gt;"/>
    <s v="Mott Macdonald"/>
    <x v="2"/>
    <s v="Loads"/>
    <x v="1"/>
    <m/>
    <s v="Logging in from the wrong screen I think"/>
    <x v="58"/>
    <m/>
    <n v="157"/>
  </r>
  <r>
    <s v="Richard Perkins"/>
    <s v="Electract Ltd"/>
    <x v="5"/>
    <m/>
    <x v="0"/>
    <m/>
    <m/>
    <x v="84"/>
    <d v="2024-08-08T00:00:00"/>
    <n v="1"/>
  </r>
  <r>
    <s v="steve.ceiley@williambailey.co.uk"/>
    <s v="William Bailey"/>
    <x v="5"/>
    <m/>
    <x v="0"/>
    <s v="Org admin"/>
    <m/>
    <x v="84"/>
    <m/>
    <n v="99"/>
  </r>
  <r>
    <s v="wayne.wheat@thealdgroup.com"/>
    <m/>
    <x v="5"/>
    <m/>
    <x v="0"/>
    <m/>
    <m/>
    <x v="84"/>
    <d v="2024-08-08T00:00:00"/>
    <n v="1"/>
  </r>
  <r>
    <s v="kristian@nraroofing.co.uk"/>
    <m/>
    <x v="5"/>
    <m/>
    <x v="0"/>
    <m/>
    <m/>
    <x v="84"/>
    <d v="2024-08-08T00:00:00"/>
    <n v="1"/>
  </r>
  <r>
    <s v="steve.smith@wd-drywall.co.uk"/>
    <s v="WD Drywall"/>
    <x v="5"/>
    <s v="ryan.doherty@wd-drywall.co.uk"/>
    <x v="0"/>
    <m/>
    <m/>
    <x v="84"/>
    <d v="2024-08-08T00:00:00"/>
    <n v="1"/>
  </r>
  <r>
    <s v="ryan.doherty@wd-drywall.co.uk"/>
    <s v="WD Drywall"/>
    <x v="5"/>
    <s v="ryan.doherty@wd-drywall.co.uk"/>
    <x v="0"/>
    <m/>
    <m/>
    <x v="84"/>
    <d v="2024-08-08T00:00:00"/>
    <n v="1"/>
  </r>
  <r>
    <s v="Ramanathan, Krishna &lt;Krishna.Ramanathan@wsp.com&gt; "/>
    <s v="WSP UK Limited"/>
    <x v="4"/>
    <s v="jonathan.rezainamaghi@wsp.com; Julia.Ramula@wsp.com"/>
    <x v="0"/>
    <m/>
    <s v="asked to upgrade my guest to a full account"/>
    <x v="85"/>
    <m/>
    <n v="98"/>
  </r>
  <r>
    <s v="Danny Walsh &lt;danny.walsh@wd-drywall.co.uk&gt;"/>
    <s v="WD Drywall"/>
    <x v="5"/>
    <s v="ryan.doherty@wd-drywall.co.uk"/>
    <x v="2"/>
    <s v="Org admin"/>
    <s v="he has a guest account he needs a proper account"/>
    <x v="86"/>
    <m/>
    <n v="95"/>
  </r>
  <r>
    <s v="Claudia Henry &lt;Claudia.henry@hwaconsulting.co.uk&gt;"/>
    <s v="HWA Consulting"/>
    <x v="9"/>
    <s v="Jo Heffernan"/>
    <x v="0"/>
    <m/>
    <m/>
    <x v="84"/>
    <d v="2024-08-12T00:00:00"/>
    <n v="5"/>
  </r>
  <r>
    <s v="Adam Harris &lt;adam.harris@williambailey.co.uk&gt;"/>
    <s v="Electract Ltd"/>
    <x v="5"/>
    <m/>
    <x v="0"/>
    <m/>
    <m/>
    <x v="87"/>
    <d v="2024-08-19T00:00:00"/>
    <n v="4"/>
  </r>
  <r>
    <s v="Stuart Bailey &lt;stuart.bailey@williambailey.co.uk&gt;; "/>
    <s v="Electract Ltd"/>
    <x v="5"/>
    <m/>
    <x v="0"/>
    <m/>
    <m/>
    <x v="87"/>
    <d v="2024-08-19T00:00:00"/>
    <n v="4"/>
  </r>
  <r>
    <s v="anthony.bayley@autoextract.co.uk"/>
    <s v="Auto Extract Systems"/>
    <x v="2"/>
    <s v="Ethan Williams &lt;Ethan@autoextract.co.uk&gt;"/>
    <x v="0"/>
    <m/>
    <s v="I think it's ok now"/>
    <x v="75"/>
    <d v="2024-08-21T00:00:00"/>
    <n v="36"/>
  </r>
  <r>
    <s v="Tom Marshall &lt;Tom.Marshall@williambailey.co.uk&gt;"/>
    <s v="William Bailey"/>
    <x v="5"/>
    <m/>
    <x v="0"/>
    <m/>
    <m/>
    <x v="62"/>
    <d v="2024-08-20T00:00:00"/>
    <n v="1"/>
  </r>
  <r>
    <s v="graham.taylor@gptconsult.com"/>
    <s v="GPT Consult"/>
    <x v="5"/>
    <m/>
    <x v="0"/>
    <m/>
    <m/>
    <x v="88"/>
    <m/>
    <n v="86"/>
  </r>
  <r>
    <s v="mahesh.mistry@gptconsult.com"/>
    <s v="GPT Consult"/>
    <x v="5"/>
    <m/>
    <x v="0"/>
    <m/>
    <m/>
    <x v="88"/>
    <d v="2024-08-22T00:00:00"/>
    <n v="2"/>
  </r>
  <r>
    <s v="wendy@hydrop.com  "/>
    <s v="HYDROP E.C.S."/>
    <x v="5"/>
    <s v="_x0009_jac@hydrop.com"/>
    <x v="0"/>
    <m/>
    <m/>
    <x v="88"/>
    <d v="2024-08-23T00:00:00"/>
    <n v="3"/>
  </r>
  <r>
    <s v="samuel@hydrop.com"/>
    <s v="_x0009_HYDROP E.C.S."/>
    <x v="5"/>
    <s v="_x0009_jac@hydrop.com"/>
    <x v="0"/>
    <m/>
    <m/>
    <x v="88"/>
    <d v="2024-08-23T00:00:00"/>
    <n v="3"/>
  </r>
  <r>
    <s v="Darren Harris   darren@healthtechnical.co.uk"/>
    <s v="Health Technical,"/>
    <x v="5"/>
    <s v="Jamie Morrow &lt;jamie@healthtechnical.co.uk&gt;"/>
    <x v="0"/>
    <s v="User"/>
    <m/>
    <x v="88"/>
    <d v="2024-11-07T00:00:00"/>
    <n v="79"/>
  </r>
  <r>
    <s v="Jac Koumi _x0009_jac@hydrop.com"/>
    <s v="_x0009_HYDROP E.C.S."/>
    <x v="5"/>
    <s v="_x0009_jac@hydrop.com"/>
    <x v="0"/>
    <m/>
    <m/>
    <x v="89"/>
    <d v="2024-08-23T00:00:00"/>
    <n v="1"/>
  </r>
  <r>
    <s v="Gareth Spittlehouse &lt;Gareth@dnsmidlands.co.uk&gt;"/>
    <s v="DNS"/>
    <x v="9"/>
    <m/>
    <x v="0"/>
    <m/>
    <m/>
    <x v="90"/>
    <d v="2024-08-27T00:00:00"/>
    <n v="1"/>
  </r>
  <r>
    <s v="Ricky Croshaw"/>
    <s v="CSJ Construction"/>
    <x v="9"/>
    <m/>
    <x v="0"/>
    <m/>
    <m/>
    <x v="90"/>
    <d v="2024-08-27T00:00:00"/>
    <n v="1"/>
  </r>
  <r>
    <s v="mailto:cameronoconnor@aarsleff.co.uk"/>
    <s v="Aarsleff"/>
    <x v="9"/>
    <s v="Charlotte O'Neil &lt;CharlotteONeil@aarsleff.co.uk&gt;"/>
    <x v="0"/>
    <m/>
    <m/>
    <x v="90"/>
    <d v="2024-09-05T00:00:00"/>
    <n v="10"/>
  </r>
  <r>
    <s v="mailto:MeganVaughan-Ellis@aarsleff.co.uk"/>
    <s v="Aarsleff"/>
    <x v="9"/>
    <s v="Charlotte O'Neil &lt;CharlotteONeil@aarsleff.co.uk&gt;"/>
    <x v="0"/>
    <m/>
    <m/>
    <x v="90"/>
    <d v="2024-09-05T00:00:00"/>
    <n v="10"/>
  </r>
  <r>
    <s v="mailto:ParthPatel@aarsleff.co.uk"/>
    <s v="Aarsleff"/>
    <x v="9"/>
    <s v="Charlotte O'Neil &lt;CharlotteONeil@aarsleff.co.uk&gt;"/>
    <x v="0"/>
    <m/>
    <m/>
    <x v="90"/>
    <d v="2024-09-05T00:00:00"/>
    <n v="10"/>
  </r>
  <r>
    <s v="mailto:zohaibkhan@aarsleff.co.uk"/>
    <s v="Aarsleff"/>
    <x v="9"/>
    <s v="Charlotte O'Neil &lt;CharlotteONeil@aarsleff.co.uk&gt;"/>
    <x v="0"/>
    <m/>
    <m/>
    <x v="90"/>
    <d v="2024-09-05T00:00:00"/>
    <n v="10"/>
  </r>
  <r>
    <s v="catherine.seddon@education.gov.uk"/>
    <s v="DFE"/>
    <x v="6"/>
    <m/>
    <x v="0"/>
    <m/>
    <m/>
    <x v="90"/>
    <d v="2024-08-27T00:00:00"/>
    <n v="1"/>
  </r>
  <r>
    <s v="Hussain Nabi &lt;hussain.nabi@etexgroup.com&gt; "/>
    <s v="Etex Building Performance"/>
    <x v="5"/>
    <s v="Hussain Nabi &lt;hussain.nabi@etexgroup.com&gt; "/>
    <x v="0"/>
    <m/>
    <s v="he has an account now and he is an admin for etex_x000a_he wanted it under remagin but I said this works"/>
    <x v="91"/>
    <d v="2024-09-09T00:00:00"/>
    <n v="13"/>
  </r>
  <r>
    <s v="Harry Shaw &lt;harry@hsdesignsolutions.com&gt;"/>
    <s v="Etex Building Performance"/>
    <x v="5"/>
    <s v="Hussain Nabi &lt;hussain.nabi@etexgroup.com&gt; "/>
    <x v="0"/>
    <m/>
    <m/>
    <x v="91"/>
    <d v="2024-09-09T00:00:00"/>
    <n v="13"/>
  </r>
  <r>
    <s v="Robert Brough &lt;Robert.Brough@williambailey.co.uk&gt;;  "/>
    <s v="William Bailey"/>
    <x v="9"/>
    <m/>
    <x v="0"/>
    <m/>
    <m/>
    <x v="91"/>
    <d v="2024-08-28T00:00:00"/>
    <n v="1"/>
  </r>
  <r>
    <s v="Tom Marshall &lt;Tom.Marshall@williambailey.co.uk&gt;;"/>
    <s v="William Bailey"/>
    <x v="9"/>
    <m/>
    <x v="0"/>
    <m/>
    <m/>
    <x v="91"/>
    <d v="2024-08-28T00:00:00"/>
    <n v="1"/>
  </r>
  <r>
    <s v="Paul Wild &lt;paul.wild@williambailey.co.uk&gt;"/>
    <s v="William Bailey"/>
    <x v="9"/>
    <m/>
    <x v="0"/>
    <m/>
    <m/>
    <x v="92"/>
    <d v="2024-08-29T00:00:00"/>
    <n v="1"/>
  </r>
  <r>
    <s v="Stuart Bailey &lt;Stuart.Bailey@williambailey.co.uk&gt;"/>
    <s v="William Bailey"/>
    <x v="9"/>
    <m/>
    <x v="0"/>
    <m/>
    <m/>
    <x v="91"/>
    <d v="2024-08-28T00:00:00"/>
    <n v="1"/>
  </r>
  <r>
    <s v="Andy Price &lt;Andy.Price@uk.rlb.com&gt;"/>
    <s v="Rider Levett Bucknall"/>
    <x v="5"/>
    <s v="Andy.Draper@uk.rlb.com_x000a_rlblicensedsoftware@uk.rlb.com"/>
    <x v="0"/>
    <m/>
    <m/>
    <x v="92"/>
    <d v="2024-08-30T00:00:00"/>
    <n v="2"/>
  </r>
  <r>
    <s v="Ghena Zakhour &lt;Ghena.Zakhour@uk.rlb.com&gt;"/>
    <s v="Rider Levett Bucknall"/>
    <x v="5"/>
    <s v="Andy.Draper@uk.rlb.com_x000a_rlblicensedsoftware@uk.rlb.com"/>
    <x v="0"/>
    <m/>
    <m/>
    <x v="81"/>
    <d v="2024-08-30T00:00:00"/>
    <n v="32"/>
  </r>
  <r>
    <s v="Hesham Ahmad &lt;Hesham.Ahmad@uk.rlb.com&gt;; "/>
    <s v="Rider Levett Bucknall"/>
    <x v="5"/>
    <s v="Andy.Draper@uk.rlb.com_x000a_rlblicensedsoftware@uk.rlb.com"/>
    <x v="0"/>
    <m/>
    <m/>
    <x v="92"/>
    <d v="2024-08-30T00:00:00"/>
    <n v="2"/>
  </r>
  <r>
    <s v="Roma Sharma &lt;Roma.Sharma@uk.rlb.com&gt;; "/>
    <s v="Rider Levett Bucknall"/>
    <x v="5"/>
    <s v="Andy.Draper@uk.rlb.com_x000a_rlblicensedsoftware@uk.rlb.com"/>
    <x v="0"/>
    <m/>
    <m/>
    <x v="92"/>
    <d v="2024-08-30T00:00:00"/>
    <n v="2"/>
  </r>
  <r>
    <s v="RachelBremner@stridetreglown.com"/>
    <s v="Stride Treglown"/>
    <x v="4"/>
    <s v="_x0009_davidbanner@stridetreglown.com"/>
    <x v="2"/>
    <s v="Org admin"/>
    <m/>
    <x v="93"/>
    <m/>
    <n v="67"/>
  </r>
  <r>
    <s v="davidspencer@stridetreglown.com"/>
    <s v="Stride Treglown"/>
    <x v="4"/>
    <s v="_x0009_davidbanner@stridetreglown.com"/>
    <x v="2"/>
    <s v="Org admin"/>
    <m/>
    <x v="93"/>
    <m/>
    <n v="67"/>
  </r>
  <r>
    <s v="Andy@thealdgroup.com"/>
    <s v="_x0009_The ALD Plastering Company Ltd"/>
    <x v="5"/>
    <s v="_x0009_jon@thealdgroup.com"/>
    <x v="0"/>
    <s v="Org admin"/>
    <s v="idk when they completed this since they never said"/>
    <x v="94"/>
    <d v="2024-09-20T00:00:00"/>
    <n v="8"/>
  </r>
  <r>
    <s v="Haider.Albayati@thealdgroup.com"/>
    <s v="_x0009_The ALD Plastering Company Ltd"/>
    <x v="5"/>
    <s v="_x0009_jon@thealdgroup.com"/>
    <x v="0"/>
    <s v="Org admin"/>
    <m/>
    <x v="94"/>
    <d v="2024-09-20T00:00:00"/>
    <n v="8"/>
  </r>
  <r>
    <s v="Chris.Gordon@thealdgroup.com&gt;"/>
    <s v="_x0009_The ALD Plastering Company Ltd"/>
    <x v="5"/>
    <s v="_x0009_jon@thealdgroup.com"/>
    <x v="0"/>
    <s v="Org admin"/>
    <m/>
    <x v="94"/>
    <d v="2024-09-20T00:00:00"/>
    <n v="8"/>
  </r>
  <r>
    <s v="dan.brindley@electract.co.uk"/>
    <s v="Electract Ltd"/>
    <x v="9"/>
    <s v="Richard Perkins"/>
    <x v="0"/>
    <s v="Org admin"/>
    <m/>
    <x v="94"/>
    <d v="2024-09-13T00:00:00"/>
    <n v="1"/>
  </r>
  <r>
    <s v="Paul Whitham &lt;PaulW@nraroofing.co.uk&gt;"/>
    <s v="NRA Roofing"/>
    <x v="3"/>
    <s v="craig@nraroofing.co.uk_x000a_kristian@nraroofing.co.uk_x000a_paul@nraroofing.co.uk"/>
    <x v="2"/>
    <s v="Org admin"/>
    <s v="Messing about with Kristian two accounts man"/>
    <x v="95"/>
    <m/>
    <n v="58"/>
  </r>
  <r>
    <s v="Spencer Garnett &lt;SpencerGarnett@pickeverard.co.uk&gt;"/>
    <s v="Pick Everard"/>
    <x v="2"/>
    <m/>
    <x v="0"/>
    <m/>
    <m/>
    <x v="95"/>
    <d v="2024-09-18T00:00:00"/>
    <n v="1"/>
  </r>
  <r>
    <s v="Ben.Clarke@thealdgroup.com"/>
    <s v="The ALD Plastering Company Ltd"/>
    <x v="5"/>
    <s v="_x0009_jon@thealdgroup.com"/>
    <x v="0"/>
    <s v="Org admin"/>
    <m/>
    <x v="96"/>
    <d v="2024-09-20T00:00:00"/>
    <n v="1"/>
  </r>
  <r>
    <s v="amalson@masefieldservices.co.uk"/>
    <s v="Masefield Services"/>
    <x v="5"/>
    <m/>
    <x v="0"/>
    <m/>
    <m/>
    <x v="97"/>
    <d v="2024-10-02T00:00:00"/>
    <n v="10"/>
  </r>
  <r>
    <s v="NHutton@fpmccann.co.uk"/>
    <s v="FP McCann"/>
    <x v="5"/>
    <m/>
    <x v="1"/>
    <s v="Org admin"/>
    <s v="he has left the business"/>
    <x v="98"/>
    <d v="2024-10-07T00:00:00"/>
    <n v="4"/>
  </r>
  <r>
    <s v="tom.leighton@mjrobinson.com"/>
    <s v="MJ Robinson"/>
    <x v="5"/>
    <s v="jay pearch"/>
    <x v="2"/>
    <s v="Org admin"/>
    <s v="Guest user"/>
    <x v="98"/>
    <m/>
    <n v="42"/>
  </r>
  <r>
    <s v="Jack Whalley jack.whalley@altoconstruct.co.uk"/>
    <s v="Alto Construct"/>
    <x v="9"/>
    <s v="_x0009_adam.bateman@altoconstruct.co.uk_x000a_andrew.peacock@altoconstruct.co.uk"/>
    <x v="0"/>
    <s v="Org admin"/>
    <s v="Guest user"/>
    <x v="99"/>
    <d v="2024-10-16T00:00:00"/>
    <n v="6"/>
  </r>
  <r>
    <s v="Julian Butterworth julian.butterworth@altoconstruct.co.uk"/>
    <s v="Alto Construct"/>
    <x v="9"/>
    <s v="_x0009_adam.bateman@altoconstruct.co.uk_x000a_andrew.peacock@altoconstruct.co.uk"/>
    <x v="0"/>
    <s v="Org admin"/>
    <s v="his name is misspelled"/>
    <x v="99"/>
    <d v="2024-10-11T00:00:00"/>
    <n v="1"/>
  </r>
  <r>
    <s v="michael.smith@altoconstruct.co.uk; "/>
    <s v="Alto Construct"/>
    <x v="9"/>
    <s v="_x0009_adam.bateman@altoconstruct.co.uk_x000a_andrew.peacock@altoconstruct.co.uk"/>
    <x v="0"/>
    <s v="User"/>
    <s v="He is in but he has two accoutns he needs to check he can see the project"/>
    <x v="99"/>
    <m/>
    <n v="35"/>
  </r>
  <r>
    <s v="Suzanne Gill &lt;Suzanne.Gill@Emergent-Crown.co.uk&gt;"/>
    <s v="Emergent Crown"/>
    <x v="2"/>
    <m/>
    <x v="2"/>
    <s v="User"/>
    <s v="New organisation_x000a_shout out to young sam"/>
    <x v="100"/>
    <m/>
    <n v="32"/>
  </r>
  <r>
    <s v="Takhar, Ricky &lt;RickyTakhar@hoarelea.com&gt;"/>
    <s v="Hoare Lea"/>
    <x v="10"/>
    <s v="Kainth, Daniel &lt;DanielKainth@hoarelea.com&gt;"/>
    <x v="2"/>
    <s v="Org admin"/>
    <s v="New user"/>
    <x v="101"/>
    <m/>
    <n v="31"/>
  </r>
  <r>
    <s v="Carl Hubbard"/>
    <s v="Couch Perry and Wilkes LLP"/>
    <x v="11"/>
    <s v="Various inc carl hubbard"/>
    <x v="0"/>
    <m/>
    <m/>
    <x v="102"/>
    <d v="2024-10-16T00:00:00"/>
    <n v="1"/>
  </r>
  <r>
    <s v="James Carter Shelton"/>
    <s v="Couch Perry and Wilkes LLP"/>
    <x v="11"/>
    <s v="Various inc carl hubbard"/>
    <x v="0"/>
    <m/>
    <m/>
    <x v="102"/>
    <d v="2024-10-16T00:00:00"/>
    <n v="1"/>
  </r>
  <r>
    <s v="Charlie Greves"/>
    <s v="Couch Perry and Wilkes LLP"/>
    <x v="11"/>
    <s v="Various inc carl hubbard"/>
    <x v="0"/>
    <s v="Org admin"/>
    <m/>
    <x v="102"/>
    <d v="2024-11-11T00:00:00"/>
    <n v="27"/>
  </r>
  <r>
    <s v="Adam Lloyd"/>
    <s v="Couch Perry and Wilkes LLP"/>
    <x v="11"/>
    <s v="Various inc carl hubbard"/>
    <x v="0"/>
    <m/>
    <m/>
    <x v="102"/>
    <d v="2024-10-16T00:00:00"/>
    <n v="1"/>
  </r>
  <r>
    <s v="Alexander Russell"/>
    <s v="Couch Perry and Wilkes LLP"/>
    <x v="11"/>
    <s v="Various inc carl hubbard"/>
    <x v="0"/>
    <m/>
    <m/>
    <x v="102"/>
    <d v="2024-10-16T00:00:00"/>
    <n v="1"/>
  </r>
  <r>
    <s v="Steven Cooke"/>
    <s v="Couch Perry &amp; Wilkes Environmental LLP"/>
    <x v="11"/>
    <s v="Various inc carl hubbard"/>
    <x v="0"/>
    <m/>
    <m/>
    <x v="102"/>
    <d v="2024-10-16T00:00:00"/>
    <n v="1"/>
  </r>
  <r>
    <s v="ben.carrack@hlmarchitects.com"/>
    <s v="HLM Architects"/>
    <x v="11"/>
    <s v="Benjamin.Windle@hlmarchitects.com_x000a_Grace.Wilson@hlmarchitects.com_x000a_Maria.Chiucinco@hlmarchitects.com"/>
    <x v="0"/>
    <m/>
    <m/>
    <x v="102"/>
    <d v="2024-10-16T00:00:00"/>
    <n v="1"/>
  </r>
  <r>
    <s v="Joe.Howarth@hlmarchitects.com"/>
    <s v="HLM Architects"/>
    <x v="11"/>
    <s v="Benjamin.Windle@hlmarchitects.com_x000a_Grace.Wilson@hlmarchitects.com_x000a_Maria.Chiucinco@hlmarchitects.com"/>
    <x v="0"/>
    <m/>
    <m/>
    <x v="102"/>
    <d v="2024-10-16T00:00:00"/>
    <n v="1"/>
  </r>
  <r>
    <s v="mark.collins@hlmarchitects.com"/>
    <s v="HLM Architects"/>
    <x v="11"/>
    <s v="Benjamin.Windle@hlmarchitects.com_x000a_Grace.Wilson@hlmarchitects.com_x000a_Maria.Chiucinco@hlmarchitects.com"/>
    <x v="0"/>
    <m/>
    <m/>
    <x v="102"/>
    <d v="2024-10-16T00:00:00"/>
    <n v="1"/>
  </r>
  <r>
    <s v="caitlin.cadman@hlmarchitects.com"/>
    <s v="HLM Architects"/>
    <x v="11"/>
    <s v="Benjamin.Windle@hlmarchitects.com_x000a_Grace.Wilson@hlmarchitects.com_x000a_Maria.Chiucinco@hlmarchitects.com"/>
    <x v="2"/>
    <m/>
    <s v="chased 11.11"/>
    <x v="102"/>
    <m/>
    <n v="30"/>
  </r>
  <r>
    <s v="ben.lancaster@hexaconsulting.co.uk"/>
    <s v="Hexa Consulting"/>
    <x v="11"/>
    <s v="Harry.Cherry@hexaconsulting.co.uk_x000a_James.Garment@hexaconsulting.co.uk"/>
    <x v="0"/>
    <m/>
    <m/>
    <x v="102"/>
    <d v="2024-10-16T00:00:00"/>
    <n v="1"/>
  </r>
  <r>
    <s v="ania.wojnowska@hexaconsulting.co.uk"/>
    <s v="Hexa Consulting"/>
    <x v="11"/>
    <s v="Harry.Cherry@hexaconsulting.co.uk_x000a_James.Garment@hexaconsulting.co.uk"/>
    <x v="0"/>
    <m/>
    <m/>
    <x v="102"/>
    <d v="2024-10-16T00:00:00"/>
    <n v="1"/>
  </r>
  <r>
    <s v="harry.cherry@hexaconsulting.co.uk"/>
    <s v="Hexa Consulting"/>
    <x v="11"/>
    <s v="Harry.Cherry@hexaconsulting.co.uk_x000a_James.Garment@hexaconsulting.co.uk"/>
    <x v="0"/>
    <m/>
    <m/>
    <x v="102"/>
    <d v="2024-10-16T00:00:00"/>
    <n v="1"/>
  </r>
  <r>
    <s v="harry.davison@hexaconsulting.co.uk"/>
    <s v="Hexa Consulting"/>
    <x v="11"/>
    <s v="Harry.Cherry@hexaconsulting.co.uk_x000a_James.Garment@hexaconsulting.co.uk"/>
    <x v="0"/>
    <m/>
    <m/>
    <x v="102"/>
    <d v="2024-10-16T00:00:00"/>
    <n v="1"/>
  </r>
  <r>
    <s v="mszypowicz@vextrix.com"/>
    <s v="Vextrix"/>
    <x v="11"/>
    <s v="_x0009_gjames@vextrix.com"/>
    <x v="0"/>
    <m/>
    <m/>
    <x v="102"/>
    <d v="2024-10-16T00:00:00"/>
    <n v="1"/>
  </r>
  <r>
    <s v="jwilliamson@vextrix.com"/>
    <s v="Vextrix"/>
    <x v="11"/>
    <s v="_x0009_gjames@vextrix.com"/>
    <x v="0"/>
    <m/>
    <m/>
    <x v="102"/>
    <d v="2024-10-16T00:00:00"/>
    <n v="1"/>
  </r>
  <r>
    <s v="zac.wade@wsp.com"/>
    <s v="WSP UK Limited"/>
    <x v="11"/>
    <s v="jonathan.rezainamaghi@wsp.com; Julia.Ramula@wsp.com"/>
    <x v="0"/>
    <m/>
    <m/>
    <x v="102"/>
    <d v="2024-10-16T00:00:00"/>
    <n v="1"/>
  </r>
  <r>
    <s v="lewis.coffey@wsp.com"/>
    <s v="WSP UK Limited"/>
    <x v="11"/>
    <s v="jonathan.rezainamaghi@wsp.com; Julia.Ramula@wsp.com"/>
    <x v="2"/>
    <s v="Org admin"/>
    <s v="chased 11.11"/>
    <x v="102"/>
    <m/>
    <n v="30"/>
  </r>
  <r>
    <s v="matthew.stocks@wsp.com"/>
    <s v="WSP UK Limited"/>
    <x v="11"/>
    <s v="jonathan.rezainamaghi@wsp.com; Julia.Ramula@wsp.com"/>
    <x v="2"/>
    <s v="Org admin"/>
    <s v="chased 11.11"/>
    <x v="102"/>
    <m/>
    <n v="30"/>
  </r>
  <r>
    <s v="doug.hann@wsp.com"/>
    <s v="WSP UK Limited"/>
    <x v="11"/>
    <s v="jonathan.rezainamaghi@wsp.com; Julia.Ramula@wsp.com"/>
    <x v="0"/>
    <m/>
    <m/>
    <x v="102"/>
    <d v="2024-10-16T00:00:00"/>
    <n v="1"/>
  </r>
  <r>
    <s v="charline.hue@middlemarch.eco"/>
    <s v="Middlemarch Environmental Ltd"/>
    <x v="11"/>
    <s v="_x0009_james.calow@middlemarch-environmental.com"/>
    <x v="0"/>
    <s v="Org admin"/>
    <m/>
    <x v="102"/>
    <d v="2024-11-11T00:00:00"/>
    <n v="27"/>
  </r>
  <r>
    <s v="george.miles@middlemarch.eco"/>
    <s v="Middlemarch Environmental Ltd"/>
    <x v="11"/>
    <s v="_x0009_james.calow@middlemarch-environmental.com"/>
    <x v="0"/>
    <s v="Org admin"/>
    <s v="chased 11.11"/>
    <x v="102"/>
    <d v="2024-11-12T00:00:00"/>
    <n v="28"/>
  </r>
  <r>
    <s v="Jay Pearch &lt;jay.pearch@mjrobinson.com&gt;"/>
    <s v="MJ Robinson"/>
    <x v="9"/>
    <s v="jay pearch"/>
    <x v="0"/>
    <m/>
    <s v="he will follow up with anyone else to add"/>
    <x v="103"/>
    <m/>
    <n v="23"/>
  </r>
  <r>
    <s v="Jonathan McLoughlin &lt;Jonathan.mcloughlin@dearadhzu.com&gt;"/>
    <s v="Dearadh Zu"/>
    <x v="11"/>
    <s v="_x0009_Jonathan@dearadhzu.com"/>
    <x v="0"/>
    <m/>
    <m/>
    <x v="104"/>
    <d v="2024-11-02T00:00:00"/>
    <n v="10"/>
  </r>
  <r>
    <s v="Malik Thomas &lt;Malik.Thomas@stroma.com&gt;"/>
    <s v="Stroma Built Environment"/>
    <x v="9"/>
    <m/>
    <x v="0"/>
    <m/>
    <m/>
    <x v="105"/>
    <d v="2024-11-08T00:00:00"/>
    <n v="1"/>
  </r>
  <r>
    <s v="Chris Inman &lt;chris.inman@compositeuk.com&gt;"/>
    <s v="Composite Profiles"/>
    <x v="9"/>
    <s v="Chris Inman &lt;chris.inman@compositeuk.com&gt;; joel.nurser@compositeuk.com"/>
    <x v="0"/>
    <m/>
    <s v="He needs his 2FA resetting. He thinks he has a lobby so asked Joel to reset"/>
    <x v="105"/>
    <d v="2024-11-08T00:00:00"/>
    <n v="1"/>
  </r>
  <r>
    <s v="shaun@amicibrickwork.com"/>
    <s v="Amici Brickwork Contractors Ltd."/>
    <x v="5"/>
    <s v="shaun@amicibrickwork.com_x000a_Jake &lt;jake@amicibrickwork.com&gt;"/>
    <x v="0"/>
    <m/>
    <s v="he has two accounts"/>
    <x v="105"/>
    <d v="2024-11-08T00:00:00"/>
    <n v="1"/>
  </r>
  <r>
    <s v="sburrows@horton-automatics.ltd.uk"/>
    <s v="Horton Automatics"/>
    <x v="5"/>
    <s v="sburrows@horton-automatics.ltd.uk"/>
    <x v="0"/>
    <m/>
    <s v="new organisation"/>
    <x v="105"/>
    <d v="2024-11-12T00:00:00"/>
    <n v="5"/>
  </r>
  <r>
    <s v="Paul Leivers (paul@cawdellgroup.com)  "/>
    <s v="Cawdell Brickwork Limited"/>
    <x v="9"/>
    <s v="_x0009_adam@cawdellgroup.com"/>
    <x v="2"/>
    <s v="Org admin"/>
    <s v="guest created"/>
    <x v="105"/>
    <m/>
    <n v="7"/>
  </r>
  <r>
    <s v="Pete Fletcher (pete@cawdellgroup.com) "/>
    <s v="Cawdell Brickwork Limited"/>
    <x v="9"/>
    <s v="_x0009_adam@cawdellgroup.com"/>
    <x v="2"/>
    <s v="Org admin"/>
    <s v="guest created"/>
    <x v="105"/>
    <m/>
    <n v="7"/>
  </r>
  <r>
    <s v="Mark Gotheridge (mark.gotheridge@cawdellgroup.com) "/>
    <s v="Cawdell Brickwork Limited"/>
    <x v="9"/>
    <s v="_x0009_adam@cawdellgroup.com"/>
    <x v="2"/>
    <s v="Org admin"/>
    <s v="guest created"/>
    <x v="105"/>
    <m/>
    <n v="7"/>
  </r>
  <r>
    <s v="James Brown (James.Brown@fpmccann.co.uk)"/>
    <s v="FP McCann"/>
    <x v="9"/>
    <m/>
    <x v="0"/>
    <m/>
    <m/>
    <x v="105"/>
    <d v="2024-11-08T00:00:00"/>
    <n v="1"/>
  </r>
  <r>
    <s v="Sam Riley &lt;samriley@aarsleff.co.uk&gt;"/>
    <s v="Aarsleff Piling"/>
    <x v="9"/>
    <m/>
    <x v="0"/>
    <m/>
    <s v="guest trick"/>
    <x v="25"/>
    <d v="2024-11-12T00:00:00"/>
    <n v="1"/>
  </r>
  <r>
    <s v="mitch.hatton@trentcs.com"/>
    <s v="Trent Construction Services"/>
    <x v="5"/>
    <m/>
    <x v="2"/>
    <m/>
    <m/>
    <x v="106"/>
    <m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625AC-61EC-498F-888E-02D4CCA8716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C25" firstHeaderRow="0" firstDataRow="1" firstDataCol="1" rowPageCount="2" colPageCount="1"/>
  <pivotFields count="13">
    <pivotField dataField="1" showAll="0"/>
    <pivotField showAll="0"/>
    <pivotField axis="axisPage" showAll="0" sortType="descending">
      <items count="13">
        <item x="7"/>
        <item x="2"/>
        <item x="9"/>
        <item x="5"/>
        <item x="1"/>
        <item x="0"/>
        <item x="3"/>
        <item x="6"/>
        <item x="4"/>
        <item x="8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5">
        <item m="1" x="3"/>
        <item x="1"/>
        <item x="2"/>
        <item x="0"/>
        <item t="default"/>
      </items>
    </pivotField>
    <pivotField showAll="0"/>
    <pivotField showAll="0"/>
    <pivotField axis="axisRow" numFmtId="14" showAll="0">
      <items count="109">
        <item x="0"/>
        <item x="1"/>
        <item x="2"/>
        <item x="3"/>
        <item x="4"/>
        <item x="6"/>
        <item x="5"/>
        <item x="7"/>
        <item x="8"/>
        <item x="9"/>
        <item x="10"/>
        <item x="11"/>
        <item x="12"/>
        <item x="13"/>
        <item x="14"/>
        <item x="15"/>
        <item x="48"/>
        <item x="16"/>
        <item x="17"/>
        <item x="39"/>
        <item x="18"/>
        <item x="19"/>
        <item x="20"/>
        <item x="21"/>
        <item x="22"/>
        <item x="23"/>
        <item x="24"/>
        <item x="29"/>
        <item x="68"/>
        <item x="40"/>
        <item x="26"/>
        <item x="27"/>
        <item x="49"/>
        <item x="28"/>
        <item x="30"/>
        <item x="76"/>
        <item x="31"/>
        <item x="32"/>
        <item x="33"/>
        <item x="34"/>
        <item x="42"/>
        <item x="43"/>
        <item x="35"/>
        <item x="57"/>
        <item x="36"/>
        <item x="37"/>
        <item x="38"/>
        <item x="46"/>
        <item x="50"/>
        <item x="51"/>
        <item x="52"/>
        <item x="53"/>
        <item x="41"/>
        <item x="47"/>
        <item x="56"/>
        <item x="44"/>
        <item x="58"/>
        <item x="45"/>
        <item x="61"/>
        <item x="55"/>
        <item x="63"/>
        <item x="64"/>
        <item x="65"/>
        <item x="54"/>
        <item x="69"/>
        <item x="70"/>
        <item x="71"/>
        <item x="72"/>
        <item x="67"/>
        <item x="66"/>
        <item x="73"/>
        <item x="74"/>
        <item x="75"/>
        <item x="77"/>
        <item x="78"/>
        <item x="79"/>
        <item x="59"/>
        <item x="80"/>
        <item x="81"/>
        <item x="82"/>
        <item x="83"/>
        <item x="60"/>
        <item x="84"/>
        <item x="85"/>
        <item x="86"/>
        <item x="62"/>
        <item x="87"/>
        <item x="88"/>
        <item x="89"/>
        <item x="90"/>
        <item x="91"/>
        <item x="92"/>
        <item m="1" x="107"/>
        <item x="25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x="2"/>
        <item x="3"/>
        <item x="4"/>
        <item x="5"/>
        <item t="default"/>
      </items>
    </pivotField>
    <pivotField axis="axisRow" showAll="0">
      <items count="5">
        <item sd="0" x="0"/>
        <item x="1"/>
        <item x="2"/>
        <item x="3"/>
        <item t="default"/>
      </items>
    </pivotField>
  </pivotFields>
  <rowFields count="4">
    <field x="12"/>
    <field x="11"/>
    <field x="10"/>
    <field x="7"/>
  </rowFields>
  <rowItems count="21">
    <i>
      <x v="1"/>
    </i>
    <i r="1">
      <x v="3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t="grand">
      <x/>
    </i>
  </rowItems>
  <colFields count="1">
    <field x="-2"/>
  </colFields>
  <colItems count="2">
    <i>
      <x/>
    </i>
    <i i="1">
      <x v="1"/>
    </i>
  </colItems>
  <pageFields count="2">
    <pageField fld="4" hier="-1"/>
    <pageField fld="2" hier="-1"/>
  </pageFields>
  <dataFields count="2">
    <dataField name="Average of Total Days" fld="9" subtotal="average" baseField="0" baseItem="0"/>
    <dataField name="Count of User" fld="0" subtotal="count" baseField="0" baseItem="0"/>
  </dataField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6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7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8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9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0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A175B1-D74F-4BA1-9AF5-29232E708424}" name="Table1" displayName="Table1" ref="A1:L10" totalsRowShown="0" headerRowDxfId="17" dataDxfId="16">
  <autoFilter ref="A1:L10" xr:uid="{71A175B1-D74F-4BA1-9AF5-29232E708424}"/>
  <tableColumns count="12">
    <tableColumn id="1" xr3:uid="{D91E105D-8E70-4879-9218-2431FB355198}" name="User" dataDxfId="15"/>
    <tableColumn id="7" xr3:uid="{25748D8A-A51E-440F-8910-142B9AF87B85}" name="Company" dataDxfId="14"/>
    <tableColumn id="2" xr3:uid="{3CE6B799-7FF5-4B53-9CF1-FF8D219D3105}" name="Project" dataDxfId="13"/>
    <tableColumn id="3" xr3:uid="{56CCE44E-1B0A-4623-88BB-BE276D2A6D4B}" name="Org Admin(s)" dataDxfId="12"/>
    <tableColumn id="8" xr3:uid="{60D88853-E897-46EA-B281-FE205234D5E3}" name="Done?" dataDxfId="11"/>
    <tableColumn id="4" xr3:uid="{DA5CB383-6644-466D-8043-CF4CC215F988}" name="Action with" dataDxfId="10"/>
    <tableColumn id="5" xr3:uid="{62BE0C07-1CD2-47C4-B11D-5E84572C9DFA}" name="Comments" dataDxfId="9" dataCellStyle="Normal"/>
    <tableColumn id="6" xr3:uid="{521B2374-EB81-49A5-9186-56318E583D0A}" name="Date Started" dataDxfId="8"/>
    <tableColumn id="9" xr3:uid="{58600409-3DEE-4208-9520-C37261744363}" name="Date Completed" dataDxfId="7"/>
    <tableColumn id="10" xr3:uid="{26BDD5A2-690E-4C09-AEE3-A3C8A754048D}" name="Total Days" dataDxfId="6">
      <calculatedColumnFormula>IF(Table1[[#This Row],[Date Started]]="","",IF(Table1[[#This Row],[Date Completed]]="",TODAY(),Table1[[#This Row],[Date Completed]])-Table1[[#This Row],[Date Started]]+1)</calculatedColumnFormula>
    </tableColumn>
    <tableColumn id="11" xr3:uid="{C86EC620-1752-4BF2-ABBB-741E19AFD6BE}" name="Type" dataDxfId="5"/>
    <tableColumn id="12" xr3:uid="{DE31FC48-E52A-45ED-9443-A70868435FFF}" name="Added to All?" dataDxfId="4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Vapor Trail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Vapor Trail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Vapor Trail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0"/>
  <sheetViews>
    <sheetView tabSelected="1" zoomScaleNormal="100" workbookViewId="0">
      <pane ySplit="1" topLeftCell="A2" activePane="bottomLeft" state="frozen"/>
      <selection pane="bottomLeft" activeCell="C1" sqref="C1"/>
    </sheetView>
  </sheetViews>
  <sheetFormatPr defaultRowHeight="16.5" x14ac:dyDescent="0.3"/>
  <cols>
    <col min="1" max="1" width="25.25" style="1" customWidth="1"/>
    <col min="2" max="2" width="18.625" style="1" customWidth="1"/>
    <col min="3" max="3" width="17.5" style="1" customWidth="1"/>
    <col min="4" max="4" width="29.625" style="1" customWidth="1"/>
    <col min="5" max="5" width="10.75" style="1" customWidth="1"/>
    <col min="6" max="6" width="14.875" style="1" customWidth="1"/>
    <col min="7" max="7" width="33.25" style="7" customWidth="1"/>
    <col min="8" max="8" width="12.375" style="2" customWidth="1"/>
    <col min="9" max="9" width="11.25" customWidth="1"/>
    <col min="10" max="10" width="8.375" style="6" customWidth="1"/>
    <col min="11" max="11" width="16.125" customWidth="1"/>
  </cols>
  <sheetData>
    <row r="1" spans="1:12" ht="44.25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1" t="s">
        <v>6</v>
      </c>
      <c r="H1" s="2" t="s">
        <v>7</v>
      </c>
      <c r="I1" s="3" t="s">
        <v>8</v>
      </c>
      <c r="J1" s="5" t="s">
        <v>9</v>
      </c>
      <c r="K1" s="1" t="s">
        <v>75</v>
      </c>
      <c r="L1" s="1" t="s">
        <v>79</v>
      </c>
    </row>
    <row r="2" spans="1:12" x14ac:dyDescent="0.3">
      <c r="A2" s="19" t="s">
        <v>58</v>
      </c>
      <c r="B2" s="20" t="s">
        <v>60</v>
      </c>
      <c r="C2" s="13" t="s">
        <v>61</v>
      </c>
      <c r="D2" s="13"/>
      <c r="E2" s="14" t="s">
        <v>11</v>
      </c>
      <c r="F2" s="14"/>
      <c r="G2" s="15"/>
      <c r="H2" s="16">
        <v>45617</v>
      </c>
      <c r="I2" s="16">
        <v>45620</v>
      </c>
      <c r="J2" s="17">
        <f ca="1">IF(Table1[[#This Row],[Date Started]]="","",IF(Table1[[#This Row],[Date Completed]]="",TODAY(),Table1[[#This Row],[Date Completed]])-Table1[[#This Row],[Date Started]]+1)</f>
        <v>4</v>
      </c>
      <c r="K2" s="13"/>
      <c r="L2" s="14" t="s">
        <v>11</v>
      </c>
    </row>
    <row r="3" spans="1:12" x14ac:dyDescent="0.3">
      <c r="A3" s="19" t="s">
        <v>59</v>
      </c>
      <c r="B3" s="20" t="s">
        <v>60</v>
      </c>
      <c r="C3" s="13" t="s">
        <v>61</v>
      </c>
      <c r="D3" s="13"/>
      <c r="E3" s="14" t="s">
        <v>21</v>
      </c>
      <c r="F3" s="14"/>
      <c r="G3" s="15"/>
      <c r="H3" s="16">
        <v>45618</v>
      </c>
      <c r="I3" s="16">
        <v>45620</v>
      </c>
      <c r="J3" s="17">
        <f ca="1">IF(Table1[[#This Row],[Date Started]]="","",IF(Table1[[#This Row],[Date Completed]]="",TODAY(),Table1[[#This Row],[Date Completed]])-Table1[[#This Row],[Date Started]]+1)</f>
        <v>3</v>
      </c>
      <c r="K3" s="13"/>
      <c r="L3" s="14"/>
    </row>
    <row r="4" spans="1:12" x14ac:dyDescent="0.3">
      <c r="A4" s="19" t="s">
        <v>63</v>
      </c>
      <c r="B4" s="20" t="s">
        <v>62</v>
      </c>
      <c r="C4" s="13" t="s">
        <v>61</v>
      </c>
      <c r="D4" s="13"/>
      <c r="E4" s="14" t="s">
        <v>11</v>
      </c>
      <c r="F4" s="14"/>
      <c r="G4" s="15"/>
      <c r="H4" s="16">
        <v>45617</v>
      </c>
      <c r="I4" s="16">
        <v>45620</v>
      </c>
      <c r="J4" s="17">
        <f ca="1">IF(Table1[[#This Row],[Date Started]]="","",IF(Table1[[#This Row],[Date Completed]]="",TODAY(),Table1[[#This Row],[Date Completed]])-Table1[[#This Row],[Date Started]]+1)</f>
        <v>4</v>
      </c>
      <c r="K4" s="13"/>
      <c r="L4" s="14" t="s">
        <v>11</v>
      </c>
    </row>
    <row r="5" spans="1:12" x14ac:dyDescent="0.3">
      <c r="A5" s="19" t="s">
        <v>64</v>
      </c>
      <c r="B5" s="20" t="s">
        <v>62</v>
      </c>
      <c r="C5" s="13" t="s">
        <v>61</v>
      </c>
      <c r="D5" s="13"/>
      <c r="E5" s="14" t="s">
        <v>21</v>
      </c>
      <c r="F5" s="14"/>
      <c r="G5" s="15"/>
      <c r="H5" s="16">
        <v>45643</v>
      </c>
      <c r="I5" s="16"/>
      <c r="J5" s="17">
        <f ca="1">IF(Table1[[#This Row],[Date Started]]="","",IF(Table1[[#This Row],[Date Completed]]="",TODAY(),Table1[[#This Row],[Date Completed]])-Table1[[#This Row],[Date Started]]+1)</f>
        <v>35</v>
      </c>
      <c r="K5" s="13"/>
      <c r="L5" s="14"/>
    </row>
    <row r="6" spans="1:12" ht="33" x14ac:dyDescent="0.3">
      <c r="A6" s="7" t="s">
        <v>65</v>
      </c>
      <c r="B6" s="20" t="s">
        <v>68</v>
      </c>
      <c r="C6" s="13" t="s">
        <v>61</v>
      </c>
      <c r="D6" s="13" t="s">
        <v>74</v>
      </c>
      <c r="E6" s="14" t="s">
        <v>21</v>
      </c>
      <c r="F6" s="14"/>
      <c r="G6" s="15"/>
      <c r="H6" s="16">
        <v>45644</v>
      </c>
      <c r="I6" s="13"/>
      <c r="J6" s="17">
        <f ca="1">IF(Table1[[#This Row],[Date Started]]="","",IF(Table1[[#This Row],[Date Completed]]="",TODAY(),Table1[[#This Row],[Date Completed]])-Table1[[#This Row],[Date Started]]+1)</f>
        <v>34</v>
      </c>
      <c r="K6" s="13"/>
      <c r="L6" s="14"/>
    </row>
    <row r="7" spans="1:12" ht="33" x14ac:dyDescent="0.3">
      <c r="A7" s="7" t="s">
        <v>66</v>
      </c>
      <c r="B7" s="20" t="s">
        <v>67</v>
      </c>
      <c r="C7" s="13" t="s">
        <v>61</v>
      </c>
      <c r="D7" s="13"/>
      <c r="E7" s="14" t="s">
        <v>11</v>
      </c>
      <c r="F7" s="14"/>
      <c r="G7" s="15"/>
      <c r="H7" s="16">
        <v>45620</v>
      </c>
      <c r="I7" s="16">
        <v>45620</v>
      </c>
      <c r="J7" s="17">
        <f ca="1">IF(Table1[[#This Row],[Date Started]]="","",IF(Table1[[#This Row],[Date Completed]]="",TODAY(),Table1[[#This Row],[Date Completed]])-Table1[[#This Row],[Date Started]]+1)</f>
        <v>1</v>
      </c>
      <c r="K7" s="13"/>
      <c r="L7" s="14" t="s">
        <v>11</v>
      </c>
    </row>
    <row r="8" spans="1:12" ht="33" x14ac:dyDescent="0.3">
      <c r="A8" s="7" t="s">
        <v>71</v>
      </c>
      <c r="B8" s="20" t="s">
        <v>69</v>
      </c>
      <c r="C8" s="13" t="s">
        <v>61</v>
      </c>
      <c r="D8" s="13" t="s">
        <v>73</v>
      </c>
      <c r="E8" s="14" t="s">
        <v>21</v>
      </c>
      <c r="F8" s="14"/>
      <c r="G8" s="15"/>
      <c r="H8" s="16">
        <v>45644</v>
      </c>
      <c r="I8" s="13"/>
      <c r="J8" s="17">
        <f ca="1">IF(Table1[[#This Row],[Date Started]]="","",IF(Table1[[#This Row],[Date Completed]]="",TODAY(),Table1[[#This Row],[Date Completed]])-Table1[[#This Row],[Date Started]]+1)</f>
        <v>34</v>
      </c>
      <c r="K8" s="13"/>
      <c r="L8" s="14"/>
    </row>
    <row r="9" spans="1:12" x14ac:dyDescent="0.3">
      <c r="A9" s="7" t="s">
        <v>72</v>
      </c>
      <c r="B9" s="20" t="s">
        <v>70</v>
      </c>
      <c r="C9" s="13" t="s">
        <v>61</v>
      </c>
      <c r="D9" s="13"/>
      <c r="E9" s="14" t="s">
        <v>21</v>
      </c>
      <c r="F9" s="14"/>
      <c r="G9" s="15"/>
      <c r="H9" s="16">
        <v>45645</v>
      </c>
      <c r="I9" s="13"/>
      <c r="J9" s="17">
        <f ca="1">IF(Table1[[#This Row],[Date Started]]="","",IF(Table1[[#This Row],[Date Completed]]="",TODAY(),Table1[[#This Row],[Date Completed]])-Table1[[#This Row],[Date Started]]+1)</f>
        <v>33</v>
      </c>
      <c r="K9" s="13"/>
      <c r="L9" s="14"/>
    </row>
    <row r="10" spans="1:12" ht="33" x14ac:dyDescent="0.3">
      <c r="A10" s="7" t="s">
        <v>77</v>
      </c>
      <c r="B10" s="20" t="s">
        <v>76</v>
      </c>
      <c r="C10" s="13" t="s">
        <v>78</v>
      </c>
      <c r="D10" s="13"/>
      <c r="E10" s="14" t="s">
        <v>21</v>
      </c>
      <c r="F10" s="18"/>
      <c r="G10" s="15"/>
      <c r="H10" s="16">
        <v>45646</v>
      </c>
      <c r="I10" s="13"/>
      <c r="J10" s="17">
        <f ca="1">IF(Table1[[#This Row],[Date Started]]="","",IF(Table1[[#This Row],[Date Completed]]="",TODAY(),Table1[[#This Row],[Date Completed]])-Table1[[#This Row],[Date Started]]+1)</f>
        <v>32</v>
      </c>
      <c r="K10" s="13"/>
      <c r="L10" s="14"/>
    </row>
  </sheetData>
  <conditionalFormatting sqref="E2:E10">
    <cfRule type="cellIs" dxfId="3" priority="9" operator="equal">
      <formula>"Account Issue"</formula>
    </cfRule>
    <cfRule type="cellIs" dxfId="2" priority="11" operator="equal">
      <formula>"Cancelled"</formula>
    </cfRule>
    <cfRule type="cellIs" dxfId="1" priority="12" operator="equal">
      <formula>"No"</formula>
    </cfRule>
    <cfRule type="cellIs" dxfId="0" priority="13" operator="equal">
      <formula>"Yes"</formula>
    </cfRule>
  </conditionalFormatting>
  <dataValidations count="2">
    <dataValidation type="list" allowBlank="1" showInputMessage="1" showErrorMessage="1" sqref="C2:C10" xr:uid="{8A147FE7-D5B8-44D5-A719-E80F146FE6BA}">
      <formula1>ProjectList</formula1>
    </dataValidation>
    <dataValidation type="list" allowBlank="1" showInputMessage="1" showErrorMessage="1" sqref="L2:L10" xr:uid="{78DA81C2-84A4-47AD-8BCD-40F4020797AD}">
      <formula1>YN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CC1501D7-F410-4977-B9D3-0F5EB7958236}">
          <x14:formula1>
            <xm:f>'List dropdowns'!$C$2:$C$5</xm:f>
          </x14:formula1>
          <xm:sqref>F2:F10</xm:sqref>
        </x14:dataValidation>
        <x14:dataValidation type="list" allowBlank="1" showInputMessage="1" showErrorMessage="1" error="Enter Yes/No" xr:uid="{B781777A-A17F-48E5-9A31-654B9D388D08}">
          <x14:formula1>
            <xm:f>'List dropdowns'!$B$2:$B$5</xm:f>
          </x14:formula1>
          <xm:sqref>E2:E10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F362A-FDFD-4966-83A9-15CBB78883D7}">
  <sheetPr codeName="Sheet2"/>
  <dimension ref="A1:C24"/>
  <sheetViews>
    <sheetView workbookViewId="0">
      <selection activeCell="B2" sqref="B2:B3"/>
    </sheetView>
  </sheetViews>
  <sheetFormatPr defaultRowHeight="16.5" x14ac:dyDescent="0.3"/>
  <cols>
    <col min="1" max="1" width="29.625" customWidth="1"/>
    <col min="2" max="2" width="11.625" customWidth="1"/>
    <col min="3" max="3" width="14.875" bestFit="1" customWidth="1"/>
  </cols>
  <sheetData>
    <row r="1" spans="1:3" x14ac:dyDescent="0.3">
      <c r="A1" s="4" t="s">
        <v>2</v>
      </c>
      <c r="B1" s="4" t="s">
        <v>4</v>
      </c>
      <c r="C1" s="4" t="s">
        <v>5</v>
      </c>
    </row>
    <row r="2" spans="1:3" x14ac:dyDescent="0.3">
      <c r="A2" s="11" t="s">
        <v>10</v>
      </c>
      <c r="B2" t="s">
        <v>11</v>
      </c>
      <c r="C2" t="s">
        <v>0</v>
      </c>
    </row>
    <row r="3" spans="1:3" x14ac:dyDescent="0.3">
      <c r="A3" s="11" t="s">
        <v>12</v>
      </c>
      <c r="B3" t="s">
        <v>21</v>
      </c>
      <c r="C3" t="s">
        <v>16</v>
      </c>
    </row>
    <row r="4" spans="1:3" x14ac:dyDescent="0.3">
      <c r="A4" t="s">
        <v>13</v>
      </c>
      <c r="B4" t="s">
        <v>18</v>
      </c>
      <c r="C4" t="s">
        <v>19</v>
      </c>
    </row>
    <row r="5" spans="1:3" ht="33" x14ac:dyDescent="0.3">
      <c r="A5" t="s">
        <v>15</v>
      </c>
      <c r="B5" s="1" t="s">
        <v>26</v>
      </c>
      <c r="C5" t="s">
        <v>27</v>
      </c>
    </row>
    <row r="6" spans="1:3" x14ac:dyDescent="0.3">
      <c r="A6" s="11" t="s">
        <v>22</v>
      </c>
    </row>
    <row r="7" spans="1:3" x14ac:dyDescent="0.3">
      <c r="A7" t="s">
        <v>14</v>
      </c>
    </row>
    <row r="8" spans="1:3" x14ac:dyDescent="0.3">
      <c r="A8" s="11" t="s">
        <v>28</v>
      </c>
    </row>
    <row r="9" spans="1:3" x14ac:dyDescent="0.3">
      <c r="A9" s="11" t="s">
        <v>29</v>
      </c>
    </row>
    <row r="10" spans="1:3" x14ac:dyDescent="0.3">
      <c r="A10" s="11" t="s">
        <v>30</v>
      </c>
    </row>
    <row r="11" spans="1:3" x14ac:dyDescent="0.3">
      <c r="A11" s="11" t="s">
        <v>31</v>
      </c>
    </row>
    <row r="12" spans="1:3" x14ac:dyDescent="0.3">
      <c r="A12" t="s">
        <v>17</v>
      </c>
    </row>
    <row r="13" spans="1:3" x14ac:dyDescent="0.3">
      <c r="A13" t="s">
        <v>32</v>
      </c>
    </row>
    <row r="14" spans="1:3" x14ac:dyDescent="0.3">
      <c r="A14" t="s">
        <v>33</v>
      </c>
    </row>
    <row r="15" spans="1:3" x14ac:dyDescent="0.3">
      <c r="A15" t="s">
        <v>20</v>
      </c>
    </row>
    <row r="16" spans="1:3" x14ac:dyDescent="0.3">
      <c r="A16" t="s">
        <v>34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35</v>
      </c>
    </row>
    <row r="21" spans="1:1" x14ac:dyDescent="0.3">
      <c r="A21" t="s">
        <v>36</v>
      </c>
    </row>
    <row r="22" spans="1:1" x14ac:dyDescent="0.3">
      <c r="A22" t="s">
        <v>37</v>
      </c>
    </row>
    <row r="23" spans="1:1" x14ac:dyDescent="0.3">
      <c r="A23" t="s">
        <v>61</v>
      </c>
    </row>
    <row r="24" spans="1:1" x14ac:dyDescent="0.3">
      <c r="A24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45E9-15A8-494A-828F-E15BCD703F81}">
  <sheetPr codeName="Sheet3"/>
  <dimension ref="A1:C25"/>
  <sheetViews>
    <sheetView zoomScaleNormal="100" workbookViewId="0">
      <selection activeCell="A19" sqref="A19"/>
    </sheetView>
  </sheetViews>
  <sheetFormatPr defaultRowHeight="16.5" x14ac:dyDescent="0.3"/>
  <cols>
    <col min="1" max="1" width="12.625" bestFit="1" customWidth="1"/>
    <col min="2" max="2" width="20.375" bestFit="1" customWidth="1"/>
    <col min="3" max="3" width="12.75" bestFit="1" customWidth="1"/>
    <col min="4" max="4" width="20.375" bestFit="1" customWidth="1"/>
    <col min="5" max="5" width="12.75" bestFit="1" customWidth="1"/>
    <col min="6" max="6" width="20.375" bestFit="1" customWidth="1"/>
    <col min="7" max="7" width="12.75" bestFit="1" customWidth="1"/>
    <col min="8" max="8" width="24.125" bestFit="1" customWidth="1"/>
    <col min="9" max="9" width="12.75" bestFit="1" customWidth="1"/>
    <col min="10" max="10" width="20.75" bestFit="1" customWidth="1"/>
    <col min="11" max="11" width="12.75" bestFit="1" customWidth="1"/>
    <col min="12" max="12" width="20.375" bestFit="1" customWidth="1"/>
    <col min="13" max="13" width="12.75" bestFit="1" customWidth="1"/>
    <col min="14" max="14" width="21" bestFit="1" customWidth="1"/>
    <col min="15" max="15" width="12.75" bestFit="1" customWidth="1"/>
    <col min="16" max="16" width="20.375" bestFit="1" customWidth="1"/>
    <col min="17" max="17" width="12.75" bestFit="1" customWidth="1"/>
    <col min="18" max="18" width="20.375" bestFit="1" customWidth="1"/>
    <col min="19" max="19" width="12.75" bestFit="1" customWidth="1"/>
    <col min="20" max="20" width="25.125" bestFit="1" customWidth="1"/>
    <col min="21" max="21" width="17.5" bestFit="1" customWidth="1"/>
    <col min="22" max="22" width="20.375" bestFit="1" customWidth="1"/>
    <col min="23" max="23" width="12.75" bestFit="1" customWidth="1"/>
    <col min="24" max="24" width="20.375" bestFit="1" customWidth="1"/>
    <col min="25" max="25" width="12.75" bestFit="1" customWidth="1"/>
    <col min="26" max="26" width="25.125" bestFit="1" customWidth="1"/>
    <col min="27" max="27" width="17.5" bestFit="1" customWidth="1"/>
  </cols>
  <sheetData>
    <row r="1" spans="1:3" x14ac:dyDescent="0.3">
      <c r="A1" s="8" t="s">
        <v>4</v>
      </c>
      <c r="B1" t="s">
        <v>38</v>
      </c>
    </row>
    <row r="2" spans="1:3" x14ac:dyDescent="0.3">
      <c r="A2" s="8" t="s">
        <v>2</v>
      </c>
      <c r="B2" t="s">
        <v>38</v>
      </c>
    </row>
    <row r="4" spans="1:3" x14ac:dyDescent="0.3">
      <c r="A4" s="8" t="s">
        <v>39</v>
      </c>
      <c r="B4" t="s">
        <v>40</v>
      </c>
      <c r="C4" t="s">
        <v>41</v>
      </c>
    </row>
    <row r="5" spans="1:3" x14ac:dyDescent="0.3">
      <c r="A5" s="9" t="s">
        <v>42</v>
      </c>
      <c r="B5">
        <v>31.264705882352942</v>
      </c>
      <c r="C5">
        <v>34</v>
      </c>
    </row>
    <row r="6" spans="1:3" x14ac:dyDescent="0.3">
      <c r="A6" s="10" t="s">
        <v>43</v>
      </c>
      <c r="B6">
        <v>29</v>
      </c>
      <c r="C6">
        <v>1</v>
      </c>
    </row>
    <row r="7" spans="1:3" x14ac:dyDescent="0.3">
      <c r="A7" s="12" t="s">
        <v>52</v>
      </c>
      <c r="B7">
        <v>29</v>
      </c>
      <c r="C7">
        <v>1</v>
      </c>
    </row>
    <row r="8" spans="1:3" x14ac:dyDescent="0.3">
      <c r="A8" s="10" t="s">
        <v>44</v>
      </c>
      <c r="B8">
        <v>31.333333333333332</v>
      </c>
      <c r="C8">
        <v>33</v>
      </c>
    </row>
    <row r="9" spans="1:3" x14ac:dyDescent="0.3">
      <c r="A9" s="12" t="s">
        <v>55</v>
      </c>
      <c r="B9">
        <v>6.666666666666667</v>
      </c>
      <c r="C9">
        <v>3</v>
      </c>
    </row>
    <row r="10" spans="1:3" x14ac:dyDescent="0.3">
      <c r="A10" s="12" t="s">
        <v>56</v>
      </c>
      <c r="B10">
        <v>34.520000000000003</v>
      </c>
      <c r="C10">
        <v>25</v>
      </c>
    </row>
    <row r="11" spans="1:3" x14ac:dyDescent="0.3">
      <c r="A11" s="12" t="s">
        <v>57</v>
      </c>
      <c r="B11">
        <v>30.2</v>
      </c>
      <c r="C11">
        <v>5</v>
      </c>
    </row>
    <row r="12" spans="1:3" x14ac:dyDescent="0.3">
      <c r="A12" s="9" t="s">
        <v>45</v>
      </c>
      <c r="B12">
        <v>24.04332129963899</v>
      </c>
      <c r="C12">
        <v>277</v>
      </c>
    </row>
    <row r="13" spans="1:3" x14ac:dyDescent="0.3">
      <c r="A13" s="10" t="s">
        <v>46</v>
      </c>
      <c r="B13">
        <v>30.805555555555557</v>
      </c>
      <c r="C13">
        <v>36</v>
      </c>
    </row>
    <row r="14" spans="1:3" x14ac:dyDescent="0.3">
      <c r="A14" s="10" t="s">
        <v>47</v>
      </c>
      <c r="B14">
        <v>28.792000000000002</v>
      </c>
      <c r="C14">
        <v>125</v>
      </c>
    </row>
    <row r="15" spans="1:3" x14ac:dyDescent="0.3">
      <c r="A15" s="12" t="s">
        <v>50</v>
      </c>
      <c r="B15">
        <v>36.628571428571426</v>
      </c>
      <c r="C15">
        <v>35</v>
      </c>
    </row>
    <row r="16" spans="1:3" x14ac:dyDescent="0.3">
      <c r="A16" s="12" t="s">
        <v>51</v>
      </c>
      <c r="B16">
        <v>37.833333333333336</v>
      </c>
      <c r="C16">
        <v>12</v>
      </c>
    </row>
    <row r="17" spans="1:3" x14ac:dyDescent="0.3">
      <c r="A17" s="12" t="s">
        <v>49</v>
      </c>
      <c r="B17">
        <v>23.884615384615383</v>
      </c>
      <c r="C17">
        <v>78</v>
      </c>
    </row>
    <row r="18" spans="1:3" x14ac:dyDescent="0.3">
      <c r="A18" s="10" t="s">
        <v>43</v>
      </c>
      <c r="B18">
        <v>20.905405405405407</v>
      </c>
      <c r="C18">
        <v>74</v>
      </c>
    </row>
    <row r="19" spans="1:3" x14ac:dyDescent="0.3">
      <c r="A19" s="12" t="s">
        <v>53</v>
      </c>
      <c r="B19">
        <v>29.4</v>
      </c>
      <c r="C19">
        <v>25</v>
      </c>
    </row>
    <row r="20" spans="1:3" x14ac:dyDescent="0.3">
      <c r="A20" s="12" t="s">
        <v>54</v>
      </c>
      <c r="B20">
        <v>14.948717948717949</v>
      </c>
      <c r="C20">
        <v>39</v>
      </c>
    </row>
    <row r="21" spans="1:3" x14ac:dyDescent="0.3">
      <c r="A21" s="12" t="s">
        <v>52</v>
      </c>
      <c r="B21">
        <v>22.9</v>
      </c>
      <c r="C21">
        <v>10</v>
      </c>
    </row>
    <row r="22" spans="1:3" x14ac:dyDescent="0.3">
      <c r="A22" s="10" t="s">
        <v>44</v>
      </c>
      <c r="B22">
        <v>9.6428571428571423</v>
      </c>
      <c r="C22">
        <v>42</v>
      </c>
    </row>
    <row r="23" spans="1:3" x14ac:dyDescent="0.3">
      <c r="A23" s="12" t="s">
        <v>55</v>
      </c>
      <c r="B23">
        <v>12</v>
      </c>
      <c r="C23">
        <v>31</v>
      </c>
    </row>
    <row r="24" spans="1:3" x14ac:dyDescent="0.3">
      <c r="A24" s="12" t="s">
        <v>56</v>
      </c>
      <c r="B24">
        <v>3</v>
      </c>
      <c r="C24">
        <v>11</v>
      </c>
    </row>
    <row r="25" spans="1:3" x14ac:dyDescent="0.3">
      <c r="A25" s="9" t="s">
        <v>48</v>
      </c>
      <c r="B25">
        <v>24.832797427652732</v>
      </c>
      <c r="C25">
        <v>311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dated_x003f_ xmlns="8f98dbfe-b213-4055-b86b-27d26a206526">false</Updated_x003f_>
    <SharedWithUsers xmlns="a8c8d504-ddc8-455c-8602-613e90ff97d4">
      <UserInfo>
        <DisplayName>Emma Daulby</DisplayName>
        <AccountId>113</AccountId>
        <AccountType/>
      </UserInfo>
    </SharedWithUsers>
    <_Flow_SignoffStatus xmlns="8f98dbfe-b213-4055-b86b-27d26a206526">No</_Flow_SignoffStatus>
    <_ip_UnifiedCompliancePolicyUIAction xmlns="http://schemas.microsoft.com/sharepoint/v3" xsi:nil="true"/>
    <TaxCatchAll xmlns="a8c8d504-ddc8-455c-8602-613e90ff97d4" xsi:nil="true"/>
    <_ip_UnifiedCompliancePolicyProperties xmlns="http://schemas.microsoft.com/sharepoint/v3" xsi:nil="true"/>
    <User xmlns="8f98dbfe-b213-4055-b86b-27d26a206526">
      <UserInfo>
        <DisplayName/>
        <AccountId xsi:nil="true"/>
        <AccountType/>
      </UserInfo>
    </User>
    <lcf76f155ced4ddcb4097134ff3c332f xmlns="8f98dbfe-b213-4055-b86b-27d26a206526">
      <Terms xmlns="http://schemas.microsoft.com/office/infopath/2007/PartnerControls"/>
    </lcf76f155ced4ddcb4097134ff3c332f>
    <LatestRevision_x003f_ xmlns="8f98dbfe-b213-4055-b86b-27d26a206526">false</LatestRevision_x003f_>
    <BuildingName xmlns="8f98dbfe-b213-4055-b86b-27d26a206526" xsi:nil="true"/>
    <Revision xmlns="8f98dbfe-b213-4055-b86b-27d26a206526" xsi:nil="true"/>
    <DateIssued xmlns="8f98dbfe-b213-4055-b86b-27d26a206526">2024-01-08T14:52:56+00:00</DateIssued>
    <DocNo_x002e_ xmlns="8f98dbfe-b213-4055-b86b-27d26a206526" xsi:nil="true"/>
    <Role xmlns="8f98dbfe-b213-4055-b86b-27d26a206526" xsi:nil="true"/>
    <Originator xmlns="8f98dbfe-b213-4055-b86b-27d26a206526" xsi:nil="true"/>
    <DocType xmlns="8f98dbfe-b213-4055-b86b-27d26a206526" xsi:nil="true"/>
    <DrgTitle xmlns="8f98dbfe-b213-4055-b86b-27d26a206526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0586B8D092D340931F7CA8C3B75C93" ma:contentTypeVersion="44" ma:contentTypeDescription="Create a new document." ma:contentTypeScope="" ma:versionID="54be6ac41589dc1d344030e76db40d73">
  <xsd:schema xmlns:xsd="http://www.w3.org/2001/XMLSchema" xmlns:xs="http://www.w3.org/2001/XMLSchema" xmlns:p="http://schemas.microsoft.com/office/2006/metadata/properties" xmlns:ns1="http://schemas.microsoft.com/sharepoint/v3" xmlns:ns2="8f98dbfe-b213-4055-b86b-27d26a206526" xmlns:ns3="a8c8d504-ddc8-455c-8602-613e90ff97d4" targetNamespace="http://schemas.microsoft.com/office/2006/metadata/properties" ma:root="true" ma:fieldsID="3fe563e7d5eb3a7a7a2308880e074f74" ns1:_="" ns2:_="" ns3:_="">
    <xsd:import namespace="http://schemas.microsoft.com/sharepoint/v3"/>
    <xsd:import namespace="8f98dbfe-b213-4055-b86b-27d26a206526"/>
    <xsd:import namespace="a8c8d504-ddc8-455c-8602-613e90ff97d4"/>
    <xsd:element name="properties">
      <xsd:complexType>
        <xsd:sequence>
          <xsd:element name="documentManagement">
            <xsd:complexType>
              <xsd:all>
                <xsd:element ref="ns2:DateIssued" minOccurs="0"/>
                <xsd:element ref="ns2:Role" minOccurs="0"/>
                <xsd:element ref="ns2:LatestRevision_x003f_" minOccurs="0"/>
                <xsd:element ref="ns2:BuildingName" minOccurs="0"/>
                <xsd:element ref="ns2:DocNo_x002e_" minOccurs="0"/>
                <xsd:element ref="ns2:Revision" minOccurs="0"/>
                <xsd:element ref="ns2:DocType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_Flow_SignoffStatus" minOccurs="0"/>
                <xsd:element ref="ns3:TaxCatchAll" minOccurs="0"/>
                <xsd:element ref="ns2:lcf76f155ced4ddcb4097134ff3c332f" minOccurs="0"/>
                <xsd:element ref="ns2:User" minOccurs="0"/>
                <xsd:element ref="ns2:Updated_x003f_" minOccurs="0"/>
                <xsd:element ref="ns2:MediaServiceObjectDetectorVersions" minOccurs="0"/>
                <xsd:element ref="ns2:MediaServiceMetadata" minOccurs="0"/>
                <xsd:element ref="ns2:DrgTitle" minOccurs="0"/>
                <xsd:element ref="ns2:Originato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98dbfe-b213-4055-b86b-27d26a206526" elementFormDefault="qualified">
    <xsd:import namespace="http://schemas.microsoft.com/office/2006/documentManagement/types"/>
    <xsd:import namespace="http://schemas.microsoft.com/office/infopath/2007/PartnerControls"/>
    <xsd:element name="DateIssued" ma:index="1" nillable="true" ma:displayName="Date Issued" ma:default="[today]" ma:format="DateOnly" ma:indexed="true" ma:internalName="DateIssued">
      <xsd:simpleType>
        <xsd:restriction base="dms:DateTime"/>
      </xsd:simpleType>
    </xsd:element>
    <xsd:element name="Role" ma:index="2" nillable="true" ma:displayName="Role" ma:format="Dropdown" ma:internalName="Role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Mechanical"/>
                        <xsd:enumeration value="Electrical"/>
                        <xsd:enumeration value="Structural"/>
                        <xsd:enumeration value="Civil"/>
                        <xsd:enumeration value="Architectural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LatestRevision_x003f_" ma:index="3" nillable="true" ma:displayName="Latest Revision?" ma:default="0" ma:format="Dropdown" ma:internalName="LatestRevision_x003f_">
      <xsd:simpleType>
        <xsd:restriction base="dms:Boolean"/>
      </xsd:simpleType>
    </xsd:element>
    <xsd:element name="BuildingName" ma:index="4" nillable="true" ma:displayName="Building Name" ma:format="Dropdown" ma:internalName="BuildingName" ma:readOnly="false">
      <xsd:simpleType>
        <xsd:union memberTypes="dms:Text">
          <xsd:simpleType>
            <xsd:restriction base="dms:Choice">
              <xsd:enumeration value="42 - Office"/>
              <xsd:enumeration value="43 - Garage"/>
              <xsd:enumeration value="44 - Store"/>
            </xsd:restriction>
          </xsd:simpleType>
        </xsd:union>
      </xsd:simpleType>
    </xsd:element>
    <xsd:element name="DocNo_x002e_" ma:index="5" nillable="true" ma:displayName="Doc No." ma:format="Dropdown" ma:internalName="DocNo_x002e_">
      <xsd:simpleType>
        <xsd:restriction base="dms:Text">
          <xsd:maxLength value="255"/>
        </xsd:restriction>
      </xsd:simpleType>
    </xsd:element>
    <xsd:element name="Revision" ma:index="6" nillable="true" ma:displayName="Revision" ma:format="Dropdown" ma:internalName="Revision">
      <xsd:simpleType>
        <xsd:restriction base="dms:Text">
          <xsd:maxLength value="255"/>
        </xsd:restriction>
      </xsd:simpleType>
    </xsd:element>
    <xsd:element name="DocType" ma:index="7" nillable="true" ma:displayName="Doc Type" ma:format="Dropdown" ma:internalName="DocType">
      <xsd:simpleType>
        <xsd:union memberTypes="dms:Text">
          <xsd:simpleType>
            <xsd:restriction base="dms:Choice">
              <xsd:enumeration value="Drawing"/>
              <xsd:enumeration value="Schedule"/>
              <xsd:enumeration value="Report"/>
              <xsd:enumeration value="Specification"/>
              <xsd:enumeration value="3D Model"/>
              <xsd:enumeration value="Data Sheet"/>
              <xsd:enumeration value="Risk Assessment"/>
            </xsd:restriction>
          </xsd:simpleType>
        </xsd:union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hidden="true" ma:internalName="MediaLengthInSeconds" ma:readOnly="true">
      <xsd:simpleType>
        <xsd:restriction base="dms:Unknown"/>
      </xsd:simpleType>
    </xsd:element>
    <xsd:element name="_Flow_SignoffStatus" ma:index="23" nillable="true" ma:displayName="Sign-off status" ma:default="No" ma:format="Dropdown" ma:hidden="true" ma:internalName="Sign_x002d_off_x0020_status" ma:readOnly="false">
      <xsd:simpleType>
        <xsd:restriction base="dms:Choice">
          <xsd:enumeration value="Yes"/>
          <xsd:enumeration value="No"/>
        </xsd:restriction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abb5a5b6-0464-4358-b54f-84e230c2cb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User" ma:index="27" nillable="true" ma:displayName="User" ma:format="Dropdown" ma:hidden="true" ma:list="UserInfo" ma:SharePointGroup="0" ma:internalName="Us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pdated_x003f_" ma:index="28" nillable="true" ma:displayName="Updated?" ma:default="0" ma:format="Dropdown" ma:hidden="true" ma:internalName="Updated_x003f_" ma:readOnly="false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Metadata" ma:index="36" nillable="true" ma:displayName="MediaServiceMetadata" ma:hidden="true" ma:internalName="MediaServiceMetadata" ma:readOnly="true">
      <xsd:simpleType>
        <xsd:restriction base="dms:Note"/>
      </xsd:simpleType>
    </xsd:element>
    <xsd:element name="DrgTitle" ma:index="37" nillable="true" ma:displayName="Drg Title" ma:format="Dropdown" ma:internalName="DrgTitle">
      <xsd:simpleType>
        <xsd:restriction base="dms:Text">
          <xsd:maxLength value="255"/>
        </xsd:restriction>
      </xsd:simpleType>
    </xsd:element>
    <xsd:element name="Originator" ma:index="38" nillable="true" ma:displayName="Originator" ma:format="Dropdown" ma:internalName="Originator">
      <xsd:simpleType>
        <xsd:union memberTypes="dms:Text">
          <xsd:simpleType>
            <xsd:restriction base="dms:Choice">
              <xsd:enumeration value="Tetra Tech"/>
            </xsd:restriction>
          </xsd:simpleType>
        </xsd:union>
      </xsd:simpleType>
    </xsd:element>
    <xsd:element name="MediaServiceSearchProperties" ma:index="3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c8d504-ddc8-455c-8602-613e90ff97d4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4" nillable="true" ma:displayName="Taxonomy Catch All Column" ma:hidden="true" ma:list="{52f99624-c49d-41af-8139-c33bd65d9525}" ma:internalName="TaxCatchAll" ma:readOnly="false" ma:showField="CatchAllData" ma:web="a8c8d504-ddc8-455c-8602-613e90ff97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97C207-E0C1-4818-8424-E52FABB384A8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microsoft.com/sharepoint/v3"/>
    <ds:schemaRef ds:uri="http://purl.org/dc/dcmitype/"/>
    <ds:schemaRef ds:uri="http://purl.org/dc/elements/1.1/"/>
    <ds:schemaRef ds:uri="http://schemas.openxmlformats.org/package/2006/metadata/core-properties"/>
    <ds:schemaRef ds:uri="a8c8d504-ddc8-455c-8602-613e90ff97d4"/>
    <ds:schemaRef ds:uri="8f98dbfe-b213-4055-b86b-27d26a206526"/>
  </ds:schemaRefs>
</ds:datastoreItem>
</file>

<file path=customXml/itemProps2.xml><?xml version="1.0" encoding="utf-8"?>
<ds:datastoreItem xmlns:ds="http://schemas.openxmlformats.org/officeDocument/2006/customXml" ds:itemID="{966D2FC6-AADC-4880-B158-2ED874DACAD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A13D1C2-D4EF-4AC1-90D8-5EE5ABF3C7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f98dbfe-b213-4055-b86b-27d26a206526"/>
    <ds:schemaRef ds:uri="a8c8d504-ddc8-455c-8602-613e90ff9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565A7C9-F953-43B8-8F20-7C4505DE6D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28e5717-1df4-456d-8576-f827ff2d20e1}" enabled="1" method="Privileged" siteId="{69033406-071b-4a95-919c-befbd00ae24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Tracker</vt:lpstr>
      <vt:lpstr>List dropdowns</vt:lpstr>
      <vt:lpstr>charts</vt:lpstr>
      <vt:lpstr>ProjectList</vt:lpstr>
      <vt:lpstr>YN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Millinship</dc:creator>
  <cp:keywords/>
  <dc:description/>
  <cp:lastModifiedBy>Nicole Millinship</cp:lastModifiedBy>
  <cp:revision/>
  <dcterms:created xsi:type="dcterms:W3CDTF">2015-06-05T18:17:20Z</dcterms:created>
  <dcterms:modified xsi:type="dcterms:W3CDTF">2025-01-20T23:49:14Z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0x010100830586B8D092D340931F7CA8C3B75C93</vt:lpwstr>
  </property>
  <property fmtid="{D5CDD505-2E9C-101B-9397-08002B2CF9AE}" pid="3" name="MediaServiceImageTags">
    <vt:lpwstr/>
  </property>
</Properties>
</file>