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pivotTables/pivotTable2.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C:\Users\nicole.millinship\PycharmProjects\AconexPython\d_Mail\RFIs\Trackers\"/>
    </mc:Choice>
  </mc:AlternateContent>
  <xr:revisionPtr revIDLastSave="0" documentId="13_ncr:1_{7D00D094-ABDB-4268-92BE-1C8DF1B6146A}" xr6:coauthVersionLast="47" xr6:coauthVersionMax="47" xr10:uidLastSave="{00000000-0000-0000-0000-000000000000}"/>
  <bookViews>
    <workbookView xWindow="28680" yWindow="465" windowWidth="29040" windowHeight="15720" activeTab="1" xr2:uid="{00000000-000D-0000-FFFF-FFFF00000000}"/>
  </bookViews>
  <sheets>
    <sheet name="Summary" sheetId="13" r:id="rId1"/>
    <sheet name="Tracker" sheetId="2" r:id="rId2"/>
    <sheet name="ProjectInfo" sheetId="8" state="hidden" r:id="rId3"/>
  </sheets>
  <definedNames>
    <definedName name="DateGenerated" localSheetId="0">Summary!$D$3</definedName>
    <definedName name="ExternalData_1" localSheetId="2" hidden="1">ProjectInfo!$A$1:$B$2</definedName>
    <definedName name="_xlnm.Print_Area" localSheetId="0">Summary!$D$1:$G$24</definedName>
    <definedName name="_xlnm.Print_Titles" localSheetId="1">Tracker!$1:$9</definedName>
    <definedName name="ProjectName" localSheetId="0">Summary!$D$2</definedName>
  </definedNames>
  <calcPr calcId="191029"/>
  <pivotCaches>
    <pivotCache cacheId="5" r:id="rId4"/>
    <pivotCache cacheId="13"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2" l="1" a="1"/>
  <c r="A3" i="2" s="1"/>
  <c r="D3" i="13" a="1"/>
  <c r="D3" i="13" s="1"/>
  <c r="A2" i="2"/>
  <c r="D2" i="13"/>
  <c r="I2" i="1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4B798E0-79C4-47CB-A7DB-5C11257EC86C}" keepAlive="1" name="Query - DocStatuses" description="Connection to the 'DocStatuses' query in the workbook." type="5" refreshedVersion="8" background="1">
    <dbPr connection="Provider=Microsoft.Mashup.OleDb.1;Data Source=$Workbook$;Location=DocStatuses;Extended Properties=&quot;&quot;" command="SELECT * FROM [DocStatuses]"/>
  </connection>
  <connection id="2" xr16:uid="{23D1F20C-A89D-40CE-89DB-D790F801A904}" keepAlive="1" name="Query - ProjectInfo" description="Connection to the 'ProjectInfo' query in the workbook." type="5" refreshedVersion="8" background="1" saveData="1">
    <dbPr connection="Provider=Microsoft.Mashup.OleDb.1;Data Source=$Workbook$;Location=ProjectInfo;Extended Properties=&quot;&quot;" command="SELECT * FROM [ProjectInfo]"/>
  </connection>
  <connection id="3" xr16:uid="{A300A31A-FAFA-4132-9237-9825A7CDFD55}" keepAlive="1" name="Query - RawData" description="Connection to the 'RawData' query in the workbook." type="5" refreshedVersion="8" background="1">
    <dbPr connection="Provider=Microsoft.Mashup.OleDb.1;Data Source=$Workbook$;Location=RawData;Extended Properties=&quot;&quot;" command="SELECT * FROM [RawData]"/>
  </connection>
  <connection id="4" xr16:uid="{8E3A0405-9BE3-45C8-A839-6AA8F2755B87}" keepAlive="1" name="Query - RFIS" description="Connection to the 'RFIS' query in the workbook." type="5" refreshedVersion="8" background="1" refreshOnLoad="1" saveData="1">
    <dbPr connection="Provider=Microsoft.Mashup.OleDb.1;Data Source=$Workbook$;Location=RFIS;Extended Properties=&quot;&quot;" command="SELECT * FROM [RFI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<sst xmlns="http://schemas.openxmlformats.org/spreadsheetml/2006/main" count="676" uniqueCount="472">
  <si>
    <t>(All)</t>
  </si>
  <si>
    <t>Row Labels</t>
  </si>
  <si>
    <t>Summary Page</t>
  </si>
  <si>
    <t>Grand Total</t>
  </si>
  <si>
    <t>RFI Tracker</t>
  </si>
  <si>
    <t>(blank)</t>
  </si>
  <si>
    <t>Originally From</t>
  </si>
  <si>
    <t>RFI Description</t>
  </si>
  <si>
    <t>Discipline(s)</t>
  </si>
  <si>
    <t>Date RFI Sent</t>
  </si>
  <si>
    <t>RFI Response</t>
  </si>
  <si>
    <t>Date RFI Responded</t>
  </si>
  <si>
    <t>Latest Correspondence</t>
  </si>
  <si>
    <t>Project Name</t>
  </si>
  <si>
    <t>Date Generated</t>
  </si>
  <si>
    <t>Count of Status</t>
  </si>
  <si>
    <t>Outstanding</t>
  </si>
  <si>
    <t>Responded</t>
  </si>
  <si>
    <t>Overdue</t>
  </si>
  <si>
    <t>Existing SVP and Gullies</t>
  </si>
  <si>
    <t>RFI Status</t>
  </si>
  <si>
    <t>HBC-RFI-000058:    Existing SVP and Gullies</t>
  </si>
  <si>
    <t/>
  </si>
  <si>
    <t>Client RFI</t>
  </si>
  <si>
    <t>Has DNO approval been sought for the increased demand on the building? If so please share correspondence.</t>
  </si>
  <si>
    <t>Many distribution boards and supplies on the LV schematics can not be located on either the small power drawings or containment drawings, the cable references for the missing supplies are as below: 
- 06
-09 
- 22
 - 23
 - 28
 - 29
 - 35
 - 36
 - 37
 - 50
 - 51
Please provide details of the locations of the above equipment.</t>
  </si>
  <si>
    <t>Please provide separate copies/files for the asset register and maximum demand spreadsheet, the versions appended to the specification are difficult to read due to low resolution on the document.</t>
  </si>
  <si>
    <t>To enable the commencement of the containment sizing, please confirm which data outlets are served from comms 1 network and which are served from the comms 2 network?</t>
  </si>
  <si>
    <t>Has the breakout/enclosure design/spec been confirmed?</t>
  </si>
  <si>
    <t>The architectural drawings and model reference siphonic drainage at high level. Can you please provide the siphonic drainage model or details.</t>
  </si>
  <si>
    <t xml:space="preserve">AGL-SUBRFI-000006:    Distribution Boards </t>
  </si>
  <si>
    <t>The schematics and drawings show a DB/WPK/P&amp;L1 and a DB/WPK/P&amp;L3 but no DB/WPK/P&amp;L2? Is this a typing error? If not please advise where DB/WPK/P&amp;L2 is located and what this serves?</t>
  </si>
  <si>
    <t>AGL-SUBRFI-000007:    AS03 Equipment</t>
  </si>
  <si>
    <t>On the electrical maximum demand sheet the AS03 is given a load of 173kW, but there is no supplies on the schematic or drawings attributed to AS03, and no information relating to AS03 in the asset register. Please can you provide further details on this equipment?</t>
  </si>
  <si>
    <t>AGL-SUBRFI-000008:    Equipment for Future Use</t>
  </si>
  <si>
    <t>There are a number of large isolators on the small power drawings labelled 'allowance for future use', but no connections for this equipment shown on the schematics. Are these isolators to be supplied without a mains connection?
These isolators are labelled 'FS', this is not in the abbrevatiations list, please confirm.</t>
  </si>
  <si>
    <t>CPMG-SUBRFI-000002:    CPMG RFI 2- Acoustic Report</t>
  </si>
  <si>
    <t>Please provide Acoustic report</t>
  </si>
  <si>
    <t>An acoustic report for this project has not been produced</t>
  </si>
  <si>
    <t>FDG-RTRFI-000004</t>
  </si>
  <si>
    <t>Elect-SUBRFI-000003:    3-compartment trunking</t>
  </si>
  <si>
    <t>Drawing MTCC-WBS-ZZ-GD-DR-ME-50208 - Proposed Enabling Works High Level Sheet 1 of 2_P02. Confirm the route of the 3-compartment trunking. Should this be installed between existing external wall and new inner wall?</t>
  </si>
  <si>
    <t>Elect-SUBRFI-000004:    3-compartment trunking along gridline 20</t>
  </si>
  <si>
    <t>Drawing MTCC-WBS-ZZ-GD-DR-ME-50208 - Proposed Enabling Works High Level Sheet 1 of 2_P02.  Can the new 3-compartment trunking along gridline 20 be installed between 2.5 &amp; 3.0 metres affl for future access. 
If the trunking is routed between walls, does it need to be accessible in the future or will it be inaccessible when the inner wall is constructed.  The depth of void needs increasing to allow persons to access with steps if future access is required.</t>
  </si>
  <si>
    <t xml:space="preserve">Elect-SUBRFI-000005:    Fire detection requirements within the new inner wall </t>
  </si>
  <si>
    <t>Drawing MTCC-WBS-ZZ-GD-DR-ME-50208 - Proposed Enabling Works High Level Sheet 1 of 2_P02. Is fire detection required within the new inner wall being created?</t>
  </si>
  <si>
    <t>EDGEPS-CL-RFI-000004</t>
  </si>
  <si>
    <t>Elect-SUBRFI-000008:    Electrical Condition Report</t>
  </si>
  <si>
    <t>Can we have copies of the latest Electrical Condition Report for the area for reference purposes.</t>
  </si>
  <si>
    <t>Elect-SUBRFI-000009:    Existing As-installed drawings</t>
  </si>
  <si>
    <t>Can we have copies of any previous as installed drawings for reference purposes.</t>
  </si>
  <si>
    <t>Elect-SUBRFI-000012:    Incumbent specialist dealing with the existing Siemens Lighting Controls</t>
  </si>
  <si>
    <t>Can you please provide details on the Incumbent specialist dealing with the existing Siemens Lighting Controls. This will allow us to decommission the existing lighting.</t>
  </si>
  <si>
    <t>Contact details for Siemens
Aaron Chilver
Siemens plc
RC-GB SI RSS-EMEA NB
Mobile: +44 7921245829
mailto:aaron.chilver@siemens.com</t>
  </si>
  <si>
    <t>HBC-RFI-000001:    Weight of Equipment / Machinery on New Raft Slab</t>
  </si>
  <si>
    <t>Please could you provide the weight of the equipment/machinery that will be sitting on the new raft slab?</t>
  </si>
  <si>
    <t>See below loading. The setting out can be found on within the architectural pack.</t>
  </si>
  <si>
    <t>WAT-RTRFI-000002</t>
  </si>
  <si>
    <t>HBC-RFI-000002:    Buidling Control Stage 3 Plan assessment</t>
  </si>
  <si>
    <t>Budiling Control stage 3 Plan Assessement</t>
  </si>
  <si>
    <t>HBC-RFI-000009:    Design assumptions clarifications</t>
  </si>
  <si>
    <t>Design assumptions clarifications</t>
  </si>
  <si>
    <t>MTC Initial MEP Design Review - response</t>
  </si>
  <si>
    <t>EDGEPS-RTRFI-000003</t>
  </si>
  <si>
    <t>HBC-RFI-000010:    Clarifcations on Enabling works</t>
  </si>
  <si>
    <t>Clarifcations on Enabling works</t>
  </si>
  <si>
    <t>HBC-RFI-000011:    Pile cap size and setting out</t>
  </si>
  <si>
    <t>Pile cap size and setting out</t>
  </si>
  <si>
    <t>See below response</t>
  </si>
  <si>
    <t>WAT-RTRFI-000001</t>
  </si>
  <si>
    <t>HBC-RFI-000012:    Mezz support steels</t>
  </si>
  <si>
    <t>Utilizing security panel support steels for Mezz support</t>
  </si>
  <si>
    <t>see response below.</t>
  </si>
  <si>
    <t>WAT-RTRFI-000006</t>
  </si>
  <si>
    <t>HBC-RFI-000013:    Replace concrete decking for 38mm decking</t>
  </si>
  <si>
    <t>Replace concrete decking for 38mm decking</t>
  </si>
  <si>
    <t>Please utilise concrete and not the 38mm decking</t>
  </si>
  <si>
    <t>FDG-RTRFI-000001</t>
  </si>
  <si>
    <t>HBC-RFI-000014:    Lidded areas</t>
  </si>
  <si>
    <t>Lidded areas</t>
  </si>
  <si>
    <t xml:space="preserve">HBC-RFI-000015:    Fire alarm - Aspirating Pipework </t>
  </si>
  <si>
    <t>•	Aspirating pipework design – has this be designed by a specialist? 
•	Details of retained Aspirating pipework need to be provided / detailed?</t>
  </si>
  <si>
    <t>WBS - RIBA Stage 3 indication of design intent by WBS in house with input from Siemens (Aaron Chivers) who is familiar with the installation. Design based upon the installation of new pipework throughout. Should Contractor chose to retain any of the existing then validation report required for review by the MTC</t>
  </si>
  <si>
    <t>WAT.-RTRFI-000001</t>
  </si>
  <si>
    <t>HBC-RFI-000016:    Security Zones drawings</t>
  </si>
  <si>
    <t>•	Security zones drawing has not been provided; please provide this information?</t>
  </si>
  <si>
    <t>This has now been provided by Edge 24.02.2026 and issued out 25.02.2026</t>
  </si>
  <si>
    <t>HBC-RTRFI-000001</t>
  </si>
  <si>
    <t>HBC-RFI-000017:    Electrical AFDDs</t>
  </si>
  <si>
    <t>•AFDD noted in specification are these required?</t>
  </si>
  <si>
    <t>WBS - For this building type AFDD is a recommendation only for single phase outlets not exceeding 32A. To be discussed with the MTC, the opinion of WBS is that this is not required for this building.</t>
  </si>
  <si>
    <t>WAT.-RTRFI-000003</t>
  </si>
  <si>
    <t>HBC-RFI-000018:    Atex Zones</t>
  </si>
  <si>
    <t>•Atex zones need to show on the drawings and coordinated on an electrical drawing – can this be provided please.</t>
  </si>
  <si>
    <t>WBS - To be addressed as part of RIBA Stage 4 with MTC. This action is currently with the MTC/client to advise</t>
  </si>
  <si>
    <t>HBC-RFI-000019:    Emergency Lighting &amp; high risk lighting</t>
  </si>
  <si>
    <t>•	High-risk emergency lighting needs to be detailed this is not currently shown – please provided areas requiring High risk lighting?
•	High bay emergency lighting has been removed, and integral 3hr liner fittings have been shown, this appears the incorrect method for this large area and if high-risk lighting is required.
•	Emergency lighting – Please confirm test method? 3 methods shown.</t>
  </si>
  <si>
    <t>WBS - High risk lighting areas are deemed to be the main workshop area.
RIBA Stage 3 indication of design intent. Final design of luminaires and final selection to be agreed with MTC/Fire Officer as part of RIBA Stage 4 design works.
Emergency lighting testing method to be selected to suit the solution for how the emergency lighting to be provided.</t>
  </si>
  <si>
    <t>WAT.-RTRFI-000005</t>
  </si>
  <si>
    <t>HBC-RFI-000020:    MEP Specification items not needed</t>
  </si>
  <si>
    <t>Items still left in specification despite noted as not required on tracker, assume not needed:
Sprinker and Fire alarm items. Pagers , Vibrating Pillows.</t>
  </si>
  <si>
    <t>WBS - Confirmed not required.</t>
  </si>
  <si>
    <t>WAT.-RTRFI-000006</t>
  </si>
  <si>
    <t xml:space="preserve">HBC-RFI-000021:    UPS </t>
  </si>
  <si>
    <t>• UPS supplies noted in standard cables, Tracker states to be fire rated now, Updated LV schematic show non fire rated, assume these are to be fire rated now?  assume fire survival time taken also in to account and these have been increased by two conductor sizes as stipulated in the BS.</t>
  </si>
  <si>
    <t>WBS - Cables for UPS supplies to be fire rated.</t>
  </si>
  <si>
    <t>WAT.-RTRFI-000007</t>
  </si>
  <si>
    <t>HBC-RFI-000022:    Generator quantity and requirements</t>
  </si>
  <si>
    <t>•	Generator fuel polishing noted now in Tender query return but not in the updated specification – assumed required?
Two Generators shown on drawing, assume only one required ?</t>
  </si>
  <si>
    <t>WBS - Fuel polishing required for generator fuel
1No. 1500kVA generator set only required.</t>
  </si>
  <si>
    <t>WAT.-RTRFI-000008</t>
  </si>
  <si>
    <t>HBC-RFI-000023:    Fire Strategy</t>
  </si>
  <si>
    <t>•	Please provide fire strategy.</t>
  </si>
  <si>
    <t>Fire Strategy will form part of the HAZZOP which is being developed by MTC representative. Fire Alarm Specialist contractor to develop strategy as part of RIBA Stage 4.</t>
  </si>
  <si>
    <t>EDGEPS-RTRFI-000002</t>
  </si>
  <si>
    <t>HBC-RFI-000024:    Space Heating Demands</t>
  </si>
  <si>
    <t>•	Stage 3 design only accounts for the heating of the air volumes and not space heating demands.</t>
  </si>
  <si>
    <t>Fabric and infiltration heat losses haven't been calculated for this RIBA3 issue but there is an intention to take this into account during RIBA4.</t>
  </si>
  <si>
    <t>WAT.-RTRFI-000009</t>
  </si>
  <si>
    <t>HBC-RFI-000025:    Cooling Load Assessment</t>
  </si>
  <si>
    <t>•	No cooling load assessment has been carried out at stage 3.</t>
  </si>
  <si>
    <t>Refer to Alpha RFI ref 40. Cooling load for equipment and associated operating diversity is still subject to RFI. The use of the existing AHUs provides a maximum cooling capacity based on a given maximum flow rate and an optimally maximum supply to room delta t. MTC will need to advise whether this is sufficient for the expected individual equipment loads / operating diversity. Solar and transmittance loads have not been taken account of but are expected to be minimal due to the total lack of glazing.</t>
  </si>
  <si>
    <t>WAT.-RTRFI-000010</t>
  </si>
  <si>
    <t>HBC-RFI-000026:    Ventilation - Alpha reports</t>
  </si>
  <si>
    <t>•	Alpha Technical Report states “potential cooling coil (served by the new ASHP)” and that it may be necessary to provide cooling coils to the existing supply AHUs via new frost coils &amp; ASHP. 
•	Alpha Technical Report only states “supplementary heating and cooling of the C0 areas is proposed with new in room AC units as required” - No concept sizes provided
•	Alpha Report states X-ray cooling system may be excessive and impact HVAC design – Please provide details.</t>
  </si>
  <si>
    <t>There is space in the existing AHUs to accommodate cooling coils. The existing frost coils are LPHW. 
There has been no design development carried out for supplementary cooling / heating of the C0 areas. The RIBA3 G.A.s show the use of air to air reversible heat pumps. This has subsequently been deemed inappropriate due to the need for third parties to access the secure facility to carry out maintenance activities. The expectation is that the RIBA4 design will change this arrangement to include zoned air supply with cooling / re-heat coils located outside of the secure area.
The cooling  load for the X-ray equipment has not yet been identified but is expected to be captured during RIBA4.</t>
  </si>
  <si>
    <t>WAT.-RTRFI-000011</t>
  </si>
  <si>
    <t>HBC-RFI-000027:    Refrigerant requiremenets</t>
  </si>
  <si>
    <t>No refrigerant specified – Is leak detection, alarms, automatic isolation required?</t>
  </si>
  <si>
    <t>HBC-RFI-000028:    Plant Deck Coordination and Combined Services</t>
  </si>
  <si>
    <t>Has plant deck special co-ordination accounting for all equipment and specialist design been carried out? Please provide Combines Services Roof Plant Deck Layouts.</t>
  </si>
  <si>
    <t>Yes - Coordinated plan drawings to be issued by WBS on Monday 23rd c/w Issue sheet.</t>
  </si>
  <si>
    <t>WAT.-RTRFI-000012</t>
  </si>
  <si>
    <t>HBC-RFI-000029:    Drainage Layouts TBC equipment</t>
  </si>
  <si>
    <t>Drainage Layouts state some areas/equipment still TBC (I.e. AS01) – Please provide information.</t>
  </si>
  <si>
    <t>WBS - To be develop by HB - Note should reference AS02 as drainage tanks beneath platform. Closed</t>
  </si>
  <si>
    <t>WAT-RTRFI-000003</t>
  </si>
  <si>
    <t>HBC-RFI-000030:    Water services - schedule TBC items</t>
  </si>
  <si>
    <t>Water Services - Water Schematics provided – Process Water Schedule identifies many items still TBC – Please provide information.</t>
  </si>
  <si>
    <t>WBS - Process Tanks and primary pumps sizes as detailed on layout / schedules. HB to take forward and confirm as part of  RIBA Stage 4 design works</t>
  </si>
  <si>
    <t>WAT.-RTRFI-000013</t>
  </si>
  <si>
    <t>HBC-RFI-000031:    Water Services - Specification risk</t>
  </si>
  <si>
    <t>Specification states “Final tank capacity, booster-set duty requirements, operational sequencing, resilience philosophy, and all associated safety considerations shall be developed and confirmed by the Contractor as part of the detailed design and shall be subject to HAZOP review and approval” Risk to Program / Cost</t>
  </si>
  <si>
    <t>RIBA Stage 3 satisfies design intent. Process Tanks and primary pumps sizes detailed on layout / schedules. Operating pressures/flows to be coordinated in Stage 4 once EM data is provided.</t>
  </si>
  <si>
    <t>WAT.-RTRFI-000014</t>
  </si>
  <si>
    <t>HBC-RFI-000032:    Compressed Air - schematics</t>
  </si>
  <si>
    <t>Compressed Air Schematic/specification – Pressures and flow rates still TBC in many instances – Please provide information</t>
  </si>
  <si>
    <t>TBC items depend on final machine data. Stage 3 satisfies design intent; final operating pressures/flows to be coordinated in Stage 4 once EM data is provided</t>
  </si>
  <si>
    <t>WAT.-RTRFI-000015</t>
  </si>
  <si>
    <t>HBC-RFI-000033:    Compressed Air - Specification</t>
  </si>
  <si>
    <t>Specification states “Operational requirements, duty cycle and usage profile of the compressed air system remain unknown at this stage. The Final operation and control strategy shall be confirmed and fully reviewed at the next design stage once end-user input and equipment specific data becomes available” Risk to programme / cost. Please provide updated information.</t>
  </si>
  <si>
    <t>WAT.-RTRFI-000016</t>
  </si>
  <si>
    <t>HBC-RFI-000034:    Specification - Emergency Lighting</t>
  </si>
  <si>
    <t>Emergency Lighting spec is all over the place - manual key switch, self test, monitored, central battery etc.</t>
  </si>
  <si>
    <t>WBS - The stage 3 specification offers opportunity for design development during Stage 4. Taking into account minimising routine maintenance into the secure areas.</t>
  </si>
  <si>
    <t>WAT.-RTRFI-000017</t>
  </si>
  <si>
    <t>HBC-RFI-000035:    Specification - LV Cable Sizes</t>
  </si>
  <si>
    <t>Cable sizes for main LV cables are massively undersized</t>
  </si>
  <si>
    <t>WBS - RIBA Stage 3 indication of design intent. Final selection of all cabling including sizes to be developed as part of RIBA Stage 4 design for review.</t>
  </si>
  <si>
    <t>WAT.-RTRFI-000018</t>
  </si>
  <si>
    <t>HBC-RFI-000036:    Specification - Main incomers</t>
  </si>
  <si>
    <t>Main Incomers on Main Switchboard are incorrect and rated at 4000A. HV Transformers are shown as 3000kVA but a side note says this is to be 1500kVA.</t>
  </si>
  <si>
    <t>WBS - RIBA Stage 3 depicts incorrectly sized protective device. Stage 3 design based upon 2No. 1.5MVA transformers. Stage 4 design to validate the load assessment and develop as part of their Stage 4 design.</t>
  </si>
  <si>
    <t>WAT.-RTRFI-000019</t>
  </si>
  <si>
    <t>HBC-RFI-000037:    Specification - ladder rack</t>
  </si>
  <si>
    <t>Ladder rack still identified going up the external side of the building.</t>
  </si>
  <si>
    <t>WBS - Revision P07 of the layout indicates the ladder containment to be internal and should be the basis for the Stage 4 design.</t>
  </si>
  <si>
    <t>WAT.-RTRFI-000020</t>
  </si>
  <si>
    <t>HBC-RFI-000038:    Specification - Tempest filters</t>
  </si>
  <si>
    <t>Tempest filters shown at 1200A but fuse protection from main panel are shown as 1250A. This is conflicted and we would need to increase the filter to the 1600A version. For example, the 1200A version is £40k and the 1600A version is £110k.</t>
  </si>
  <si>
    <t>WBS - Stage 4 Designers to verify and validate loadings and develop as part of their Stage 4 design. Please also note 1200A rated fuse is available to match the sizes of the Power filters shown.</t>
  </si>
  <si>
    <t>WAT.-RTRFI-000021</t>
  </si>
  <si>
    <t>HBC-RFI-000039:    Specification - Submains / DBs / UPS / Illuminance</t>
  </si>
  <si>
    <t>1. Spec says essential submains should be FP600, no FP600 submains shown on schematics - only SWA.
2. Spec mentions both 20% and 25% spare on distribution boards. Which is true?
3. Clarification on UPS size required 175kW N+1 or 200kW N? Former has much more resilience, latter is more cost effective and still provides resilience, albeit limited.
4. Illuminance uniformity levels contradict each other in spec, 0.4/0.6 in table and 0.8 in body of text.</t>
  </si>
  <si>
    <t>1. WBS - No essential supplies, generator backed provision only for safe shutdown
2. WBS - Stage 4 design to provide Distribution Boards with 25% spare capacity.
3. WBS - 175kW N+1 to be provided.
4. WBS - values of 0.4/0.6 in table to be used.</t>
  </si>
  <si>
    <t>WAT.-RTRFI-000022</t>
  </si>
  <si>
    <t>HBC-RFI-000040:    Specification Secure walls - Penetrations / fixings</t>
  </si>
  <si>
    <t>1. MTC standard details for penetrations through walls?
2. Details of secure wall build ups for fixings / penetrations etc.</t>
  </si>
  <si>
    <t>1. Standard penetration details are included at Stage 3 Package; Contractor must adapt these for final construction as part of Stage 4 design. Taking into account the security accreditation required to meet NPSA accreditation.
2. Standard details are provided by the wall panelling manufacturer to ensure compliance to NPSA requirements. Typical details on structural detail drawings.</t>
  </si>
  <si>
    <t>WAT.-RTRFI-000023</t>
  </si>
  <si>
    <t>HBC-RFI-000041:    Specification - Generator</t>
  </si>
  <si>
    <t>Generator runtime / autonomy?</t>
  </si>
  <si>
    <t>WBS - RIBA Stage 3 stipulates 12 hours +10%. Final generator runtime requirements to be confirmed with MTC.</t>
  </si>
  <si>
    <t>WAT.-RTRFI-000024</t>
  </si>
  <si>
    <t>HBC-RFI-000042:    Specifications - PIRs or Microwave detectors</t>
  </si>
  <si>
    <t>Microwave detectors are shown on lighting drawings, PIR's in spec? PIR's would be more appropriate.</t>
  </si>
  <si>
    <t>WBS - RIBA Stage 3 indication of design intent. Final selection of detectors to be developed as part of RIBA Stage 4 design in conjunction with MTC. Note the selection of any devices needs to meet with the requirements of STAMP accreditation.</t>
  </si>
  <si>
    <t>WAT.-RTRFI-000025</t>
  </si>
  <si>
    <t>HBC-RFI-000043:    Specification - Water requirements</t>
  </si>
  <si>
    <t>The daily operation &amp; quantity of water has not been determined by the client team. Can this be qualified?</t>
  </si>
  <si>
    <t>WAT.-RTRFI-000026</t>
  </si>
  <si>
    <t>HBC-RFI-000044:    Specification - LEV System drainage</t>
  </si>
  <si>
    <t>Drainage type for the Lev System to be used is referenced as being TBC in Waterman Stage 3 Specification, can this be confirmed?</t>
  </si>
  <si>
    <t>Please Clarify ? Drainage type for LEV equipment will be confirmed following final equipment specifications at Stage 4.</t>
  </si>
  <si>
    <t>WAT.-RTRFI-000027</t>
  </si>
  <si>
    <t>HBC-RFI-000045:    Specification - Existing AHU Control Panels</t>
  </si>
  <si>
    <t>The existing controls panel can be reused (if viable) to form the new AHU control panels, as instructed by Waterman Stage 3 Specification. Can details of the existing panels be provided?</t>
  </si>
  <si>
    <t>HBC-RFI-000046:    Specification - MTC Regulatory Facility Consideration Report</t>
  </si>
  <si>
    <t>Reference is made in Waterman Stage 3 Specification to 'MTC Regulatory Facility Consideration Report'. Can this document be provided?</t>
  </si>
  <si>
    <t>HBC-RFI-000047:    Specification - Acoustic Report</t>
  </si>
  <si>
    <t>Is an acoustic report for the project available for use? This will be essential for plant selections.</t>
  </si>
  <si>
    <t>HBC-RFI-000047</t>
  </si>
  <si>
    <t>HBC-RFI-000048:    Ventilation - Alpha Engineering RFIs</t>
  </si>
  <si>
    <t>Attached set of Alpha Engineering RFIs were included within the Stage 3 pack which are still listed outstanding. Can their status be clarified</t>
  </si>
  <si>
    <t>These were RFIs raised by Alpha Engineering with the expectation that any resolution would be carried into RIBA4.</t>
  </si>
  <si>
    <t>HBC-RFI-000049:    Compressed Air  - end user flow rates, pressures &amp; air quality</t>
  </si>
  <si>
    <t>Clarification required of flow rates, pressures &amp; air quality of all proposed end user equipment. A number of TBCs are noted on the Waterman schematic dwg.</t>
  </si>
  <si>
    <t>CA allowances have been made on main plant, refer to quotation as detailed within specification on flow rate,  pressure and air quality. Stage 4 Contractor must obtain final data and coordinate drops, pressures &amp; filtration classes.</t>
  </si>
  <si>
    <t>WAT.-RTRFI-000029</t>
  </si>
  <si>
    <t>HBC-RFI-000050:    Compressed Air - Pipework alternative</t>
  </si>
  <si>
    <t>Pipework specified as TESEO, we understand this is no longer available in the UK &amp; would therefore propose that an aluminium alternative such as Trans Air or similar be used.</t>
  </si>
  <si>
    <t>Alternatives may be proposed via formal Technical Submission during Stage 4, subject to equal‑or‑approved compliance.</t>
  </si>
  <si>
    <t>HBC-GC-000022</t>
  </si>
  <si>
    <t>HBC-RFI-000051:    Argon - flow rate &amp; frequency of tank replenishment</t>
  </si>
  <si>
    <t>Clarification required for Argon flow rate &amp; frequency of tank replenishment. This will inform the finalised design.</t>
  </si>
  <si>
    <t>Confirmed as TBC pending EM operational cycles. Final values will be validated during Stage 4 HAZOP and EM engagement</t>
  </si>
  <si>
    <t>WAT.-RTRFI-000031</t>
  </si>
  <si>
    <t>HBC-RFI-000052:    Argon - Flow Meter</t>
  </si>
  <si>
    <t>Is there a specification of flow meter required, currently not detailed in Stage 3 proposal.</t>
  </si>
  <si>
    <t>Refer to Mechanical Specification. 6.6.3 and page 67.  Both Emergency and high pressure argon system metered. To be determine as part of RIBA Stage 4 works.</t>
  </si>
  <si>
    <t>HBC-RFI-000053:    Argon - pressure for AS3/4</t>
  </si>
  <si>
    <t>Confirmation required of the pressure for AS3/4 (RM034 Swarf Management), shown as TBC.</t>
  </si>
  <si>
    <t>Design intent provided. Final pressure requirements for AS03/AS04 will be determined following EM confirmation.</t>
  </si>
  <si>
    <t>WAT.-RTRFI-000033</t>
  </si>
  <si>
    <t>HBC-RFI-000054:    Argon - Specific pressure</t>
  </si>
  <si>
    <t>Clarity needed on reference to +16 Bar max. working pressure, can a specific pressure not be confirmed?</t>
  </si>
  <si>
    <t>Argon system based on 16barg Working Pressure (15.5barg Nominal) to suit AS05.  Stage 4 Contractor must obtain final equipment information to form part of RIBA Stage 4 design works.</t>
  </si>
  <si>
    <t>WAT.-RTRFI-000034</t>
  </si>
  <si>
    <t>HBC-RFI-000055:    Equipment Service Feeds - Clarification Matrix</t>
  </si>
  <si>
    <t>Please can the attached matrix be filled in by MTC / Waterman clarifying flow rates / pressures etc.</t>
  </si>
  <si>
    <t>Please provide an update on Building Control and the Full plans submission and if there are any implications to the issued Stage 3 information.</t>
  </si>
  <si>
    <t>Plan checking fee paid by MTC and no further response from WBC</t>
  </si>
  <si>
    <t>Architectural and MEP model align to world coordinates. Structural model does not. Architectural and MEP Base point is N/S281555109 E/W 440737415. To GL A1. Please confirm this is what the team will be working to. Structural model will need to be updated to suit.</t>
  </si>
  <si>
    <t>Watermans to update Revit Model</t>
  </si>
  <si>
    <t>Please confirm existing roof build-up.</t>
  </si>
  <si>
    <t>Please refer to existing Revit model recently provided and Stage 3 drawings</t>
  </si>
  <si>
    <t>Structural &amp; MEP Models show what seem to be openings at roof plant deck level, see attachments “CPMG RFI 16 attachment 1”, “CPMG RFI 16 Attachment 2” &amp; “CPMG RFI 16 attachment 3” Please clarify if these are proposed openings</t>
  </si>
  <si>
    <t>If the openings show trimming steel and services passing through they are required</t>
  </si>
  <si>
    <t>CPMG-SUBRFI-000003:    CPMG RFI 3- Architectural Model</t>
  </si>
  <si>
    <t>We have reviewed the architectural model and it appears there are missing elements which include existing external wall and roof elements missing. Is this model correct or are there additional elements/models?</t>
  </si>
  <si>
    <t>Revit model attached</t>
  </si>
  <si>
    <t>AGL-SUBRFI-000001:    DNO Approval</t>
  </si>
  <si>
    <t>AGL-SUBRFI-000002:    Missing Supplies</t>
  </si>
  <si>
    <t>AGL-SUBRFI-000004:    Asset Register &amp; Maximum Demand</t>
  </si>
  <si>
    <t>AGL-SUBRFI-000005:    Data Network</t>
  </si>
  <si>
    <t>CPMG-SUBRFI-000005:    CPMG RFI 5- Breakout enclosure</t>
  </si>
  <si>
    <t>CPMG-SUBRFI-000012:    CPMG RFI 12- Siphonic Drainage</t>
  </si>
  <si>
    <t>CPMG-SUBRFI-000016:    CPMG RFI 16- Openings at roof plant deck level on SE &amp; MEP models</t>
  </si>
  <si>
    <t>CPMG-SUBRFI-000015:    CPMG RFI 15- Existing Roof Build Up</t>
  </si>
  <si>
    <t>CPMG-SUBRFI-000007:    CPMG RFI 7- Revit Models Coordinates</t>
  </si>
  <si>
    <t>CPMG-SUBRFI-000006:    CPMG RFI 6- Building Control</t>
  </si>
  <si>
    <t>Please see the attached the DNO quotation for upgrade</t>
  </si>
  <si>
    <t>HBC-RTSCRFI-000017</t>
  </si>
  <si>
    <t>Please refer to the structural information submitted</t>
  </si>
  <si>
    <t>HBC-RTSCRFI-000020</t>
  </si>
  <si>
    <t>HBC-RFI-000072:    Height for new trunking under crane steel</t>
  </si>
  <si>
    <t>Height for new trunking running under the existing crane steel, This shows on the watermans drawings as a continuation of existing trunking. Please confirm this is acceptable.</t>
  </si>
  <si>
    <t>HBC-RFI-000073:    CCTV containment route</t>
  </si>
  <si>
    <t>Route of new containment for existing CCTV, Electract have proposed to conduit from existing locations to sf4 plant area data cabinets, This was suggested by JDC networks and Siemens who are MTC incumbents. Please confrim this is acceptable</t>
  </si>
  <si>
    <t>HBC-RFI-000074:    Natural Gas</t>
  </si>
  <si>
    <t>Natural Gas, WB need to purge and remove the pipe work within SF4 and in the SF4 Plant Deck. Can WB purge and remove this pipework? WB will need support from facility’s in regards to Drawings for the feed of the Natural Gas, shutoff points, purge points and effects to other Cells. Works would like to commence WC23/03 please cofirm asa built infomation.</t>
  </si>
  <si>
    <t>AGL-SUBRFI-000003:    Missing Document</t>
  </si>
  <si>
    <t>In the data section of specification drawing 200SF4-WBS-ZZ-GF-DR-E-61299 is referred to, this drawing is not available on Aconex - please could you provide?</t>
  </si>
  <si>
    <t>Please see attached from tender (not part of stage 3 pack)</t>
  </si>
  <si>
    <t>HBC-RTSCRFI-000010</t>
  </si>
  <si>
    <t>CPMG-SUBRFI-000001:    CPMG RFI 1- Fire Report</t>
  </si>
  <si>
    <t>Please provide Fire Report/Strategy</t>
  </si>
  <si>
    <t>Please see response from MTC:
Fire Strategy will form part of the HAZZOP which is being developed by MTC representative. Fire Alarm Specialist contractor to develop strategy as part of RIBA Stage 4.</t>
  </si>
  <si>
    <t>HBC-RTSCRFI-000004</t>
  </si>
  <si>
    <t>CPMG-SUBRFI-000004:    CPMG RFI 4- MTC Security Pack</t>
  </si>
  <si>
    <t>The architectural spec references a MTC security Pack regards to door hardware and security. Can this please be provided?</t>
  </si>
  <si>
    <t>HBC-GC-000023</t>
  </si>
  <si>
    <t>CPMG-SUBRFI-000008:    CPMG RFI 8- BEP</t>
  </si>
  <si>
    <t>Please provide the BEP</t>
  </si>
  <si>
    <t>There is no BEP please see file naming document and SAL</t>
  </si>
  <si>
    <t>HBC-RTSCRFI-000008</t>
  </si>
  <si>
    <t>CPMG-SUBRFI-000009:    CPMG RFI 9- Remtech pentrations</t>
  </si>
  <si>
    <t>We understand the rooflight will be infilled with Remtech panels with ductwork penetrations. Is there a tested solution and typical details for fixings and penetrations developed to meet MTC requirements.</t>
  </si>
  <si>
    <t>Please see correspondence and standard details from Remtech</t>
  </si>
  <si>
    <t>HBC-RTSCRFI-000022</t>
  </si>
  <si>
    <t>CPMG-SUBRFI-000010:    CPMG RFI 10- Document Naming Standards</t>
  </si>
  <si>
    <t>Is there a Document Naming Standards document?</t>
  </si>
  <si>
    <t>Please see attached document that clarifies naming. 
Key points:
- Project code &amp; name : please use 'MTP' and no other information (i.e. no address), this helps to anonymise the project
- All doc number codes as standard
-Put security classification in filename</t>
  </si>
  <si>
    <t>HBC-RTSCRFI-000006</t>
  </si>
  <si>
    <t>CPMG-SUBRFI-000011:    CPMG RFI 11- Revit Models Coordinates</t>
  </si>
  <si>
    <t>Is there a Stage 3 federated model and clash detection report available?</t>
  </si>
  <si>
    <t>There will be no federated model due to the sensitivity of the project</t>
  </si>
  <si>
    <t>HBC-RTSCRFI-000009</t>
  </si>
  <si>
    <t>CPMG-SUBRFI-000013:    CPMG RFI 13- SAL and Security Management Plan</t>
  </si>
  <si>
    <t>We cannot access the SAL and Security Management plan on Aconex, can this be provided please.</t>
  </si>
  <si>
    <t>PSA all information, the SAL will be included within the consultant appointment. If you have any issues please let us know</t>
  </si>
  <si>
    <t>HBC-RTSCRFI-000021</t>
  </si>
  <si>
    <t>CPMG-SUBRFI-000014:    CPMG RFI 14- Project Directory</t>
  </si>
  <si>
    <t>Can you please provide a Project Directory for the job.</t>
  </si>
  <si>
    <t>Please see attached which is in doc register</t>
  </si>
  <si>
    <t>HBC-RTSCRFI-000005</t>
  </si>
  <si>
    <t>Elect-SUBRFI-000001:    Architects Model or DWGs</t>
  </si>
  <si>
    <t>Please issue the latest Architects Model or DWG’s.</t>
  </si>
  <si>
    <t>This has now been issued as part of Stage 3 pack.</t>
  </si>
  <si>
    <t>HBC-RTSCRFI-000001</t>
  </si>
  <si>
    <t>Elect-SUBRFI-000002:    Waterman Model or DWGs</t>
  </si>
  <si>
    <t>Please issue the latest Waterman Model or DWG’s.</t>
  </si>
  <si>
    <t>HBC-RTSCRFI-000002</t>
  </si>
  <si>
    <t>Elect-SUBRFI-000006:    Electrical Isolations MTC process and permit system</t>
  </si>
  <si>
    <t>Please provide confirm MTC process for Electrical Isolations. Do they have a permit system for us to follow?</t>
  </si>
  <si>
    <t>Elect-SUBRFI-000007:    Siemens Fire &amp; Security mobilisation period</t>
  </si>
  <si>
    <t>Siemens Fire &amp; Security require 3 to 4 weeks to mobilize from placement of an order. This needs factoring in when programming works. No order has been placed yet.</t>
  </si>
  <si>
    <t>Elect-SUBRFI-000010:    Waterman P02 as construction drawings</t>
  </si>
  <si>
    <t>Confirm we are to work with Waterman P02 drawings for construction purposes.</t>
  </si>
  <si>
    <t>Elect-SUBRFI-000011:    New walls as enabling works</t>
  </si>
  <si>
    <t>Will the new walls be installed as part of the enabling works? We need to understand what we are fixing the perimeter items too and at what stage.</t>
  </si>
  <si>
    <t>Yes</t>
  </si>
  <si>
    <t>HBC-RTSCRFI-000007</t>
  </si>
  <si>
    <t>HBC-RTSCRFI-000023</t>
  </si>
  <si>
    <t>Copy of the Asset register as included within specification, Contractor to refer to latest MTC/Client information for equipment details to suit Stage 4 design requirements.
Stage 3 Preliminary load assessment for information purposes, Contractor to develop their own as part of Stage 4 design works.</t>
  </si>
  <si>
    <t>HBC-RTSCRFI-000024</t>
  </si>
  <si>
    <t>The architectural model should contain the zone for the siphonic drainage.</t>
  </si>
  <si>
    <t>HBC-RTSCRFI-000026</t>
  </si>
  <si>
    <t>HBC-GC-000029</t>
  </si>
  <si>
    <t>HBC-GC-000031</t>
  </si>
  <si>
    <t>Drawing MTC-SF4-DWG-10001 - SF4 Baseline Layout - B4.0 - Sheet 2of2 was used as the basis for the Stage 3 comms design. This drawing shall require revisiting with the MTC/Client's IT specialist as part of the Stage 4 design works to ensure comms outlet provisions are correctly captured.</t>
  </si>
  <si>
    <t>The reference for Distribution Board DB/WPK/P&amp;L2 was included within an earlier design iteration. The Board this reference used no longer features within the scheme.</t>
  </si>
  <si>
    <t>At the time of production of the preliminary Stage 3 Electrical Load Assessment, the requirements for the Breakout enclosure were still to be defined between gridlines C14-B18, therefore an allowance was used that can now be omitted from the Stage 4 design and the updated requirements used for this area instead.</t>
  </si>
  <si>
    <t>Isolator for Cable Ref 6 - Device required between Gridlines A20-E20 to be sited to suit specialist equipment suppliers requirements.
Isolator for Cable Ref 9 - Device shown between Gridlines E14-F14 to be sited to suit specialist equipment suppliers requirements.
Isolator for Cable Refs 22/23 - 1No. Device shown between Gridlines K20-L20 to serve 1No. AS08 to be sited to suit specialist equipment suppliers requirements.
Isolators for Cable Refs 28/29 - 2No. Devices (AS16/01 &amp; AS16/02) shown between Gridlines G20-H20 to be sited to suit specialist equipment suppliers requirements.
Isolators for Cable Refs 35/36 - Devices required between Gridlines D14-G14 to be sited to suit specialist equipment suppliers requirements.
DB for Cable Ref 37 - Dis Board to be sited adjacent to UPS
Isolators for Cable Refs 50/51 - Devices no longer required for Stage 3 design.</t>
  </si>
  <si>
    <t>HBC-RTSCRFI-000032</t>
  </si>
  <si>
    <t>HBC-RTSCRFI-000027</t>
  </si>
  <si>
    <t>HBC-RTSCRFI-000028</t>
  </si>
  <si>
    <t>HBC-RTSCRFI-000029</t>
  </si>
  <si>
    <t>HBC-RTSCRFI-000030</t>
  </si>
  <si>
    <t>The 3No. Isolators between Gridlines T20-P20 were shown to provide future flexibility to the space at the time of producing the Stage 3 information, the MTC were unable to confirm if they were required. If the MTC/Client confirm they are required than they should be provided with a suitably rated LV connection back to SMP1. The abbreviation FS can be ignored, just Fuse Size, for which the proposed ratings are shown.</t>
  </si>
  <si>
    <t>HBC-RTSCRFI-000031</t>
  </si>
  <si>
    <t>HBC-GC-000036</t>
  </si>
  <si>
    <t>HBC-GC-000034</t>
  </si>
  <si>
    <t>WAT.-GC-000001</t>
  </si>
  <si>
    <t>MTC to advise if acceptable from a Security perspective.</t>
  </si>
  <si>
    <t>HBC-GC-000035</t>
  </si>
  <si>
    <t>MTP</t>
  </si>
  <si>
    <t>HBC-GC-000040</t>
  </si>
  <si>
    <t>HBC-GC-000041</t>
  </si>
  <si>
    <t>HBC-GC-000042</t>
  </si>
  <si>
    <t>Closed-Out</t>
  </si>
  <si>
    <t>Can we have an update on the requested please</t>
  </si>
  <si>
    <t>HBC-RTSCRFI-000033</t>
  </si>
  <si>
    <t>CPMG-SUBRFI-000017:    CPMG RFI 17- Concrete Bunker</t>
  </si>
  <si>
    <t>HB previously issued a pdf of the concrete bunker As you are aware there is a discrepancy of 25mm with current model. Can we please request the revit model to ensure the correct parameters are plotted on our model to include door and door cover and x ray equipment.</t>
  </si>
  <si>
    <t>CPMG-SUBRFI-000018:    CPMG RFI 18- Existing Steelwork</t>
  </si>
  <si>
    <t>Existing steelwork to grid appears to be missing on structural model but indicated on the pdfs- ca  this be provided please for the revit model.</t>
  </si>
  <si>
    <t>CPMG-SUBRFI-000019:    CPMG RFI 19- AS02 Setting Out</t>
  </si>
  <si>
    <t>Updated design drawings on AS02 were received on 11.03.26 in PDF. It was highlighted the revised model will not be completed during Stage 4. It was requested the setting out of existing Stage 3 model be updated to suit the PDF.
Existing set out of AS 02 1634mm from GL E. 5050mm from existing column flange GL14.
Revised PDF drawing CD57776 General Arrangement set out of AS 02 1720mm from GL E and 4792mm from existing column flange GL14.
Please confirm if existing Stage 3 model of AS 02 is to be set out to revised information. Please see attached.</t>
  </si>
  <si>
    <t>EDGEPS-CL-RFI-000009:    AS02 / RM008A plant deck equipment</t>
  </si>
  <si>
    <t>WP1 construction team to respond that this plant deck GA attached for AS02 in RM008A is acceptable and accounted for.</t>
  </si>
  <si>
    <t>HBC-RFI-000075</t>
  </si>
  <si>
    <t>Trunking for the services that sit behind the secure line must been run between the Remtech panel and the existing wall. these must not be brought back inside the secure line.</t>
  </si>
  <si>
    <t>HBC-RTSCRFI-000034</t>
  </si>
  <si>
    <t>HBC-GC-000045</t>
  </si>
  <si>
    <t>Elect-SUBRFI-000013:    Enabling - Removal of Lighting System Impacts adjacent Cell</t>
  </si>
  <si>
    <t>Enabling - Removal of Lighting System Impacts adjacent Cell</t>
  </si>
  <si>
    <t>HBC-GC-000048</t>
  </si>
  <si>
    <t>Elect-SUBRFI-000014:    Enabling - New Route of Containment Required into Plantroom</t>
  </si>
  <si>
    <t>Enabling - New Route of Containment Required into Plantroom</t>
  </si>
  <si>
    <t>HBC-GC-000047</t>
  </si>
  <si>
    <t>WAT.-GC-000006</t>
  </si>
  <si>
    <t>WBS have included provision for the O₂ depletion detection system within the secure facility, as shown on the layouts, mainly shown on 200SF4-WBS-01-GF-DR-M-54201 (P06) and detailed in the specification. 
The system provides the monitoring and alarm strategy associated with oxygen displacement risks within SF4, noting the gas detection panel located in the entrance lobby and sounder / beacons located within the SF4 facilities.  
Following this HAZOP, particularly under fault, purge, emergency shutdown or loss of power scenarios has not yet been confirmed by the client team.  Any additional design measures / changes to the emergency Argon strategy or enhanced local alarms, can be incorporated into the RIBA Stage 4 contractor design package.
At this stage, therefore, the design intent is:
• Stage 3 (WBS): O₂ depletion system included and shown on layouts.
• Stage 4 (Contractor): To be defined and incorporated if identified by the HAZOP</t>
  </si>
  <si>
    <t>HBC-RTSCRFI-000037</t>
  </si>
  <si>
    <t>Could you also please confirm whether Henry Brothers has engaged with the incumbent BMS contractor, Electrack (Phil Randle), for input? His understanding of the existing control architecture and integration requirements will be valuable in assessing any dependencies or constraints on the proposed modifications.</t>
  </si>
  <si>
    <t>HBC-GC-000044</t>
  </si>
  <si>
    <t>This reference is not a required deliverable and can be ignored.</t>
  </si>
  <si>
    <t>HBC-GC-000046</t>
  </si>
  <si>
    <t>WBS Ltd-GC-000002</t>
  </si>
  <si>
    <t>The clarification matrix provided appears to simply replicate the WBS Stage 3 placeholder values. In line with the SF4 Mechanical Specification, all flow rates, pressures, service demands and equipment consumption values must be confirmed, validated and populated by the Contractor as part of their coordinated Stage 4 design development.
HB is therefore required to populate the matrix based on:
their coordinated Stage 4 mechanical and specialist gas design,
confirmed equipment requirements from the end user, and
all validation checks undertaken during their Stage 4 design process.
Once HB have populated the clarification matrix with their verified design inputs, WBS/MTC will review and provide comment/acceptance as part of the Stage 4 design review process.</t>
  </si>
  <si>
    <t>SF4 Works - Above Ground Drainage. The SVP located on Grid Line U20 is required to be extended to suit the proposed drainage arrangement. All internal drainage from the cell is directed to the IBC via a pumped solution in accordance with the Stage 3 drainage strategy.
As the Stage 4 design development sits with the contractor, HB shall validate the Stage 3 assumptions and confirm whether the SVPs on both GL B20 and GL K20 remain necessary, or whether either can be removed or capped if not required as part of the final drainage and venting strategy.</t>
  </si>
  <si>
    <t>HBC-RTSCRFI-000036</t>
  </si>
  <si>
    <t>Proposal to run new trunking as a continuation of the existing trunking, noted and accepted.</t>
  </si>
  <si>
    <t>WAT.-RTRFI-000042</t>
  </si>
  <si>
    <t>This query refer to ARC Clearance - Phase 2 Works Not SF4 works.  
As Defined in the strip out responsibilities, please note:
The contractor is responsible for the full validation, purging, isolation and removal of all redundant Natural Gas pipework forming part of the Phase 2 works, to be carried out by a competent Gas Safe subcontractor. All existing gas installations must be site validated prior to commencement, including tracing of pipework, confirming isolation points and identifying any shared feeds to other cells. MTC will provide any available historic as installed information; however, this cannot replace the requirement for full contractor validation. 
No removal works may proceed until all isolations have been confirmed through the Permit to Work process. 
WBS has yet to receive HB's own Stage 4 strip-out drawings and set of RAMS for approval by the MTC representatives prior to commencing the strip-out works.</t>
  </si>
  <si>
    <t>HBC-GC-000043</t>
  </si>
  <si>
    <t>Please see attached</t>
  </si>
  <si>
    <t>The grid will be on the Revit model attached to the response to RFI CPMG RFI 17- Concrete Bunker</t>
  </si>
  <si>
    <t>Please see attached screenshot for setting out</t>
  </si>
  <si>
    <t>HBC-GC-000051</t>
  </si>
  <si>
    <t>FDG-GC-000006</t>
  </si>
  <si>
    <t>HBC-GC-000054</t>
  </si>
  <si>
    <t>EDGEPS-GC-000005</t>
  </si>
  <si>
    <t>HBC-RFI-000080:    Alpha - Breakout area containment arrangements 2529-RFI-PROJ-001</t>
  </si>
  <si>
    <t>Alpha - Breakout area containment arrangements 2529-RFI-PROJ-001</t>
  </si>
  <si>
    <t>HBC-RFI-000081:    Alpha - Heat emission from equipment 2529-RFI-PROJ-002</t>
  </si>
  <si>
    <t>Alpha - Heat emission from equipment 2529-RFI-PROJ-002</t>
  </si>
  <si>
    <t>HBC-RFI-000082:    Alpha - Filter mist data 2529-RFI-PROJ-003</t>
  </si>
  <si>
    <t>Alpha - Filter mist data 2529-RFI-PROJ-003</t>
  </si>
  <si>
    <t>HBC-RFI-000083:    Alpha - VIM furnace vacuum pump data 529-RFI-PROJ-004</t>
  </si>
  <si>
    <t>Alpha - VIM furnace vacuum pump data 529-RFI-PROJ-004</t>
  </si>
  <si>
    <t>HBC-RFI-000083</t>
  </si>
  <si>
    <t>HBC-RFI-000084:    Alhpa - VIM furnace vacuum pump operation2529-RFI-PROJ-005</t>
  </si>
  <si>
    <t>Alhpa - VIM furnace vacuum pump operation2529-RFI-PROJ-005</t>
  </si>
  <si>
    <t>HBC-RFI-000084</t>
  </si>
  <si>
    <t>HBC-RFI-000085:    Alpha - Heat treatment equipment filtration2529-RFI-PROJ-006</t>
  </si>
  <si>
    <t>Alpha - Heat treatment equipment filtration2529-RFI-PROJ-006</t>
  </si>
  <si>
    <t>HBC-RFI-000085</t>
  </si>
  <si>
    <t>HBC-RFI-000086:    Alpha - X-ray ozone generation 2529-RFI-PROJ-007</t>
  </si>
  <si>
    <t>Alpha - X-ray ozone generation 2529-RFI-PROJ-007</t>
  </si>
  <si>
    <t>HBC-RFI-000086</t>
  </si>
  <si>
    <t>HBC-RFI-000087:    Alpha - Carbon analyser LEV requirement 2529-RFI-PROJ-008</t>
  </si>
  <si>
    <t>Alpha - Carbon analyser LEV requirement 2529-RFI-PROJ-008</t>
  </si>
  <si>
    <t>HBC-RFI-000087</t>
  </si>
  <si>
    <t>HBC-RFI-000088:    Alpha - Expectations for ventilation system operation under fire philosophy 2529-RFI-PROJ-009</t>
  </si>
  <si>
    <t>Alpha - Expectations for ventilation system operation under fire philosophy 2529-RFI-PROJ-009</t>
  </si>
  <si>
    <t>HBC-RFI-000088</t>
  </si>
  <si>
    <t>CPMG-GC-000002</t>
  </si>
  <si>
    <t>CPMG-SUBRFI-000020:    CPMG RFI 20- Plant Deck Stairs/Ramp</t>
  </si>
  <si>
    <t>The plant deck Stage 3 drawings adjacent to  indicate steps GL 17 and GLB to C indicates steps whereas the model provided indicated ramps. Please confirm which one to proceed with.</t>
  </si>
  <si>
    <t>HBC-RFI-000090:    Alpha - Control System Details2612-RFI-PROJ-010</t>
  </si>
  <si>
    <t>Alpha - Control System Details2612-RFI-PROJ-010</t>
  </si>
  <si>
    <t>see message below</t>
  </si>
  <si>
    <t>Quantem-RTRFI-000001</t>
  </si>
  <si>
    <t>HBC-RFI-000092:    Alpha - EC&amp;I Client Side Contacts Request2612-RFI-PROJ-012</t>
  </si>
  <si>
    <t>Alpha - EC&amp;I Client Side Contacts Request2612-RFI-PROJ-012</t>
  </si>
  <si>
    <t>HBC-RFI-000092</t>
  </si>
  <si>
    <t>HBC-RFI-000093:    Alpha - Existing AHU Information – Including Fan Data 2612-RFI-PROJ-013</t>
  </si>
  <si>
    <t>Alpha - Existing AHU Information – Including Fan Data 2612-RFI-PROJ-013</t>
  </si>
  <si>
    <t>HBC-RFI-000093</t>
  </si>
  <si>
    <t>HBC-RFI-000095:    Alpha - Cable Type - Assumptions2612-RFI-PROJ-015</t>
  </si>
  <si>
    <t>Alpha - Cable Type - Assumptions2612-RFI-PROJ-015</t>
  </si>
  <si>
    <t>HBC-RFI-000095</t>
  </si>
  <si>
    <t>HBC-RFI-000096:    Alpha - MTC Tagging Standard – HVAC2612-RFI-PROJ-016</t>
  </si>
  <si>
    <t>Alpha - MTC Tagging Standard – HVAC2612-RFI-PROJ-016</t>
  </si>
  <si>
    <t>HBC-RFI-000096</t>
  </si>
  <si>
    <t>HBC-RFI-000097:    Alpha - MTC Tagging Standard – EC&amp;I 2612-RFI-PROJ-017</t>
  </si>
  <si>
    <t>Alpha - MTC Tagging Standard – EC&amp;I 2612-RFI-PROJ-017</t>
  </si>
  <si>
    <t>HBC-RFI-000097</t>
  </si>
  <si>
    <t>HBC-RFI-000098:    Alpha - Vendor List – Framework / Approved Suppliers 2612-RFI-PROJ-018</t>
  </si>
  <si>
    <t>Alpha - Vendor List – Framework / Approved Suppliers 2612-RFI-PROJ-018</t>
  </si>
  <si>
    <t>HBC-RFI-000098</t>
  </si>
  <si>
    <t>HBC-RFI-000099:    Alpha - Control Philosophy / BCD Provision2612-RFI-PROJ-019</t>
  </si>
  <si>
    <t>Alpha - Control Philosophy / BCD Provision2612-RFI-PROJ-019</t>
  </si>
  <si>
    <t>HBC-RFI-000099</t>
  </si>
  <si>
    <t>HBC-RFI-000102:    Composite deck quires - floor deck</t>
  </si>
  <si>
    <t>Composite deck quires - floor deck</t>
  </si>
  <si>
    <t>HBC-RFI-000103:    Composite deck - Reinforcement quires</t>
  </si>
  <si>
    <t>Composite deck - Reinforcement quires</t>
  </si>
  <si>
    <t>HBC-RFI-000103</t>
  </si>
  <si>
    <t>HBC-RFI-000104:    Composite deck - detialing quires</t>
  </si>
  <si>
    <t>Composite deck - detialing quires</t>
  </si>
  <si>
    <t>HBC-RFI-000104</t>
  </si>
  <si>
    <t>The ramp is shown on the existing Building 200 model and never constructed. Please proceed with the stairs shown on the current information issued. 
Moving forward, please utilised the issued drawings for reference as these will reflect the current design information.</t>
  </si>
  <si>
    <t>HBC-RTSCRFI-000040</t>
  </si>
  <si>
    <t>Lidded areas to be as drawn on the Fairhurst drawings</t>
  </si>
  <si>
    <t>HBC-RTSCRFI-000041</t>
  </si>
  <si>
    <t>EDGEPS-GC-000006</t>
  </si>
  <si>
    <t>EDGEPS-GC-000007</t>
  </si>
  <si>
    <t>EDGEPS-GC-000008</t>
  </si>
  <si>
    <t>HBC-RFI-000105:    VIM furnace floor loadings</t>
  </si>
  <si>
    <t>VIM furnace floor loadings</t>
  </si>
  <si>
    <t>HBC-RFI-000105</t>
  </si>
  <si>
    <t>HBC-RFI-000106:    Alpha Engineering - PI Level</t>
  </si>
  <si>
    <t>Alpha Engineering - PI Level</t>
  </si>
  <si>
    <t>HBC-RFI-000106</t>
  </si>
  <si>
    <t>AGL-SUBRFI-000009:    Equipment Required for Safe Shutdown</t>
  </si>
  <si>
    <t>Please confirm the strategy for safe shutdown of the facility from an electrical perspective. The following information is required:
1. Which breakers are to be open and which are to be closed in the event of power outage? i.e. which equipment is required to enable to the safe shutdown of the facility.
2. To programme the phased reconnection of the electrical loads on power failure, we require a list of supplies to be fed by the generator in order of priority. Please can you provide?
3. To enable the phased reconnection of electrical loads on power failure, we read the specification as requiring motorised breakers on the main switchboard (SB/SF4) only, all other breakers on sub-main panels will be standard, is this correct?</t>
  </si>
  <si>
    <t>HBC-GC-000056</t>
  </si>
  <si>
    <t>HBC-RFI-000108:    Mezzanine deck design loads</t>
  </si>
  <si>
    <t>Mezzanine deck design loads</t>
  </si>
  <si>
    <t>HBC-RFI-000108</t>
  </si>
  <si>
    <t>HBC-GC-000057</t>
  </si>
  <si>
    <t>CPMG-GC-000004</t>
  </si>
  <si>
    <t>Elect-SUBRFI-000015:    (Watermans) Strip Out/Enabling Drawings</t>
  </si>
  <si>
    <t>(Watermans) Strip Out/Enabling Drawings in Revit/dwg format</t>
  </si>
  <si>
    <t>Please see attached response from Warwick DC regarding the building regs application. Please note the inspection requirements in the letter to be picked up by HB.</t>
  </si>
  <si>
    <t>WBL 1919-SUBRFI-000001:    Compressed Air Diversity of Use</t>
  </si>
  <si>
    <t>Can it be confirmed if there is a known level of 'diversity of usage' factor (can be expressed as a percentile) that can be applied to the compressed air system? This will inform the physical sizing of the system &amp; ensure that it is best sized to suit the facility's true/actual anticipated operation &amp; usage patterns</t>
  </si>
  <si>
    <t>WBL 1919-SUBRFI-000001</t>
  </si>
  <si>
    <t>HBC-RFI-000110</t>
  </si>
  <si>
    <t>HBC-RTSCRFI-000042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</si>
</sst>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x14ac:knownFonts="1">
    <font>
      <sz val="11"/>
      <color theme="1"/>
      <name val="Aptos Narrow"/>
      <family val="2"/>
      <scheme val="minor"/>
    </font>
    <font>
      <b/>
      <sz val="13"/>
      <color theme="3"/>
      <name val="Aptos Narrow"/>
      <family val="2"/>
      <scheme val="minor"/>
    </font>
    <font>
      <b/>
      <sz val="18"/>
      <color theme="1" tint="0.24994659260841701"/>
      <name val="Aptos Display"/>
      <family val="2"/>
      <scheme val="major"/>
    </font>
    <font>
      <b/>
      <sz val="12"/>
      <color theme="1" tint="0.1498764000366222"/>
      <name val="Aptos Narrow"/>
      <family val="2"/>
      <scheme val="minor"/>
    </font>
    <font>
      <b/>
      <sz val="13"/>
      <color theme="4"/>
      <name val="Aptos Narrow"/>
      <family val="2"/>
      <scheme val="minor"/>
    </font>
    <font>
      <u/>
      <sz val="11"/>
      <color theme="10"/>
      <name val="Aptos Narrow"/>
      <family val="2"/>
      <scheme val="minor"/>
    </font>
    <font>
      <b/>
      <sz val="12"/>
      <color theme="1" tint="0.249977111117893"/>
      <name val="Aptos Narrow"/>
      <family val="2"/>
      <scheme val="minor"/>
    </font>
    <font>
      <b/>
      <sz val="11"/>
      <color theme="1" tint="0.14999847407452621"/>
      <name val="Aptos Narrow"/>
      <family val="2"/>
      <scheme val="minor"/>
    </font>
  </fonts>
  <fills count="3">
    <fill>
      <patternFill patternType="none"/>
    </fill>
    <fill>
      <patternFill patternType="gray125"/>
    </fill>
    <fill>
      <patternFill patternType="solid">
        <fgColor theme="0" tint="-0.14999847407452621"/>
        <bgColor indexed="64"/>
      </patternFill>
    </fill>
  </fills>
  <borders count="4">
    <border>
      <left/>
      <right/>
      <top/>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right/>
      <top style="thin">
        <color indexed="64"/>
      </top>
      <bottom/>
      <diagonal/>
    </border>
  </borders>
  <cellStyleXfs count="5">
    <xf numFmtId="0" fontId="0" fillId="0" borderId="0"/>
    <xf numFmtId="0" fontId="2" fillId="0" borderId="0"/>
    <xf numFmtId="0" fontId="3" fillId="0" borderId="2"/>
    <xf numFmtId="0" fontId="1" fillId="0" borderId="1"/>
    <xf numFmtId="0" fontId="5" fillId="0" borderId="0"/>
  </cellStyleXfs>
  <cellXfs count="25">
    <xf numFmtId="0" fontId="0" fillId="0" borderId="0" xfId="0"/>
    <xf numFmtId="0" fontId="0" fillId="0" borderId="0" xfId="0" applyAlignment="1">
      <alignment wrapText="1"/>
    </xf>
    <xf numFmtId="0" fontId="2" fillId="0" borderId="0" xfId="1"/>
    <xf numFmtId="0" fontId="3" fillId="0" borderId="0" xfId="2" applyBorder="1"/>
    <xf numFmtId="14" fontId="3" fillId="0" borderId="0" xfId="2" applyNumberFormat="1" applyBorder="1"/>
    <xf numFmtId="0" fontId="0" fillId="0" borderId="0" xfId="0" applyAlignment="1">
      <alignment horizontal="left"/>
    </xf>
    <xf numFmtId="0" fontId="5" fillId="0" borderId="0" xfId="4" applyAlignment="1">
      <alignment horizontal="right"/>
    </xf>
    <xf numFmtId="0" fontId="0" fillId="0" borderId="0" xfId="0" pivotButton="1"/>
    <xf numFmtId="0" fontId="0" fillId="0" borderId="0" xfId="0" pivotButton="1" applyAlignment="1">
      <alignment wrapText="1"/>
    </xf>
    <xf numFmtId="14" fontId="0" fillId="0" borderId="0" xfId="0" applyNumberFormat="1"/>
    <xf numFmtId="0" fontId="0" fillId="0" borderId="0" xfId="0" applyAlignment="1">
      <alignment horizontal="left" wrapText="1"/>
    </xf>
    <xf numFmtId="0" fontId="6" fillId="0" borderId="3" xfId="0" applyFont="1" applyBorder="1" applyAlignment="1">
      <alignment horizontal="left"/>
    </xf>
    <xf numFmtId="14" fontId="0" fillId="0" borderId="0" xfId="0" applyNumberFormat="1" applyAlignment="1">
      <alignment wrapText="1"/>
    </xf>
    <xf numFmtId="0" fontId="0" fillId="0" borderId="0" xfId="0" applyAlignment="1">
      <alignment horizontal="left" vertical="center"/>
    </xf>
    <xf numFmtId="14" fontId="0" fillId="0" borderId="0" xfId="0" applyNumberFormat="1" applyAlignment="1">
      <alignment horizontal="left" vertical="center" wrapText="1"/>
    </xf>
    <xf numFmtId="0" fontId="0" fillId="0" borderId="0" xfId="0" applyAlignment="1">
      <alignment horizontal="left" vertical="center" wrapText="1"/>
    </xf>
    <xf numFmtId="0" fontId="6" fillId="0" borderId="3" xfId="0" applyFont="1" applyBorder="1" applyAlignment="1">
      <alignment wrapText="1"/>
    </xf>
    <xf numFmtId="14" fontId="0" fillId="0" borderId="0" xfId="0" pivotButton="1" applyNumberFormat="1" applyAlignment="1">
      <alignment wrapText="1"/>
    </xf>
    <xf numFmtId="14" fontId="3" fillId="0" borderId="0" xfId="2" applyNumberFormat="1" applyBorder="1" applyAlignment="1">
      <alignment horizontal="left"/>
    </xf>
    <xf numFmtId="22" fontId="0" fillId="0" borderId="0" xfId="0" applyNumberFormat="1"/>
    <xf numFmtId="0" fontId="4" fillId="0" borderId="0" xfId="3" applyFont="1" applyBorder="1" applyAlignment="1">
      <alignment horizontal="left"/>
    </xf>
    <xf numFmtId="0" fontId="0" fillId="0" borderId="0" xfId="0"/>
    <xf numFmtId="0" fontId="0" fillId="0" borderId="0" xfId="0" applyNumberFormat="1"/>
    <xf numFmtId="0" fontId="7" fillId="2" borderId="0" xfId="0" applyNumberFormat="1" applyFont="1" applyFill="1" applyAlignment="1"/>
    <xf numFmtId="0" fontId="7" fillId="2" borderId="0" xfId="0" applyFont="1" applyFill="1" applyAlignment="1"/>
  </cellXfs>
  <cellStyles count="5">
    <cellStyle name="Heading 2 2" xfId="3" xr:uid="{00000000-0005-0000-0000-000003000000}"/>
    <cellStyle name="Hyperlink" xfId="4" builtinId="8"/>
    <cellStyle name="Input 2" xfId="2" xr:uid="{00000000-0005-0000-0000-000002000000}"/>
    <cellStyle name="Normal" xfId="0" builtinId="0"/>
    <cellStyle name="Title 2" xfId="1" xr:uid="{00000000-0005-0000-0000-000001000000}"/>
  </cellStyles>
  <dxfs count="38">
    <dxf>
      <numFmt numFmtId="27" formatCode="dd/mm/yyyy\ hh:mm"/>
    </dxf>
    <dxf>
      <font>
        <color rgb="FF9C0006"/>
      </font>
      <fill>
        <patternFill>
          <bgColor rgb="FFFFC7CE"/>
        </patternFill>
      </fill>
    </dxf>
    <dxf>
      <font>
        <color rgb="FF9C5700"/>
      </font>
      <fill>
        <patternFill>
          <bgColor rgb="FFFFEB9C"/>
        </patternFill>
      </fill>
    </dxf>
    <dxf>
      <font>
        <color theme="3"/>
      </font>
      <fill>
        <patternFill>
          <bgColor theme="4" tint="0.79998168889431442"/>
        </patternFill>
      </fill>
    </dxf>
    <dxf>
      <font>
        <color theme="1" tint="0.14996795556505021"/>
      </font>
      <fill>
        <patternFill>
          <bgColor theme="0" tint="-0.14996795556505021"/>
        </patternFill>
      </fill>
    </dxf>
    <dxf>
      <numFmt numFmtId="0" formatCode="General"/>
    </dxf>
    <dxf>
      <numFmt numFmtId="19" formatCode="dd/mm/yyyy"/>
    </dxf>
    <dxf>
      <numFmt numFmtId="19" formatCode="dd/mm/yyyy"/>
    </dxf>
    <dxf>
      <alignment vertical="center"/>
    </dxf>
    <dxf>
      <alignment vertical="center"/>
    </dxf>
    <dxf>
      <alignment vertical="center"/>
    </dxf>
    <dxf>
      <alignment vertical="center"/>
    </dxf>
    <dxf>
      <alignment vertical="center"/>
    </dxf>
    <dxf>
      <alignment vertical="center"/>
    </dxf>
    <dxf>
      <border>
        <top style="thin">
          <color indexed="64"/>
        </top>
      </border>
    </dxf>
    <dxf>
      <font>
        <color theme="1" tint="0.249977111117893"/>
      </font>
    </dxf>
    <dxf>
      <font>
        <b/>
        <sz val="12"/>
      </font>
    </dxf>
    <dxf>
      <font>
        <b/>
        <sz val="12"/>
        <color theme="1" tint="0.249977111117893"/>
      </font>
    </dxf>
    <dxf>
      <alignment wrapText="0"/>
    </dxf>
    <dxf>
      <alignment wrapText="1" indent="0"/>
    </dxf>
    <dxf>
      <alignment wrapText="1" indent="0"/>
    </dxf>
    <dxf>
      <alignment wrapText="1" indent="0"/>
    </dxf>
    <dxf>
      <alignment wrapText="1" indent="0"/>
    </dxf>
    <dxf>
      <alignment wrapText="1" indent="0"/>
    </dxf>
    <dxf>
      <numFmt numFmtId="19" formatCode="dd/mm/yyyy"/>
    </dxf>
    <dxf>
      <font>
        <color theme="1" tint="0.14999847407452621"/>
      </font>
    </dxf>
    <dxf>
      <font>
        <color theme="1" tint="0.14999847407452621"/>
      </font>
    </dxf>
    <dxf>
      <fill>
        <patternFill patternType="solid">
          <bgColor theme="0" tint="-0.14999847407452621"/>
        </patternFill>
      </fill>
    </dxf>
    <dxf>
      <fill>
        <patternFill patternType="solid">
          <bgColor theme="0" tint="-0.14999847407452621"/>
        </patternFill>
      </fill>
    </dxf>
    <dxf>
      <font>
        <b/>
      </font>
    </dxf>
    <dxf>
      <font>
        <b/>
      </font>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alignment horizontal="general" vertical="bottom" textRotation="0" wrapText="0" indent="0" justifyLastLine="0" shrinkToFit="0" readingOrder="0"/>
    </dxf>
    <dxf>
      <fill>
        <patternFill>
          <bgColor theme="0" tint="-4.9989318521683403E-2"/>
        </patternFill>
      </fill>
    </dxf>
    <dxf>
      <font>
        <b/>
        <i val="0"/>
        <color theme="1" tint="0.14996795556505021"/>
      </font>
      <fill>
        <patternFill>
          <bgColor theme="0" tint="-0.14996795556505021"/>
        </patternFill>
      </fill>
      <border diagonalUp="0" diagonalDown="0">
        <left/>
        <right/>
        <top/>
        <bottom/>
        <vertical/>
        <horizontal/>
      </border>
    </dxf>
    <dxf>
      <font>
        <color theme="1"/>
      </font>
      <border diagonalUp="0" diagonalDown="0">
        <left/>
        <right/>
        <top/>
        <bottom/>
        <vertical/>
        <horizontal/>
      </border>
    </dxf>
    <dxf>
      <font>
        <b/>
        <color theme="1" tint="0.14993743705557422"/>
      </font>
      <fill>
        <patternFill>
          <bgColor theme="0" tint="-0.14993743705557422"/>
        </patternFill>
      </fill>
      <border>
        <left/>
        <right/>
        <top/>
        <bottom/>
        <vertical/>
        <horizontal/>
      </border>
    </dxf>
    <dxf>
      <font>
        <color theme="1"/>
      </font>
      <border>
        <left/>
        <right/>
        <top/>
        <bottom/>
        <vertical/>
        <horizontal/>
      </border>
    </dxf>
  </dxfs>
  <tableStyles count="2" defaultTableStyle="TableStyleMedium2" defaultPivotStyle="PivotStyleLight16">
    <tableStyle name="Workflow Tracker" table="0" count="2" xr9:uid="{00000000-0011-0000-FFFF-FFFF00000000}">
      <tableStyleElement type="wholeTable" dxfId="37"/>
      <tableStyleElement type="headerRow" dxfId="36"/>
    </tableStyle>
    <tableStyle name="Workflow Tracker 2" table="0" count="3" xr9:uid="{4AF1E240-F37B-479C-B071-F392455EC26A}">
      <tableStyleElement type="wholeTable" dxfId="35"/>
      <tableStyleElement type="headerRow" dxfId="34"/>
      <tableStyleElement type="secondRowStripe" dxfId="33"/>
    </tableStyle>
  </tableStyles>
  <colors>
    <mruColors>
      <color rgb="FFFFFFCC"/>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openxmlformats.org/officeDocument/2006/relationships/pivotCacheDefinition" Target="pivotCache/pivotCacheDefinition2.xml"/><Relationship Id="rId10"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[MTP - RFI Tracker.xlsx]Summary!PivotTable4</c:name>
    <c:fmtId val="16"/>
  </c:pivotSource>
  <c:chart>
    <c:autoTitleDeleted val="1"/>
    <c:pivotFmts>
      <c:pivotFmt>
        <c:idx val="0"/>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1"/>
              <c:y val="1.117370782557661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2"/>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Summary!$B$4</c:f>
              <c:strCache>
                <c:ptCount val="1"/>
                <c:pt idx="0">
                  <c:v>Total</c:v>
                </c:pt>
              </c:strCache>
            </c:strRef>
          </c:tx>
          <c:spPr>
            <a:solidFill>
              <a:schemeClr val="lt1"/>
            </a:solidFill>
            <a:ln w="19050">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Summary!$A$5:$A$9</c:f>
              <c:strCache>
                <c:ptCount val="4"/>
                <c:pt idx="0">
                  <c:v>Closed-Out</c:v>
                </c:pt>
                <c:pt idx="1">
                  <c:v>Outstanding</c:v>
                </c:pt>
                <c:pt idx="2">
                  <c:v>Overdue</c:v>
                </c:pt>
                <c:pt idx="3">
                  <c:v>Responded</c:v>
                </c:pt>
              </c:strCache>
            </c:strRef>
          </c:cat>
          <c:val>
            <c:numRef>
              <c:f>Summary!$B$5:$B$9</c:f>
              <c:numCache>
                <c:formatCode>General</c:formatCode>
                <c:ptCount val="4"/>
                <c:pt idx="0">
                  <c:v>16</c:v>
                </c:pt>
                <c:pt idx="1">
                  <c:v>30</c:v>
                </c:pt>
                <c:pt idx="2">
                  <c:v>9</c:v>
                </c:pt>
                <c:pt idx="3">
                  <c:v>72</c:v>
                </c:pt>
              </c:numCache>
            </c:numRef>
          </c:val>
          <c:extLst>
            <c:ext xmlns:c16="http://schemas.microsoft.com/office/drawing/2014/chart" uri="{C3380CC4-5D6E-409C-BE32-E72D297353CC}">
              <c16:uniqueId val="{00000006-4BF2-4A7D-9C22-75816A6E7562}"/>
            </c:ext>
          </c:extLst>
        </c:ser>
        <c:dLbls>
          <c:showLegendKey val="0"/>
          <c:showVal val="1"/>
          <c:showCatName val="0"/>
          <c:showSerName val="0"/>
          <c:showPercent val="0"/>
          <c:showBubbleSize val="0"/>
        </c:dLbls>
        <c:gapWidth val="75"/>
        <c:overlap val="100"/>
        <c:axId val="1987967855"/>
        <c:axId val="1987968815"/>
      </c:barChart>
      <c:catAx>
        <c:axId val="1987967855"/>
        <c:scaling>
          <c:orientation val="minMax"/>
        </c:scaling>
        <c:delete val="0"/>
        <c:axPos val="b"/>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987968815"/>
        <c:crosses val="autoZero"/>
        <c:auto val="1"/>
        <c:lblAlgn val="ctr"/>
        <c:lblOffset val="100"/>
        <c:noMultiLvlLbl val="0"/>
      </c:catAx>
      <c:valAx>
        <c:axId val="19879688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87967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11263</xdr:colOff>
      <xdr:row>4</xdr:row>
      <xdr:rowOff>117671</xdr:rowOff>
    </xdr:from>
    <xdr:to>
      <xdr:col>7</xdr:col>
      <xdr:colOff>1</xdr:colOff>
      <xdr:row>30</xdr:row>
      <xdr:rowOff>98767</xdr:rowOff>
    </xdr:to>
    <xdr:graphicFrame macro="">
      <xdr:nvGraphicFramePr>
        <xdr:cNvPr id="2" name="Chart 1">
          <a:extLst>
            <a:ext uri="{FF2B5EF4-FFF2-40B4-BE49-F238E27FC236}">
              <a16:creationId xmlns:a16="http://schemas.microsoft.com/office/drawing/2014/main" id="{898A1C1D-27E6-45DC-99CC-47918DE250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0.41176</cdr:x>
      <cdr:y>0.01071</cdr:y>
    </cdr:from>
    <cdr:to>
      <cdr:x>0.99349</cdr:x>
      <cdr:y>0.07941</cdr:y>
    </cdr:to>
    <cdr:sp macro="" textlink="Summary!$I$2">
      <cdr:nvSpPr>
        <cdr:cNvPr id="3" name="TextBox 5">
          <a:extLst xmlns:a="http://schemas.openxmlformats.org/drawingml/2006/main">
            <a:ext uri="{FF2B5EF4-FFF2-40B4-BE49-F238E27FC236}">
              <a16:creationId xmlns:a16="http://schemas.microsoft.com/office/drawing/2014/main" id="{5C8F6573-322C-1F0D-A366-FD1915D8A7C2}"/>
            </a:ext>
          </a:extLst>
        </cdr:cNvPr>
        <cdr:cNvSpPr txBox="1"/>
      </cdr:nvSpPr>
      <cdr:spPr>
        <a:xfrm xmlns:a="http://schemas.openxmlformats.org/drawingml/2006/main">
          <a:off x="1884023" y="50534"/>
          <a:ext cx="2661711" cy="324177"/>
        </a:xfrm>
        <a:prstGeom xmlns:a="http://schemas.openxmlformats.org/drawingml/2006/main" prst="rect">
          <a:avLst/>
        </a:prstGeom>
        <a:ln xmlns:a="http://schemas.openxmlformats.org/drawingml/2006/main">
          <a:noFill/>
        </a:ln>
      </cdr:spPr>
      <cdr:style>
        <a:lnRef xmlns:a="http://schemas.openxmlformats.org/drawingml/2006/main" idx="3">
          <a:schemeClr val="lt1"/>
        </a:lnRef>
        <a:fillRef xmlns:a="http://schemas.openxmlformats.org/drawingml/2006/main" idx="1">
          <a:schemeClr val="accent1"/>
        </a:fillRef>
        <a:effectRef xmlns:a="http://schemas.openxmlformats.org/drawingml/2006/main" idx="1">
          <a:schemeClr val="accent1"/>
        </a:effectRef>
        <a:fontRef xmlns:a="http://schemas.openxmlformats.org/drawingml/2006/main" idx="minor">
          <a:schemeClr val="lt1"/>
        </a:fontRef>
      </cdr:style>
      <cdr:txBody>
        <a:bodyPr xmlns:a="http://schemas.openxmlformats.org/drawingml/2006/main" wrap="square"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r"/>
          <a:fld id="{456075B2-22CF-40E4-9E66-554628914E0F}" type="TxLink">
            <a:rPr lang="en-US" sz="1100" b="0" i="0" u="none" strike="noStrike" cap="none" spc="50">
              <a:ln w="9525" cmpd="sng">
                <a:noFill/>
                <a:prstDash val="solid"/>
              </a:ln>
              <a:solidFill>
                <a:schemeClr val="bg1"/>
              </a:solidFill>
              <a:effectLst>
                <a:glow rad="38100">
                  <a:schemeClr val="accent1">
                    <a:alpha val="40000"/>
                  </a:schemeClr>
                </a:glow>
              </a:effectLst>
              <a:latin typeface="Aptos Narrow"/>
            </a:rPr>
            <a:pPr algn="r"/>
            <a:t>Total number of RFIs: 127</a:t>
          </a:fld>
          <a:endParaRPr lang="en-GB" sz="1300" b="0" i="0" cap="none" spc="50">
            <a:ln w="9525" cmpd="sng">
              <a:noFill/>
              <a:prstDash val="solid"/>
            </a:ln>
            <a:solidFill>
              <a:schemeClr val="bg1"/>
            </a:solidFill>
            <a:effectLst>
              <a:glow rad="38100">
                <a:schemeClr val="accent1">
                  <a:alpha val="40000"/>
                </a:schemeClr>
              </a:glow>
            </a:effectLst>
            <a:latin typeface="+mn-lt"/>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cole Millinship" refreshedDate="46108.6087162037" backgroundQuery="1" createdVersion="8" refreshedVersion="8" minRefreshableVersion="3" recordCount="127" xr:uid="{36880C0A-E0F8-4C9B-A767-AB516E257F91}">
  <cacheSource type="external" connectionId="1"/>
  <cacheFields count="16">
    <cacheField name="Status" numFmtId="0">
      <sharedItems count="4">
        <s v="Responded"/>
        <s v="Outstanding"/>
        <s v="Overdue"/>
        <s v="Closed-Out"/>
      </sharedItems>
    </cacheField>
    <cacheField name="Ball in Court" numFmtId="0">
      <sharedItems count="11">
        <s v="Anderson Green Ltd"/>
        <s v="Edge PS"/>
        <s v="CPMG"/>
        <s v="N/A"/>
        <s v="William Bailey Ltd"/>
        <s v="The MTC"/>
        <s v="Waterman"/>
        <s v="Fairhursts"/>
        <s v="Henry Brothers"/>
        <s v="Hexa Consulting Ltd"/>
        <s v="Waterman EU"/>
      </sharedItems>
    </cacheField>
    <cacheField name="Ref Number and Name" numFmtId="0">
      <sharedItems/>
    </cacheField>
    <cacheField name="Originally From" numFmtId="0">
      <sharedItems count="6">
        <s v="Anderson Green Ltd"/>
        <s v="CPMG"/>
        <s v="Edge PS"/>
        <s v="Electract Ltd"/>
        <s v="Henry Brothers"/>
        <s v="William Bailey Ltd"/>
      </sharedItems>
    </cacheField>
    <cacheField name="RFI Description" numFmtId="0">
      <sharedItems longText="1"/>
    </cacheField>
    <cacheField name="Discipline(s)" numFmtId="0">
      <sharedItems containsBlank="1" count="11">
        <s v="MTC / Edge"/>
        <s v="MEP (Waterman)"/>
        <m/>
        <s v="Architectural (Fairhursts)"/>
        <s v="Structural (Waterman)"/>
        <s v="Architectural (CPMG)"/>
        <s v="Civil (Hexa)"/>
        <s v="Civil"/>
        <s v="Structural (Hexa)"/>
        <s v="Electrical (ELT)"/>
        <s v="Mechanical (WBL)"/>
      </sharedItems>
    </cacheField>
    <cacheField name="Date RFI Sent" numFmtId="0">
      <sharedItems containsSemiMixedTypes="0" containsNonDate="0" containsDate="1" containsString="0" minDate="2026-01-27T11:29:00" maxDate="2026-03-27T11:04:00"/>
    </cacheField>
    <cacheField name="RFI Response" numFmtId="0">
      <sharedItems containsBlank="1" longText="1"/>
    </cacheField>
    <cacheField name="Date RFI Responded" numFmtId="0">
      <sharedItems containsNonDate="0" containsDate="1" containsString="0" containsBlank="1" minDate="2026-02-19T12:47:00" maxDate="2026-03-27T13:48:00"/>
    </cacheField>
    <cacheField name="Latest Correspondence" numFmtId="0">
      <sharedItems/>
    </cacheField>
    <cacheField name="Comments" numFmtId="0">
      <sharedItems containsString="0" containsBlank="1" count="1">
        <m/>
      </sharedItems>
    </cacheField>
    <cacheField name="Date Closed" numFmtId="0">
      <sharedItems containsNonDate="0" containsDate="1" containsString="0" containsBlank="1" minDate="2026-02-26T08:58:00" maxDate="2026-03-20T13:39:00" count="13">
        <m/>
        <d v="2026-03-17T14:18:00"/>
        <d v="2026-03-17T14:17:00"/>
        <d v="2026-03-17T14:16:00"/>
        <d v="2026-03-17T13:59:00"/>
        <d v="2026-03-17T13:58:00"/>
        <d v="2026-03-11T22:01:00"/>
        <d v="2026-03-08T21:20:00"/>
        <d v="2026-02-26T08:58:00"/>
        <d v="2026-02-26T09:00:00"/>
        <d v="2026-02-26T10:14:00"/>
        <d v="2026-03-20T13:39:00"/>
        <d v="2026-02-27T12:44:00"/>
      </sharedItems>
    </cacheField>
    <cacheField name="(Helper) Hyperlink" numFmtId="0">
      <sharedItems/>
    </cacheField>
    <cacheField name="Status - Copy" numFmtId="0">
      <sharedItems count="4">
        <s v="Responded"/>
        <s v="Outstanding"/>
        <s v="Overdue"/>
        <s v="Closed-Out"/>
      </sharedItems>
    </cacheField>
    <cacheField name="forclient" numFmtId="0">
      <sharedItems count="2">
        <b v="1"/>
        <b v="0"/>
      </sharedItems>
    </cacheField>
    <cacheField name="CombDiscipline" numFmtId="0">
      <sharedItems count="23" longText="1">
        <s v="MTC / Edge"/>
        <s v="MEP (Waterman)"/>
        <s v=""/>
        <s v="MTC / Edge_x000a_MTC / Edge_x000a_MTC / Edge_x000a_MTC / Edge_x000a_MTC / Edge_x000a_MTC / Edge"/>
        <s v="MTC / Edge_x000a_Architectural (Fairhursts)"/>
        <s v="Architectural (Fairhursts)"/>
        <s v="Architectural (Fairhursts)_x000a_Structural (Waterman)"/>
        <s v="Structural (Waterman)"/>
        <s v="Architectural (Fairhursts)_x000a_MEP (Waterman)_x000a_Structural (Waterman)"/>
        <s v="Architectural (CPMG)_x000a_Architectural (CPMG)_x000a_Architectural (CPMG)_x000a_Architectural (CPMG)_x000a_Architectural (CPMG)_x000a_Architectural (CPMG)"/>
        <s v="Civil (Hexa)_x000a_Structural (Hexa)_x000a_Architectural (CPMG)_x000a_Mechanical (WBL)_x000a_Electrical (ELT)_x000a_Civil (Hexa)_x000a_Structural (Hexa)_x000a_Architectural (CPMG)_x000a_Mechanical (WBL)_x000a_Electrical (ELT)_x000a_Civil (Hexa)_x000a_Structural (Hexa)_x000a_Architectural (CPMG)_x000a_Mechanical (WBL)_x000a_Electrical (ELT)_x000a_Civil (Hexa)_x000a_Structural (Hexa)_x000a_Architectural (CPMG)_x000a_Mechanical (WBL)_x000a_Electrical (ELT)_x000a_Civil (Hexa)_x000a_Structural (Hexa)_x000a_Architectural (CPMG)_x000a_Mechanical (WBL)_x000a_Electrical (ELT)_x000a_Civil (Hexa)_x000a_Structural (Hexa)_x000a_Architectural (CPMG)_x000a_Mechanical (WBL)_x000a_Electrical (ELT)_x000a_Civil (Hexa)_x000a_Structural (Hexa)_x000a_Architectural (CPMG)_x000a_Mechanical (WBL)_x000a_Electrical (ELT)"/>
        <s v="MEP (Waterman)_x000a_MEP (Waterman)_x000a_MEP (Waterman)"/>
        <s v="MEP (Waterman)_x000a_MEP (Waterman)"/>
        <s v="Civil_x000a_Structural_x000a_Architectural_x000a_Mechanical_x000a_Electrical"/>
        <s v="Structural (Hexa)_x000a_Architectural (CPMG)"/>
        <s v="MTC / Edge_x000a_MEP (Waterman)"/>
        <s v="MEP (Waterman)_x000a_Structural (Waterman)"/>
        <s v="MTC / Edge_x000a_MEP (Waterman)_x000a_MTC / Edge_x000a_MEP (Waterman)"/>
        <s v="Civil (Hexa)_x000a_Architectural (Fairhursts)_x000a_MEP (Waterman)"/>
        <s v="Electrical (ELT)_x000a_MEP (Waterman)"/>
        <s v="MTC / Edge_x000a_MTC / Edge_x000a_MTC / Edge"/>
        <s v="Mechanical (WBL)"/>
        <s v="Structural (Hexa)"/>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Nicole Millinship" refreshedDate="46108.608716435185" backgroundQuery="1" createdVersion="8" refreshedVersion="8" minRefreshableVersion="3" recordCount="188" xr:uid="{3706349F-D293-4F65-B577-637C92A8847A}">
  <cacheSource type="external" connectionId="4"/>
  <cacheFields count="19">
    <cacheField name="Status" numFmtId="0">
      <sharedItems count="4">
        <s v="Responded"/>
        <s v="Outstanding"/>
        <s v="Overdue"/>
        <s v="Closed-Out"/>
      </sharedItems>
    </cacheField>
    <cacheField name="Ball in Court" numFmtId="0">
      <sharedItems count="15">
        <s v="Anderson Green Ltd"/>
        <s v="Edge PS"/>
        <s v="Quantem Services Limited"/>
        <s v="Henry Brothers"/>
        <s v="The MTC"/>
        <s v="CPMG"/>
        <s v="N/A"/>
        <s v="William Bailey Ltd"/>
        <s v="Hexa Consulting Ltd"/>
        <s v="Electract Ltd"/>
        <s v="Chord Consult"/>
        <s v="Waterman"/>
        <s v="Waterman Building Services"/>
        <s v="Fairhursts"/>
        <s v="Waterman EU"/>
      </sharedItems>
    </cacheField>
    <cacheField name="Ref Number and Name" numFmtId="0">
      <sharedItems count="133">
        <s v="AGL-SUBRFI-000001:    DNO Approval"/>
        <s v="AGL-SUBRFI-000002:    Missing Supplies"/>
        <s v="AGL-SUBRFI-000003:    Missing Document"/>
        <s v="AGL-SUBRFI-000004:    Asset Register &amp; Maximum Demand"/>
        <s v="AGL-SUBRFI-000005:    Data Network"/>
        <s v="AGL-SUBRFI-000006:    Distribution Boards "/>
        <s v="AGL-SUBRFI-000007:    AS03 Equipment"/>
        <s v="AGL-SUBRFI-000008:    Equipment for Future Use"/>
        <s v="AGL-SUBRFI-000009:    Equipment Required for Safe Shutdown"/>
        <s v="CPMG-SUBRFI-000001:    CPMG RFI 1- Fire Report"/>
        <s v="CPMG-SUBRFI-000002:    CPMG RFI 2- Acoustic Report"/>
        <s v="CPMG-SUBRFI-000003:    CPMG RFI 3- Architectural Model"/>
        <s v="CPMG-SUBRFI-000004:    CPMG RFI 4- MTC Security Pack"/>
        <s v="CPMG-SUBRFI-000005:    CPMG RFI 5- Breakout enclosure"/>
        <s v="CPMG-SUBRFI-000006:    CPMG RFI 6- Building Control"/>
        <s v="CPMG-SUBRFI-000007:    CPMG RFI 7- Revit Models Coordinates"/>
        <s v="CPMG-SUBRFI-000008:    CPMG RFI 8- BEP"/>
        <s v="CPMG-SUBRFI-000009:    CPMG RFI 9- Remtech pentrations"/>
        <s v="CPMG-SUBRFI-000010:    CPMG RFI 10- Document Naming Standards"/>
        <s v="CPMG-SUBRFI-000011:    CPMG RFI 11- Revit Models Coordinates"/>
        <s v="CPMG-SUBRFI-000012:    CPMG RFI 12- Siphonic Drainage"/>
        <s v="CPMG-SUBRFI-000013:    CPMG RFI 13- SAL and Security Management Plan"/>
        <s v="CPMG-SUBRFI-000014:    CPMG RFI 14- Project Directory"/>
        <s v="CPMG-SUBRFI-000015:    CPMG RFI 15- Existing Roof Build Up"/>
        <s v="CPMG-SUBRFI-000016:    CPMG RFI 16- Openings at roof plant deck level on SE &amp; MEP models"/>
        <s v="CPMG-SUBRFI-000017:    CPMG RFI 17- Concrete Bunker"/>
        <s v="CPMG-SUBRFI-000018:    CPMG RFI 18- Existing Steelwork"/>
        <s v="CPMG-SUBRFI-000019:    CPMG RFI 19- AS02 Setting Out"/>
        <s v="CPMG-SUBRFI-000020:    CPMG RFI 20- Plant Deck Stairs/Ramp"/>
        <s v="EDGEPS-CL-RFI-000009:    AS02 / RM008A plant deck equipment"/>
        <s v="Elect-SUBRFI-000001:    Architects Model or DWGs"/>
        <s v="Elect-SUBRFI-000002:    Waterman Model or DWGs"/>
        <s v="Elect-SUBRFI-000003:    3-compartment trunking"/>
        <s v="Elect-SUBRFI-000004:    3-compartment trunking along gridline 20"/>
        <s v="Elect-SUBRFI-000005:    Fire detection requirements within the new inner wall "/>
        <s v="Elect-SUBRFI-000006:    Electrical Isolations MTC process and permit system"/>
        <s v="Elect-SUBRFI-000007:    Siemens Fire &amp; Security mobilisation period"/>
        <s v="Elect-SUBRFI-000008:    Electrical Condition Report"/>
        <s v="Elect-SUBRFI-000009:    Existing As-installed drawings"/>
        <s v="Elect-SUBRFI-000010:    Waterman P02 as construction drawings"/>
        <s v="Elect-SUBRFI-000011:    New walls as enabling works"/>
        <s v="Elect-SUBRFI-000012:    Incumbent specialist dealing with the existing Siemens Lighting Controls"/>
        <s v="Elect-SUBRFI-000013:    Enabling - Removal of Lighting System Impacts adjacent Cell"/>
        <s v="Elect-SUBRFI-000014:    Enabling - New Route of Containment Required into Plantroom"/>
        <s v="Elect-SUBRFI-000015:    (Watermans) Strip Out/Enabling Drawings"/>
        <s v="HBC-RFI-000001:    Weight of Equipment / Machinery on New Raft Slab"/>
        <s v="HBC-RFI-000002:    Buidling Control Stage 3 Plan assessment"/>
        <s v="HBC-RFI-000009:    Design assumptions clarifications"/>
        <s v="HBC-RFI-000010:    Clarifcations on Enabling works"/>
        <s v="HBC-RFI-000011:    Pile cap size and setting out"/>
        <s v="HBC-RFI-000012:    Mezz support steels"/>
        <s v="HBC-RFI-000013:    Replace concrete decking for 38mm decking"/>
        <s v="HBC-RFI-000014:    Lidded areas"/>
        <s v="HBC-RFI-000015:    Fire alarm - Aspirating Pipework "/>
        <s v="HBC-RFI-000016:    Security Zones drawings"/>
        <s v="HBC-RFI-000017:    Electrical AFDDs"/>
        <s v="HBC-RFI-000018:    Atex Zones"/>
        <s v="HBC-RFI-000019:    Emergency Lighting &amp; high risk lighting"/>
        <s v="HBC-RFI-000020:    MEP Specification items not needed"/>
        <s v="HBC-RFI-000021:    UPS "/>
        <s v="HBC-RFI-000022:    Generator quantity and requirements"/>
        <s v="HBC-RFI-000023:    Fire Strategy"/>
        <s v="HBC-RFI-000024:    Space Heating Demands"/>
        <s v="HBC-RFI-000025:    Cooling Load Assessment"/>
        <s v="HBC-RFI-000026:    Ventilation - Alpha reports"/>
        <s v="HBC-RFI-000027:    Refrigerant requiremenets"/>
        <s v="HBC-RFI-000028:    Plant Deck Coordination and Combined Services"/>
        <s v="HBC-RFI-000029:    Drainage Layouts TBC equipment"/>
        <s v="HBC-RFI-000030:    Water services - schedule TBC items"/>
        <s v="HBC-RFI-000031:    Water Services - Specification risk"/>
        <s v="HBC-RFI-000032:    Compressed Air - schematics"/>
        <s v="HBC-RFI-000033:    Compressed Air - Specification"/>
        <s v="HBC-RFI-000034:    Specification - Emergency Lighting"/>
        <s v="HBC-RFI-000035:    Specification - LV Cable Sizes"/>
        <s v="HBC-RFI-000036:    Specification - Main incomers"/>
        <s v="HBC-RFI-000037:    Specification - ladder rack"/>
        <s v="HBC-RFI-000038:    Specification - Tempest filters"/>
        <s v="HBC-RFI-000039:    Specification - Submains / DBs / UPS / Illuminance"/>
        <s v="HBC-RFI-000040:    Specification Secure walls - Penetrations / fixings"/>
        <s v="HBC-RFI-000041:    Specification - Generator"/>
        <s v="HBC-RFI-000042:    Specifications - PIRs or Microwave detectors"/>
        <s v="HBC-RFI-000043:    Specification - Water requirements"/>
        <s v="HBC-RFI-000044:    Specification - LEV System drainage"/>
        <s v="HBC-RFI-000045:    Specification - Existing AHU Control Panels"/>
        <s v="HBC-RFI-000046:    Specification - MTC Regulatory Facility Consideration Report"/>
        <s v="HBC-RFI-000047:    Specification - Acoustic Report"/>
        <s v="HBC-RFI-000048:    Ventilation - Alpha Engineering RFIs"/>
        <s v="HBC-RFI-000049:    Compressed Air  - end user flow rates, pressures &amp; air quality"/>
        <s v="HBC-RFI-000050:    Compressed Air - Pipework alternative"/>
        <s v="HBC-RFI-000051:    Argon - flow rate &amp; frequency of tank replenishment"/>
        <s v="HBC-RFI-000052:    Argon - Flow Meter"/>
        <s v="HBC-RFI-000053:    Argon - pressure for AS3/4"/>
        <s v="HBC-RFI-000054:    Argon - Specific pressure"/>
        <s v="HBC-RFI-000055:    Equipment Service Feeds - Clarification Matrix"/>
        <s v="HBC-RFI-000058:    Existing SVP and Gullies"/>
        <s v="HBC-RFI-000072:    Height for new trunking under crane steel"/>
        <s v="HBC-RFI-000073:    CCTV containment route"/>
        <s v="HBC-RFI-000074:    Natural Gas"/>
        <s v="HBC-RFI-000080:    Alpha - Breakout area containment arrangements 2529-RFI-PROJ-001"/>
        <s v="HBC-RFI-000081:    Alpha - Heat emission from equipment 2529-RFI-PROJ-002"/>
        <s v="HBC-RFI-000082:    Alpha - Filter mist data 2529-RFI-PROJ-003"/>
        <s v="HBC-RFI-000083:    Alpha - VIM furnace vacuum pump data 529-RFI-PROJ-004"/>
        <s v="HBC-RFI-000084:    Alhpa - VIM furnace vacuum pump operation2529-RFI-PROJ-005"/>
        <s v="HBC-RFI-000085:    Alpha - Heat treatment equipment filtration2529-RFI-PROJ-006"/>
        <s v="HBC-RFI-000086:    Alpha - X-ray ozone generation 2529-RFI-PROJ-007"/>
        <s v="HBC-RFI-000087:    Alpha - Carbon analyser LEV requirement 2529-RFI-PROJ-008"/>
        <s v="HBC-RFI-000088:    Alpha - Expectations for ventilation system operation under fire philosophy 2529-RFI-PROJ-009"/>
        <s v="HBC-RFI-000090:    Alpha - Control System Details2612-RFI-PROJ-010"/>
        <s v="HBC-RFI-000092:    Alpha - EC&amp;I Client Side Contacts Request2612-RFI-PROJ-012"/>
        <s v="HBC-RFI-000093:    Alpha - Existing AHU Information – Including Fan Data 2612-RFI-PROJ-013"/>
        <s v="HBC-RFI-000095:    Alpha - Cable Type - Assumptions2612-RFI-PROJ-015"/>
        <s v="HBC-RFI-000096:    Alpha - MTC Tagging Standard – HVAC2612-RFI-PROJ-016"/>
        <s v="HBC-RFI-000097:    Alpha - MTC Tagging Standard – EC&amp;I 2612-RFI-PROJ-017"/>
        <s v="HBC-RFI-000098:    Alpha - Vendor List – Framework / Approved Suppliers 2612-RFI-PROJ-018"/>
        <s v="HBC-RFI-000099:    Alpha - Control Philosophy / BCD Provision2612-RFI-PROJ-019"/>
        <s v="HBC-RFI-000102:    Composite deck quires - floor deck"/>
        <s v="HBC-RFI-000103:    Composite deck - Reinforcement quires"/>
        <s v="HBC-RFI-000104:    Composite deck - detialing quires"/>
        <s v="HBC-RFI-000105:    VIM furnace floor loadings"/>
        <s v="HBC-RFI-000106:    Alpha Engineering - PI Level"/>
        <s v="HBC-RFI-000108:    Mezzanine deck design loads"/>
        <s v="WBL 1919-SUBRFI-000001:    Compressed Air Diversity of Use"/>
        <s v="CPMG-SUBRFI-000021:    CPMG-SUBRFI-000020" u="1"/>
        <s v="AGL-SUBRFI-000001:    Fwd: DNO Approval" u="1"/>
        <s v="AGL-SUBRFI-000002:    Fwd: Missing Supplies" u="1"/>
        <s v="AGL-SUBRFI-000004:    Fwd: Asset Register &amp; Maximum Demand" u="1"/>
        <s v="AGL-SUBRFI-000005:    Fwd: Data Network" u="1"/>
        <s v="CPMG-SUBRFI-000005:    Fwd: CPMG RFI 5- Breakout enclosure" u="1"/>
        <s v="CPMG-SUBRFI-000006:    Fwd: CPMG RFI 6- Building Control" u="1"/>
        <s v="CPMG-SUBRFI-000007:    Fwd: CPMG RFI 7- Revit Models Coordinates" u="1"/>
        <s v="CPMG-SUBRFI-000012:    Fwd: CPMG RFI 12- Siphonic Drainage" u="1"/>
        <s v="CPMG-SUBRFI-000015:    Fwd: CPMG RFI 15- Existing Roof Build Up" u="1"/>
        <s v="CPMG-SUBRFI-000016:    Fwd: CPMG RFI 16- Openings at roof plant deck level on SE &amp; MEP models" u="1"/>
      </sharedItems>
    </cacheField>
    <cacheField name="Originally From" numFmtId="0">
      <sharedItems count="6">
        <s v="Anderson Green Ltd"/>
        <s v="CPMG"/>
        <s v="Edge PS"/>
        <s v="Electract Ltd"/>
        <s v="Henry Brothers"/>
        <s v="William Bailey Ltd"/>
      </sharedItems>
    </cacheField>
    <cacheField name="RFI Description" numFmtId="0">
      <sharedItems containsBlank="1" count="124" longText="1">
        <s v="Has DNO approval been sought for the increased demand on the building? If so please share correspondence."/>
        <s v="Many distribution boards and supplies on the LV schematics can not be located on either the small power drawings or containment drawings, the cable references for the missing supplies are as below: _x000a_- 06_x000a_-09 _x000a_- 22_x000a_ - 23_x000a_ - 28_x000a_ - 29_x000a_ - 35_x000a_ - 36_x000a_ - 37_x000a_ - 50_x000a_ - 51_x000a_Please provide details of the locations of the above equipment."/>
        <s v="In the data section of specification drawing 200SF4-WBS-ZZ-GF-DR-E-61299 is referred to, this drawing is not available on Aconex - please could you provide?"/>
        <s v="Please provide separate copies/files for the asset register and maximum demand spreadsheet, the versions appended to the specification are difficult to read due to low resolution on the document."/>
        <s v="To enable the commencement of the containment sizing, please confirm which data outlets are served from comms 1 network and which are served from the comms 2 network?"/>
        <s v="The schematics and drawings show a DB/WPK/P&amp;L1 and a DB/WPK/P&amp;L3 but no DB/WPK/P&amp;L2? Is this a typing error? If not please advise where DB/WPK/P&amp;L2 is located and what this serves?"/>
        <s v="On the electrical maximum demand sheet the AS03 is given a load of 173kW, but there is no supplies on the schematic or drawings attributed to AS03, and no information relating to AS03 in the asset register. Please can you provide further details on this equipment?"/>
        <s v="There are a number of large isolators on the small power drawings labelled 'allowance for future use', but no connections for this equipment shown on the schematics. Are these isolators to be supplied without a mains connection?_x000a_These isolators are labelled 'FS', this is not in the abbrevatiations list, please confirm."/>
        <s v="Please confirm the strategy for safe shutdown of the facility from an electrical perspective. The following information is required:_x000a_1. Which breakers are to be open and which are to be closed in the event of power outage? i.e. which equipment is required to enable to the safe shutdown of the facility._x000a_2. To programme the phased reconnection of the electrical loads on power failure, we require a list of supplies to be fed by the generator in order of priority. Please can you provide?_x000a_3. To enable the phased reconnection of electrical loads on power failure, we read the specification as requiring motorised breakers on the main switchboard (SB/SF4) only, all other breakers on sub-main panels will be standard, is this correct?"/>
        <s v="Please provide Fire Report/Strategy"/>
        <s v="Please provide Acoustic report"/>
        <s v="We have reviewed the architectural model and it appears there are missing elements which include existing external wall and roof elements missing. Is this model correct or are there additional elements/models?"/>
        <s v="The architectural spec references a MTC security Pack regards to door hardware and security. Can this please be provided?"/>
        <s v="Has the breakout/enclosure design/spec been confirmed?"/>
        <s v="Please provide an update on Building Control and the Full plans submission and if there are any implications to the issued Stage 3 information."/>
        <s v="Architectural and MEP model align to world coordinates. Structural model does not. Architectural and MEP Base point is N/S281555109 E/W 440737415. To GL A1. Please confirm this is what the team will be working to. Structural model will need to be updated to suit."/>
        <s v="Please provide the BEP"/>
        <s v="We understand the rooflight will be infilled with Remtech panels with ductwork penetrations. Is there a tested solution and typical details for fixings and penetrations developed to meet MTC requirements."/>
        <s v="Is there a Document Naming Standards document?"/>
        <s v="Is there a Stage 3 federated model and clash detection report available?"/>
        <s v="The architectural drawings and model reference siphonic drainage at high level. Can you please provide the siphonic drainage model or details."/>
        <s v="We cannot access the SAL and Security Management plan on Aconex, can this be provided please."/>
        <s v="Can you please provide a Project Directory for the job."/>
        <s v="Please confirm existing roof build-up."/>
        <s v="Structural &amp; MEP Models show what seem to be openings at roof plant deck level, see attachments “CPMG RFI 16 attachment 1”, “CPMG RFI 16 Attachment 2” &amp; “CPMG RFI 16 attachment 3” Please clarify if these are proposed openings"/>
        <s v="HB previously issued a pdf of the concrete bunker As you are aware there is a discrepancy of 25mm with current model. Can we please request the revit model to ensure the correct parameters are plotted on our model to include door and door cover and x ray equipment."/>
        <s v="Existing steelwork to grid appears to be missing on structural model but indicated on the pdfs- ca  this be provided please for the revit model."/>
        <s v="Updated design drawings on AS02 were received on 11.03.26 in PDF. It was highlighted the revised model will not be completed during Stage 4. It was requested the setting out of existing Stage 3 model be updated to suit the PDF._x000a_Existing set out of AS 02 1634mm from GL E. 5050mm from existing column flange GL14._x000a_Revised PDF drawing CD57776 General Arrangement set out of AS 02 1720mm from GL E and 4792mm from existing column flange GL14._x000a_Please confirm if existing Stage 3 model of AS 02 is to be set out to revised information. Please see attached."/>
        <s v="The plant deck Stage 3 drawings adjacent to  indicate steps GL 17 and GLB to C indicates steps whereas the model provided indicated ramps. Please confirm which one to proceed with."/>
        <s v="WP1 construction team to respond that this plant deck GA attached for AS02 in RM008A is acceptable and accounted for."/>
        <s v="Please issue the latest Architects Model or DWG’s."/>
        <s v="Please issue the latest Waterman Model or DWG’s."/>
        <s v="Drawing MTCC-WBS-ZZ-GD-DR-ME-50208 - Proposed Enabling Works High Level Sheet 1 of 2_P02. Confirm the route of the 3-compartment trunking. Should this be installed between existing external wall and new inner wall?"/>
        <s v="Drawing MTCC-WBS-ZZ-GD-DR-ME-50208 - Proposed Enabling Works High Level Sheet 1 of 2_P02.  Can the new 3-compartment trunking along gridline 20 be installed between 2.5 &amp; 3.0 metres affl for future access. _x000a__x000a_If the trunking is routed between walls, does it need to be accessible in the future or will it be inaccessible when the inner wall is constructed.  The depth of void needs increasing to allow persons to access with steps if future access is required."/>
        <s v="Drawing MTCC-WBS-ZZ-GD-DR-ME-50208 - Proposed Enabling Works High Level Sheet 1 of 2_P02. Is fire detection required within the new inner wall being created?"/>
        <s v="Please provide confirm MTC process for Electrical Isolations. Do they have a permit system for us to follow?"/>
        <s v="Siemens Fire &amp; Security require 3 to 4 weeks to mobilize from placement of an order. This needs factoring in when programming works. No order has been placed yet."/>
        <s v="Can we have copies of the latest Electrical Condition Report for the area for reference purposes."/>
        <s v="Can we have copies of any previous as installed drawings for reference purposes."/>
        <s v="Confirm we are to work with Waterman P02 drawings for construction purposes."/>
        <s v="Will the new walls be installed as part of the enabling works? We need to understand what we are fixing the perimeter items too and at what stage."/>
        <s v="Can you please provide details on the Incumbent specialist dealing with the existing Siemens Lighting Controls. This will allow us to decommission the existing lighting."/>
        <s v="Enabling - Removal of Lighting System Impacts adjacent Cell"/>
        <s v="Enabling - New Route of Containment Required into Plantroom"/>
        <s v="(Watermans) Strip Out/Enabling Drawings in Revit/dwg format"/>
        <s v="Please could you provide the weight of the equipment/machinery that will be sitting on the new raft slab?"/>
        <s v="Budiling Control stage 3 Plan Assessement"/>
        <s v="Design assumptions clarifications"/>
        <s v="Clarifcations on Enabling works"/>
        <s v="Pile cap size and setting out"/>
        <s v="Utilizing security panel support steels for Mezz support"/>
        <s v="Replace concrete decking for 38mm decking"/>
        <s v="Lidded areas"/>
        <s v="•_x0009_Aspirating pipework design – has this be designed by a specialist? _x000a_•_x0009_Details of retained Aspirating pipework need to be provided / detailed?"/>
        <s v="•_x0009_Security zones drawing has not been provided; please provide this information?"/>
        <s v="•AFDD noted in specification are these required?"/>
        <s v="•Atex zones need to show on the drawings and coordinated on an electrical drawing – can this be provided please."/>
        <s v="•_x0009_High-risk emergency lighting needs to be detailed this is not currently shown – please provided areas requiring High risk lighting?_x000a_•_x0009_High bay emergency lighting has been removed, and integral 3hr liner fittings have been shown, this appears the incorrect method for this large area and if high-risk lighting is required._x000a_•_x0009_Emergency lighting – Please confirm test method? 3 methods shown."/>
        <s v="Items still left in specification despite noted as not required on tracker, assume not needed:_x000a_Sprinker and Fire alarm items. Pagers , Vibrating Pillows."/>
        <s v="• UPS supplies noted in standard cables, Tracker states to be fire rated now, Updated LV schematic show non fire rated, assume these are to be fire rated now?  assume fire survival time taken also in to account and these have been increased by two conductor sizes as stipulated in the BS."/>
        <s v="•_x0009_Generator fuel polishing noted now in Tender query return but not in the updated specification – assumed required?_x000a_Two Generators shown on drawing, assume only one required ?"/>
        <s v="•_x0009_Please provide fire strategy."/>
        <s v="•_x0009_Stage 3 design only accounts for the heating of the air volumes and not space heating demands."/>
        <s v="•_x0009_No cooling load assessment has been carried out at stage 3."/>
        <s v="•_x0009_Alpha Technical Report states “potential cooling coil (served by the new ASHP)” and that it may be necessary to provide cooling coils to the existing supply AHUs via new frost coils &amp; ASHP. _x000a_•_x0009_Alpha Technical Report only states “supplementary heating and cooling of the C0 areas is proposed with new in room AC units as required” - No concept sizes provided_x000a_•_x0009_Alpha Report states X-ray cooling system may be excessive and impact HVAC design – Please provide details."/>
        <s v="No refrigerant specified – Is leak detection, alarms, automatic isolation required?"/>
        <s v="Has plant deck special co-ordination accounting for all equipment and specialist design been carried out? Please provide Combines Services Roof Plant Deck Layouts."/>
        <s v="Drainage Layouts state some areas/equipment still TBC (I.e. AS01) – Please provide information."/>
        <s v="Water Services - Water Schematics provided – Process Water Schedule identifies many items still TBC – Please provide information."/>
        <s v="Specification states “Final tank capacity, booster-set duty requirements, operational sequencing, resilience philosophy, and all associated safety considerations shall be developed and confirmed by the Contractor as part of the detailed design and shall be subject to HAZOP review and approval” Risk to Program / Cost"/>
        <s v="Compressed Air Schematic/specification – Pressures and flow rates still TBC in many instances – Please provide information"/>
        <s v="Specification states “Operational requirements, duty cycle and usage profile of the compressed air system remain unknown at this stage. The Final operation and control strategy shall be confirmed and fully reviewed at the next design stage once end-user input and equipment specific data becomes available” Risk to programme / cost. Please provide updated information."/>
        <s v="Emergency Lighting spec is all over the place - manual key switch, self test, monitored, central battery etc."/>
        <s v="Cable sizes for main LV cables are massively undersized"/>
        <s v="Main Incomers on Main Switchboard are incorrect and rated at 4000A. HV Transformers are shown as 3000kVA but a side note says this is to be 1500kVA."/>
        <s v="Ladder rack still identified going up the external side of the building."/>
        <s v="Tempest filters shown at 1200A but fuse protection from main panel are shown as 1250A. This is conflicted and we would need to increase the filter to the 1600A version. For example, the 1200A version is £40k and the 1600A version is £110k."/>
        <s v="1. Spec says essential submains should be FP600, no FP600 submains shown on schematics - only SWA._x000a_2. Spec mentions both 20% and 25% spare on distribution boards. Which is true?_x000a_3. Clarification on UPS size required 175kW N+1 or 200kW N? Former has much more resilience, latter is more cost effective and still provides resilience, albeit limited._x000a_4. Illuminance uniformity levels contradict each other in spec, 0.4/0.6 in table and 0.8 in body of text."/>
        <s v="1. MTC standard details for penetrations through walls?_x000a_2. Details of secure wall build ups for fixings / penetrations etc."/>
        <s v="Generator runtime / autonomy?"/>
        <s v="Microwave detectors are shown on lighting drawings, PIR's in spec? PIR's would be more appropriate."/>
        <s v="The daily operation &amp; quantity of water has not been determined by the client team. Can this be qualified?"/>
        <s v="Drainage type for the Lev System to be used is referenced as being TBC in Waterman Stage 3 Specification, can this be confirmed?"/>
        <s v="The existing controls panel can be reused (if viable) to form the new AHU control panels, as instructed by Waterman Stage 3 Specification. Can details of the existing panels be provided?"/>
        <s v="Reference is made in Waterman Stage 3 Specification to 'MTC Regulatory Facility Consideration Report'. Can this document be provided?"/>
        <s v="Is an acoustic report for the project available for use? This will be essential for plant selections."/>
        <s v="Attached set of Alpha Engineering RFIs were included within the Stage 3 pack which are still listed outstanding. Can their status be clarified"/>
        <s v="Clarification required of flow rates, pressures &amp; air quality of all proposed end user equipment. A number of TBCs are noted on the Waterman schematic dwg."/>
        <s v="Pipework specified as TESEO, we understand this is no longer available in the UK &amp; would therefore propose that an aluminium alternative such as Trans Air or similar be used."/>
        <s v="Clarification required for Argon flow rate &amp; frequency of tank replenishment. This will inform the finalised design."/>
        <s v="Is there a specification of flow meter required, currently not detailed in Stage 3 proposal."/>
        <s v="Confirmation required of the pressure for AS3/4 (RM034 Swarf Management), shown as TBC."/>
        <s v="Clarity needed on reference to +16 Bar max. working pressure, can a specific pressure not be confirmed?"/>
        <s v="Please can the attached matrix be filled in by MTC / Waterman clarifying flow rates / pressures etc."/>
        <s v="Existing SVP and Gullies"/>
        <s v="Height for new trunking running under the existing crane steel, This shows on the watermans drawings as a continuation of existing trunking. Please confirm this is acceptable."/>
        <s v="Route of new containment for existing CCTV, Electract have proposed to conduit from existing locations to sf4 plant area data cabinets, This was suggested by JDC networks and Siemens who are MTC incumbents. Please confrim this is acceptable"/>
        <s v="Natural Gas, WB need to purge and remove the pipe work within SF4 and in the SF4 Plant Deck. Can WB purge and remove this pipework? WB will need support from facility’s in regards to Drawings for the feed of the Natural Gas, shutoff points, purge points and effects to other Cells. Works would like to commence WC23/03 please cofirm asa built infomation."/>
        <s v="Alpha - Breakout area containment arrangements 2529-RFI-PROJ-001"/>
        <s v="Alpha - Heat emission from equipment 2529-RFI-PROJ-002"/>
        <s v="Alpha - Filter mist data 2529-RFI-PROJ-003"/>
        <s v="Alpha - VIM furnace vacuum pump data 529-RFI-PROJ-004"/>
        <s v="Alhpa - VIM furnace vacuum pump operation2529-RFI-PROJ-005"/>
        <s v="Alpha - Heat treatment equipment filtration2529-RFI-PROJ-006"/>
        <s v="Alpha - X-ray ozone generation 2529-RFI-PROJ-007"/>
        <s v="Alpha - Carbon analyser LEV requirement 2529-RFI-PROJ-008"/>
        <s v="Alpha - Expectations for ventilation system operation under fire philosophy 2529-RFI-PROJ-009"/>
        <s v="Alpha - Control System Details2612-RFI-PROJ-010"/>
        <s v="Alpha - EC&amp;I Client Side Contacts Request2612-RFI-PROJ-012"/>
        <s v="Alpha - Existing AHU Information – Including Fan Data 2612-RFI-PROJ-013"/>
        <s v="Alpha - Cable Type - Assumptions2612-RFI-PROJ-015"/>
        <s v="Alpha - MTC Tagging Standard – HVAC2612-RFI-PROJ-016"/>
        <s v="Alpha - MTC Tagging Standard – EC&amp;I 2612-RFI-PROJ-017"/>
        <s v="Alpha - Vendor List – Framework / Approved Suppliers 2612-RFI-PROJ-018"/>
        <s v="Alpha - Control Philosophy / BCD Provision2612-RFI-PROJ-019"/>
        <s v="Composite deck quires - floor deck"/>
        <s v="Composite deck - Reinforcement quires"/>
        <s v="Composite deck - detialing quires"/>
        <s v="VIM furnace floor loadings"/>
        <s v="Alpha Engineering - PI Level"/>
        <s v="Mezzanine deck design loads"/>
        <s v="Can it be confirmed if there is a known level of 'diversity of usage' factor (can be expressed as a percentile) that can be applied to the compressed air system? This will inform the physical sizing of the system &amp; ensure that it is best sized to suit the facility's true/actual anticipated operation &amp; usage patterns"/>
        <s v="FAO HB / Remtech / William Bailey_x000a__x000a_Further to the services penetration meeting dated 23.03.26. please see attached discussed detail. We would recommend retaining/creating the upstand and panel position as attached in lieu of the previous proposed panel below. This allows continuity for thermal performance, provides the necessary fire performance and does not create the pit which would have drainage and CDM/cleaning and maintenance issues." u="1"/>
        <m u="1"/>
      </sharedItems>
    </cacheField>
    <cacheField name="Discipline(s)" numFmtId="0">
      <sharedItems containsBlank="1" count="15">
        <s v="MTC / Edge"/>
        <s v="MEP (Waterman)"/>
        <m/>
        <s v="Architectural (Fairhursts)"/>
        <s v="Structural (Waterman)"/>
        <s v="Structural (Hexa)"/>
        <s v="Civil"/>
        <s v="Structural"/>
        <s v="Architectural"/>
        <s v="Mechanical"/>
        <s v="Architectural (CPMG)" u="1"/>
        <s v="Electrical" u="1"/>
        <s v="Electrical (ELT)" u="1"/>
        <s v="Mechanical (WBL)" u="1"/>
        <s v="Civil (Hexa)" u="1"/>
      </sharedItems>
    </cacheField>
    <cacheField name="Date RFI Sent" numFmtId="0">
      <sharedItems containsSemiMixedTypes="0" containsNonDate="0" containsDate="1" containsString="0" minDate="2026-01-27T11:29:00" maxDate="2026-03-27T11:04:00" count="127">
        <d v="2026-03-04T15:26:00"/>
        <d v="2026-03-04T15:27:00"/>
        <d v="2026-03-04T15:28:00"/>
        <d v="2026-03-05T08:09:00"/>
        <d v="2026-03-10T15:55:00"/>
        <d v="2026-03-10T15:56:00"/>
        <d v="2026-03-24T16:57:00"/>
        <d v="2026-02-25T10:35:00"/>
        <d v="2026-02-25T10:51:00"/>
        <d v="2026-02-25T10:53:00"/>
        <d v="2026-02-25T10:54:00"/>
        <d v="2026-02-25T10:55:00"/>
        <d v="2026-02-25T10:57:00"/>
        <d v="2026-02-25T11:01:00"/>
        <d v="2026-02-25T11:02:00"/>
        <d v="2026-02-25T11:03:00"/>
        <d v="2026-02-25T11:04:00"/>
        <d v="2026-02-25T11:05:00"/>
        <d v="2026-02-25T11:09:00"/>
        <d v="2026-02-25T11:14:00"/>
        <d v="2026-02-25T14:54:00"/>
        <d v="2026-02-26T11:24:00"/>
        <d v="2026-02-26T15:44:00"/>
        <d v="2026-03-17T17:51:00"/>
        <d v="2026-03-17T17:53:00"/>
        <d v="2026-03-18T09:35:00"/>
        <d v="2026-03-20T14:19:00"/>
        <d v="2026-03-17T13:37:00"/>
        <d v="2026-01-27T11:29:00"/>
        <d v="2026-01-27T11:32:00"/>
        <d v="2026-01-27T11:59:00"/>
        <d v="2026-01-27T12:00:00"/>
        <d v="2026-01-27T12:02:00"/>
        <d v="2026-01-27T12:03:00"/>
        <d v="2026-01-27T12:04:00"/>
        <d v="2026-01-27T12:05:00"/>
        <d v="2026-01-27T12:06:00"/>
        <d v="2026-01-27T12:07:00"/>
        <d v="2026-02-19T13:25:00"/>
        <d v="2026-03-18T08:22:00"/>
        <d v="2026-03-18T08:27:00"/>
        <d v="2026-03-26T15:30:00"/>
        <d v="2026-02-02T08:33:00"/>
        <d v="2026-02-13T15:10:00"/>
        <d v="2026-02-19T16:44:00"/>
        <d v="2026-02-20T09:57:00"/>
        <d v="2026-02-24T14:40:00"/>
        <d v="2026-02-26T07:57:00"/>
        <d v="2026-02-26T08:03:00"/>
        <d v="2026-02-26T08:06:00"/>
        <d v="2026-02-26T08:42:00"/>
        <d v="2026-02-26T08:45:00"/>
        <d v="2026-02-26T08:48:00"/>
        <d v="2026-02-26T08:51:00"/>
        <d v="2026-02-26T08:55:00"/>
        <d v="2026-02-26T08:57:00"/>
        <d v="2026-02-26T08:59:00"/>
        <d v="2026-02-26T09:02:00"/>
        <d v="2026-02-26T09:10:00"/>
        <d v="2026-02-26T09:14:00"/>
        <d v="2026-02-26T09:17:00"/>
        <d v="2026-02-26T09:48:00"/>
        <d v="2026-02-26T10:11:00"/>
        <d v="2026-02-26T10:12:00"/>
        <d v="2026-02-26T10:21:00"/>
        <d v="2026-02-26T10:31:00"/>
        <d v="2026-02-26T10:39:00"/>
        <d v="2026-02-26T10:48:00"/>
        <d v="2026-02-26T10:50:00"/>
        <d v="2026-02-26T10:53:00"/>
        <d v="2026-02-26T14:35:00"/>
        <d v="2026-02-26T14:37:00"/>
        <d v="2026-02-26T14:43:00"/>
        <d v="2026-02-26T14:56:00"/>
        <d v="2026-02-26T14:59:00"/>
        <d v="2026-02-26T15:17:00"/>
        <d v="2026-02-26T15:43:00"/>
        <d v="2026-02-26T15:48:00"/>
        <d v="2026-02-26T15:52:00"/>
        <d v="2026-02-26T16:23:00"/>
        <d v="2026-02-26T16:25:00"/>
        <d v="2026-02-26T16:29:00"/>
        <d v="2026-02-26T16:36:00"/>
        <d v="2026-02-26T16:38:00"/>
        <d v="2026-02-26T16:44:00"/>
        <d v="2026-02-26T16:50:00"/>
        <d v="2026-02-26T16:54:00"/>
        <d v="2026-02-26T16:56:00"/>
        <d v="2026-02-26T17:00:00"/>
        <d v="2026-02-26T17:03:00"/>
        <d v="2026-02-27T13:01:00"/>
        <d v="2026-03-02T13:49:00"/>
        <d v="2026-03-12T15:28:00"/>
        <d v="2026-03-12T15:34:00"/>
        <d v="2026-03-12T15:38:00"/>
        <d v="2026-03-20T13:08:00"/>
        <d v="2026-03-20T13:13:00"/>
        <d v="2026-03-20T13:15:00"/>
        <d v="2026-03-20T13:17:00"/>
        <d v="2026-03-20T13:19:00"/>
        <d v="2026-03-20T13:22:00"/>
        <d v="2026-03-20T13:26:00"/>
        <d v="2026-03-20T13:29:00"/>
        <d v="2026-03-20T13:32:00"/>
        <d v="2026-03-20T15:21:00"/>
        <d v="2026-03-20T15:28:00"/>
        <d v="2026-03-20T15:30:00"/>
        <d v="2026-03-20T15:36:00"/>
        <d v="2026-03-20T15:41:00"/>
        <d v="2026-03-20T15:44:00"/>
        <d v="2026-03-20T15:47:00"/>
        <d v="2026-03-20T15:55:00"/>
        <d v="2026-03-23T10:09:00"/>
        <d v="2026-03-23T10:11:00"/>
        <d v="2026-03-23T10:12:00"/>
        <d v="2026-03-23T16:57:00"/>
        <d v="2026-03-24T15:43:00"/>
        <d v="2026-03-25T09:08:00"/>
        <d v="2026-03-27T11:04:00"/>
        <d v="2026-03-24T15:13:00" u="1"/>
        <d v="2026-03-11T15:46:00" u="1"/>
        <d v="2026-03-11T15:49:00" u="1"/>
        <d v="2026-03-11T15:51:00" u="1"/>
        <d v="2026-03-11T15:39:00" u="1"/>
        <d v="2026-03-11T15:40:00" u="1"/>
        <d v="2026-03-11T15:44:00" u="1"/>
        <d v="2026-03-11T15:45:00" u="1"/>
      </sharedItems>
      <fieldGroup par="18"/>
    </cacheField>
    <cacheField name="RFI Response" numFmtId="0">
      <sharedItems containsBlank="1" count="85" longText="1">
        <s v="Please see the attached the DNO quotation for upgrade"/>
        <s v="Isolator for Cable Ref 6 - Device required between Gridlines A20-E20 to be sited to suit specialist equipment suppliers requirements._x000a_Isolator for Cable Ref 9 - Device shown between Gridlines E14-F14 to be sited to suit specialist equipment suppliers requirements._x000a_Isolator for Cable Refs 22/23 - 1No. Device shown between Gridlines K20-L20 to serve 1No. AS08 to be sited to suit specialist equipment suppliers requirements._x000a_Isolators for Cable Refs 28/29 - 2No. Devices (AS16/01 &amp; AS16/02) shown between Gridlines G20-H20 to be sited to suit specialist equipment suppliers requirements._x000a_Isolators for Cable Refs 35/36 - Devices required between Gridlines D14-G14 to be sited to suit specialist equipment suppliers requirements._x000a_DB for Cable Ref 37 - Dis Board to be sited adjacent to UPS_x000a_Isolators for Cable Refs 50/51 - Devices no longer required for Stage 3 design."/>
        <s v="Please see attached from tender (not part of stage 3 pack)"/>
        <s v="Copy of the Asset register as included within specification, Contractor to refer to latest MTC/Client information for equipment details to suit Stage 4 design requirements._x000a_Stage 3 Preliminary load assessment for information purposes, Contractor to develop their own as part of Stage 4 design works."/>
        <s v="Drawing MTC-SF4-DWG-10001 - SF4 Baseline Layout - B4.0 - Sheet 2of2 was used as the basis for the Stage 3 comms design. This drawing shall require revisiting with the MTC/Client's IT specialist as part of the Stage 4 design works to ensure comms outlet provisions are correctly captured."/>
        <s v="The reference for Distribution Board DB/WPK/P&amp;L2 was included within an earlier design iteration. The Board this reference used no longer features within the scheme."/>
        <s v="At the time of production of the preliminary Stage 3 Electrical Load Assessment, the requirements for the Breakout enclosure were still to be defined between gridlines C14-B18, therefore an allowance was used that can now be omitted from the Stage 4 design and the updated requirements used for this area instead."/>
        <s v="The 3No. Isolators between Gridlines T20-P20 were shown to provide future flexibility to the space at the time of producing the Stage 3 information, the MTC were unable to confirm if they were required. If the MTC/Client confirm they are required than they should be provided with a suitably rated LV connection back to SMP1. The abbreviation FS can be ignored, just Fuse Size, for which the proposed ratings are shown."/>
        <m/>
        <s v="Please see response from MTC:_x000a_Fire Strategy will form part of the HAZZOP which is being developed by MTC representative. Fire Alarm Specialist contractor to develop strategy as part of RIBA Stage 4."/>
        <s v="An acoustic report for this project has not been produced"/>
        <s v="Revit model attached"/>
        <s v="Please refer to the structural information submitted"/>
        <s v="Plan checking fee paid by MTC and no further response from WBC"/>
        <s v="Watermans to update Revit Model"/>
        <s v="There is no BEP please see file naming document and SAL"/>
        <s v="Please see correspondence and standard details from Remtech"/>
        <s v="Please see attached document that clarifies naming. _x000a_Key points:_x000a_- Project code &amp; name : please use 'MTP' and no other information (i.e. no address), this helps to anonymise the project_x000a_- All doc number codes as standard_x000a_-Put security classification in filename"/>
        <s v="There will be no federated model due to the sensitivity of the project"/>
        <s v="The architectural model should contain the zone for the siphonic drainage."/>
        <s v="PSA all information, the SAL will be included within the consultant appointment. If you have any issues please let us know"/>
        <s v="Please see attached which is in doc register"/>
        <s v="Please refer to existing Revit model recently provided and Stage 3 drawings"/>
        <s v="If the openings show trimming steel and services passing through they are required"/>
        <s v="Please see attached"/>
        <s v="The grid will be on the Revit model attached to the response to RFI CPMG RFI 17- Concrete Bunker"/>
        <s v="Please see attached screenshot for setting out"/>
        <s v="The ramp is shown on the existing Building 200 model and never constructed. Please proceed with the stairs shown on the current information issued. _x000a__x000a_Moving forward, please utilised the issued drawings for reference as these will reflect the current design information."/>
        <s v="This has now been issued as part of Stage 3 pack."/>
        <s v="Trunking for the services that sit behind the secure line must been run between the Remtech panel and the existing wall. these must not be brought back inside the secure line."/>
        <s v="Can we have an update on the requested please"/>
        <s v="Yes"/>
        <s v="Contact details for Siemens_x000a__x000a_Aaron Chilver_x000a__x000a_Siemens plc_x000a_RC-GB SI RSS-EMEA NB_x000a_Mobile: +44 7921245829_x000a_mailto:aaron.chilver@siemens.com"/>
        <s v="See below loading. The setting out can be found on within the architectural pack."/>
        <s v="Please see attached response from Warwick DC regarding the building regs application. Please note the inspection requirements in the letter to be picked up by HB."/>
        <s v="MTC Initial MEP Design Review - response"/>
        <s v="See below response"/>
        <s v="see response below."/>
        <s v="Please utilise concrete and not the 38mm decking"/>
        <s v="Lidded areas to be as drawn on the Fairhurst drawings"/>
        <s v="WBS - RIBA Stage 3 indication of design intent by WBS in house with input from Siemens (Aaron Chivers) who is familiar with the installation. Design based upon the installation of new pipework throughout. Should Contractor chose to retain any of the existing then validation report required for review by the MTC"/>
        <s v="This has now been provided by Edge 24.02.2026 and issued out 25.02.2026"/>
        <s v="WBS - For this building type AFDD is a recommendation only for single phase outlets not exceeding 32A. To be discussed with the MTC, the opinion of WBS is that this is not required for this building."/>
        <s v="WBS - To be addressed as part of RIBA Stage 4 with MTC. This action is currently with the MTC/client to advise"/>
        <s v="WBS - High risk lighting areas are deemed to be the main workshop area._x000a_RIBA Stage 3 indication of design intent. Final design of luminaires and final selection to be agreed with MTC/Fire Officer as part of RIBA Stage 4 design works._x000a_Emergency lighting testing method to be selected to suit the solution for how the emergency lighting to be provided."/>
        <s v="WBS - Confirmed not required."/>
        <s v="WBS - Cables for UPS supplies to be fire rated."/>
        <s v="WBS - Fuel polishing required for generator fuel_x000a_1No. 1500kVA generator set only required."/>
        <s v="Fire Strategy will form part of the HAZZOP which is being developed by MTC representative. Fire Alarm Specialist contractor to develop strategy as part of RIBA Stage 4."/>
        <s v="Fabric and infiltration heat losses haven't been calculated for this RIBA3 issue but there is an intention to take this into account during RIBA4."/>
        <s v="Refer to Alpha RFI ref 40. Cooling load for equipment and associated operating diversity is still subject to RFI. The use of the existing AHUs provides a maximum cooling capacity based on a given maximum flow rate and an optimally maximum supply to room delta t. MTC will need to advise whether this is sufficient for the expected individual equipment loads / operating diversity. Solar and transmittance loads have not been taken account of but are expected to be minimal due to the total lack of glazing."/>
        <s v="There is space in the existing AHUs to accommodate cooling coils. The existing frost coils are LPHW. _x000a__x000a_There has been no design development carried out for supplementary cooling / heating of the C0 areas. The RIBA3 G.A.s show the use of air to air reversible heat pumps. This has subsequently been deemed inappropriate due to the need for third parties to access the secure facility to carry out maintenance activities. The expectation is that the RIBA4 design will change this arrangement to include zoned air supply with cooling / re-heat coils located outside of the secure area._x000a__x000a_The cooling  load for the X-ray equipment has not yet been identified but is expected to be captured during RIBA4."/>
        <s v="WBS have included provision for the O₂ depletion detection system within the secure facility, as shown on the layouts, mainly shown on 200SF4-WBS-01-GF-DR-M-54201 (P06) and detailed in the specification. _x000a_The system provides the monitoring and alarm strategy associated with oxygen displacement risks within SF4, noting the gas detection panel located in the entrance lobby and sounder / beacons located within the SF4 facilities.  _x000a__x000a_Following this HAZOP, particularly under fault, purge, emergency shutdown or loss of power scenarios has not yet been confirmed by the client team.  Any additional design measures / changes to the emergency Argon strategy or enhanced local alarms, can be incorporated into the RIBA Stage 4 contractor design package._x000a_At this stage, therefore, the design intent is:_x000a_• Stage 3 (WBS): O₂ depletion system included and shown on layouts._x000a_• Stage 4 (Contractor): To be defined and incorporated if identified by the HAZOP"/>
        <s v="Yes - Coordinated plan drawings to be issued by WBS on Monday 23rd c/w Issue sheet."/>
        <s v="WBS - To be develop by HB - Note should reference AS02 as drainage tanks beneath platform. Closed"/>
        <s v="WBS - Process Tanks and primary pumps sizes as detailed on layout / schedules. HB to take forward and confirm as part of  RIBA Stage 4 design works"/>
        <s v="RIBA Stage 3 satisfies design intent. Process Tanks and primary pumps sizes detailed on layout / schedules. Operating pressures/flows to be coordinated in Stage 4 once EM data is provided."/>
        <s v="TBC items depend on final machine data. Stage 3 satisfies design intent; final operating pressures/flows to be coordinated in Stage 4 once EM data is provided"/>
        <s v="WBS - The stage 3 specification offers opportunity for design development during Stage 4. Taking into account minimising routine maintenance into the secure areas."/>
        <s v="WBS - RIBA Stage 3 indication of design intent. Final selection of all cabling including sizes to be developed as part of RIBA Stage 4 design for review."/>
        <s v="WBS - RIBA Stage 3 depicts incorrectly sized protective device. Stage 3 design based upon 2No. 1.5MVA transformers. Stage 4 design to validate the load assessment and develop as part of their Stage 4 design."/>
        <s v="WBS - Revision P07 of the layout indicates the ladder containment to be internal and should be the basis for the Stage 4 design."/>
        <s v="WBS - Stage 4 Designers to verify and validate loadings and develop as part of their Stage 4 design. Please also note 1200A rated fuse is available to match the sizes of the Power filters shown."/>
        <s v="1. WBS - No essential supplies, generator backed provision only for safe shutdown_x000a_2. WBS - Stage 4 design to provide Distribution Boards with 25% spare capacity._x000a_3. WBS - 175kW N+1 to be provided._x000a_4. WBS - values of 0.4/0.6 in table to be used."/>
        <s v="1. Standard penetration details are included at Stage 3 Package; Contractor must adapt these for final construction as part of Stage 4 design. Taking into account the security accreditation required to meet NPSA accreditation._x000a_2. Standard details are provided by the wall panelling manufacturer to ensure compliance to NPSA requirements. Typical details on structural detail drawings."/>
        <s v="WBS - RIBA Stage 3 stipulates 12 hours +10%. Final generator runtime requirements to be confirmed with MTC."/>
        <s v="WBS - RIBA Stage 3 indication of design intent. Final selection of detectors to be developed as part of RIBA Stage 4 design in conjunction with MTC. Note the selection of any devices needs to meet with the requirements of STAMP accreditation."/>
        <s v="Please Clarify ? Drainage type for LEV equipment will be confirmed following final equipment specifications at Stage 4."/>
        <s v="Could you also please confirm whether Henry Brothers has engaged with the incumbent BMS contractor, Electrack (Phil Randle), for input? His understanding of the existing control architecture and integration requirements will be valuable in assessing any dependencies or constraints on the proposed modifications."/>
        <s v="This reference is not a required deliverable and can be ignored."/>
        <s v="These were RFIs raised by Alpha Engineering with the expectation that any resolution would be carried into RIBA4."/>
        <s v="CA allowances have been made on main plant, refer to quotation as detailed within specification on flow rate,  pressure and air quality. Stage 4 Contractor must obtain final data and coordinate drops, pressures &amp; filtration classes."/>
        <s v="Alternatives may be proposed via formal Technical Submission during Stage 4, subject to equal‑or‑approved compliance."/>
        <s v="Confirmed as TBC pending EM operational cycles. Final values will be validated during Stage 4 HAZOP and EM engagement"/>
        <s v="Refer to Mechanical Specification. 6.6.3 and page 67.  Both Emergency and high pressure argon system metered. To be determine as part of RIBA Stage 4 works."/>
        <s v="Design intent provided. Final pressure requirements for AS03/AS04 will be determined following EM confirmation."/>
        <s v="Argon system based on 16barg Working Pressure (15.5barg Nominal) to suit AS05.  Stage 4 Contractor must obtain final equipment information to form part of RIBA Stage 4 design works."/>
        <s v="The clarification matrix provided appears to simply replicate the WBS Stage 3 placeholder values. In line with the SF4 Mechanical Specification, all flow rates, pressures, service demands and equipment consumption values must be confirmed, validated and populated by the Contractor as part of their coordinated Stage 4 design development._x000a_HB is therefore required to populate the matrix based on:_x000a__x000a_their coordinated Stage 4 mechanical and specialist gas design,_x000a_confirmed equipment requirements from the end user, and_x000a_all validation checks undertaken during their Stage 4 design process._x000a__x000a_Once HB have populated the clarification matrix with their verified design inputs, WBS/MTC will review and provide comment/acceptance as part of the Stage 4 design review process."/>
        <s v="SF4 Works - Above Ground Drainage. The SVP located on Grid Line U20 is required to be extended to suit the proposed drainage arrangement. All internal drainage from the cell is directed to the IBC via a pumped solution in accordance with the Stage 3 drainage strategy._x000a_As the Stage 4 design development sits with the contractor, HB shall validate the Stage 3 assumptions and confirm whether the SVPs on both GL B20 and GL K20 remain necessary, or whether either can be removed or capped if not required as part of the final drainage and venting strategy."/>
        <s v="Proposal to run new trunking as a continuation of the existing trunking, noted and accepted."/>
        <s v="MTC to advise if acceptable from a Security perspective."/>
        <s v="This query refer to ARC Clearance - Phase 2 Works Not SF4 works.  _x000a__x000a_As Defined in the strip out responsibilities, please note:_x000a__x000a_The contractor is responsible for the full validation, purging, isolation and removal of all redundant Natural Gas pipework forming part of the Phase 2 works, to be carried out by a competent Gas Safe subcontractor. All existing gas installations must be site validated prior to commencement, including tracing of pipework, confirming isolation points and identifying any shared feeds to other cells. MTC will provide any available historic as installed information; however, this cannot replace the requirement for full contractor validation. _x000a__x000a_No removal works may proceed until all isolations have been confirmed through the Permit to Work process. _x000a__x000a_WBS has yet to receive HB's own Stage 4 strip-out drawings and set of RAMS for approval by the MTC representatives prior to commencing the strip-out works."/>
        <s v="see message below"/>
        <s v="The ramp is shown on the existing Building 200 model and never constructed. Please proceed with the stairs shown on the current information issued. _x000a__x000a_Moving forward, please utilised the issued drawings for reference as these will reflect the current design information._x000a__x000a_Kind regards,_x000a_Rachel" u="1"/>
        <s v="Hi Stuart,_x000a_I believe Waterman Structures have responded to the RFI._x000a__x000a_Thanks_x000a__x000a_Ev" u="1"/>
      </sharedItems>
    </cacheField>
    <cacheField name="Date RFI Responded" numFmtId="0">
      <sharedItems containsNonDate="0" containsDate="1" containsString="0" containsBlank="1" minDate="2026-02-19T12:47:00" maxDate="2026-03-27T13:48:00" count="102">
        <d v="2026-03-13T08:48:00"/>
        <d v="2026-03-16T08:06:00"/>
        <d v="2026-03-11T15:50:00"/>
        <d v="2026-03-16T07:14:00"/>
        <d v="2026-03-16T07:47:00"/>
        <d v="2026-03-16T07:48:00"/>
        <d v="2026-03-16T07:54:00"/>
        <m/>
        <d v="2026-03-02T10:04:00"/>
        <d v="2026-03-11T16:00:00"/>
        <d v="2026-03-12T14:29:00"/>
        <d v="2026-03-13T09:13:00"/>
        <d v="2026-03-12T14:32:00"/>
        <d v="2026-03-12T14:30:00"/>
        <d v="2026-03-11T15:41:00"/>
        <d v="2026-03-12T17:24:00"/>
        <d v="2026-03-11T07:36:00"/>
        <d v="2026-03-11T15:43:00"/>
        <d v="2026-03-13T12:32:00"/>
        <d v="2026-03-12T17:21:00"/>
        <d v="2026-03-02T10:14:00"/>
        <d v="2026-03-12T14:28:00"/>
        <d v="2026-03-12T14:27:00"/>
        <d v="2026-03-19T16:12:00"/>
        <d v="2026-03-19T12:21:00"/>
        <d v="2026-03-19T12:01:00"/>
        <d v="2026-03-23T15:41:00"/>
        <d v="2026-02-19T12:47:00"/>
        <d v="2026-02-19T12:48:00"/>
        <d v="2026-03-17T13:50:00"/>
        <d v="2026-03-17T07:52:00"/>
        <d v="2026-03-11T15:35:00"/>
        <d v="2026-02-25T09:13:00"/>
        <d v="2026-02-25T09:07:00"/>
        <d v="2026-03-27T13:48:00"/>
        <d v="2026-02-26T09:39:00"/>
        <d v="2026-02-24T15:23:00"/>
        <d v="2026-02-26T10:41:00"/>
        <d v="2026-02-26T11:51:00"/>
        <d v="2026-03-23T16:48:00"/>
        <d v="2026-02-26T08:43:00"/>
        <d v="2026-02-26T08:48:00"/>
        <d v="2026-02-26T08:50:00"/>
        <d v="2026-02-26T08:53:00"/>
        <d v="2026-02-26T08:56:00"/>
        <d v="2026-02-26T08:58:00"/>
        <d v="2026-02-26T09:00:00"/>
        <d v="2026-02-26T09:03:00"/>
        <d v="2026-02-26T09:11:00"/>
        <d v="2026-02-26T09:15:00"/>
        <d v="2026-02-26T09:20:00"/>
        <d v="2026-02-26T10:08:00"/>
        <d v="2026-03-17T14:14:00"/>
        <d v="2026-02-26T10:14:00"/>
        <d v="2026-02-26T10:22:00"/>
        <d v="2026-02-26T10:32:00"/>
        <d v="2026-02-26T10:45:00"/>
        <d v="2026-02-26T10:49:00"/>
        <d v="2026-02-26T10:51:00"/>
        <d v="2026-02-26T10:54:00"/>
        <d v="2026-02-26T14:35:00"/>
        <d v="2026-02-26T14:37:00"/>
        <d v="2026-02-26T14:44:00"/>
        <d v="2026-02-26T14:56:00"/>
        <d v="2026-02-26T15:00:00"/>
        <d v="2026-02-26T15:19:00"/>
        <d v="2026-02-26T15:46:00"/>
        <d v="2026-02-26T15:49:00"/>
        <d v="2026-02-26T15:53:00"/>
        <d v="2026-02-26T16:24:00"/>
        <d v="2026-03-17T12:30:00"/>
        <d v="2026-03-17T17:06:00"/>
        <d v="2026-02-26T16:43:00"/>
        <d v="2026-02-26T16:49:00"/>
        <d v="2026-02-26T16:50:00"/>
        <d v="2026-02-26T16:55:00"/>
        <d v="2026-02-26T16:58:00"/>
        <d v="2026-02-26T17:01:00"/>
        <d v="2026-02-26T17:03:00"/>
        <d v="2026-03-19T16:01:00"/>
        <d v="2026-03-17T14:05:00"/>
        <d v="2026-03-18T16:22:00"/>
        <d v="2026-03-13T16:07:00"/>
        <d v="2026-03-17T13:52:00"/>
        <d v="2026-03-20T15:30:00"/>
        <d v="2026-03-26T10:36:00" u="1"/>
        <d v="2026-03-23T10:23:00" u="1"/>
        <d v="2026-02-26T10:37:00" u="1"/>
        <d v="2026-03-17T11:38:00" u="1"/>
        <d v="2026-03-11T12:24:00" u="1"/>
        <d v="2026-03-13T13:54:00" u="1"/>
        <d v="2026-03-13T14:18:00" u="1"/>
        <d v="2026-03-13T14:29:00" u="1"/>
        <d v="2026-03-13T14:42:00" u="1"/>
        <d v="2026-03-12T10:14:00" u="1"/>
        <d v="2026-03-12T16:32:00" u="1"/>
        <d v="2026-03-11T17:08:00" u="1"/>
        <d v="2026-03-11T17:18:00" u="1"/>
        <d v="2026-03-11T17:15:00" u="1"/>
        <d v="2026-03-11T17:13:00" u="1"/>
        <d v="2026-03-11T17:10:00" u="1"/>
        <d v="2026-03-03T09:19:00" u="1"/>
      </sharedItems>
    </cacheField>
    <cacheField name="Latest Correspondence" numFmtId="0">
      <sharedItems count="237">
        <s v="HBC-RTSCRFI-000023"/>
        <s v="HBC-RTSCRFI-000032"/>
        <s v="HBC-RTSCRFI-000010"/>
        <s v="HBC-RTSCRFI-000027"/>
        <s v="HBC-RTSCRFI-000028"/>
        <s v="HBC-RTSCRFI-000029"/>
        <s v="HBC-RTSCRFI-000030"/>
        <s v="HBC-RTSCRFI-000031"/>
        <s v="HBC-GC-000057"/>
        <s v="HBC-RTSCRFI-000004"/>
        <s v="FDG-RTRFI-000004"/>
        <s v="HBC-RTSCRFI-000017"/>
        <s v="HBC-GC-000023"/>
        <s v="HBC-RTSCRFI-000024"/>
        <s v="HBC-RTSCRFI-000020"/>
        <s v="HBC-GC-000036"/>
        <s v="HBC-RTSCRFI-000008"/>
        <s v="HBC-RTSCRFI-000022"/>
        <s v="HBC-RTSCRFI-000006"/>
        <s v="HBC-RTSCRFI-000009"/>
        <s v="HBC-RTSCRFI-000026"/>
        <s v="HBC-RTSCRFI-000021"/>
        <s v="HBC-RTSCRFI-000005"/>
        <s v="HBC-GC-000029"/>
        <s v="HBC-GC-000031"/>
        <s v="CPMG-GC-000002"/>
        <s v="FDG-GC-000006"/>
        <s v="CPMG-GC-000004"/>
        <s v="HBC-RTSCRFI-000040"/>
        <s v="HBC-RFI-000075"/>
        <s v="HBC-RTSCRFI-000001"/>
        <s v="HBC-RTSCRFI-000002"/>
        <s v="HBC-RTSCRFI-000034"/>
        <s v="HBC-GC-000034"/>
        <s v="EDGEPS-CL-RFI-000004"/>
        <s v="HBC-GC-000040"/>
        <s v="HBC-GC-000041"/>
        <s v="WAT.-GC-000001"/>
        <s v="HBC-RTSCRFI-000033"/>
        <s v="HBC-GC-000042"/>
        <s v="HBC-RTSCRFI-000007"/>
        <s v="HBC-GC-000045"/>
        <s v="HBC-GC-000048"/>
        <s v="HBC-GC-000047"/>
        <s v="HBC-RFI-000110"/>
        <s v="WAT-RTRFI-000002"/>
        <s v="HBC-RTSCRFI-000042"/>
        <s v="EDGEPS-RTRFI-000003"/>
        <s v="WAT.-GC-000006"/>
        <s v="WAT-RTRFI-000001"/>
        <s v="WAT-RTRFI-000006"/>
        <s v="FDG-RTRFI-000001"/>
        <s v="HBC-RTSCRFI-000041"/>
        <s v="WAT.-RTRFI-000001"/>
        <s v="HBC-RTRFI-000001"/>
        <s v="WAT.-RTRFI-000003"/>
        <s v="HBC-GC-000051"/>
        <s v="WAT.-RTRFI-000005"/>
        <s v="WAT.-RTRFI-000006"/>
        <s v="WAT.-RTRFI-000007"/>
        <s v="WAT.-RTRFI-000008"/>
        <s v="EDGEPS-RTRFI-000002"/>
        <s v="WAT.-RTRFI-000009"/>
        <s v="WAT.-RTRFI-000010"/>
        <s v="WAT.-RTRFI-000011"/>
        <s v="HBC-RTSCRFI-000037"/>
        <s v="WAT.-RTRFI-000012"/>
        <s v="WAT-RTRFI-000003"/>
        <s v="WAT.-RTRFI-000013"/>
        <s v="WAT.-RTRFI-000014"/>
        <s v="WAT.-RTRFI-000015"/>
        <s v="WAT.-RTRFI-000016"/>
        <s v="WAT.-RTRFI-000017"/>
        <s v="WAT.-RTRFI-000018"/>
        <s v="WAT.-RTRFI-000019"/>
        <s v="WAT.-RTRFI-000020"/>
        <s v="WAT.-RTRFI-000021"/>
        <s v="WAT.-RTRFI-000022"/>
        <s v="WAT.-RTRFI-000023"/>
        <s v="WAT.-RTRFI-000024"/>
        <s v="WAT.-RTRFI-000025"/>
        <s v="WAT.-RTRFI-000026"/>
        <s v="WAT.-RTRFI-000027"/>
        <s v="HBC-GC-000044"/>
        <s v="HBC-GC-000046"/>
        <s v="HBC-RFI-000047"/>
        <s v="HBC-GC-000054"/>
        <s v="WAT.-RTRFI-000029"/>
        <s v="HBC-GC-000022"/>
        <s v="WAT.-RTRFI-000031"/>
        <s v="WBS Ltd-GC-000002"/>
        <s v="WAT.-RTRFI-000033"/>
        <s v="WAT.-RTRFI-000034"/>
        <s v="EDGEPS-GC-000005"/>
        <s v="HBC-RTSCRFI-000036"/>
        <s v="WAT.-RTRFI-000042"/>
        <s v="HBC-GC-000035"/>
        <s v="HBC-GC-000043"/>
        <s v="EDGEPS-GC-000006"/>
        <s v="EDGEPS-GC-000007"/>
        <s v="EDGEPS-GC-000008"/>
        <s v="HBC-RFI-000083"/>
        <s v="HBC-RFI-000084"/>
        <s v="HBC-RFI-000085"/>
        <s v="HBC-RFI-000086"/>
        <s v="HBC-RFI-000087"/>
        <s v="HBC-RFI-000088"/>
        <s v="Quantem-RTRFI-000001"/>
        <s v="HBC-RFI-000092"/>
        <s v="HBC-RFI-000093"/>
        <s v="HBC-RFI-000095"/>
        <s v="HBC-RFI-000096"/>
        <s v="HBC-RFI-000097"/>
        <s v="HBC-RFI-000098"/>
        <s v="HBC-RFI-000099"/>
        <s v="HBC-GC-000056"/>
        <s v="HBC-RFI-000103"/>
        <s v="HBC-RFI-000104"/>
        <s v="HBC-RFI-000105"/>
        <s v="HBC-RFI-000106"/>
        <s v="HBC-RFI-000108"/>
        <s v="WBL 1919-SUBRFI-000001"/>
        <s v="Elect-SUBRFI-000015" u="1"/>
        <s v="EDGEPS-RTRFI-000006" u="1"/>
        <s v="FDG-GC-000007" u="1"/>
        <s v="FDG-GC-000001" u="1"/>
        <s v="HBC-RFI-000107" u="1"/>
        <s v="CPMG-SUBRFI-000021" u="1"/>
        <s v="HBC-RFI-000102" u="1"/>
        <s v="AGL-SUBRFI-000009" u="1"/>
        <s v="FDG-RTRFI-000014" u="1"/>
        <s v="WAT-RTRFI-000004" u="1"/>
        <s v="HBC-RFI-000080" u="1"/>
        <s v="HBC-RFI-000081" u="1"/>
        <s v="HBC-RFI-000082" u="1"/>
        <s v="CPMG-GC-000003" u="1"/>
        <s v="HBC-RFI-000089" u="1"/>
        <s v="HBC-RTSCRFI-000039" u="1"/>
        <s v="FDG-RTRFI-000011" u="1"/>
        <s v="FDG-RTRFI-000013" u="1"/>
        <s v="WAT.-RTRFI-000028" u="1"/>
        <s v="WBL 1919-GC-000001" u="1"/>
        <s v="HBC-RFI-000076" u="1"/>
        <s v="HBC-RFI-000077" u="1"/>
        <s v="HBC-RFI-000079" u="1"/>
        <s v="HBC-GC-000039" u="1"/>
        <s v="WBS Ltd-RTRFI-000002" u="1"/>
        <s v="EDGEPS-CL-RFI-000002" u="1"/>
        <s v="HBC-RTSCRFI-000003" u="1"/>
        <s v="EDGEPS-CL-RFI-000007" u="1"/>
        <s v="HBC-RFI-000027" u="1"/>
        <s v="HBC-RFI-000045" u="1"/>
        <s v="HBC-RFI-000046" u="1"/>
        <s v="HBC-GC-000021" u="1"/>
        <s v="HBC-GC-000033" u="1"/>
        <s v="FDG-RTRFI-000003" u="1"/>
        <s v="HBC-RFI-000072" u="1"/>
        <s v="HBC-RFI-000074" u="1"/>
        <s v="HBC-RFI-000007" u="1"/>
        <s v="Elect-SUBRFI-000006" u="1"/>
        <s v="Elect-SUBRFI-000007" u="1"/>
        <s v="Elect-SUBRFI-000010" u="1"/>
        <s v="THMTC-GC-000001" u="1"/>
        <s v="HBC-RFI-000066" u="1"/>
        <s v="WAT.-RTRFI-000035" u="1"/>
        <s v="WAT.-RTRFI-000036" u="1"/>
        <s v="WAT.-RTRFI-000037" u="1"/>
        <s v="WAT.-RTRFI-000038" u="1"/>
        <s v="HBC-RFI-000071" u="1"/>
        <s v="WAT-GC-000002" u="1"/>
        <s v="EDGEPS-CL-RFI-000003" u="1"/>
        <s v="EDGEPS-CL-RFI-000005" u="1"/>
        <s v="EDGEPS-GC-000002" u="1"/>
        <s v="HBC-RFI-000073" u="1"/>
        <s v="HBC-RFI-000068" u="1"/>
        <s v="HBC-RFI-000069" u="1"/>
        <s v="HBC-RFI-000070" u="1"/>
        <s v="EDGEPS-RTRFI-000004" u="1"/>
        <s v="HBC-RFI-000067" u="1"/>
        <s v="FDG-RTRFI-000010" u="1"/>
        <s v="CPMG-GC-000001" u="1"/>
        <s v="HBC-RFI-000062" u="1"/>
        <s v="FDG-GC-000004" u="1"/>
        <s v="FDG-GC-000003" u="1"/>
        <s v="HBC-RFI-000065" u="1"/>
        <s v="FDG-RTRFI-000005" u="1"/>
        <s v="HBC-RFI-000059" u="1"/>
        <s v="FDG-RTRFI-000009" u="1"/>
        <s v="FDG-RTRFI-000008" u="1"/>
        <s v="CPMG-SUBRFI-000009" u="1"/>
        <s v="CPMG-SUBRFI-000013" u="1"/>
        <s v="FDG-RTRFI-000007" u="1"/>
        <s v="FDG-RTRFI-000006" u="1"/>
        <s v="FDG-RTRFI-000002" u="1"/>
        <s v="HBC-GC-000024" u="1"/>
        <s v="EDGEPS-CL-RFI-000008" u="1"/>
        <s v="HBC-RFI-000055" u="1"/>
        <s v="HBC-RFI-000058" u="1"/>
        <s v="HBC-RFI-000056" u="1"/>
        <s v="HBC-RFI-000008" u="1"/>
        <s v="WAT-GC-000001" u="1"/>
        <s v="HBC-RFI-000012" u="1"/>
        <s v="HBC-RFI-000013" u="1"/>
        <s v="HBC-RFI-000014" u="1"/>
        <s v="HBC-RFI-000015" u="1"/>
        <s v="HBC-RFI-000016" u="1"/>
        <s v="HBC-RFI-000017" u="1"/>
        <s v="HBC-RFI-000019" u="1"/>
        <s v="HBC-RFI-000020" u="1"/>
        <s v="HBC-RFI-000021" u="1"/>
        <s v="HBC-RFI-000022" u="1"/>
        <s v="HBC-RFI-000023" u="1"/>
        <s v="HBC-RFI-000024" u="1"/>
        <s v="HBC-RFI-000025" u="1"/>
        <s v="HBC-RFI-000026" u="1"/>
        <s v="HBC-RFI-000028" u="1"/>
        <s v="HBC-RFI-000029" u="1"/>
        <s v="HBC-RFI-000030" u="1"/>
        <s v="HBC-RFI-000031" u="1"/>
        <s v="HBC-RFI-000032" u="1"/>
        <s v="HBC-RFI-000033" u="1"/>
        <s v="HBC-RFI-000034" u="1"/>
        <s v="HBC-RFI-000035" u="1"/>
        <s v="HBC-RFI-000036" u="1"/>
        <s v="HBC-RFI-000037" u="1"/>
        <s v="HBC-RFI-000038" u="1"/>
        <s v="HBC-RFI-000039" u="1"/>
        <s v="HBC-RFI-000040" u="1"/>
        <s v="HBC-RFI-000041" u="1"/>
        <s v="HBC-RFI-000042" u="1"/>
        <s v="HBC-RFI-000043" u="1"/>
        <s v="HBC-RFI-000044" u="1"/>
        <s v="HBC-RFI-000048" u="1"/>
        <s v="HBC-RFI-000049" u="1"/>
        <s v="HBC-RFI-000051" u="1"/>
        <s v="HBC-RFI-000053" u="1"/>
        <s v="HBC-RFI-000054" u="1"/>
      </sharedItems>
    </cacheField>
    <cacheField name="Comments" numFmtId="0">
      <sharedItems containsString="0" containsBlank="1" count="1">
        <m/>
      </sharedItems>
    </cacheField>
    <cacheField name="Date Closed" numFmtId="0">
      <sharedItems containsNonDate="0" containsDate="1" containsString="0" containsBlank="1" minDate="2026-02-26T08:58:00" maxDate="2026-03-20T13:39:00" count="13">
        <m/>
        <d v="2026-03-17T14:18:00"/>
        <d v="2026-03-17T14:17:00"/>
        <d v="2026-03-17T14:16:00"/>
        <d v="2026-03-17T13:59:00"/>
        <d v="2026-03-17T13:58:00"/>
        <d v="2026-03-11T22:01:00"/>
        <d v="2026-03-08T21:20:00"/>
        <d v="2026-02-26T08:58:00"/>
        <d v="2026-02-26T09:00:00"/>
        <d v="2026-02-26T10:14:00"/>
        <d v="2026-03-20T13:39:00"/>
        <d v="2026-02-27T12:44:00"/>
      </sharedItems>
    </cacheField>
    <cacheField name="(Helper) Hyperlink" numFmtId="0">
      <sharedItems/>
    </cacheField>
    <cacheField name="Mail Number" numFmtId="0">
      <sharedItems/>
    </cacheField>
    <cacheField name="Status - Copy" numFmtId="0">
      <sharedItems count="4">
        <s v="Responded"/>
        <s v="Outstanding"/>
        <s v="Overdue"/>
        <s v="Closed-Out"/>
      </sharedItems>
    </cacheField>
    <cacheField name="forclient" numFmtId="0">
      <sharedItems count="2">
        <b v="1"/>
        <b v="0"/>
      </sharedItems>
    </cacheField>
    <cacheField name="CombDiscipline" numFmtId="0">
      <sharedItems count="19">
        <s v="MTC / Edge"/>
        <s v="MEP (Waterman)"/>
        <s v=""/>
        <s v="MTC / Edge_x000a_MTC / Edge_x000a_MTC / Edge_x000a_MTC / Edge_x000a_MTC / Edge_x000a_MTC / Edge"/>
        <s v="MTC / Edge_x000a_Architectural (Fairhursts)"/>
        <s v="Architectural (Fairhursts)"/>
        <s v="Architectural (Fairhursts)_x000a_Structural (Waterman)"/>
        <s v="Structural (Waterman)"/>
        <s v="Architectural (Fairhursts)_x000a_MEP (Waterman)_x000a_Structural (Waterman)"/>
        <s v="Structural (Hexa)_x000a_Structural (Hexa)_x000a_Structural (Hexa)_x000a_Structural (Hexa)_x000a_Structural (Hexa)_x000a_Structural (Hexa)_x000a_Structural (Hexa)"/>
        <s v="MEP (Waterman)_x000a_MEP (Waterman)_x000a_MEP (Waterman)"/>
        <s v="MEP (Waterman)_x000a_MEP (Waterman)"/>
        <s v="Civil_x000a_Structural_x000a_Architectural_x000a_Mechanical"/>
        <s v="Structural (Hexa)"/>
        <s v="MTC / Edge_x000a_MEP (Waterman)"/>
        <s v="MEP (Waterman)_x000a_Structural (Waterman)"/>
        <s v="MTC / Edge_x000a_MEP (Waterman)_x000a_MTC / Edge_x000a_MEP (Waterman)"/>
        <s v="Architectural (Fairhursts)_x000a_MEP (Waterman)"/>
        <s v="MTC / Edge_x000a_MTC / Edge_x000a_MTC / Edge"/>
      </sharedItems>
    </cacheField>
    <cacheField name="Days (Date RFI Sent)" numFmtId="0" databaseField="0">
      <fieldGroup base="6">
        <rangePr groupBy="days" startDate="2026-01-27T11:29:00" endDate="2026-03-27T11:04:00"/>
        <groupItems count="368">
          <s v="&lt;27/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7/03/2026"/>
        </groupItems>
      </fieldGroup>
    </cacheField>
    <cacheField name="Months (Date RFI Sent)" numFmtId="0" databaseField="0">
      <fieldGroup base="6">
        <rangePr groupBy="months" startDate="2026-01-27T11:29:00" endDate="2026-03-27T11:04:00"/>
        <groupItems count="14">
          <s v="&lt;27/01/2026"/>
          <s v="Jan"/>
          <s v="Feb"/>
          <s v="Mar"/>
          <s v="Apr"/>
          <s v="May"/>
          <s v="Jun"/>
          <s v="Jul"/>
          <s v="Aug"/>
          <s v="Sep"/>
          <s v="Oct"/>
          <s v="Nov"/>
          <s v="Dec"/>
          <s v="&gt;27/03/20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7">
  <r>
    <x v="0"/>
    <x v="0"/>
    <s v="AGL-SUBRFI-000001:    DNO Approval"/>
    <x v="0"/>
    <s v="Has DNO approval been sought for the increased demand on the building? If so please share correspondence."/>
    <x v="0"/>
    <d v="2026-03-04T15:26:00"/>
    <s v="Please see the attached the DNO quotation for upgrade"/>
    <d v="2026-03-13T08:48:00"/>
    <s v="HBC-RTSCRFI-000023"/>
    <x v="0"/>
    <x v="0"/>
    <s v="https://uk1.aconex.co.uk/hub/index.html?mainTarget=%2FViewCorrespondence%3FPROJECT_ID%3D268457782%26CORRESPONDENCE_MAILBOX%3D0%26Correspondence_ID%3D349153570"/>
    <x v="0"/>
    <x v="0"/>
    <x v="0"/>
  </r>
  <r>
    <x v="0"/>
    <x v="0"/>
    <s v="AGL-SUBRFI-000002:    Missing Supplies"/>
    <x v="0"/>
    <s v="Many distribution boards and supplies on the LV schematics can not be located on either the small power drawings or containment drawings, the cable references for the missing supplies are as below: _x000a_- 06_x000a_-09 _x000a_- 22_x000a_ - 23_x000a_ - 28_x000a_ - 29_x000a_ - 35_x000a_ - 36_x000a_ - 37_x000a_ - 50_x000a_ - 51_x000a_Please provide details of the locations of the above equipment."/>
    <x v="1"/>
    <d v="2026-03-04T15:27:00"/>
    <s v="Isolator for Cable Ref 6 - Device required between Gridlines A20-E20 to be sited to suit specialist equipment suppliers requirements._x000a_Isolator for Cable Ref 9 - Device shown between Gridlines E14-F14 to be sited to suit specialist equipment suppliers requirements._x000a_Isolator for Cable Refs 22/23 - 1No. Device shown between Gridlines K20-L20 to serve 1No. AS08 to be sited to suit specialist equipment suppliers requirements._x000a_Isolators for Cable Refs 28/29 - 2No. Devices (AS16/01 &amp; AS16/02) shown between Gridlines G20-H20 to be sited to suit specialist equipment suppliers requirements._x000a_Isolators for Cable Refs 35/36 - Devices required between Gridlines D14-G14 to be sited to suit specialist equipment suppliers requirements._x000a_DB for Cable Ref 37 - Dis Board to be sited adjacent to UPS_x000a_Isolators for Cable Refs 50/51 - Devices no longer required for Stage 3 design."/>
    <d v="2026-03-16T08:06:00"/>
    <s v="HBC-RTSCRFI-000032"/>
    <x v="0"/>
    <x v="0"/>
    <s v="https://uk1.aconex.co.uk/hub/index.html?mainTarget=%2FViewCorrespondence%3FPROJECT_ID%3D268457782%26CORRESPONDENCE_MAILBOX%3D0%26Correspondence_ID%3D349153698"/>
    <x v="0"/>
    <x v="0"/>
    <x v="1"/>
  </r>
  <r>
    <x v="0"/>
    <x v="0"/>
    <s v="AGL-SUBRFI-000003:    Missing Document"/>
    <x v="0"/>
    <s v="In the data section of specification drawing 200SF4-WBS-ZZ-GF-DR-E-61299 is referred to, this drawing is not available on Aconex - please could you provide?"/>
    <x v="2"/>
    <d v="2026-03-04T15:28:00"/>
    <s v="Please see attached from tender (not part of stage 3 pack)"/>
    <d v="2026-03-11T15:50:00"/>
    <s v="HBC-RTSCRFI-000010"/>
    <x v="0"/>
    <x v="0"/>
    <s v="https://uk1.aconex.co.uk/hub/index.html?mainTarget=%2FViewCorrespondence%3FPROJECT_ID%3D268457782%26CORRESPONDENCE_MAILBOX%3D0%26Correspondence_ID%3D349153719"/>
    <x v="0"/>
    <x v="1"/>
    <x v="2"/>
  </r>
  <r>
    <x v="0"/>
    <x v="0"/>
    <s v="AGL-SUBRFI-000004:    Asset Register &amp; Maximum Demand"/>
    <x v="0"/>
    <s v="Please provide separate copies/files for the asset register and maximum demand spreadsheet, the versions appended to the specification are difficult to read due to low resolution on the document."/>
    <x v="1"/>
    <d v="2026-03-04T15:28:00"/>
    <s v="Copy of the Asset register as included within specification, Contractor to refer to latest MTC/Client information for equipment details to suit Stage 4 design requirements._x000a_Stage 3 Preliminary load assessment for information purposes, Contractor to develop their own as part of Stage 4 design works."/>
    <d v="2026-03-16T07:14:00"/>
    <s v="HBC-RTSCRFI-000027"/>
    <x v="0"/>
    <x v="0"/>
    <s v="https://uk1.aconex.co.uk/hub/index.html?mainTarget=%2FViewCorrespondence%3FPROJECT_ID%3D268457782%26CORRESPONDENCE_MAILBOX%3D0%26Correspondence_ID%3D349153743"/>
    <x v="0"/>
    <x v="0"/>
    <x v="1"/>
  </r>
  <r>
    <x v="0"/>
    <x v="0"/>
    <s v="AGL-SUBRFI-000005:    Data Network"/>
    <x v="0"/>
    <s v="To enable the commencement of the containment sizing, please confirm which data outlets are served from comms 1 network and which are served from the comms 2 network?"/>
    <x v="1"/>
    <d v="2026-03-05T08:09:00"/>
    <s v="Drawing MTC-SF4-DWG-10001 - SF4 Baseline Layout - B4.0 - Sheet 2of2 was used as the basis for the Stage 3 comms design. This drawing shall require revisiting with the MTC/Client's IT specialist as part of the Stage 4 design works to ensure comms outlet provisions are correctly captured."/>
    <d v="2026-03-16T07:47:00"/>
    <s v="HBC-RTSCRFI-000028"/>
    <x v="0"/>
    <x v="0"/>
    <s v="https://uk1.aconex.co.uk/hub/index.html?mainTarget=%2FViewCorrespondence%3FPROJECT_ID%3D268457782%26CORRESPONDENCE_MAILBOX%3D0%26Correspondence_ID%3D349166355"/>
    <x v="0"/>
    <x v="0"/>
    <x v="1"/>
  </r>
  <r>
    <x v="0"/>
    <x v="0"/>
    <s v="AGL-SUBRFI-000006:    Distribution Boards "/>
    <x v="0"/>
    <s v="The schematics and drawings show a DB/WPK/P&amp;L1 and a DB/WPK/P&amp;L3 but no DB/WPK/P&amp;L2? Is this a typing error? If not please advise where DB/WPK/P&amp;L2 is located and what this serves?"/>
    <x v="1"/>
    <d v="2026-03-10T15:55:00"/>
    <s v="The reference for Distribution Board DB/WPK/P&amp;L2 was included within an earlier design iteration. The Board this reference used no longer features within the scheme."/>
    <d v="2026-03-16T07:48:00"/>
    <s v="HBC-RTSCRFI-000029"/>
    <x v="0"/>
    <x v="0"/>
    <s v="https://uk1.aconex.co.uk/hub/index.html?mainTarget=%2FViewCorrespondence%3FPROJECT_ID%3D268457782%26CORRESPONDENCE_MAILBOX%3D0%26Correspondence_ID%3D349286252"/>
    <x v="0"/>
    <x v="0"/>
    <x v="1"/>
  </r>
  <r>
    <x v="0"/>
    <x v="0"/>
    <s v="AGL-SUBRFI-000007:    AS03 Equipment"/>
    <x v="0"/>
    <s v="On the electrical maximum demand sheet the AS03 is given a load of 173kW, but there is no supplies on the schematic or drawings attributed to AS03, and no information relating to AS03 in the asset register. Please can you provide further details on this equipment?"/>
    <x v="1"/>
    <d v="2026-03-10T15:56:00"/>
    <s v="At the time of production of the preliminary Stage 3 Electrical Load Assessment, the requirements for the Breakout enclosure were still to be defined between gridlines C14-B18, therefore an allowance was used that can now be omitted from the Stage 4 design and the updated requirements used for this area instead."/>
    <d v="2026-03-16T07:48:00"/>
    <s v="HBC-RTSCRFI-000030"/>
    <x v="0"/>
    <x v="0"/>
    <s v="https://uk1.aconex.co.uk/hub/index.html?mainTarget=%2FViewCorrespondence%3FPROJECT_ID%3D268457782%26CORRESPONDENCE_MAILBOX%3D0%26Correspondence_ID%3D349286269"/>
    <x v="0"/>
    <x v="0"/>
    <x v="1"/>
  </r>
  <r>
    <x v="0"/>
    <x v="0"/>
    <s v="AGL-SUBRFI-000008:    Equipment for Future Use"/>
    <x v="0"/>
    <s v="There are a number of large isolators on the small power drawings labelled 'allowance for future use', but no connections for this equipment shown on the schematics. Are these isolators to be supplied without a mains connection?_x000a_These isolators are labelled 'FS', this is not in the abbrevatiations list, please confirm."/>
    <x v="1"/>
    <d v="2026-03-10T15:56:00"/>
    <s v="The 3No. Isolators between Gridlines T20-P20 were shown to provide future flexibility to the space at the time of producing the Stage 3 information, the MTC were unable to confirm if they were required. If the MTC/Client confirm they are required than they should be provided with a suitably rated LV connection back to SMP1. The abbreviation FS can be ignored, just Fuse Size, for which the proposed ratings are shown."/>
    <d v="2026-03-16T07:54:00"/>
    <s v="HBC-RTSCRFI-000031"/>
    <x v="0"/>
    <x v="0"/>
    <s v="https://uk1.aconex.co.uk/hub/index.html?mainTarget=%2FViewCorrespondence%3FPROJECT_ID%3D268457782%26CORRESPONDENCE_MAILBOX%3D0%26Correspondence_ID%3D349286295"/>
    <x v="0"/>
    <x v="0"/>
    <x v="1"/>
  </r>
  <r>
    <x v="1"/>
    <x v="1"/>
    <s v="AGL-SUBRFI-000009:    Equipment Required for Safe Shutdown"/>
    <x v="0"/>
    <s v="Please confirm the strategy for safe shutdown of the facility from an electrical perspective. The following information is required:_x000a_1. Which breakers are to be open and which are to be closed in the event of power outage? i.e. which equipment is required to enable to the safe shutdown of the facility._x000a_2. To programme the phased reconnection of the electrical loads on power failure, we require a list of supplies to be fed by the generator in order of priority. Please can you provide?_x000a_3. To enable the phased reconnection of electrical loads on power failure, we read the specification as requiring motorised breakers on the main switchboard (SB/SF4) only, all other breakers on sub-main panels will be standard, is this correct?"/>
    <x v="0"/>
    <d v="2026-03-24T16:57:00"/>
    <m/>
    <m/>
    <s v="HBC-GC-000057"/>
    <x v="0"/>
    <x v="0"/>
    <s v="https://uk1.aconex.co.uk/hub/index.html?mainTarget=%2FViewCorrespondence%3FPROJECT_ID%3D268457782%26CORRESPONDENCE_MAILBOX%3D0%26Correspondence_ID%3D349598375"/>
    <x v="1"/>
    <x v="0"/>
    <x v="3"/>
  </r>
  <r>
    <x v="0"/>
    <x v="2"/>
    <s v="CPMG-SUBRFI-000001:    CPMG RFI 1- Fire Report"/>
    <x v="1"/>
    <s v="Please provide Fire Report/Strategy"/>
    <x v="2"/>
    <d v="2026-02-25T10:35:00"/>
    <s v="Please see response from MTC:_x000a_Fire Strategy will form part of the HAZZOP which is being developed by MTC representative. Fire Alarm Specialist contractor to develop strategy as part of RIBA Stage 4."/>
    <d v="2026-03-02T10:04:00"/>
    <s v="HBC-RTSCRFI-000004"/>
    <x v="0"/>
    <x v="0"/>
    <s v="https://uk1.aconex.co.uk/hub/index.html?mainTarget=%2FViewCorrespondence%3FPROJECT_ID%3D268457782%26CORRESPONDENCE_MAILBOX%3D0%26Correspondence_ID%3D348984631"/>
    <x v="0"/>
    <x v="1"/>
    <x v="2"/>
  </r>
  <r>
    <x v="0"/>
    <x v="2"/>
    <s v="CPMG-SUBRFI-000002:    CPMG RFI 2- Acoustic Report"/>
    <x v="1"/>
    <s v="Please provide Acoustic report"/>
    <x v="0"/>
    <d v="2026-02-25T10:51:00"/>
    <s v="An acoustic report for this project has not been produced"/>
    <d v="2026-03-11T16:00:00"/>
    <s v="FDG-RTRFI-000004"/>
    <x v="0"/>
    <x v="0"/>
    <s v="https://uk1.aconex.co.uk/hub/index.html?mainTarget=%2FViewCorrespondence%3FPROJECT_ID%3D268457782%26CORRESPONDENCE_MAILBOX%3D0%26Correspondence_ID%3D348985472"/>
    <x v="0"/>
    <x v="0"/>
    <x v="4"/>
  </r>
  <r>
    <x v="0"/>
    <x v="2"/>
    <s v="CPMG-SUBRFI-000003:    CPMG RFI 3- Architectural Model"/>
    <x v="1"/>
    <s v="We have reviewed the architectural model and it appears there are missing elements which include existing external wall and roof elements missing. Is this model correct or are there additional elements/models?"/>
    <x v="3"/>
    <d v="2026-02-25T10:53:00"/>
    <s v="Revit model attached"/>
    <d v="2026-03-12T14:29:00"/>
    <s v="HBC-RTSCRFI-000017"/>
    <x v="0"/>
    <x v="0"/>
    <s v="https://uk1.aconex.co.uk/hub/index.html?mainTarget=%2FViewCorrespondence%3FPROJECT_ID%3D268457782%26CORRESPONDENCE_MAILBOX%3D0%26Correspondence_ID%3D348985532"/>
    <x v="0"/>
    <x v="0"/>
    <x v="5"/>
  </r>
  <r>
    <x v="0"/>
    <x v="3"/>
    <s v="CPMG-SUBRFI-000004:    CPMG RFI 4- MTC Security Pack"/>
    <x v="1"/>
    <s v="The architectural spec references a MTC security Pack regards to door hardware and security. Can this please be provided?"/>
    <x v="2"/>
    <d v="2026-02-25T10:54:00"/>
    <m/>
    <m/>
    <s v="HBC-GC-000023"/>
    <x v="0"/>
    <x v="0"/>
    <s v="https://uk1.aconex.co.uk/hub/index.html?mainTarget=%2FViewCorrespondence%3FPROJECT_ID%3D268457782%26CORRESPONDENCE_MAILBOX%3D0%26Correspondence_ID%3D348985615"/>
    <x v="0"/>
    <x v="1"/>
    <x v="2"/>
  </r>
  <r>
    <x v="0"/>
    <x v="2"/>
    <s v="CPMG-SUBRFI-000005:    CPMG RFI 5- Breakout enclosure"/>
    <x v="1"/>
    <s v="Has the breakout/enclosure design/spec been confirmed?"/>
    <x v="3"/>
    <d v="2026-02-25T10:55:00"/>
    <s v="Please refer to the structural information submitted"/>
    <d v="2026-03-13T09:13:00"/>
    <s v="HBC-RTSCRFI-000024"/>
    <x v="0"/>
    <x v="0"/>
    <s v="https://uk1.aconex.co.uk/hub/index.html?mainTarget=%2FViewCorrespondence%3FPROJECT_ID%3D268457782%26CORRESPONDENCE_MAILBOX%3D0%26Correspondence_ID%3D348985660"/>
    <x v="0"/>
    <x v="0"/>
    <x v="5"/>
  </r>
  <r>
    <x v="0"/>
    <x v="2"/>
    <s v="CPMG-SUBRFI-000006:    CPMG RFI 6- Building Control"/>
    <x v="1"/>
    <s v="Please provide an update on Building Control and the Full plans submission and if there are any implications to the issued Stage 3 information."/>
    <x v="3"/>
    <d v="2026-02-25T10:57:00"/>
    <s v="Plan checking fee paid by MTC and no further response from WBC"/>
    <d v="2026-03-12T14:32:00"/>
    <s v="HBC-RTSCRFI-000020"/>
    <x v="0"/>
    <x v="0"/>
    <s v="https://uk1.aconex.co.uk/hub/index.html?mainTarget=%2FViewCorrespondence%3FPROJECT_ID%3D268457782%26CORRESPONDENCE_MAILBOX%3D0%26Correspondence_ID%3D348985725"/>
    <x v="0"/>
    <x v="0"/>
    <x v="5"/>
  </r>
  <r>
    <x v="0"/>
    <x v="2"/>
    <s v="CPMG-SUBRFI-000007:    CPMG RFI 7- Revit Models Coordinates"/>
    <x v="1"/>
    <s v="Architectural and MEP model align to world coordinates. Structural model does not. Architectural and MEP Base point is N/S281555109 E/W 440737415. To GL A1. Please confirm this is what the team will be working to. Structural model will need to be updated to suit."/>
    <x v="3"/>
    <d v="2026-02-25T11:01:00"/>
    <s v="Watermans to update Revit Model"/>
    <d v="2026-03-12T14:30:00"/>
    <s v="HBC-GC-000036"/>
    <x v="0"/>
    <x v="0"/>
    <s v="https://uk1.aconex.co.uk/hub/index.html?mainTarget=%2FViewCorrespondence%3FPROJECT_ID%3D268457782%26CORRESPONDENCE_MAILBOX%3D0%26Correspondence_ID%3D348985788"/>
    <x v="0"/>
    <x v="0"/>
    <x v="6"/>
  </r>
  <r>
    <x v="0"/>
    <x v="2"/>
    <s v="CPMG-SUBRFI-000008:    CPMG RFI 8- BEP"/>
    <x v="1"/>
    <s v="Please provide the BEP"/>
    <x v="2"/>
    <d v="2026-02-25T11:02:00"/>
    <s v="There is no BEP please see file naming document and SAL"/>
    <d v="2026-03-11T15:41:00"/>
    <s v="HBC-RTSCRFI-000008"/>
    <x v="0"/>
    <x v="0"/>
    <s v="https://uk1.aconex.co.uk/hub/index.html?mainTarget=%2FViewCorrespondence%3FPROJECT_ID%3D268457782%26CORRESPONDENCE_MAILBOX%3D0%26Correspondence_ID%3D348985979"/>
    <x v="0"/>
    <x v="1"/>
    <x v="2"/>
  </r>
  <r>
    <x v="0"/>
    <x v="2"/>
    <s v="CPMG-SUBRFI-000009:    CPMG RFI 9- Remtech pentrations"/>
    <x v="1"/>
    <s v="We understand the rooflight will be infilled with Remtech panels with ductwork penetrations. Is there a tested solution and typical details for fixings and penetrations developed to meet MTC requirements."/>
    <x v="2"/>
    <d v="2026-02-25T11:03:00"/>
    <s v="Please see correspondence and standard details from Remtech"/>
    <d v="2026-03-12T17:24:00"/>
    <s v="HBC-RTSCRFI-000022"/>
    <x v="0"/>
    <x v="0"/>
    <s v="https://uk1.aconex.co.uk/hub/index.html?mainTarget=%2FViewCorrespondence%3FPROJECT_ID%3D268457782%26CORRESPONDENCE_MAILBOX%3D0%26Correspondence_ID%3D348986014"/>
    <x v="0"/>
    <x v="1"/>
    <x v="2"/>
  </r>
  <r>
    <x v="0"/>
    <x v="2"/>
    <s v="CPMG-SUBRFI-000010:    CPMG RFI 10- Document Naming Standards"/>
    <x v="1"/>
    <s v="Is there a Document Naming Standards document?"/>
    <x v="2"/>
    <d v="2026-02-25T11:04:00"/>
    <s v="Please see attached document that clarifies naming. _x000a_Key points:_x000a_- Project code &amp; name : please use 'MTP' and no other information (i.e. no address), this helps to anonymise the project_x000a_- All doc number codes as standard_x000a_-Put security classification in filename"/>
    <d v="2026-03-11T07:36:00"/>
    <s v="HBC-RTSCRFI-000006"/>
    <x v="0"/>
    <x v="0"/>
    <s v="https://uk1.aconex.co.uk/hub/index.html?mainTarget=%2FViewCorrespondence%3FPROJECT_ID%3D268457782%26CORRESPONDENCE_MAILBOX%3D0%26Correspondence_ID%3D348986044"/>
    <x v="0"/>
    <x v="1"/>
    <x v="2"/>
  </r>
  <r>
    <x v="0"/>
    <x v="2"/>
    <s v="CPMG-SUBRFI-000011:    CPMG RFI 11- Revit Models Coordinates"/>
    <x v="1"/>
    <s v="Is there a Stage 3 federated model and clash detection report available?"/>
    <x v="2"/>
    <d v="2026-02-25T11:05:00"/>
    <s v="There will be no federated model due to the sensitivity of the project"/>
    <d v="2026-03-11T15:43:00"/>
    <s v="HBC-RTSCRFI-000009"/>
    <x v="0"/>
    <x v="0"/>
    <s v="https://uk1.aconex.co.uk/hub/index.html?mainTarget=%2FViewCorrespondence%3FPROJECT_ID%3D268457782%26CORRESPONDENCE_MAILBOX%3D0%26Correspondence_ID%3D348986075"/>
    <x v="0"/>
    <x v="1"/>
    <x v="2"/>
  </r>
  <r>
    <x v="0"/>
    <x v="2"/>
    <s v="CPMG-SUBRFI-000012:    CPMG RFI 12- Siphonic Drainage"/>
    <x v="1"/>
    <s v="The architectural drawings and model reference siphonic drainage at high level. Can you please provide the siphonic drainage model or details."/>
    <x v="4"/>
    <d v="2026-02-25T11:09:00"/>
    <s v="The architectural model should contain the zone for the siphonic drainage."/>
    <d v="2026-03-13T12:32:00"/>
    <s v="HBC-RTSCRFI-000026"/>
    <x v="0"/>
    <x v="0"/>
    <s v="https://uk1.aconex.co.uk/hub/index.html?mainTarget=%2FViewCorrespondence%3FPROJECT_ID%3D268457782%26CORRESPONDENCE_MAILBOX%3D0%26Correspondence_ID%3D348986270"/>
    <x v="0"/>
    <x v="0"/>
    <x v="7"/>
  </r>
  <r>
    <x v="0"/>
    <x v="2"/>
    <s v="CPMG-SUBRFI-000013:    CPMG RFI 13- SAL and Security Management Plan"/>
    <x v="1"/>
    <s v="We cannot access the SAL and Security Management plan on Aconex, can this be provided please."/>
    <x v="2"/>
    <d v="2026-02-25T11:14:00"/>
    <s v="PSA all information, the SAL will be included within the consultant appointment. If you have any issues please let us know"/>
    <d v="2026-03-12T17:21:00"/>
    <s v="HBC-RTSCRFI-000021"/>
    <x v="0"/>
    <x v="0"/>
    <s v="https://uk1.aconex.co.uk/hub/index.html?mainTarget=%2FViewCorrespondence%3FPROJECT_ID%3D268457782%26CORRESPONDENCE_MAILBOX%3D0%26Correspondence_ID%3D348986498"/>
    <x v="0"/>
    <x v="1"/>
    <x v="2"/>
  </r>
  <r>
    <x v="0"/>
    <x v="2"/>
    <s v="CPMG-SUBRFI-000014:    CPMG RFI 14- Project Directory"/>
    <x v="1"/>
    <s v="Can you please provide a Project Directory for the job."/>
    <x v="2"/>
    <d v="2026-02-25T14:54:00"/>
    <s v="Please see attached which is in doc register"/>
    <d v="2026-03-02T10:14:00"/>
    <s v="HBC-RTSCRFI-000005"/>
    <x v="0"/>
    <x v="0"/>
    <s v="https://uk1.aconex.co.uk/hub/index.html?mainTarget=%2FViewCorrespondence%3FPROJECT_ID%3D268457782%26CORRESPONDENCE_MAILBOX%3D0%26Correspondence_ID%3D348995453"/>
    <x v="0"/>
    <x v="1"/>
    <x v="2"/>
  </r>
  <r>
    <x v="0"/>
    <x v="2"/>
    <s v="CPMG-SUBRFI-000015:    CPMG RFI 15- Existing Roof Build Up"/>
    <x v="1"/>
    <s v="Please confirm existing roof build-up."/>
    <x v="3"/>
    <d v="2026-02-26T11:24:00"/>
    <s v="Please refer to existing Revit model recently provided and Stage 3 drawings"/>
    <d v="2026-03-12T14:28:00"/>
    <s v="HBC-GC-000029"/>
    <x v="0"/>
    <x v="0"/>
    <s v="https://uk1.aconex.co.uk/hub/index.html?mainTarget=%2FViewCorrespondence%3FPROJECT_ID%3D268457782%26CORRESPONDENCE_MAILBOX%3D0%26Correspondence_ID%3D349017223"/>
    <x v="0"/>
    <x v="0"/>
    <x v="5"/>
  </r>
  <r>
    <x v="0"/>
    <x v="2"/>
    <s v="CPMG-SUBRFI-000016:    CPMG RFI 16- Openings at roof plant deck level on SE &amp; MEP models"/>
    <x v="1"/>
    <s v="Structural &amp; MEP Models show what seem to be openings at roof plant deck level, see attachments “CPMG RFI 16 attachment 1”, “CPMG RFI 16 Attachment 2” &amp; “CPMG RFI 16 attachment 3” Please clarify if these are proposed openings"/>
    <x v="3"/>
    <d v="2026-02-26T15:44:00"/>
    <s v="If the openings show trimming steel and services passing through they are required"/>
    <d v="2026-03-12T14:27:00"/>
    <s v="HBC-GC-000031"/>
    <x v="0"/>
    <x v="0"/>
    <s v="https://uk1.aconex.co.uk/hub/index.html?mainTarget=%2FViewCorrespondence%3FPROJECT_ID%3D268457782%26CORRESPONDENCE_MAILBOX%3D0%26Correspondence_ID%3D349027578"/>
    <x v="0"/>
    <x v="0"/>
    <x v="5"/>
  </r>
  <r>
    <x v="0"/>
    <x v="2"/>
    <s v="CPMG-SUBRFI-000017:    CPMG RFI 17- Concrete Bunker"/>
    <x v="1"/>
    <s v="HB previously issued a pdf of the concrete bunker As you are aware there is a discrepancy of 25mm with current model. Can we please request the revit model to ensure the correct parameters are plotted on our model to include door and door cover and x ray equipment."/>
    <x v="3"/>
    <d v="2026-03-17T17:51:00"/>
    <s v="Please see attached"/>
    <d v="2026-03-19T16:12:00"/>
    <s v="CPMG-GC-000002"/>
    <x v="0"/>
    <x v="0"/>
    <s v="https://uk1.aconex.co.uk/hub/index.html?mainTarget=%2FViewCorrespondence%3FPROJECT_ID%3D268457782%26CORRESPONDENCE_MAILBOX%3D0%26Correspondence_ID%3D349450025"/>
    <x v="0"/>
    <x v="0"/>
    <x v="5"/>
  </r>
  <r>
    <x v="0"/>
    <x v="3"/>
    <s v="CPMG-SUBRFI-000018:    CPMG RFI 18- Existing Steelwork"/>
    <x v="1"/>
    <s v="Existing steelwork to grid appears to be missing on structural model but indicated on the pdfs- ca  this be provided please for the revit model."/>
    <x v="3"/>
    <d v="2026-03-17T17:53:00"/>
    <s v="The grid will be on the Revit model attached to the response to RFI CPMG RFI 17- Concrete Bunker"/>
    <d v="2026-03-19T12:21:00"/>
    <s v="FDG-GC-000006"/>
    <x v="0"/>
    <x v="0"/>
    <s v="https://uk1.aconex.co.uk/hub/index.html?mainTarget=%2FViewCorrespondence%3FPROJECT_ID%3D268457782%26CORRESPONDENCE_MAILBOX%3D0%26Correspondence_ID%3D349450085"/>
    <x v="0"/>
    <x v="0"/>
    <x v="6"/>
  </r>
  <r>
    <x v="0"/>
    <x v="3"/>
    <s v="CPMG-SUBRFI-000019:    CPMG RFI 19- AS02 Setting Out"/>
    <x v="1"/>
    <s v="Updated design drawings on AS02 were received on 11.03.26 in PDF. It was highlighted the revised model will not be completed during Stage 4. It was requested the setting out of existing Stage 3 model be updated to suit the PDF._x000a_Existing set out of AS 02 1634mm from GL E. 5050mm from existing column flange GL14._x000a_Revised PDF drawing CD57776 General Arrangement set out of AS 02 1720mm from GL E and 4792mm from existing column flange GL14._x000a_Please confirm if existing Stage 3 model of AS 02 is to be set out to revised information. Please see attached."/>
    <x v="3"/>
    <d v="2026-03-18T09:35:00"/>
    <s v="Please see attached screenshot for setting out"/>
    <d v="2026-03-19T12:01:00"/>
    <s v="CPMG-GC-000004"/>
    <x v="0"/>
    <x v="0"/>
    <s v="https://uk1.aconex.co.uk/hub/index.html?mainTarget=%2FViewCorrespondence%3FPROJECT_ID%3D268457782%26CORRESPONDENCE_MAILBOX%3D0%26Correspondence_ID%3D349459282"/>
    <x v="0"/>
    <x v="0"/>
    <x v="8"/>
  </r>
  <r>
    <x v="0"/>
    <x v="2"/>
    <s v="CPMG-SUBRFI-000020:    CPMG RFI 20- Plant Deck Stairs/Ramp"/>
    <x v="1"/>
    <s v="The plant deck Stage 3 drawings adjacent to  indicate steps GL 17 and GLB to C indicates steps whereas the model provided indicated ramps. Please confirm which one to proceed with."/>
    <x v="3"/>
    <d v="2026-03-20T14:19:00"/>
    <s v="The ramp is shown on the existing Building 200 model and never constructed. Please proceed with the stairs shown on the current information issued. _x000a__x000a_Moving forward, please utilised the issued drawings for reference as these will reflect the current design information."/>
    <d v="2026-03-23T15:41:00"/>
    <s v="HBC-RTSCRFI-000040"/>
    <x v="0"/>
    <x v="0"/>
    <s v="https://uk1.aconex.co.uk/hub/index.html?mainTarget=%2FViewCorrespondence%3FPROJECT_ID%3D268457782%26CORRESPONDENCE_MAILBOX%3D0%26Correspondence_ID%3D349526070"/>
    <x v="0"/>
    <x v="0"/>
    <x v="5"/>
  </r>
  <r>
    <x v="1"/>
    <x v="4"/>
    <s v="CPMG-SUBRFI-000021:    CPMG-SUBRFI-000020"/>
    <x v="1"/>
    <s v="FAO HB / Remtech / William Bailey_x000a__x000a_Further to the services penetration meeting dated 23.03.26. please see attached discussed detail. We would recommend retaining/creating the upstand and panel position as attached in lieu of the previous proposed panel below. This allows continuity for thermal performance, provides the necessary fire performance and does not create the pit which would have drainage and CDM/cleaning and maintenance issues."/>
    <x v="5"/>
    <d v="2026-03-24T15:13:00"/>
    <m/>
    <m/>
    <s v="HBC-RFI-000109"/>
    <x v="0"/>
    <x v="0"/>
    <s v="https://uk1.aconex.co.uk/hub/index.html?mainTarget=%2FViewCorrespondence%3FPROJECT_ID%3D268457782%26CORRESPONDENCE_MAILBOX%3D0%26Correspondence_ID%3D349591689"/>
    <x v="1"/>
    <x v="0"/>
    <x v="9"/>
  </r>
  <r>
    <x v="2"/>
    <x v="0"/>
    <s v="EDGEPS-CL-RFI-000009:    AS02 / RM008A plant deck equipment"/>
    <x v="2"/>
    <s v="WP1 construction team to respond that this plant deck GA attached for AS02 in RM008A is acceptable and accounted for."/>
    <x v="6"/>
    <d v="2026-03-17T13:37:00"/>
    <m/>
    <m/>
    <s v="HBC-RFI-000075"/>
    <x v="0"/>
    <x v="0"/>
    <s v="https://uk1.aconex.co.uk/hub/index.html?mainTarget=%2FViewCorrespondence%3FPROJECT_ID%3D268457782%26CORRESPONDENCE_MAILBOX%3D0%26Correspondence_ID%3D349439041"/>
    <x v="2"/>
    <x v="0"/>
    <x v="10"/>
  </r>
  <r>
    <x v="3"/>
    <x v="3"/>
    <s v="Elect-SUBRFI-000001:    Architects Model or DWGs"/>
    <x v="3"/>
    <s v="Please issue the latest Architects Model or DWG’s."/>
    <x v="2"/>
    <d v="2026-01-27T11:29:00"/>
    <s v="This has now been issued as part of Stage 3 pack."/>
    <d v="2026-02-19T12:47:00"/>
    <s v="HBC-RTSCRFI-000001"/>
    <x v="0"/>
    <x v="1"/>
    <s v="https://uk1.aconex.co.uk/hub/index.html?mainTarget=%2FViewCorrespondence%3FPROJECT_ID%3D268457782%26CORRESPONDENCE_MAILBOX%3D0%26Correspondence_ID%3D348327175"/>
    <x v="3"/>
    <x v="1"/>
    <x v="2"/>
  </r>
  <r>
    <x v="3"/>
    <x v="3"/>
    <s v="Elect-SUBRFI-000002:    Waterman Model or DWGs"/>
    <x v="3"/>
    <s v="Please issue the latest Waterman Model or DWG’s."/>
    <x v="2"/>
    <d v="2026-01-27T11:32:00"/>
    <s v="This has now been issued as part of Stage 3 pack."/>
    <d v="2026-02-19T12:48:00"/>
    <s v="HBC-RTSCRFI-000002"/>
    <x v="0"/>
    <x v="1"/>
    <s v="https://uk1.aconex.co.uk/hub/index.html?mainTarget=%2FViewCorrespondence%3FPROJECT_ID%3D268457782%26CORRESPONDENCE_MAILBOX%3D0%26Correspondence_ID%3D348327631"/>
    <x v="3"/>
    <x v="1"/>
    <x v="2"/>
  </r>
  <r>
    <x v="3"/>
    <x v="3"/>
    <s v="Elect-SUBRFI-000003:    3-compartment trunking"/>
    <x v="3"/>
    <s v="Drawing MTCC-WBS-ZZ-GD-DR-ME-50208 - Proposed Enabling Works High Level Sheet 1 of 2_P02. Confirm the route of the 3-compartment trunking. Should this be installed between existing external wall and new inner wall?"/>
    <x v="2"/>
    <d v="2026-01-27T11:59:00"/>
    <s v="Trunking for the services that sit behind the secure line must been run between the Remtech panel and the existing wall. these must not be brought back inside the secure line."/>
    <d v="2026-03-17T13:50:00"/>
    <s v="HBC-RTSCRFI-000034"/>
    <x v="0"/>
    <x v="2"/>
    <s v="https://uk1.aconex.co.uk/hub/index.html?mainTarget=%2FViewCorrespondence%3FPROJECT_ID%3D268457782%26CORRESPONDENCE_MAILBOX%3D0%26Correspondence_ID%3D348327754"/>
    <x v="3"/>
    <x v="1"/>
    <x v="2"/>
  </r>
  <r>
    <x v="3"/>
    <x v="5"/>
    <s v="Elect-SUBRFI-000004:    3-compartment trunking along gridline 20"/>
    <x v="3"/>
    <s v="Drawing MTCC-WBS-ZZ-GD-DR-ME-50208 - Proposed Enabling Works High Level Sheet 1 of 2_P02.  Can the new 3-compartment trunking along gridline 20 be installed between 2.5 &amp; 3.0 metres affl for future access. _x000a__x000a_If the trunking is routed between walls, does it need to be accessible in the future or will it be inaccessible when the inner wall is constructed.  The depth of void needs increasing to allow persons to access with steps if future access is required."/>
    <x v="2"/>
    <d v="2026-01-27T12:00:00"/>
    <m/>
    <m/>
    <s v="HBC-GC-000034"/>
    <x v="0"/>
    <x v="2"/>
    <s v="https://uk1.aconex.co.uk/hub/index.html?mainTarget=%2FViewCorrespondence%3FPROJECT_ID%3D268457782%26CORRESPONDENCE_MAILBOX%3D0%26Correspondence_ID%3D348328855"/>
    <x v="3"/>
    <x v="1"/>
    <x v="2"/>
  </r>
  <r>
    <x v="3"/>
    <x v="3"/>
    <s v="Elect-SUBRFI-000005:    Fire detection requirements within the new inner wall "/>
    <x v="3"/>
    <s v="Drawing MTCC-WBS-ZZ-GD-DR-ME-50208 - Proposed Enabling Works High Level Sheet 1 of 2_P02. Is fire detection required within the new inner wall being created?"/>
    <x v="2"/>
    <d v="2026-01-27T12:02:00"/>
    <m/>
    <m/>
    <s v="EDGEPS-CL-RFI-000004"/>
    <x v="0"/>
    <x v="3"/>
    <s v="https://uk1.aconex.co.uk/hub/index.html?mainTarget=%2FViewCorrespondence%3FPROJECT_ID%3D268457782%26CORRESPONDENCE_MAILBOX%3D0%26Correspondence_ID%3D348328905"/>
    <x v="3"/>
    <x v="0"/>
    <x v="2"/>
  </r>
  <r>
    <x v="3"/>
    <x v="3"/>
    <s v="Elect-SUBRFI-000006:    Electrical Isolations MTC process and permit system"/>
    <x v="3"/>
    <s v="Please provide confirm MTC process for Electrical Isolations. Do they have a permit system for us to follow?"/>
    <x v="2"/>
    <d v="2026-01-27T12:03:00"/>
    <m/>
    <m/>
    <s v="HBC-GC-000040"/>
    <x v="0"/>
    <x v="3"/>
    <s v="https://uk1.aconex.co.uk/hub/index.html?mainTarget=%2FViewCorrespondence%3FPROJECT_ID%3D268457782%26CORRESPONDENCE_MAILBOX%3D0%26Correspondence_ID%3D348328974"/>
    <x v="3"/>
    <x v="1"/>
    <x v="2"/>
  </r>
  <r>
    <x v="3"/>
    <x v="3"/>
    <s v="Elect-SUBRFI-000007:    Siemens Fire &amp; Security mobilisation period"/>
    <x v="3"/>
    <s v="Siemens Fire &amp; Security require 3 to 4 weeks to mobilize from placement of an order. This needs factoring in when programming works. No order has been placed yet."/>
    <x v="2"/>
    <d v="2026-01-27T12:04:00"/>
    <m/>
    <m/>
    <s v="HBC-GC-000041"/>
    <x v="0"/>
    <x v="4"/>
    <s v="https://uk1.aconex.co.uk/hub/index.html?mainTarget=%2FViewCorrespondence%3FPROJECT_ID%3D268457782%26CORRESPONDENCE_MAILBOX%3D0%26Correspondence_ID%3D348329016"/>
    <x v="3"/>
    <x v="1"/>
    <x v="2"/>
  </r>
  <r>
    <x v="2"/>
    <x v="6"/>
    <s v="Elect-SUBRFI-000008:    Electrical Condition Report"/>
    <x v="3"/>
    <s v="Can we have copies of the latest Electrical Condition Report for the area for reference purposes."/>
    <x v="2"/>
    <d v="2026-01-27T12:05:00"/>
    <m/>
    <m/>
    <s v="WAT.-GC-000001"/>
    <x v="0"/>
    <x v="0"/>
    <s v="https://uk1.aconex.co.uk/hub/index.html?mainTarget=%2FViewCorrespondence%3FPROJECT_ID%3D268457782%26CORRESPONDENCE_MAILBOX%3D0%26Correspondence_ID%3D348329048"/>
    <x v="2"/>
    <x v="1"/>
    <x v="2"/>
  </r>
  <r>
    <x v="2"/>
    <x v="1"/>
    <s v="Elect-SUBRFI-000009:    Existing As-installed drawings"/>
    <x v="3"/>
    <s v="Can we have copies of any previous as installed drawings for reference purposes."/>
    <x v="0"/>
    <d v="2026-01-27T12:05:00"/>
    <s v="Can we have an update on the requested please"/>
    <d v="2026-03-17T07:52:00"/>
    <s v="HBC-RTSCRFI-000033"/>
    <x v="0"/>
    <x v="0"/>
    <s v="https://uk1.aconex.co.uk/hub/index.html?mainTarget=%2FViewCorrespondence%3FPROJECT_ID%3D268457782%26CORRESPONDENCE_MAILBOX%3D0%26Correspondence_ID%3D348329071"/>
    <x v="2"/>
    <x v="0"/>
    <x v="0"/>
  </r>
  <r>
    <x v="0"/>
    <x v="3"/>
    <s v="Elect-SUBRFI-000010:    Waterman P02 as construction drawings"/>
    <x v="3"/>
    <s v="Confirm we are to work with Waterman P02 drawings for construction purposes."/>
    <x v="2"/>
    <d v="2026-01-27T12:06:00"/>
    <m/>
    <m/>
    <s v="HBC-GC-000042"/>
    <x v="0"/>
    <x v="0"/>
    <s v="https://uk1.aconex.co.uk/hub/index.html?mainTarget=%2FViewCorrespondence%3FPROJECT_ID%3D268457782%26CORRESPONDENCE_MAILBOX%3D0%26Correspondence_ID%3D348329100"/>
    <x v="0"/>
    <x v="1"/>
    <x v="2"/>
  </r>
  <r>
    <x v="3"/>
    <x v="3"/>
    <s v="Elect-SUBRFI-000011:    New walls as enabling works"/>
    <x v="3"/>
    <s v="Will the new walls be installed as part of the enabling works? We need to understand what we are fixing the perimeter items too and at what stage."/>
    <x v="2"/>
    <d v="2026-01-27T12:07:00"/>
    <s v="Yes"/>
    <d v="2026-03-11T15:35:00"/>
    <s v="HBC-RTSCRFI-000007"/>
    <x v="0"/>
    <x v="5"/>
    <s v="https://uk1.aconex.co.uk/hub/index.html?mainTarget=%2FViewCorrespondence%3FPROJECT_ID%3D268457782%26CORRESPONDENCE_MAILBOX%3D0%26Correspondence_ID%3D348329125"/>
    <x v="3"/>
    <x v="1"/>
    <x v="2"/>
  </r>
  <r>
    <x v="3"/>
    <x v="3"/>
    <s v="Elect-SUBRFI-000012:    Incumbent specialist dealing with the existing Siemens Lighting Controls"/>
    <x v="3"/>
    <s v="Can you please provide details on the Incumbent specialist dealing with the existing Siemens Lighting Controls. This will allow us to decommission the existing lighting."/>
    <x v="0"/>
    <d v="2026-02-19T13:25:00"/>
    <s v="Contact details for Siemens_x000a__x000a_Aaron Chilver_x000a__x000a_Siemens plc_x000a_RC-GB SI RSS-EMEA NB_x000a_Mobile: +44 7921245829_x000a_mailto:aaron.chilver@siemens.com"/>
    <d v="2026-02-25T09:13:00"/>
    <s v="HBC-GC-000045"/>
    <x v="0"/>
    <x v="5"/>
    <s v="https://uk1.aconex.co.uk/hub/index.html?mainTarget=%2FViewCorrespondence%3FPROJECT_ID%3D268457782%26CORRESPONDENCE_MAILBOX%3D0%26Correspondence_ID%3D348863858"/>
    <x v="3"/>
    <x v="0"/>
    <x v="0"/>
  </r>
  <r>
    <x v="2"/>
    <x v="6"/>
    <s v="Elect-SUBRFI-000013:    Enabling - Removal of Lighting System Impacts adjacent Cell"/>
    <x v="3"/>
    <s v="Enabling - Removal of Lighting System Impacts adjacent Cell"/>
    <x v="1"/>
    <d v="2026-03-18T08:22:00"/>
    <m/>
    <m/>
    <s v="HBC-GC-000048"/>
    <x v="0"/>
    <x v="0"/>
    <s v="https://uk1.aconex.co.uk/hub/index.html?mainTarget=%2FViewCorrespondence%3FPROJECT_ID%3D268457782%26CORRESPONDENCE_MAILBOX%3D0%26Correspondence_ID%3D349456721"/>
    <x v="2"/>
    <x v="0"/>
    <x v="11"/>
  </r>
  <r>
    <x v="2"/>
    <x v="3"/>
    <s v="Elect-SUBRFI-000014:    Enabling - New Route of Containment Required into Plantroom"/>
    <x v="3"/>
    <s v="Enabling - New Route of Containment Required into Plantroom"/>
    <x v="2"/>
    <d v="2026-03-18T08:27:00"/>
    <m/>
    <m/>
    <s v="HBC-GC-000047"/>
    <x v="0"/>
    <x v="0"/>
    <s v="https://uk1.aconex.co.uk/hub/index.html?mainTarget=%2FViewCorrespondence%3FPROJECT_ID%3D268457782%26CORRESPONDENCE_MAILBOX%3D0%26Correspondence_ID%3D349457090"/>
    <x v="2"/>
    <x v="1"/>
    <x v="2"/>
  </r>
  <r>
    <x v="1"/>
    <x v="6"/>
    <s v="Elect-SUBRFI-000015:    (Watermans) Strip Out/Enabling Drawings"/>
    <x v="3"/>
    <s v="(Watermans) Strip Out/Enabling Drawings in Revit/dwg format"/>
    <x v="1"/>
    <d v="2026-03-26T15:30:00"/>
    <m/>
    <m/>
    <s v="HBC-RFI-000110"/>
    <x v="0"/>
    <x v="0"/>
    <s v="https://uk1.aconex.co.uk/hub/index.html?mainTarget=%2FViewCorrespondence%3FPROJECT_ID%3D268457782%26CORRESPONDENCE_MAILBOX%3D0%26Correspondence_ID%3D349655284"/>
    <x v="1"/>
    <x v="0"/>
    <x v="12"/>
  </r>
  <r>
    <x v="3"/>
    <x v="3"/>
    <s v="HBC-RFI-000001:    Weight of Equipment / Machinery on New Raft Slab"/>
    <x v="4"/>
    <s v="Please could you provide the weight of the equipment/machinery that will be sitting on the new raft slab?"/>
    <x v="2"/>
    <d v="2026-02-02T08:33:00"/>
    <s v="See below loading. The setting out can be found on within the architectural pack."/>
    <d v="2026-02-25T09:07:00"/>
    <s v="WAT-RTRFI-000002"/>
    <x v="0"/>
    <x v="6"/>
    <s v="https://uk1.aconex.co.uk/hub/index.html?mainTarget=%2FViewCorrespondence%3FPROJECT_ID%3D268457782%26CORRESPONDENCE_MAILBOX%3D0%26Correspondence_ID%3D348440008"/>
    <x v="3"/>
    <x v="0"/>
    <x v="2"/>
  </r>
  <r>
    <x v="2"/>
    <x v="7"/>
    <s v="HBC-RFI-000002:    Buidling Control Stage 3 Plan assessment"/>
    <x v="4"/>
    <s v="Budiling Control stage 3 Plan Assessement"/>
    <x v="2"/>
    <d v="2026-02-13T15:10:00"/>
    <s v="Please see attached response from Warwick DC regarding the building regs application. Please note the inspection requirements in the letter to be picked up by HB."/>
    <d v="2026-03-27T13:48:00"/>
    <s v="HBC-RTSCRFI-000042"/>
    <x v="0"/>
    <x v="0"/>
    <s v="https://uk1.aconex.co.uk/hub/index.html?mainTarget=%2FViewCorrespondence%3FPROJECT_ID%3D268457782%26CORRESPONDENCE_MAILBOX%3D0%26Correspondence_ID%3D348741858"/>
    <x v="2"/>
    <x v="0"/>
    <x v="2"/>
  </r>
  <r>
    <x v="3"/>
    <x v="3"/>
    <s v="HBC-RFI-000009:    Design assumptions clarifications"/>
    <x v="4"/>
    <s v="Design assumptions clarifications"/>
    <x v="7"/>
    <d v="2026-02-19T16:44:00"/>
    <s v="MTC Initial MEP Design Review - response"/>
    <d v="2026-02-26T09:39:00"/>
    <s v="EDGEPS-RTRFI-000003"/>
    <x v="0"/>
    <x v="7"/>
    <s v="https://uk1.aconex.co.uk/hub/index.html?mainTarget=%2FViewCorrespondence%3FPROJECT_ID%3D268457782%26CORRESPONDENCE_MAILBOX%3D0%26Correspondence_ID%3D348872326"/>
    <x v="3"/>
    <x v="0"/>
    <x v="13"/>
  </r>
  <r>
    <x v="2"/>
    <x v="6"/>
    <s v="HBC-RFI-000010:    Clarifcations on Enabling works"/>
    <x v="4"/>
    <s v="Clarifcations on Enabling works"/>
    <x v="2"/>
    <d v="2026-02-20T09:57:00"/>
    <m/>
    <m/>
    <s v="WAT.-GC-000006"/>
    <x v="0"/>
    <x v="0"/>
    <s v="https://uk1.aconex.co.uk/hub/index.html?mainTarget=%2FViewCorrespondence%3FPROJECT_ID%3D268457782%26CORRESPONDENCE_MAILBOX%3D0%26Correspondence_ID%3D348883893"/>
    <x v="2"/>
    <x v="1"/>
    <x v="2"/>
  </r>
  <r>
    <x v="0"/>
    <x v="8"/>
    <s v="HBC-RFI-000011:    Pile cap size and setting out"/>
    <x v="4"/>
    <s v="Pile cap size and setting out"/>
    <x v="8"/>
    <d v="2026-02-24T14:40:00"/>
    <s v="See below response"/>
    <d v="2026-02-24T15:23:00"/>
    <s v="WAT-RTRFI-000001"/>
    <x v="0"/>
    <x v="0"/>
    <s v="https://uk1.aconex.co.uk/hub/index.html?mainTarget=%2FViewCorrespondence%3FPROJECT_ID%3D268457782%26CORRESPONDENCE_MAILBOX%3D0%26Correspondence_ID%3D348963523"/>
    <x v="0"/>
    <x v="0"/>
    <x v="14"/>
  </r>
  <r>
    <x v="0"/>
    <x v="8"/>
    <s v="HBC-RFI-000012:    Mezz support steels"/>
    <x v="4"/>
    <s v="Utilizing security panel support steels for Mezz support"/>
    <x v="4"/>
    <d v="2026-02-26T07:57:00"/>
    <s v="see response below."/>
    <d v="2026-02-26T10:41:00"/>
    <s v="WAT-RTRFI-000006"/>
    <x v="0"/>
    <x v="0"/>
    <s v="https://uk1.aconex.co.uk/hub/index.html?mainTarget=%2FViewCorrespondence%3FPROJECT_ID%3D268457782%26CORRESPONDENCE_MAILBOX%3D0%26Correspondence_ID%3D349009007"/>
    <x v="0"/>
    <x v="0"/>
    <x v="7"/>
  </r>
  <r>
    <x v="0"/>
    <x v="8"/>
    <s v="HBC-RFI-000013:    Replace concrete decking for 38mm decking"/>
    <x v="4"/>
    <s v="Replace concrete decking for 38mm decking"/>
    <x v="1"/>
    <d v="2026-02-26T08:03:00"/>
    <s v="Please utilise concrete and not the 38mm decking"/>
    <d v="2026-02-26T11:51:00"/>
    <s v="FDG-RTRFI-000001"/>
    <x v="0"/>
    <x v="0"/>
    <s v="https://uk1.aconex.co.uk/hub/index.html?mainTarget=%2FViewCorrespondence%3FPROJECT_ID%3D268457782%26CORRESPONDENCE_MAILBOX%3D0%26Correspondence_ID%3D349009079"/>
    <x v="0"/>
    <x v="0"/>
    <x v="1"/>
  </r>
  <r>
    <x v="0"/>
    <x v="8"/>
    <s v="HBC-RFI-000014:    Lidded areas"/>
    <x v="4"/>
    <s v="Lidded areas"/>
    <x v="4"/>
    <d v="2026-02-26T08:06:00"/>
    <s v="Lidded areas to be as drawn on the Fairhurst drawings"/>
    <d v="2026-03-23T16:48:00"/>
    <s v="HBC-RTSCRFI-000041"/>
    <x v="0"/>
    <x v="0"/>
    <s v="https://uk1.aconex.co.uk/hub/index.html?mainTarget=%2FViewCorrespondence%3FPROJECT_ID%3D268457782%26CORRESPONDENCE_MAILBOX%3D0%26Correspondence_ID%3D349009222"/>
    <x v="0"/>
    <x v="0"/>
    <x v="7"/>
  </r>
  <r>
    <x v="0"/>
    <x v="8"/>
    <s v="HBC-RFI-000015:    Fire alarm - Aspirating Pipework "/>
    <x v="4"/>
    <s v="•_x0009_Aspirating pipework design – has this be designed by a specialist? _x000a_•_x0009_Details of retained Aspirating pipework need to be provided / detailed?"/>
    <x v="1"/>
    <d v="2026-02-26T08:42:00"/>
    <s v="WBS - RIBA Stage 3 indication of design intent by WBS in house with input from Siemens (Aaron Chivers) who is familiar with the installation. Design based upon the installation of new pipework throughout. Should Contractor chose to retain any of the existing then validation report required for review by the MTC"/>
    <d v="2026-02-26T08:43:00"/>
    <s v="WAT.-RTRFI-000001"/>
    <x v="0"/>
    <x v="0"/>
    <s v="https://uk1.aconex.co.uk/hub/index.html?mainTarget=%2FViewCorrespondence%3FPROJECT_ID%3D268457782%26CORRESPONDENCE_MAILBOX%3D0%26Correspondence_ID%3D349010130"/>
    <x v="0"/>
    <x v="0"/>
    <x v="1"/>
  </r>
  <r>
    <x v="0"/>
    <x v="8"/>
    <s v="HBC-RFI-000016:    Security Zones drawings"/>
    <x v="4"/>
    <s v="•_x0009_Security zones drawing has not been provided; please provide this information?"/>
    <x v="1"/>
    <d v="2026-02-26T08:45:00"/>
    <s v="This has now been provided by Edge 24.02.2026 and issued out 25.02.2026"/>
    <d v="2026-02-26T08:48:00"/>
    <s v="HBC-RTRFI-000001"/>
    <x v="0"/>
    <x v="0"/>
    <s v="https://uk1.aconex.co.uk/hub/index.html?mainTarget=%2FViewCorrespondence%3FPROJECT_ID%3D268457782%26CORRESPONDENCE_MAILBOX%3D0%26Correspondence_ID%3D349010358"/>
    <x v="0"/>
    <x v="0"/>
    <x v="1"/>
  </r>
  <r>
    <x v="0"/>
    <x v="8"/>
    <s v="HBC-RFI-000017:    Electrical AFDDs"/>
    <x v="4"/>
    <s v="•AFDD noted in specification are these required?"/>
    <x v="1"/>
    <d v="2026-02-26T08:48:00"/>
    <s v="WBS - For this building type AFDD is a recommendation only for single phase outlets not exceeding 32A. To be discussed with the MTC, the opinion of WBS is that this is not required for this building."/>
    <d v="2026-02-26T08:50:00"/>
    <s v="WAT.-RTRFI-000003"/>
    <x v="0"/>
    <x v="0"/>
    <s v="https://uk1.aconex.co.uk/hub/index.html?mainTarget=%2FViewCorrespondence%3FPROJECT_ID%3D268457782%26CORRESPONDENCE_MAILBOX%3D0%26Correspondence_ID%3D349010567"/>
    <x v="0"/>
    <x v="0"/>
    <x v="1"/>
  </r>
  <r>
    <x v="2"/>
    <x v="5"/>
    <s v="HBC-RFI-000018:    Atex Zones"/>
    <x v="4"/>
    <s v="•Atex zones need to show on the drawings and coordinated on an electrical drawing – can this be provided please."/>
    <x v="2"/>
    <d v="2026-02-26T08:51:00"/>
    <s v="WBS - To be addressed as part of RIBA Stage 4 with MTC. This action is currently with the MTC/client to advise"/>
    <d v="2026-02-26T08:53:00"/>
    <s v="HBC-GC-000051"/>
    <x v="0"/>
    <x v="0"/>
    <s v="https://uk1.aconex.co.uk/hub/index.html?mainTarget=%2FViewCorrespondence%3FPROJECT_ID%3D268457782%26CORRESPONDENCE_MAILBOX%3D0%26Correspondence_ID%3D349010704"/>
    <x v="2"/>
    <x v="0"/>
    <x v="2"/>
  </r>
  <r>
    <x v="0"/>
    <x v="8"/>
    <s v="HBC-RFI-000019:    Emergency Lighting &amp; high risk lighting"/>
    <x v="4"/>
    <s v="•_x0009_High-risk emergency lighting needs to be detailed this is not currently shown – please provided areas requiring High risk lighting?_x000a_•_x0009_High bay emergency lighting has been removed, and integral 3hr liner fittings have been shown, this appears the incorrect method for this large area and if high-risk lighting is required._x000a_•_x0009_Emergency lighting – Please confirm test method? 3 methods shown."/>
    <x v="1"/>
    <d v="2026-02-26T08:55:00"/>
    <s v="WBS - High risk lighting areas are deemed to be the main workshop area._x000a_RIBA Stage 3 indication of design intent. Final design of luminaires and final selection to be agreed with MTC/Fire Officer as part of RIBA Stage 4 design works._x000a_Emergency lighting testing method to be selected to suit the solution for how the emergency lighting to be provided."/>
    <d v="2026-02-26T08:56:00"/>
    <s v="WAT.-RTRFI-000005"/>
    <x v="0"/>
    <x v="0"/>
    <s v="https://uk1.aconex.co.uk/hub/index.html?mainTarget=%2FViewCorrespondence%3FPROJECT_ID%3D268457782%26CORRESPONDENCE_MAILBOX%3D0%26Correspondence_ID%3D349010841"/>
    <x v="0"/>
    <x v="0"/>
    <x v="1"/>
  </r>
  <r>
    <x v="3"/>
    <x v="3"/>
    <s v="HBC-RFI-000020:    MEP Specification items not needed"/>
    <x v="4"/>
    <s v="Items still left in specification despite noted as not required on tracker, assume not needed:_x000a_Sprinker and Fire alarm items. Pagers , Vibrating Pillows."/>
    <x v="1"/>
    <d v="2026-02-26T08:57:00"/>
    <s v="WBS - Confirmed not required."/>
    <d v="2026-02-26T08:58:00"/>
    <s v="WAT.-RTRFI-000006"/>
    <x v="0"/>
    <x v="8"/>
    <s v="https://uk1.aconex.co.uk/hub/index.html?mainTarget=%2FViewCorrespondence%3FPROJECT_ID%3D268457782%26CORRESPONDENCE_MAILBOX%3D0%26Correspondence_ID%3D349010955"/>
    <x v="3"/>
    <x v="0"/>
    <x v="1"/>
  </r>
  <r>
    <x v="3"/>
    <x v="3"/>
    <s v="HBC-RFI-000021:    UPS "/>
    <x v="4"/>
    <s v="• UPS supplies noted in standard cables, Tracker states to be fire rated now, Updated LV schematic show non fire rated, assume these are to be fire rated now?  assume fire survival time taken also in to account and these have been increased by two conductor sizes as stipulated in the BS."/>
    <x v="1"/>
    <d v="2026-02-26T08:59:00"/>
    <s v="WBS - Cables for UPS supplies to be fire rated."/>
    <d v="2026-02-26T09:00:00"/>
    <s v="WAT.-RTRFI-000007"/>
    <x v="0"/>
    <x v="9"/>
    <s v="https://uk1.aconex.co.uk/hub/index.html?mainTarget=%2FViewCorrespondence%3FPROJECT_ID%3D268457782%26CORRESPONDENCE_MAILBOX%3D0%26Correspondence_ID%3D349011057"/>
    <x v="3"/>
    <x v="0"/>
    <x v="1"/>
  </r>
  <r>
    <x v="0"/>
    <x v="8"/>
    <s v="HBC-RFI-000022:    Generator quantity and requirements"/>
    <x v="4"/>
    <s v="•_x0009_Generator fuel polishing noted now in Tender query return but not in the updated specification – assumed required?_x000a_Two Generators shown on drawing, assume only one required ?"/>
    <x v="1"/>
    <d v="2026-02-26T09:02:00"/>
    <s v="WBS - Fuel polishing required for generator fuel_x000a_1No. 1500kVA generator set only required."/>
    <d v="2026-02-26T09:03:00"/>
    <s v="WAT.-RTRFI-000008"/>
    <x v="0"/>
    <x v="0"/>
    <s v="https://uk1.aconex.co.uk/hub/index.html?mainTarget=%2FViewCorrespondence%3FPROJECT_ID%3D268457782%26CORRESPONDENCE_MAILBOX%3D0%26Correspondence_ID%3D349011137"/>
    <x v="0"/>
    <x v="0"/>
    <x v="1"/>
  </r>
  <r>
    <x v="0"/>
    <x v="8"/>
    <s v="HBC-RFI-000023:    Fire Strategy"/>
    <x v="4"/>
    <s v="•_x0009_Please provide fire strategy."/>
    <x v="0"/>
    <d v="2026-02-26T09:10:00"/>
    <s v="Fire Strategy will form part of the HAZZOP which is being developed by MTC representative. Fire Alarm Specialist contractor to develop strategy as part of RIBA Stage 4."/>
    <d v="2026-02-26T09:11:00"/>
    <s v="EDGEPS-RTRFI-000002"/>
    <x v="0"/>
    <x v="0"/>
    <s v="https://uk1.aconex.co.uk/hub/index.html?mainTarget=%2FViewCorrespondence%3FPROJECT_ID%3D268457782%26CORRESPONDENCE_MAILBOX%3D0%26Correspondence_ID%3D349011257"/>
    <x v="0"/>
    <x v="0"/>
    <x v="0"/>
  </r>
  <r>
    <x v="0"/>
    <x v="8"/>
    <s v="HBC-RFI-000024:    Space Heating Demands"/>
    <x v="4"/>
    <s v="•_x0009_Stage 3 design only accounts for the heating of the air volumes and not space heating demands."/>
    <x v="1"/>
    <d v="2026-02-26T09:14:00"/>
    <s v="Fabric and infiltration heat losses haven't been calculated for this RIBA3 issue but there is an intention to take this into account during RIBA4."/>
    <d v="2026-02-26T09:15:00"/>
    <s v="WAT.-RTRFI-000009"/>
    <x v="0"/>
    <x v="0"/>
    <s v="https://uk1.aconex.co.uk/hub/index.html?mainTarget=%2FViewCorrespondence%3FPROJECT_ID%3D268457782%26CORRESPONDENCE_MAILBOX%3D0%26Correspondence_ID%3D349011653"/>
    <x v="0"/>
    <x v="0"/>
    <x v="1"/>
  </r>
  <r>
    <x v="0"/>
    <x v="8"/>
    <s v="HBC-RFI-000025:    Cooling Load Assessment"/>
    <x v="4"/>
    <s v="•_x0009_No cooling load assessment has been carried out at stage 3."/>
    <x v="1"/>
    <d v="2026-02-26T09:17:00"/>
    <s v="Refer to Alpha RFI ref 40. Cooling load for equipment and associated operating diversity is still subject to RFI. The use of the existing AHUs provides a maximum cooling capacity based on a given maximum flow rate and an optimally maximum supply to room delta t. MTC will need to advise whether this is sufficient for the expected individual equipment loads / operating diversity. Solar and transmittance loads have not been taken account of but are expected to be minimal due to the total lack of glazing."/>
    <d v="2026-02-26T09:20:00"/>
    <s v="WAT.-RTRFI-000010"/>
    <x v="0"/>
    <x v="0"/>
    <s v="https://uk1.aconex.co.uk/hub/index.html?mainTarget=%2FViewCorrespondence%3FPROJECT_ID%3D268457782%26CORRESPONDENCE_MAILBOX%3D0%26Correspondence_ID%3D349011807"/>
    <x v="0"/>
    <x v="0"/>
    <x v="1"/>
  </r>
  <r>
    <x v="0"/>
    <x v="8"/>
    <s v="HBC-RFI-000026:    Ventilation - Alpha reports"/>
    <x v="4"/>
    <s v="•_x0009_Alpha Technical Report states “potential cooling coil (served by the new ASHP)” and that it may be necessary to provide cooling coils to the existing supply AHUs via new frost coils &amp; ASHP. _x000a_•_x0009_Alpha Technical Report only states “supplementary heating and cooling of the C0 areas is proposed with new in room AC units as required” - No concept sizes provided_x000a_•_x0009_Alpha Report states X-ray cooling system may be excessive and impact HVAC design – Please provide details."/>
    <x v="0"/>
    <d v="2026-02-26T09:48:00"/>
    <s v="There is space in the existing AHUs to accommodate cooling coils. The existing frost coils are LPHW. _x000a__x000a_There has been no design development carried out for supplementary cooling / heating of the C0 areas. The RIBA3 G.A.s show the use of air to air reversible heat pumps. This has subsequently been deemed inappropriate due to the need for third parties to access the secure facility to carry out maintenance activities. The expectation is that the RIBA4 design will change this arrangement to include zoned air supply with cooling / re-heat coils located outside of the secure area._x000a__x000a_The cooling  load for the X-ray equipment has not yet been identified but is expected to be captured during RIBA4."/>
    <d v="2026-02-26T10:08:00"/>
    <s v="WAT.-RTRFI-000011"/>
    <x v="0"/>
    <x v="0"/>
    <s v="https://uk1.aconex.co.uk/hub/index.html?mainTarget=%2FViewCorrespondence%3FPROJECT_ID%3D268457782%26CORRESPONDENCE_MAILBOX%3D0%26Correspondence_ID%3D349012000"/>
    <x v="0"/>
    <x v="0"/>
    <x v="15"/>
  </r>
  <r>
    <x v="0"/>
    <x v="8"/>
    <s v="HBC-RFI-000027:    Refrigerant requiremenets"/>
    <x v="4"/>
    <s v="No refrigerant specified – Is leak detection, alarms, automatic isolation required?"/>
    <x v="1"/>
    <d v="2026-02-26T10:11:00"/>
    <s v="WBS have included provision for the O₂ depletion detection system within the secure facility, as shown on the layouts, mainly shown on 200SF4-WBS-01-GF-DR-M-54201 (P06) and detailed in the specification. _x000a_The system provides the monitoring and alarm strategy associated with oxygen displacement risks within SF4, noting the gas detection panel located in the entrance lobby and sounder / beacons located within the SF4 facilities.  _x000a__x000a_Following this HAZOP, particularly under fault, purge, emergency shutdown or loss of power scenarios has not yet been confirmed by the client team.  Any additional design measures / changes to the emergency Argon strategy or enhanced local alarms, can be incorporated into the RIBA Stage 4 contractor design package._x000a_At this stage, therefore, the design intent is:_x000a_• Stage 3 (WBS): O₂ depletion system included and shown on layouts._x000a_• Stage 4 (Contractor): To be defined and incorporated if identified by the HAZOP"/>
    <d v="2026-03-17T14:14:00"/>
    <s v="HBC-RTSCRFI-000037"/>
    <x v="0"/>
    <x v="0"/>
    <s v="https://uk1.aconex.co.uk/hub/index.html?mainTarget=%2FViewCorrespondence%3FPROJECT_ID%3D268457782%26CORRESPONDENCE_MAILBOX%3D0%26Correspondence_ID%3D349014098"/>
    <x v="0"/>
    <x v="0"/>
    <x v="1"/>
  </r>
  <r>
    <x v="3"/>
    <x v="3"/>
    <s v="HBC-RFI-000028:    Plant Deck Coordination and Combined Services"/>
    <x v="4"/>
    <s v="Has plant deck special co-ordination accounting for all equipment and specialist design been carried out? Please provide Combines Services Roof Plant Deck Layouts."/>
    <x v="1"/>
    <d v="2026-02-26T10:12:00"/>
    <s v="Yes - Coordinated plan drawings to be issued by WBS on Monday 23rd c/w Issue sheet."/>
    <d v="2026-02-26T10:14:00"/>
    <s v="WAT.-RTRFI-000012"/>
    <x v="0"/>
    <x v="10"/>
    <s v="https://uk1.aconex.co.uk/hub/index.html?mainTarget=%2FViewCorrespondence%3FPROJECT_ID%3D268457782%26CORRESPONDENCE_MAILBOX%3D0%26Correspondence_ID%3D349014211"/>
    <x v="3"/>
    <x v="0"/>
    <x v="1"/>
  </r>
  <r>
    <x v="0"/>
    <x v="8"/>
    <s v="HBC-RFI-000029:    Drainage Layouts TBC equipment"/>
    <x v="4"/>
    <s v="Drainage Layouts state some areas/equipment still TBC (I.e. AS01) – Please provide information."/>
    <x v="1"/>
    <d v="2026-02-26T10:21:00"/>
    <s v="WBS - To be develop by HB - Note should reference AS02 as drainage tanks beneath platform. Closed"/>
    <d v="2026-02-26T10:22:00"/>
    <s v="WAT-RTRFI-000003"/>
    <x v="0"/>
    <x v="0"/>
    <s v="https://uk1.aconex.co.uk/hub/index.html?mainTarget=%2FViewCorrespondence%3FPROJECT_ID%3D268457782%26CORRESPONDENCE_MAILBOX%3D0%26Correspondence_ID%3D349014419"/>
    <x v="0"/>
    <x v="0"/>
    <x v="1"/>
  </r>
  <r>
    <x v="0"/>
    <x v="8"/>
    <s v="HBC-RFI-000030:    Water services - schedule TBC items"/>
    <x v="4"/>
    <s v="Water Services - Water Schematics provided – Process Water Schedule identifies many items still TBC – Please provide information."/>
    <x v="1"/>
    <d v="2026-02-26T10:31:00"/>
    <s v="WBS - Process Tanks and primary pumps sizes as detailed on layout / schedules. HB to take forward and confirm as part of  RIBA Stage 4 design works"/>
    <d v="2026-02-26T10:32:00"/>
    <s v="WAT.-RTRFI-000013"/>
    <x v="0"/>
    <x v="0"/>
    <s v="https://uk1.aconex.co.uk/hub/index.html?mainTarget=%2FViewCorrespondence%3FPROJECT_ID%3D268457782%26CORRESPONDENCE_MAILBOX%3D0%26Correspondence_ID%3D349014756"/>
    <x v="0"/>
    <x v="0"/>
    <x v="1"/>
  </r>
  <r>
    <x v="0"/>
    <x v="8"/>
    <s v="HBC-RFI-000031:    Water Services - Specification risk"/>
    <x v="4"/>
    <s v="Specification states “Final tank capacity, booster-set duty requirements, operational sequencing, resilience philosophy, and all associated safety considerations shall be developed and confirmed by the Contractor as part of the detailed design and shall be subject to HAZOP review and approval” Risk to Program / Cost"/>
    <x v="1"/>
    <d v="2026-02-26T10:39:00"/>
    <s v="RIBA Stage 3 satisfies design intent. Process Tanks and primary pumps sizes detailed on layout / schedules. Operating pressures/flows to be coordinated in Stage 4 once EM data is provided."/>
    <d v="2026-02-26T10:45:00"/>
    <s v="WAT.-RTRFI-000014"/>
    <x v="0"/>
    <x v="0"/>
    <s v="https://uk1.aconex.co.uk/hub/index.html?mainTarget=%2FViewCorrespondence%3FPROJECT_ID%3D268457782%26CORRESPONDENCE_MAILBOX%3D0%26Correspondence_ID%3D349015159"/>
    <x v="0"/>
    <x v="0"/>
    <x v="1"/>
  </r>
  <r>
    <x v="0"/>
    <x v="8"/>
    <s v="HBC-RFI-000032:    Compressed Air - schematics"/>
    <x v="4"/>
    <s v="Compressed Air Schematic/specification – Pressures and flow rates still TBC in many instances – Please provide information"/>
    <x v="1"/>
    <d v="2026-02-26T10:48:00"/>
    <s v="TBC items depend on final machine data. Stage 3 satisfies design intent; final operating pressures/flows to be coordinated in Stage 4 once EM data is provided"/>
    <d v="2026-02-26T10:49:00"/>
    <s v="WAT.-RTRFI-000015"/>
    <x v="0"/>
    <x v="0"/>
    <s v="https://uk1.aconex.co.uk/hub/index.html?mainTarget=%2FViewCorrespondence%3FPROJECT_ID%3D268457782%26CORRESPONDENCE_MAILBOX%3D0%26Correspondence_ID%3D349015793"/>
    <x v="0"/>
    <x v="0"/>
    <x v="1"/>
  </r>
  <r>
    <x v="0"/>
    <x v="8"/>
    <s v="HBC-RFI-000033:    Compressed Air - Specification"/>
    <x v="4"/>
    <s v="Specification states “Operational requirements, duty cycle and usage profile of the compressed air system remain unknown at this stage. The Final operation and control strategy shall be confirmed and fully reviewed at the next design stage once end-user input and equipment specific data becomes available” Risk to programme / cost. Please provide updated information."/>
    <x v="1"/>
    <d v="2026-02-26T10:50:00"/>
    <s v="TBC items depend on final machine data. Stage 3 satisfies design intent; final operating pressures/flows to be coordinated in Stage 4 once EM data is provided"/>
    <d v="2026-02-26T10:51:00"/>
    <s v="WAT.-RTRFI-000016"/>
    <x v="0"/>
    <x v="0"/>
    <s v="https://uk1.aconex.co.uk/hub/index.html?mainTarget=%2FViewCorrespondence%3FPROJECT_ID%3D268457782%26CORRESPONDENCE_MAILBOX%3D0%26Correspondence_ID%3D349015873"/>
    <x v="0"/>
    <x v="0"/>
    <x v="1"/>
  </r>
  <r>
    <x v="0"/>
    <x v="8"/>
    <s v="HBC-RFI-000034:    Specification - Emergency Lighting"/>
    <x v="4"/>
    <s v="Emergency Lighting spec is all over the place - manual key switch, self test, monitored, central battery etc."/>
    <x v="1"/>
    <d v="2026-02-26T10:53:00"/>
    <s v="WBS - The stage 3 specification offers opportunity for design development during Stage 4. Taking into account minimising routine maintenance into the secure areas."/>
    <d v="2026-02-26T10:54:00"/>
    <s v="WAT.-RTRFI-000017"/>
    <x v="0"/>
    <x v="0"/>
    <s v="https://uk1.aconex.co.uk/hub/index.html?mainTarget=%2FViewCorrespondence%3FPROJECT_ID%3D268457782%26CORRESPONDENCE_MAILBOX%3D0%26Correspondence_ID%3D349015972"/>
    <x v="0"/>
    <x v="0"/>
    <x v="1"/>
  </r>
  <r>
    <x v="0"/>
    <x v="8"/>
    <s v="HBC-RFI-000035:    Specification - LV Cable Sizes"/>
    <x v="4"/>
    <s v="Cable sizes for main LV cables are massively undersized"/>
    <x v="1"/>
    <d v="2026-02-26T14:35:00"/>
    <s v="WBS - RIBA Stage 3 indication of design intent. Final selection of all cabling including sizes to be developed as part of RIBA Stage 4 design for review."/>
    <d v="2026-02-26T14:35:00"/>
    <s v="WAT.-RTRFI-000018"/>
    <x v="0"/>
    <x v="0"/>
    <s v="https://uk1.aconex.co.uk/hub/index.html?mainTarget=%2FViewCorrespondence%3FPROJECT_ID%3D268457782%26CORRESPONDENCE_MAILBOX%3D0%26Correspondence_ID%3D349023874"/>
    <x v="0"/>
    <x v="0"/>
    <x v="1"/>
  </r>
  <r>
    <x v="0"/>
    <x v="8"/>
    <s v="HBC-RFI-000036:    Specification - Main incomers"/>
    <x v="4"/>
    <s v="Main Incomers on Main Switchboard are incorrect and rated at 4000A. HV Transformers are shown as 3000kVA but a side note says this is to be 1500kVA."/>
    <x v="1"/>
    <d v="2026-02-26T14:37:00"/>
    <s v="WBS - RIBA Stage 3 depicts incorrectly sized protective device. Stage 3 design based upon 2No. 1.5MVA transformers. Stage 4 design to validate the load assessment and develop as part of their Stage 4 design."/>
    <d v="2026-02-26T14:37:00"/>
    <s v="WAT.-RTRFI-000019"/>
    <x v="0"/>
    <x v="0"/>
    <s v="https://uk1.aconex.co.uk/hub/index.html?mainTarget=%2FViewCorrespondence%3FPROJECT_ID%3D268457782%26CORRESPONDENCE_MAILBOX%3D0%26Correspondence_ID%3D349024725"/>
    <x v="0"/>
    <x v="0"/>
    <x v="1"/>
  </r>
  <r>
    <x v="0"/>
    <x v="8"/>
    <s v="HBC-RFI-000037:    Specification - ladder rack"/>
    <x v="4"/>
    <s v="Ladder rack still identified going up the external side of the building."/>
    <x v="1"/>
    <d v="2026-02-26T14:43:00"/>
    <s v="WBS - Revision P07 of the layout indicates the ladder containment to be internal and should be the basis for the Stage 4 design."/>
    <d v="2026-02-26T14:44:00"/>
    <s v="WAT.-RTRFI-000020"/>
    <x v="0"/>
    <x v="0"/>
    <s v="https://uk1.aconex.co.uk/hub/index.html?mainTarget=%2FViewCorrespondence%3FPROJECT_ID%3D268457782%26CORRESPONDENCE_MAILBOX%3D0%26Correspondence_ID%3D349024781"/>
    <x v="0"/>
    <x v="0"/>
    <x v="1"/>
  </r>
  <r>
    <x v="0"/>
    <x v="8"/>
    <s v="HBC-RFI-000038:    Specification - Tempest filters"/>
    <x v="4"/>
    <s v="Tempest filters shown at 1200A but fuse protection from main panel are shown as 1250A. This is conflicted and we would need to increase the filter to the 1600A version. For example, the 1200A version is £40k and the 1600A version is £110k."/>
    <x v="1"/>
    <d v="2026-02-26T14:56:00"/>
    <s v="WBS - Stage 4 Designers to verify and validate loadings and develop as part of their Stage 4 design. Please also note 1200A rated fuse is available to match the sizes of the Power filters shown."/>
    <d v="2026-02-26T14:56:00"/>
    <s v="WAT.-RTRFI-000021"/>
    <x v="0"/>
    <x v="0"/>
    <s v="https://uk1.aconex.co.uk/hub/index.html?mainTarget=%2FViewCorrespondence%3FPROJECT_ID%3D268457782%26CORRESPONDENCE_MAILBOX%3D0%26Correspondence_ID%3D349025156"/>
    <x v="0"/>
    <x v="0"/>
    <x v="1"/>
  </r>
  <r>
    <x v="0"/>
    <x v="8"/>
    <s v="HBC-RFI-000039:    Specification - Submains / DBs / UPS / Illuminance"/>
    <x v="4"/>
    <s v="1. Spec says essential submains should be FP600, no FP600 submains shown on schematics - only SWA._x000a_2. Spec mentions both 20% and 25% spare on distribution boards. Which is true?_x000a_3. Clarification on UPS size required 175kW N+1 or 200kW N? Former has much more resilience, latter is more cost effective and still provides resilience, albeit limited._x000a_4. Illuminance uniformity levels contradict each other in spec, 0.4/0.6 in table and 0.8 in body of text."/>
    <x v="1"/>
    <d v="2026-02-26T14:59:00"/>
    <s v="1. WBS - No essential supplies, generator backed provision only for safe shutdown_x000a_2. WBS - Stage 4 design to provide Distribution Boards with 25% spare capacity._x000a_3. WBS - 175kW N+1 to be provided._x000a_4. WBS - values of 0.4/0.6 in table to be used."/>
    <d v="2026-02-26T15:00:00"/>
    <s v="WAT.-RTRFI-000022"/>
    <x v="0"/>
    <x v="0"/>
    <s v="https://uk1.aconex.co.uk/hub/index.html?mainTarget=%2FViewCorrespondence%3FPROJECT_ID%3D268457782%26CORRESPONDENCE_MAILBOX%3D0%26Correspondence_ID%3D349025709"/>
    <x v="0"/>
    <x v="0"/>
    <x v="1"/>
  </r>
  <r>
    <x v="0"/>
    <x v="8"/>
    <s v="HBC-RFI-000040:    Specification Secure walls - Penetrations / fixings"/>
    <x v="4"/>
    <s v="1. MTC standard details for penetrations through walls?_x000a_2. Details of secure wall build ups for fixings / penetrations etc."/>
    <x v="1"/>
    <d v="2026-02-26T15:17:00"/>
    <s v="1. Standard penetration details are included at Stage 3 Package; Contractor must adapt these for final construction as part of Stage 4 design. Taking into account the security accreditation required to meet NPSA accreditation._x000a_2. Standard details are provided by the wall panelling manufacturer to ensure compliance to NPSA requirements. Typical details on structural detail drawings."/>
    <d v="2026-02-26T15:19:00"/>
    <s v="WAT.-RTRFI-000023"/>
    <x v="0"/>
    <x v="0"/>
    <s v="https://uk1.aconex.co.uk/hub/index.html?mainTarget=%2FViewCorrespondence%3FPROJECT_ID%3D268457782%26CORRESPONDENCE_MAILBOX%3D0%26Correspondence_ID%3D349026384"/>
    <x v="0"/>
    <x v="0"/>
    <x v="16"/>
  </r>
  <r>
    <x v="0"/>
    <x v="8"/>
    <s v="HBC-RFI-000041:    Specification - Generator"/>
    <x v="4"/>
    <s v="Generator runtime / autonomy?"/>
    <x v="0"/>
    <d v="2026-02-26T15:43:00"/>
    <s v="WBS - RIBA Stage 3 stipulates 12 hours +10%. Final generator runtime requirements to be confirmed with MTC."/>
    <d v="2026-02-26T15:46:00"/>
    <s v="WAT.-RTRFI-000024"/>
    <x v="0"/>
    <x v="0"/>
    <s v="https://uk1.aconex.co.uk/hub/index.html?mainTarget=%2FViewCorrespondence%3FPROJECT_ID%3D268457782%26CORRESPONDENCE_MAILBOX%3D0%26Correspondence_ID%3D349026745"/>
    <x v="0"/>
    <x v="0"/>
    <x v="15"/>
  </r>
  <r>
    <x v="0"/>
    <x v="8"/>
    <s v="HBC-RFI-000042:    Specifications - PIRs or Microwave detectors"/>
    <x v="4"/>
    <s v="Microwave detectors are shown on lighting drawings, PIR's in spec? PIR's would be more appropriate."/>
    <x v="1"/>
    <d v="2026-02-26T15:48:00"/>
    <s v="WBS - RIBA Stage 3 indication of design intent. Final selection of detectors to be developed as part of RIBA Stage 4 design in conjunction with MTC. Note the selection of any devices needs to meet with the requirements of STAMP accreditation."/>
    <d v="2026-02-26T15:49:00"/>
    <s v="WAT.-RTRFI-000025"/>
    <x v="0"/>
    <x v="0"/>
    <s v="https://uk1.aconex.co.uk/hub/index.html?mainTarget=%2FViewCorrespondence%3FPROJECT_ID%3D268457782%26CORRESPONDENCE_MAILBOX%3D0%26Correspondence_ID%3D349027888"/>
    <x v="0"/>
    <x v="0"/>
    <x v="1"/>
  </r>
  <r>
    <x v="0"/>
    <x v="8"/>
    <s v="HBC-RFI-000043:    Specification - Water requirements"/>
    <x v="4"/>
    <s v="The daily operation &amp; quantity of water has not been determined by the client team. Can this be qualified?"/>
    <x v="1"/>
    <d v="2026-02-26T15:52:00"/>
    <s v="RIBA Stage 3 satisfies design intent. Process Tanks and primary pumps sizes detailed on layout / schedules. Operating pressures/flows to be coordinated in Stage 4 once EM data is provided."/>
    <d v="2026-02-26T15:53:00"/>
    <s v="WAT.-RTRFI-000026"/>
    <x v="0"/>
    <x v="0"/>
    <s v="https://uk1.aconex.co.uk/hub/index.html?mainTarget=%2FViewCorrespondence%3FPROJECT_ID%3D268457782%26CORRESPONDENCE_MAILBOX%3D0%26Correspondence_ID%3D349028083"/>
    <x v="0"/>
    <x v="0"/>
    <x v="1"/>
  </r>
  <r>
    <x v="0"/>
    <x v="8"/>
    <s v="HBC-RFI-000044:    Specification - LEV System drainage"/>
    <x v="4"/>
    <s v="Drainage type for the Lev System to be used is referenced as being TBC in Waterman Stage 3 Specification, can this be confirmed?"/>
    <x v="1"/>
    <d v="2026-02-26T16:23:00"/>
    <s v="Please Clarify ? Drainage type for LEV equipment will be confirmed following final equipment specifications at Stage 4."/>
    <d v="2026-02-26T16:24:00"/>
    <s v="WAT.-RTRFI-000027"/>
    <x v="0"/>
    <x v="0"/>
    <s v="https://uk1.aconex.co.uk/hub/index.html?mainTarget=%2FViewCorrespondence%3FPROJECT_ID%3D268457782%26CORRESPONDENCE_MAILBOX%3D0%26Correspondence_ID%3D349029373"/>
    <x v="0"/>
    <x v="0"/>
    <x v="1"/>
  </r>
  <r>
    <x v="0"/>
    <x v="3"/>
    <s v="HBC-RFI-000045:    Specification - Existing AHU Control Panels"/>
    <x v="4"/>
    <s v="The existing controls panel can be reused (if viable) to form the new AHU control panels, as instructed by Waterman Stage 3 Specification. Can details of the existing panels be provided?"/>
    <x v="1"/>
    <d v="2026-02-26T16:25:00"/>
    <s v="Could you also please confirm whether Henry Brothers has engaged with the incumbent BMS contractor, Electrack (Phil Randle), for input? His understanding of the existing control architecture and integration requirements will be valuable in assessing any dependencies or constraints on the proposed modifications."/>
    <d v="2026-03-17T12:30:00"/>
    <s v="HBC-GC-000044"/>
    <x v="0"/>
    <x v="0"/>
    <s v="https://uk1.aconex.co.uk/hub/index.html?mainTarget=%2FViewCorrespondence%3FPROJECT_ID%3D268457782%26CORRESPONDENCE_MAILBOX%3D0%26Correspondence_ID%3D349029525"/>
    <x v="0"/>
    <x v="0"/>
    <x v="1"/>
  </r>
  <r>
    <x v="0"/>
    <x v="3"/>
    <s v="HBC-RFI-000046:    Specification - MTC Regulatory Facility Consideration Report"/>
    <x v="4"/>
    <s v="Reference is made in Waterman Stage 3 Specification to 'MTC Regulatory Facility Consideration Report'. Can this document be provided?"/>
    <x v="0"/>
    <d v="2026-02-26T16:29:00"/>
    <s v="This reference is not a required deliverable and can be ignored."/>
    <d v="2026-03-17T17:06:00"/>
    <s v="HBC-GC-000046"/>
    <x v="0"/>
    <x v="0"/>
    <s v="https://uk1.aconex.co.uk/hub/index.html?mainTarget=%2FViewCorrespondence%3FPROJECT_ID%3D268457782%26CORRESPONDENCE_MAILBOX%3D0%26Correspondence_ID%3D349029568"/>
    <x v="0"/>
    <x v="0"/>
    <x v="0"/>
  </r>
  <r>
    <x v="2"/>
    <x v="1"/>
    <s v="HBC-RFI-000047:    Specification - Acoustic Report"/>
    <x v="4"/>
    <s v="Is an acoustic report for the project available for use? This will be essential for plant selections."/>
    <x v="0"/>
    <d v="2026-02-26T16:36:00"/>
    <m/>
    <m/>
    <s v="HBC-RFI-000047"/>
    <x v="0"/>
    <x v="0"/>
    <s v="https://uk1.aconex.co.uk/hub/index.html?mainTarget=%2FViewCorrespondence%3FPROJECT_ID%3D268457782%26CORRESPONDENCE_MAILBOX%3D0%26Correspondence_ID%3D349029712"/>
    <x v="2"/>
    <x v="0"/>
    <x v="17"/>
  </r>
  <r>
    <x v="3"/>
    <x v="3"/>
    <s v="HBC-RFI-000048:    Ventilation - Alpha Engineering RFIs"/>
    <x v="4"/>
    <s v="Attached set of Alpha Engineering RFIs were included within the Stage 3 pack which are still listed outstanding. Can their status be clarified"/>
    <x v="1"/>
    <d v="2026-02-26T16:38:00"/>
    <s v="These were RFIs raised by Alpha Engineering with the expectation that any resolution would be carried into RIBA4."/>
    <d v="2026-02-26T16:43:00"/>
    <s v="HBC-GC-000054"/>
    <x v="0"/>
    <x v="11"/>
    <s v="https://uk1.aconex.co.uk/hub/index.html?mainTarget=%2FViewCorrespondence%3FPROJECT_ID%3D268457782%26CORRESPONDENCE_MAILBOX%3D0%26Correspondence_ID%3D349029982"/>
    <x v="3"/>
    <x v="0"/>
    <x v="1"/>
  </r>
  <r>
    <x v="0"/>
    <x v="8"/>
    <s v="HBC-RFI-000049:    Compressed Air  - end user flow rates, pressures &amp; air quality"/>
    <x v="4"/>
    <s v="Clarification required of flow rates, pressures &amp; air quality of all proposed end user equipment. A number of TBCs are noted on the Waterman schematic dwg."/>
    <x v="1"/>
    <d v="2026-02-26T16:44:00"/>
    <s v="CA allowances have been made on main plant, refer to quotation as detailed within specification on flow rate,  pressure and air quality. Stage 4 Contractor must obtain final data and coordinate drops, pressures &amp; filtration classes."/>
    <d v="2026-02-26T16:49:00"/>
    <s v="WAT.-RTRFI-000029"/>
    <x v="0"/>
    <x v="0"/>
    <s v="https://uk1.aconex.co.uk/hub/index.html?mainTarget=%2FViewCorrespondence%3FPROJECT_ID%3D268457782%26CORRESPONDENCE_MAILBOX%3D0%26Correspondence_ID%3D349030267"/>
    <x v="0"/>
    <x v="0"/>
    <x v="1"/>
  </r>
  <r>
    <x v="3"/>
    <x v="3"/>
    <s v="HBC-RFI-000050:    Compressed Air - Pipework alternative"/>
    <x v="4"/>
    <s v="Pipework specified as TESEO, we understand this is no longer available in the UK &amp; would therefore propose that an aluminium alternative such as Trans Air or similar be used."/>
    <x v="1"/>
    <d v="2026-02-26T16:50:00"/>
    <s v="Alternatives may be proposed via formal Technical Submission during Stage 4, subject to equal‑or‑approved compliance."/>
    <d v="2026-02-26T16:50:00"/>
    <s v="HBC-GC-000022"/>
    <x v="0"/>
    <x v="12"/>
    <s v="https://uk1.aconex.co.uk/hub/index.html?mainTarget=%2FViewCorrespondence%3FPROJECT_ID%3D268457782%26CORRESPONDENCE_MAILBOX%3D0%26Correspondence_ID%3D349030465"/>
    <x v="3"/>
    <x v="0"/>
    <x v="1"/>
  </r>
  <r>
    <x v="0"/>
    <x v="8"/>
    <s v="HBC-RFI-000051:    Argon - flow rate &amp; frequency of tank replenishment"/>
    <x v="4"/>
    <s v="Clarification required for Argon flow rate &amp; frequency of tank replenishment. This will inform the finalised design."/>
    <x v="1"/>
    <d v="2026-02-26T16:54:00"/>
    <s v="Confirmed as TBC pending EM operational cycles. Final values will be validated during Stage 4 HAZOP and EM engagement"/>
    <d v="2026-02-26T16:55:00"/>
    <s v="WAT.-RTRFI-000031"/>
    <x v="0"/>
    <x v="0"/>
    <s v="https://uk1.aconex.co.uk/hub/index.html?mainTarget=%2FViewCorrespondence%3FPROJECT_ID%3D268457782%26CORRESPONDENCE_MAILBOX%3D0%26Correspondence_ID%3D349030568"/>
    <x v="0"/>
    <x v="0"/>
    <x v="1"/>
  </r>
  <r>
    <x v="0"/>
    <x v="8"/>
    <s v="HBC-RFI-000052:    Argon - Flow Meter"/>
    <x v="4"/>
    <s v="Is there a specification of flow meter required, currently not detailed in Stage 3 proposal."/>
    <x v="1"/>
    <d v="2026-02-26T16:56:00"/>
    <s v="Refer to Mechanical Specification. 6.6.3 and page 67.  Both Emergency and high pressure argon system metered. To be determine as part of RIBA Stage 4 works."/>
    <d v="2026-02-26T16:58:00"/>
    <s v="WBS Ltd-GC-000002"/>
    <x v="0"/>
    <x v="0"/>
    <s v="https://uk1.aconex.co.uk/hub/index.html?mainTarget=%2FViewCorrespondence%3FPROJECT_ID%3D268457782%26CORRESPONDENCE_MAILBOX%3D0%26Correspondence_ID%3D349030653"/>
    <x v="0"/>
    <x v="0"/>
    <x v="1"/>
  </r>
  <r>
    <x v="0"/>
    <x v="8"/>
    <s v="HBC-RFI-000053:    Argon - pressure for AS3/4"/>
    <x v="4"/>
    <s v="Confirmation required of the pressure for AS3/4 (RM034 Swarf Management), shown as TBC."/>
    <x v="1"/>
    <d v="2026-02-26T17:00:00"/>
    <s v="Design intent provided. Final pressure requirements for AS03/AS04 will be determined following EM confirmation."/>
    <d v="2026-02-26T17:01:00"/>
    <s v="WAT.-RTRFI-000033"/>
    <x v="0"/>
    <x v="0"/>
    <s v="https://uk1.aconex.co.uk/hub/index.html?mainTarget=%2FViewCorrespondence%3FPROJECT_ID%3D268457782%26CORRESPONDENCE_MAILBOX%3D0%26Correspondence_ID%3D349030759"/>
    <x v="0"/>
    <x v="0"/>
    <x v="1"/>
  </r>
  <r>
    <x v="0"/>
    <x v="8"/>
    <s v="HBC-RFI-000054:    Argon - Specific pressure"/>
    <x v="4"/>
    <s v="Clarity needed on reference to +16 Bar max. working pressure, can a specific pressure not be confirmed?"/>
    <x v="1"/>
    <d v="2026-02-26T17:03:00"/>
    <s v="Argon system based on 16barg Working Pressure (15.5barg Nominal) to suit AS05.  Stage 4 Contractor must obtain final equipment information to form part of RIBA Stage 4 design works."/>
    <d v="2026-02-26T17:03:00"/>
    <s v="WAT.-RTRFI-000034"/>
    <x v="0"/>
    <x v="0"/>
    <s v="https://uk1.aconex.co.uk/hub/index.html?mainTarget=%2FViewCorrespondence%3FPROJECT_ID%3D268457782%26CORRESPONDENCE_MAILBOX%3D0%26Correspondence_ID%3D349030842"/>
    <x v="0"/>
    <x v="0"/>
    <x v="1"/>
  </r>
  <r>
    <x v="0"/>
    <x v="3"/>
    <s v="HBC-RFI-000055:    Equipment Service Feeds - Clarification Matrix"/>
    <x v="4"/>
    <s v="Please can the attached matrix be filled in by MTC / Waterman clarifying flow rates / pressures etc."/>
    <x v="0"/>
    <d v="2026-02-27T13:01:00"/>
    <s v="The clarification matrix provided appears to simply replicate the WBS Stage 3 placeholder values. In line with the SF4 Mechanical Specification, all flow rates, pressures, service demands and equipment consumption values must be confirmed, validated and populated by the Contractor as part of their coordinated Stage 4 design development._x000a_HB is therefore required to populate the matrix based on:_x000a__x000a_their coordinated Stage 4 mechanical and specialist gas design,_x000a_confirmed equipment requirements from the end user, and_x000a_all validation checks undertaken during their Stage 4 design process._x000a__x000a_Once HB have populated the clarification matrix with their verified design inputs, WBS/MTC will review and provide comment/acceptance as part of the Stage 4 design review process."/>
    <d v="2026-03-19T16:01:00"/>
    <s v="EDGEPS-GC-000005"/>
    <x v="0"/>
    <x v="0"/>
    <s v="https://uk1.aconex.co.uk/hub/index.html?mainTarget=%2FViewCorrespondence%3FPROJECT_ID%3D268457782%26CORRESPONDENCE_MAILBOX%3D0%26Correspondence_ID%3D349048081"/>
    <x v="0"/>
    <x v="0"/>
    <x v="15"/>
  </r>
  <r>
    <x v="0"/>
    <x v="8"/>
    <s v="HBC-RFI-000058:    Existing SVP and Gullies"/>
    <x v="4"/>
    <s v="Existing SVP and Gullies"/>
    <x v="6"/>
    <d v="2026-03-02T13:49:00"/>
    <s v="SF4 Works - Above Ground Drainage. The SVP located on Grid Line U20 is required to be extended to suit the proposed drainage arrangement. All internal drainage from the cell is directed to the IBC via a pumped solution in accordance with the Stage 3 drainage strategy._x000a_As the Stage 4 design development sits with the contractor, HB shall validate the Stage 3 assumptions and confirm whether the SVPs on both GL B20 and GL K20 remain necessary, or whether either can be removed or capped if not required as part of the final drainage and venting strategy."/>
    <d v="2026-03-17T14:05:00"/>
    <s v="HBC-RTSCRFI-000036"/>
    <x v="0"/>
    <x v="0"/>
    <s v="https://uk1.aconex.co.uk/hub/index.html?mainTarget=%2FViewCorrespondence%3FPROJECT_ID%3D268457782%26CORRESPONDENCE_MAILBOX%3D0%26Correspondence_ID%3D349086575"/>
    <x v="0"/>
    <x v="0"/>
    <x v="18"/>
  </r>
  <r>
    <x v="0"/>
    <x v="8"/>
    <s v="HBC-RFI-000072:    Height for new trunking under crane steel"/>
    <x v="4"/>
    <s v="Height for new trunking running under the existing crane steel, This shows on the watermans drawings as a continuation of existing trunking. Please confirm this is acceptable."/>
    <x v="9"/>
    <d v="2026-03-12T15:28:00"/>
    <s v="Proposal to run new trunking as a continuation of the existing trunking, noted and accepted."/>
    <d v="2026-03-18T16:22:00"/>
    <s v="WAT.-RTRFI-000042"/>
    <x v="0"/>
    <x v="0"/>
    <s v="https://uk1.aconex.co.uk/hub/index.html?mainTarget=%2FViewCorrespondence%3FPROJECT_ID%3D268457782%26CORRESPONDENCE_MAILBOX%3D0%26Correspondence_ID%3D349348672"/>
    <x v="0"/>
    <x v="0"/>
    <x v="19"/>
  </r>
  <r>
    <x v="0"/>
    <x v="3"/>
    <s v="HBC-RFI-000073:    CCTV containment route"/>
    <x v="4"/>
    <s v="Route of new containment for existing CCTV, Electract have proposed to conduit from existing locations to sf4 plant area data cabinets, This was suggested by JDC networks and Siemens who are MTC incumbents. Please confrim this is acceptable"/>
    <x v="1"/>
    <d v="2026-03-12T15:34:00"/>
    <s v="MTC to advise if acceptable from a Security perspective."/>
    <d v="2026-03-13T16:07:00"/>
    <s v="HBC-GC-000035"/>
    <x v="0"/>
    <x v="0"/>
    <s v="https://uk1.aconex.co.uk/hub/index.html?mainTarget=%2FViewCorrespondence%3FPROJECT_ID%3D268457782%26CORRESPONDENCE_MAILBOX%3D0%26Correspondence_ID%3D349348918"/>
    <x v="0"/>
    <x v="0"/>
    <x v="1"/>
  </r>
  <r>
    <x v="0"/>
    <x v="3"/>
    <s v="HBC-RFI-000074:    Natural Gas"/>
    <x v="4"/>
    <s v="Natural Gas, WB need to purge and remove the pipe work within SF4 and in the SF4 Plant Deck. Can WB purge and remove this pipework? WB will need support from facility’s in regards to Drawings for the feed of the Natural Gas, shutoff points, purge points and effects to other Cells. Works would like to commence WC23/03 please cofirm asa built infomation."/>
    <x v="1"/>
    <d v="2026-03-12T15:38:00"/>
    <s v="This query refer to ARC Clearance - Phase 2 Works Not SF4 works.  _x000a__x000a_As Defined in the strip out responsibilities, please note:_x000a__x000a_The contractor is responsible for the full validation, purging, isolation and removal of all redundant Natural Gas pipework forming part of the Phase 2 works, to be carried out by a competent Gas Safe subcontractor. All existing gas installations must be site validated prior to commencement, including tracing of pipework, confirming isolation points and identifying any shared feeds to other cells. MTC will provide any available historic as installed information; however, this cannot replace the requirement for full contractor validation. _x000a__x000a_No removal works may proceed until all isolations have been confirmed through the Permit to Work process. _x000a__x000a_WBS has yet to receive HB's own Stage 4 strip-out drawings and set of RAMS for approval by the MTC representatives prior to commencing the strip-out works."/>
    <d v="2026-03-17T13:52:00"/>
    <s v="HBC-GC-000043"/>
    <x v="0"/>
    <x v="0"/>
    <s v="https://uk1.aconex.co.uk/hub/index.html?mainTarget=%2FViewCorrespondence%3FPROJECT_ID%3D268457782%26CORRESPONDENCE_MAILBOX%3D0%26Correspondence_ID%3D349349074"/>
    <x v="0"/>
    <x v="0"/>
    <x v="1"/>
  </r>
  <r>
    <x v="1"/>
    <x v="3"/>
    <s v="HBC-RFI-000080:    Alpha - Breakout area containment arrangements 2529-RFI-PROJ-001"/>
    <x v="4"/>
    <s v="Alpha - Breakout area containment arrangements 2529-RFI-PROJ-001"/>
    <x v="0"/>
    <d v="2026-03-20T13:08:00"/>
    <m/>
    <m/>
    <s v="EDGEPS-GC-000006"/>
    <x v="0"/>
    <x v="0"/>
    <s v="https://uk1.aconex.co.uk/hub/index.html?mainTarget=%2FViewCorrespondence%3FPROJECT_ID%3D268457782%26CORRESPONDENCE_MAILBOX%3D0%26Correspondence_ID%3D349522819"/>
    <x v="1"/>
    <x v="0"/>
    <x v="0"/>
  </r>
  <r>
    <x v="1"/>
    <x v="3"/>
    <s v="HBC-RFI-000081:    Alpha - Heat emission from equipment 2529-RFI-PROJ-002"/>
    <x v="4"/>
    <s v="Alpha - Heat emission from equipment 2529-RFI-PROJ-002"/>
    <x v="0"/>
    <d v="2026-03-20T13:13:00"/>
    <m/>
    <m/>
    <s v="EDGEPS-GC-000007"/>
    <x v="0"/>
    <x v="0"/>
    <s v="https://uk1.aconex.co.uk/hub/index.html?mainTarget=%2FViewCorrespondence%3FPROJECT_ID%3D268457782%26CORRESPONDENCE_MAILBOX%3D0%26Correspondence_ID%3D349523709"/>
    <x v="1"/>
    <x v="0"/>
    <x v="0"/>
  </r>
  <r>
    <x v="1"/>
    <x v="3"/>
    <s v="HBC-RFI-000082:    Alpha - Filter mist data 2529-RFI-PROJ-003"/>
    <x v="4"/>
    <s v="Alpha - Filter mist data 2529-RFI-PROJ-003"/>
    <x v="0"/>
    <d v="2026-03-20T13:15:00"/>
    <m/>
    <m/>
    <s v="EDGEPS-GC-000008"/>
    <x v="0"/>
    <x v="0"/>
    <s v="https://uk1.aconex.co.uk/hub/index.html?mainTarget=%2FViewCorrespondence%3FPROJECT_ID%3D268457782%26CORRESPONDENCE_MAILBOX%3D0%26Correspondence_ID%3D349523781"/>
    <x v="1"/>
    <x v="0"/>
    <x v="0"/>
  </r>
  <r>
    <x v="1"/>
    <x v="1"/>
    <s v="HBC-RFI-000083:    Alpha - VIM furnace vacuum pump data 529-RFI-PROJ-004"/>
    <x v="4"/>
    <s v="Alpha - VIM furnace vacuum pump data 529-RFI-PROJ-004"/>
    <x v="0"/>
    <d v="2026-03-20T13:17:00"/>
    <m/>
    <m/>
    <s v="HBC-RFI-000083"/>
    <x v="0"/>
    <x v="0"/>
    <s v="https://uk1.aconex.co.uk/hub/index.html?mainTarget=%2FViewCorrespondence%3FPROJECT_ID%3D268457782%26CORRESPONDENCE_MAILBOX%3D0%26Correspondence_ID%3D349523842"/>
    <x v="1"/>
    <x v="0"/>
    <x v="20"/>
  </r>
  <r>
    <x v="1"/>
    <x v="1"/>
    <s v="HBC-RFI-000084:    Alhpa - VIM furnace vacuum pump operation2529-RFI-PROJ-005"/>
    <x v="4"/>
    <s v="Alhpa - VIM furnace vacuum pump operation2529-RFI-PROJ-005"/>
    <x v="0"/>
    <d v="2026-03-20T13:19:00"/>
    <m/>
    <m/>
    <s v="HBC-RFI-000084"/>
    <x v="0"/>
    <x v="0"/>
    <s v="https://uk1.aconex.co.uk/hub/index.html?mainTarget=%2FViewCorrespondence%3FPROJECT_ID%3D268457782%26CORRESPONDENCE_MAILBOX%3D0%26Correspondence_ID%3D349523895"/>
    <x v="1"/>
    <x v="0"/>
    <x v="20"/>
  </r>
  <r>
    <x v="1"/>
    <x v="1"/>
    <s v="HBC-RFI-000085:    Alpha - Heat treatment equipment filtration2529-RFI-PROJ-006"/>
    <x v="4"/>
    <s v="Alpha - Heat treatment equipment filtration2529-RFI-PROJ-006"/>
    <x v="0"/>
    <d v="2026-03-20T13:22:00"/>
    <m/>
    <m/>
    <s v="HBC-RFI-000085"/>
    <x v="0"/>
    <x v="0"/>
    <s v="https://uk1.aconex.co.uk/hub/index.html?mainTarget=%2FViewCorrespondence%3FPROJECT_ID%3D268457782%26CORRESPONDENCE_MAILBOX%3D0%26Correspondence_ID%3D349523954"/>
    <x v="1"/>
    <x v="0"/>
    <x v="20"/>
  </r>
  <r>
    <x v="1"/>
    <x v="1"/>
    <s v="HBC-RFI-000086:    Alpha - X-ray ozone generation 2529-RFI-PROJ-007"/>
    <x v="4"/>
    <s v="Alpha - X-ray ozone generation 2529-RFI-PROJ-007"/>
    <x v="0"/>
    <d v="2026-03-20T13:26:00"/>
    <m/>
    <m/>
    <s v="HBC-RFI-000086"/>
    <x v="0"/>
    <x v="0"/>
    <s v="https://uk1.aconex.co.uk/hub/index.html?mainTarget=%2FViewCorrespondence%3FPROJECT_ID%3D268457782%26CORRESPONDENCE_MAILBOX%3D0%26Correspondence_ID%3D349524042"/>
    <x v="1"/>
    <x v="0"/>
    <x v="20"/>
  </r>
  <r>
    <x v="1"/>
    <x v="1"/>
    <s v="HBC-RFI-000087:    Alpha - Carbon analyser LEV requirement 2529-RFI-PROJ-008"/>
    <x v="4"/>
    <s v="Alpha - Carbon analyser LEV requirement 2529-RFI-PROJ-008"/>
    <x v="0"/>
    <d v="2026-03-20T13:29:00"/>
    <m/>
    <m/>
    <s v="HBC-RFI-000087"/>
    <x v="0"/>
    <x v="0"/>
    <s v="https://uk1.aconex.co.uk/hub/index.html?mainTarget=%2FViewCorrespondence%3FPROJECT_ID%3D268457782%26CORRESPONDENCE_MAILBOX%3D0%26Correspondence_ID%3D349524192"/>
    <x v="1"/>
    <x v="0"/>
    <x v="20"/>
  </r>
  <r>
    <x v="1"/>
    <x v="1"/>
    <s v="HBC-RFI-000088:    Alpha - Expectations for ventilation system operation under fire philosophy 2529-RFI-PROJ-009"/>
    <x v="4"/>
    <s v="Alpha - Expectations for ventilation system operation under fire philosophy 2529-RFI-PROJ-009"/>
    <x v="0"/>
    <d v="2026-03-20T13:32:00"/>
    <m/>
    <m/>
    <s v="HBC-RFI-000088"/>
    <x v="0"/>
    <x v="0"/>
    <s v="https://uk1.aconex.co.uk/hub/index.html?mainTarget=%2FViewCorrespondence%3FPROJECT_ID%3D268457782%26CORRESPONDENCE_MAILBOX%3D0%26Correspondence_ID%3D349524270"/>
    <x v="1"/>
    <x v="0"/>
    <x v="20"/>
  </r>
  <r>
    <x v="0"/>
    <x v="8"/>
    <s v="HBC-RFI-000090:    Alpha - Control System Details2612-RFI-PROJ-010"/>
    <x v="4"/>
    <s v="Alpha - Control System Details2612-RFI-PROJ-010"/>
    <x v="0"/>
    <d v="2026-03-20T15:21:00"/>
    <s v="see message below"/>
    <d v="2026-03-20T15:30:00"/>
    <s v="Quantem-RTRFI-000001"/>
    <x v="0"/>
    <x v="0"/>
    <s v="https://uk1.aconex.co.uk/hub/index.html?mainTarget=%2FViewCorrespondence%3FPROJECT_ID%3D268457782%26CORRESPONDENCE_MAILBOX%3D0%26Correspondence_ID%3D349528656"/>
    <x v="0"/>
    <x v="0"/>
    <x v="0"/>
  </r>
  <r>
    <x v="1"/>
    <x v="4"/>
    <s v="HBC-RFI-000091:    Alpha - Power Supply Characteristics - Assumptions 2612-RFI-PROJ-011"/>
    <x v="4"/>
    <s v="Alpha - Power Supply Characteristics - Assumptions 2612-RFI-PROJ-011"/>
    <x v="10"/>
    <d v="2026-03-20T15:25:00"/>
    <m/>
    <m/>
    <s v="HBC-RFI-000091"/>
    <x v="0"/>
    <x v="0"/>
    <s v="https://uk1.aconex.co.uk/hub/index.html?mainTarget=%2FViewCorrespondence%3FPROJECT_ID%3D268457782%26CORRESPONDENCE_MAILBOX%3D0%26Correspondence_ID%3D349528776"/>
    <x v="1"/>
    <x v="0"/>
    <x v="21"/>
  </r>
  <r>
    <x v="1"/>
    <x v="1"/>
    <s v="HBC-RFI-000092:    Alpha - EC&amp;I Client Side Contacts Request2612-RFI-PROJ-012"/>
    <x v="4"/>
    <s v="Alpha - EC&amp;I Client Side Contacts Request2612-RFI-PROJ-012"/>
    <x v="0"/>
    <d v="2026-03-20T15:28:00"/>
    <m/>
    <m/>
    <s v="HBC-RFI-000092"/>
    <x v="0"/>
    <x v="0"/>
    <s v="https://uk1.aconex.co.uk/hub/index.html?mainTarget=%2FViewCorrespondence%3FPROJECT_ID%3D268457782%26CORRESPONDENCE_MAILBOX%3D0%26Correspondence_ID%3D349528953"/>
    <x v="1"/>
    <x v="0"/>
    <x v="20"/>
  </r>
  <r>
    <x v="1"/>
    <x v="1"/>
    <s v="HBC-RFI-000093:    Alpha - Existing AHU Information – Including Fan Data 2612-RFI-PROJ-013"/>
    <x v="4"/>
    <s v="Alpha - Existing AHU Information – Including Fan Data 2612-RFI-PROJ-013"/>
    <x v="0"/>
    <d v="2026-03-20T15:30:00"/>
    <m/>
    <m/>
    <s v="HBC-RFI-000093"/>
    <x v="0"/>
    <x v="0"/>
    <s v="https://uk1.aconex.co.uk/hub/index.html?mainTarget=%2FViewCorrespondence%3FPROJECT_ID%3D268457782%26CORRESPONDENCE_MAILBOX%3D0%26Correspondence_ID%3D349529033"/>
    <x v="1"/>
    <x v="0"/>
    <x v="20"/>
  </r>
  <r>
    <x v="1"/>
    <x v="4"/>
    <s v="HBC-RFI-000094:    Alpha - Ventilation Control Panel Assumptions 2612-RFI-PROJ-014"/>
    <x v="4"/>
    <s v="Alpha - Ventilation Control Panel Assumptions 2612-RFI-PROJ-014"/>
    <x v="10"/>
    <d v="2026-03-20T15:33:00"/>
    <m/>
    <m/>
    <s v="HBC-RFI-000094"/>
    <x v="0"/>
    <x v="0"/>
    <s v="https://uk1.aconex.co.uk/hub/index.html?mainTarget=%2FViewCorrespondence%3FPROJECT_ID%3D268457782%26CORRESPONDENCE_MAILBOX%3D0%26Correspondence_ID%3D349529162"/>
    <x v="1"/>
    <x v="0"/>
    <x v="21"/>
  </r>
  <r>
    <x v="1"/>
    <x v="1"/>
    <s v="HBC-RFI-000095:    Alpha - Cable Type - Assumptions2612-RFI-PROJ-015"/>
    <x v="4"/>
    <s v="Alpha - Cable Type - Assumptions2612-RFI-PROJ-015"/>
    <x v="0"/>
    <d v="2026-03-20T15:36:00"/>
    <m/>
    <m/>
    <s v="HBC-RFI-000095"/>
    <x v="0"/>
    <x v="0"/>
    <s v="https://uk1.aconex.co.uk/hub/index.html?mainTarget=%2FViewCorrespondence%3FPROJECT_ID%3D268457782%26CORRESPONDENCE_MAILBOX%3D0%26Correspondence_ID%3D349529273"/>
    <x v="1"/>
    <x v="0"/>
    <x v="20"/>
  </r>
  <r>
    <x v="1"/>
    <x v="1"/>
    <s v="HBC-RFI-000096:    Alpha - MTC Tagging Standard – HVAC2612-RFI-PROJ-016"/>
    <x v="4"/>
    <s v="Alpha - MTC Tagging Standard – HVAC2612-RFI-PROJ-016"/>
    <x v="0"/>
    <d v="2026-03-20T15:41:00"/>
    <m/>
    <m/>
    <s v="HBC-RFI-000096"/>
    <x v="0"/>
    <x v="0"/>
    <s v="https://uk1.aconex.co.uk/hub/index.html?mainTarget=%2FViewCorrespondence%3FPROJECT_ID%3D268457782%26CORRESPONDENCE_MAILBOX%3D0%26Correspondence_ID%3D349529436"/>
    <x v="1"/>
    <x v="0"/>
    <x v="20"/>
  </r>
  <r>
    <x v="1"/>
    <x v="1"/>
    <s v="HBC-RFI-000097:    Alpha - MTC Tagging Standard – EC&amp;I 2612-RFI-PROJ-017"/>
    <x v="4"/>
    <s v="Alpha - MTC Tagging Standard – EC&amp;I 2612-RFI-PROJ-017"/>
    <x v="0"/>
    <d v="2026-03-20T15:44:00"/>
    <m/>
    <m/>
    <s v="HBC-RFI-000097"/>
    <x v="0"/>
    <x v="0"/>
    <s v="https://uk1.aconex.co.uk/hub/index.html?mainTarget=%2FViewCorrespondence%3FPROJECT_ID%3D268457782%26CORRESPONDENCE_MAILBOX%3D0%26Correspondence_ID%3D349529628"/>
    <x v="1"/>
    <x v="0"/>
    <x v="20"/>
  </r>
  <r>
    <x v="1"/>
    <x v="1"/>
    <s v="HBC-RFI-000098:    Alpha - Vendor List – Framework / Approved Suppliers 2612-RFI-PROJ-018"/>
    <x v="4"/>
    <s v="Alpha - Vendor List – Framework / Approved Suppliers 2612-RFI-PROJ-018"/>
    <x v="0"/>
    <d v="2026-03-20T15:47:00"/>
    <m/>
    <m/>
    <s v="HBC-RFI-000098"/>
    <x v="0"/>
    <x v="0"/>
    <s v="https://uk1.aconex.co.uk/hub/index.html?mainTarget=%2FViewCorrespondence%3FPROJECT_ID%3D268457782%26CORRESPONDENCE_MAILBOX%3D0%26Correspondence_ID%3D349529681"/>
    <x v="1"/>
    <x v="0"/>
    <x v="20"/>
  </r>
  <r>
    <x v="1"/>
    <x v="1"/>
    <s v="HBC-RFI-000099:    Alpha - Control Philosophy / BCD Provision2612-RFI-PROJ-019"/>
    <x v="4"/>
    <s v="Alpha - Control Philosophy / BCD Provision2612-RFI-PROJ-019"/>
    <x v="0"/>
    <d v="2026-03-20T15:55:00"/>
    <m/>
    <m/>
    <s v="HBC-RFI-000099"/>
    <x v="0"/>
    <x v="0"/>
    <s v="https://uk1.aconex.co.uk/hub/index.html?mainTarget=%2FViewCorrespondence%3FPROJECT_ID%3D268457782%26CORRESPONDENCE_MAILBOX%3D0%26Correspondence_ID%3D349529903"/>
    <x v="1"/>
    <x v="0"/>
    <x v="20"/>
  </r>
  <r>
    <x v="1"/>
    <x v="4"/>
    <s v="HBC-RFI-000100:    Alpha - Request for CS&amp;A Model Due to Design Clashes2612-RFI-PROJ-020"/>
    <x v="4"/>
    <s v="Alpha - Request for CS&amp;A Model Due to Design Clashes2612-RFI-PROJ-020"/>
    <x v="10"/>
    <d v="2026-03-20T15:58:00"/>
    <m/>
    <m/>
    <s v="HBC-RFI-000100"/>
    <x v="0"/>
    <x v="0"/>
    <s v="https://uk1.aconex.co.uk/hub/index.html?mainTarget=%2FViewCorrespondence%3FPROJECT_ID%3D268457782%26CORRESPONDENCE_MAILBOX%3D0%26Correspondence_ID%3D349530155"/>
    <x v="1"/>
    <x v="0"/>
    <x v="21"/>
  </r>
  <r>
    <x v="1"/>
    <x v="4"/>
    <s v="HBC-RFI-000101:    Alpha - Design Review - Assumptions2612-RFI-PROJ-021"/>
    <x v="4"/>
    <s v="Alpha - Design Review - Assumptions2612-RFI-PROJ-021"/>
    <x v="10"/>
    <d v="2026-03-20T16:00:00"/>
    <m/>
    <m/>
    <s v="HBC-RFI-000101"/>
    <x v="0"/>
    <x v="0"/>
    <s v="https://uk1.aconex.co.uk/hub/index.html?mainTarget=%2FViewCorrespondence%3FPROJECT_ID%3D268457782%26CORRESPONDENCE_MAILBOX%3D0%26Correspondence_ID%3D349530221"/>
    <x v="1"/>
    <x v="0"/>
    <x v="21"/>
  </r>
  <r>
    <x v="1"/>
    <x v="3"/>
    <s v="HBC-RFI-000102:    Composite deck quires - floor deck"/>
    <x v="4"/>
    <s v="Composite deck quires - floor deck"/>
    <x v="8"/>
    <d v="2026-03-23T10:09:00"/>
    <m/>
    <m/>
    <s v="HBC-GC-000056"/>
    <x v="0"/>
    <x v="0"/>
    <s v="https://uk1.aconex.co.uk/hub/index.html?mainTarget=%2FViewCorrespondence%3FPROJECT_ID%3D268457782%26CORRESPONDENCE_MAILBOX%3D0%26Correspondence_ID%3D349547362"/>
    <x v="1"/>
    <x v="0"/>
    <x v="22"/>
  </r>
  <r>
    <x v="1"/>
    <x v="9"/>
    <s v="HBC-RFI-000103:    Composite deck - Reinforcement quires"/>
    <x v="4"/>
    <s v="Composite deck - Reinforcement quires"/>
    <x v="8"/>
    <d v="2026-03-23T10:11:00"/>
    <m/>
    <m/>
    <s v="HBC-RFI-000103"/>
    <x v="0"/>
    <x v="0"/>
    <s v="https://uk1.aconex.co.uk/hub/index.html?mainTarget=%2FViewCorrespondence%3FPROJECT_ID%3D268457782%26CORRESPONDENCE_MAILBOX%3D0%26Correspondence_ID%3D349547459"/>
    <x v="1"/>
    <x v="0"/>
    <x v="22"/>
  </r>
  <r>
    <x v="1"/>
    <x v="9"/>
    <s v="HBC-RFI-000104:    Composite deck - detialing quires"/>
    <x v="4"/>
    <s v="Composite deck - detialing quires"/>
    <x v="8"/>
    <d v="2026-03-23T10:12:00"/>
    <m/>
    <m/>
    <s v="HBC-RFI-000104"/>
    <x v="0"/>
    <x v="0"/>
    <s v="https://uk1.aconex.co.uk/hub/index.html?mainTarget=%2FViewCorrespondence%3FPROJECT_ID%3D268457782%26CORRESPONDENCE_MAILBOX%3D0%26Correspondence_ID%3D349547532"/>
    <x v="1"/>
    <x v="0"/>
    <x v="22"/>
  </r>
  <r>
    <x v="1"/>
    <x v="9"/>
    <s v="HBC-RFI-000105:    VIM furnace floor loadings"/>
    <x v="4"/>
    <s v="VIM furnace floor loadings"/>
    <x v="8"/>
    <d v="2026-03-23T16:57:00"/>
    <m/>
    <m/>
    <s v="HBC-RFI-000105"/>
    <x v="0"/>
    <x v="0"/>
    <s v="https://uk1.aconex.co.uk/hub/index.html?mainTarget=%2FViewCorrespondence%3FPROJECT_ID%3D268457782%26CORRESPONDENCE_MAILBOX%3D0%26Correspondence_ID%3D349565481"/>
    <x v="1"/>
    <x v="0"/>
    <x v="22"/>
  </r>
  <r>
    <x v="1"/>
    <x v="1"/>
    <s v="HBC-RFI-000106:    Alpha Engineering - PI Level"/>
    <x v="4"/>
    <s v="Alpha Engineering - PI Level"/>
    <x v="0"/>
    <d v="2026-03-24T15:43:00"/>
    <m/>
    <m/>
    <s v="HBC-RFI-000106"/>
    <x v="0"/>
    <x v="0"/>
    <s v="https://uk1.aconex.co.uk/hub/index.html?mainTarget=%2FViewCorrespondence%3FPROJECT_ID%3D268457782%26CORRESPONDENCE_MAILBOX%3D0%26Correspondence_ID%3D349594750"/>
    <x v="1"/>
    <x v="0"/>
    <x v="20"/>
  </r>
  <r>
    <x v="1"/>
    <x v="10"/>
    <s v="HBC-RFI-000108:    Mezzanine deck design loads"/>
    <x v="4"/>
    <s v="Mezzanine deck design loads"/>
    <x v="4"/>
    <d v="2026-03-25T09:08:00"/>
    <m/>
    <m/>
    <s v="HBC-RFI-000108"/>
    <x v="0"/>
    <x v="0"/>
    <s v="https://uk1.aconex.co.uk/hub/index.html?mainTarget=%2FViewCorrespondence%3FPROJECT_ID%3D268457782%26CORRESPONDENCE_MAILBOX%3D0%26Correspondence_ID%3D349608207"/>
    <x v="1"/>
    <x v="0"/>
    <x v="7"/>
  </r>
  <r>
    <x v="1"/>
    <x v="8"/>
    <s v="WBL 1919-SUBRFI-000001:    Compressed Air Diversity of Use"/>
    <x v="5"/>
    <s v="Can it be confirmed if there is a known level of 'diversity of usage' factor (can be expressed as a percentile) that can be applied to the compressed air system? This will inform the physical sizing of the system &amp; ensure that it is best sized to suit the facility's true/actual anticipated operation &amp; usage patterns"/>
    <x v="2"/>
    <d v="2026-03-27T11:04:00"/>
    <m/>
    <m/>
    <s v="WBL 1919-SUBRFI-000001"/>
    <x v="0"/>
    <x v="0"/>
    <s v="https://uk1.aconex.co.uk/hub/index.html?mainTarget=%2FViewCorrespondence%3FPROJECT_ID%3D268457782%26CORRESPONDENCE_MAILBOX%3D0%26Correspondence_ID%3D349673408"/>
    <x v="1"/>
    <x v="1"/>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8">
  <r>
    <x v="0"/>
    <x v="0"/>
    <x v="0"/>
    <x v="0"/>
    <x v="0"/>
    <x v="0"/>
    <x v="0"/>
    <x v="0"/>
    <x v="0"/>
    <x v="0"/>
    <x v="0"/>
    <x v="0"/>
    <s v="https://uk1.aconex.co.uk/hub/index.html?mainTarget=%2FViewCorrespondence%3FPROJECT_ID%3D268457782%26CORRESPONDENCE_MAILBOX%3D0%26Correspondence_ID%3D349153570"/>
    <s v="HBC-RFI-000065"/>
    <x v="0"/>
    <x v="0"/>
    <x v="0"/>
  </r>
  <r>
    <x v="0"/>
    <x v="0"/>
    <x v="1"/>
    <x v="0"/>
    <x v="1"/>
    <x v="1"/>
    <x v="1"/>
    <x v="1"/>
    <x v="1"/>
    <x v="1"/>
    <x v="0"/>
    <x v="0"/>
    <s v="https://uk1.aconex.co.uk/hub/index.html?mainTarget=%2FViewCorrespondence%3FPROJECT_ID%3D268457782%26CORRESPONDENCE_MAILBOX%3D0%26Correspondence_ID%3D349153698"/>
    <s v="HBC-RFI-000066"/>
    <x v="0"/>
    <x v="0"/>
    <x v="1"/>
  </r>
  <r>
    <x v="0"/>
    <x v="0"/>
    <x v="2"/>
    <x v="0"/>
    <x v="2"/>
    <x v="2"/>
    <x v="2"/>
    <x v="2"/>
    <x v="2"/>
    <x v="2"/>
    <x v="0"/>
    <x v="0"/>
    <s v="https://uk1.aconex.co.uk/hub/index.html?mainTarget=%2FViewCorrespondence%3FPROJECT_ID%3D268457782%26CORRESPONDENCE_MAILBOX%3D0%26Correspondence_ID%3D349153719"/>
    <s v="AGL-SUBRFI-000003"/>
    <x v="0"/>
    <x v="1"/>
    <x v="2"/>
  </r>
  <r>
    <x v="0"/>
    <x v="0"/>
    <x v="3"/>
    <x v="0"/>
    <x v="3"/>
    <x v="1"/>
    <x v="2"/>
    <x v="3"/>
    <x v="3"/>
    <x v="3"/>
    <x v="0"/>
    <x v="0"/>
    <s v="https://uk1.aconex.co.uk/hub/index.html?mainTarget=%2FViewCorrespondence%3FPROJECT_ID%3D268457782%26CORRESPONDENCE_MAILBOX%3D0%26Correspondence_ID%3D349153743"/>
    <s v="HBC-RFI-000067"/>
    <x v="0"/>
    <x v="0"/>
    <x v="1"/>
  </r>
  <r>
    <x v="0"/>
    <x v="0"/>
    <x v="4"/>
    <x v="0"/>
    <x v="4"/>
    <x v="1"/>
    <x v="3"/>
    <x v="4"/>
    <x v="4"/>
    <x v="4"/>
    <x v="0"/>
    <x v="0"/>
    <s v="https://uk1.aconex.co.uk/hub/index.html?mainTarget=%2FViewCorrespondence%3FPROJECT_ID%3D268457782%26CORRESPONDENCE_MAILBOX%3D0%26Correspondence_ID%3D349166355"/>
    <s v="HBC-RFI-000068"/>
    <x v="0"/>
    <x v="0"/>
    <x v="1"/>
  </r>
  <r>
    <x v="0"/>
    <x v="0"/>
    <x v="5"/>
    <x v="0"/>
    <x v="5"/>
    <x v="1"/>
    <x v="4"/>
    <x v="5"/>
    <x v="5"/>
    <x v="5"/>
    <x v="0"/>
    <x v="0"/>
    <s v="https://uk1.aconex.co.uk/hub/index.html?mainTarget=%2FViewCorrespondence%3FPROJECT_ID%3D268457782%26CORRESPONDENCE_MAILBOX%3D0%26Correspondence_ID%3D349286252"/>
    <s v="HBC-RFI-000069"/>
    <x v="0"/>
    <x v="0"/>
    <x v="1"/>
  </r>
  <r>
    <x v="0"/>
    <x v="0"/>
    <x v="6"/>
    <x v="0"/>
    <x v="6"/>
    <x v="1"/>
    <x v="5"/>
    <x v="6"/>
    <x v="5"/>
    <x v="6"/>
    <x v="0"/>
    <x v="0"/>
    <s v="https://uk1.aconex.co.uk/hub/index.html?mainTarget=%2FViewCorrespondence%3FPROJECT_ID%3D268457782%26CORRESPONDENCE_MAILBOX%3D0%26Correspondence_ID%3D349286269"/>
    <s v="HBC-RFI-000070"/>
    <x v="0"/>
    <x v="0"/>
    <x v="1"/>
  </r>
  <r>
    <x v="0"/>
    <x v="0"/>
    <x v="7"/>
    <x v="0"/>
    <x v="7"/>
    <x v="1"/>
    <x v="5"/>
    <x v="7"/>
    <x v="6"/>
    <x v="7"/>
    <x v="0"/>
    <x v="0"/>
    <s v="https://uk1.aconex.co.uk/hub/index.html?mainTarget=%2FViewCorrespondence%3FPROJECT_ID%3D268457782%26CORRESPONDENCE_MAILBOX%3D0%26Correspondence_ID%3D349286295"/>
    <s v="HBC-RFI-000071"/>
    <x v="0"/>
    <x v="0"/>
    <x v="1"/>
  </r>
  <r>
    <x v="1"/>
    <x v="1"/>
    <x v="8"/>
    <x v="0"/>
    <x v="8"/>
    <x v="0"/>
    <x v="6"/>
    <x v="8"/>
    <x v="7"/>
    <x v="8"/>
    <x v="0"/>
    <x v="0"/>
    <s v="https://uk1.aconex.co.uk/hub/index.html?mainTarget=%2FViewCorrespondence%3FPROJECT_ID%3D268457782%26CORRESPONDENCE_MAILBOX%3D0%26Correspondence_ID%3D349598375"/>
    <s v="HBC-RFI-000107"/>
    <x v="1"/>
    <x v="0"/>
    <x v="3"/>
  </r>
  <r>
    <x v="1"/>
    <x v="2"/>
    <x v="8"/>
    <x v="0"/>
    <x v="8"/>
    <x v="0"/>
    <x v="6"/>
    <x v="8"/>
    <x v="7"/>
    <x v="8"/>
    <x v="0"/>
    <x v="0"/>
    <s v="https://uk1.aconex.co.uk/hub/index.html?mainTarget=%2FViewCorrespondence%3FPROJECT_ID%3D268457782%26CORRESPONDENCE_MAILBOX%3D0%26Correspondence_ID%3D349598375"/>
    <s v="HBC-RFI-000107"/>
    <x v="1"/>
    <x v="0"/>
    <x v="3"/>
  </r>
  <r>
    <x v="1"/>
    <x v="1"/>
    <x v="8"/>
    <x v="0"/>
    <x v="8"/>
    <x v="0"/>
    <x v="6"/>
    <x v="8"/>
    <x v="7"/>
    <x v="8"/>
    <x v="0"/>
    <x v="0"/>
    <s v="https://uk1.aconex.co.uk/hub/index.html?mainTarget=%2FViewCorrespondence%3FPROJECT_ID%3D268457782%26CORRESPONDENCE_MAILBOX%3D0%26Correspondence_ID%3D349598375"/>
    <s v="HBC-RFI-000107"/>
    <x v="1"/>
    <x v="0"/>
    <x v="3"/>
  </r>
  <r>
    <x v="1"/>
    <x v="3"/>
    <x v="8"/>
    <x v="0"/>
    <x v="8"/>
    <x v="0"/>
    <x v="6"/>
    <x v="8"/>
    <x v="7"/>
    <x v="8"/>
    <x v="0"/>
    <x v="0"/>
    <s v="https://uk1.aconex.co.uk/hub/index.html?mainTarget=%2FViewCorrespondence%3FPROJECT_ID%3D268457782%26CORRESPONDENCE_MAILBOX%3D0%26Correspondence_ID%3D349598375"/>
    <s v="HBC-RFI-000107"/>
    <x v="1"/>
    <x v="0"/>
    <x v="3"/>
  </r>
  <r>
    <x v="1"/>
    <x v="2"/>
    <x v="8"/>
    <x v="0"/>
    <x v="8"/>
    <x v="0"/>
    <x v="6"/>
    <x v="8"/>
    <x v="7"/>
    <x v="8"/>
    <x v="0"/>
    <x v="0"/>
    <s v="https://uk1.aconex.co.uk/hub/index.html?mainTarget=%2FViewCorrespondence%3FPROJECT_ID%3D268457782%26CORRESPONDENCE_MAILBOX%3D0%26Correspondence_ID%3D349598375"/>
    <s v="HBC-RFI-000107"/>
    <x v="1"/>
    <x v="0"/>
    <x v="3"/>
  </r>
  <r>
    <x v="1"/>
    <x v="4"/>
    <x v="8"/>
    <x v="0"/>
    <x v="8"/>
    <x v="0"/>
    <x v="6"/>
    <x v="8"/>
    <x v="7"/>
    <x v="8"/>
    <x v="0"/>
    <x v="0"/>
    <s v="https://uk1.aconex.co.uk/hub/index.html?mainTarget=%2FViewCorrespondence%3FPROJECT_ID%3D268457782%26CORRESPONDENCE_MAILBOX%3D0%26Correspondence_ID%3D349598375"/>
    <s v="HBC-RFI-000107"/>
    <x v="1"/>
    <x v="0"/>
    <x v="3"/>
  </r>
  <r>
    <x v="0"/>
    <x v="5"/>
    <x v="9"/>
    <x v="1"/>
    <x v="9"/>
    <x v="2"/>
    <x v="7"/>
    <x v="9"/>
    <x v="8"/>
    <x v="9"/>
    <x v="0"/>
    <x v="0"/>
    <s v="https://uk1.aconex.co.uk/hub/index.html?mainTarget=%2FViewCorrespondence%3FPROJECT_ID%3D268457782%26CORRESPONDENCE_MAILBOX%3D0%26Correspondence_ID%3D348984631"/>
    <s v="CPMG-SUBRFI-000001"/>
    <x v="0"/>
    <x v="1"/>
    <x v="2"/>
  </r>
  <r>
    <x v="0"/>
    <x v="5"/>
    <x v="10"/>
    <x v="1"/>
    <x v="10"/>
    <x v="0"/>
    <x v="8"/>
    <x v="10"/>
    <x v="9"/>
    <x v="10"/>
    <x v="0"/>
    <x v="0"/>
    <s v="https://uk1.aconex.co.uk/hub/index.html?mainTarget=%2FViewCorrespondence%3FPROJECT_ID%3D268457782%26CORRESPONDENCE_MAILBOX%3D0%26Correspondence_ID%3D348985472"/>
    <s v="HBC-RFI-000056"/>
    <x v="0"/>
    <x v="0"/>
    <x v="4"/>
  </r>
  <r>
    <x v="0"/>
    <x v="5"/>
    <x v="10"/>
    <x v="1"/>
    <x v="10"/>
    <x v="3"/>
    <x v="8"/>
    <x v="10"/>
    <x v="9"/>
    <x v="10"/>
    <x v="0"/>
    <x v="0"/>
    <s v="https://uk1.aconex.co.uk/hub/index.html?mainTarget=%2FViewCorrespondence%3FPROJECT_ID%3D268457782%26CORRESPONDENCE_MAILBOX%3D0%26Correspondence_ID%3D348985472"/>
    <s v="HBC-RFI-000056"/>
    <x v="0"/>
    <x v="0"/>
    <x v="4"/>
  </r>
  <r>
    <x v="0"/>
    <x v="5"/>
    <x v="11"/>
    <x v="1"/>
    <x v="11"/>
    <x v="3"/>
    <x v="9"/>
    <x v="11"/>
    <x v="10"/>
    <x v="11"/>
    <x v="0"/>
    <x v="0"/>
    <s v="https://uk1.aconex.co.uk/hub/index.html?mainTarget=%2FViewCorrespondence%3FPROJECT_ID%3D268457782%26CORRESPONDENCE_MAILBOX%3D0%26Correspondence_ID%3D348985532"/>
    <s v="HBC-RFI-000057"/>
    <x v="0"/>
    <x v="0"/>
    <x v="5"/>
  </r>
  <r>
    <x v="0"/>
    <x v="6"/>
    <x v="12"/>
    <x v="1"/>
    <x v="12"/>
    <x v="2"/>
    <x v="10"/>
    <x v="8"/>
    <x v="7"/>
    <x v="12"/>
    <x v="0"/>
    <x v="0"/>
    <s v="https://uk1.aconex.co.uk/hub/index.html?mainTarget=%2FViewCorrespondence%3FPROJECT_ID%3D268457782%26CORRESPONDENCE_MAILBOX%3D0%26Correspondence_ID%3D348985615"/>
    <s v="CPMG-SUBRFI-000004"/>
    <x v="0"/>
    <x v="1"/>
    <x v="2"/>
  </r>
  <r>
    <x v="0"/>
    <x v="5"/>
    <x v="13"/>
    <x v="1"/>
    <x v="13"/>
    <x v="3"/>
    <x v="11"/>
    <x v="12"/>
    <x v="11"/>
    <x v="13"/>
    <x v="0"/>
    <x v="0"/>
    <s v="https://uk1.aconex.co.uk/hub/index.html?mainTarget=%2FViewCorrespondence%3FPROJECT_ID%3D268457782%26CORRESPONDENCE_MAILBOX%3D0%26Correspondence_ID%3D348985660"/>
    <s v="HBC-RFI-000059"/>
    <x v="0"/>
    <x v="0"/>
    <x v="5"/>
  </r>
  <r>
    <x v="0"/>
    <x v="5"/>
    <x v="14"/>
    <x v="1"/>
    <x v="14"/>
    <x v="3"/>
    <x v="12"/>
    <x v="13"/>
    <x v="12"/>
    <x v="14"/>
    <x v="0"/>
    <x v="0"/>
    <s v="https://uk1.aconex.co.uk/hub/index.html?mainTarget=%2FViewCorrespondence%3FPROJECT_ID%3D268457782%26CORRESPONDENCE_MAILBOX%3D0%26Correspondence_ID%3D348985725"/>
    <s v="HBC-RFI-000060"/>
    <x v="0"/>
    <x v="0"/>
    <x v="5"/>
  </r>
  <r>
    <x v="0"/>
    <x v="5"/>
    <x v="15"/>
    <x v="1"/>
    <x v="15"/>
    <x v="3"/>
    <x v="13"/>
    <x v="14"/>
    <x v="13"/>
    <x v="15"/>
    <x v="0"/>
    <x v="0"/>
    <s v="https://uk1.aconex.co.uk/hub/index.html?mainTarget=%2FViewCorrespondence%3FPROJECT_ID%3D268457782%26CORRESPONDENCE_MAILBOX%3D0%26Correspondence_ID%3D348985788"/>
    <s v="HBC-RFI-000061"/>
    <x v="0"/>
    <x v="0"/>
    <x v="6"/>
  </r>
  <r>
    <x v="0"/>
    <x v="5"/>
    <x v="15"/>
    <x v="1"/>
    <x v="15"/>
    <x v="4"/>
    <x v="13"/>
    <x v="14"/>
    <x v="13"/>
    <x v="15"/>
    <x v="0"/>
    <x v="0"/>
    <s v="https://uk1.aconex.co.uk/hub/index.html?mainTarget=%2FViewCorrespondence%3FPROJECT_ID%3D268457782%26CORRESPONDENCE_MAILBOX%3D0%26Correspondence_ID%3D348985788"/>
    <s v="HBC-RFI-000061"/>
    <x v="0"/>
    <x v="0"/>
    <x v="6"/>
  </r>
  <r>
    <x v="0"/>
    <x v="5"/>
    <x v="16"/>
    <x v="1"/>
    <x v="16"/>
    <x v="2"/>
    <x v="14"/>
    <x v="15"/>
    <x v="14"/>
    <x v="16"/>
    <x v="0"/>
    <x v="0"/>
    <s v="https://uk1.aconex.co.uk/hub/index.html?mainTarget=%2FViewCorrespondence%3FPROJECT_ID%3D268457782%26CORRESPONDENCE_MAILBOX%3D0%26Correspondence_ID%3D348985979"/>
    <s v="CPMG-SUBRFI-000008"/>
    <x v="0"/>
    <x v="1"/>
    <x v="2"/>
  </r>
  <r>
    <x v="0"/>
    <x v="5"/>
    <x v="17"/>
    <x v="1"/>
    <x v="17"/>
    <x v="2"/>
    <x v="15"/>
    <x v="16"/>
    <x v="15"/>
    <x v="17"/>
    <x v="0"/>
    <x v="0"/>
    <s v="https://uk1.aconex.co.uk/hub/index.html?mainTarget=%2FViewCorrespondence%3FPROJECT_ID%3D268457782%26CORRESPONDENCE_MAILBOX%3D0%26Correspondence_ID%3D348986014"/>
    <s v="CPMG-SUBRFI-000009"/>
    <x v="0"/>
    <x v="1"/>
    <x v="2"/>
  </r>
  <r>
    <x v="0"/>
    <x v="5"/>
    <x v="18"/>
    <x v="1"/>
    <x v="18"/>
    <x v="2"/>
    <x v="16"/>
    <x v="17"/>
    <x v="16"/>
    <x v="18"/>
    <x v="0"/>
    <x v="0"/>
    <s v="https://uk1.aconex.co.uk/hub/index.html?mainTarget=%2FViewCorrespondence%3FPROJECT_ID%3D268457782%26CORRESPONDENCE_MAILBOX%3D0%26Correspondence_ID%3D348986044"/>
    <s v="CPMG-SUBRFI-000010"/>
    <x v="0"/>
    <x v="1"/>
    <x v="2"/>
  </r>
  <r>
    <x v="0"/>
    <x v="5"/>
    <x v="19"/>
    <x v="1"/>
    <x v="19"/>
    <x v="2"/>
    <x v="17"/>
    <x v="18"/>
    <x v="17"/>
    <x v="19"/>
    <x v="0"/>
    <x v="0"/>
    <s v="https://uk1.aconex.co.uk/hub/index.html?mainTarget=%2FViewCorrespondence%3FPROJECT_ID%3D268457782%26CORRESPONDENCE_MAILBOX%3D0%26Correspondence_ID%3D348986075"/>
    <s v="CPMG-SUBRFI-000011"/>
    <x v="0"/>
    <x v="1"/>
    <x v="2"/>
  </r>
  <r>
    <x v="0"/>
    <x v="5"/>
    <x v="20"/>
    <x v="1"/>
    <x v="20"/>
    <x v="4"/>
    <x v="18"/>
    <x v="19"/>
    <x v="18"/>
    <x v="20"/>
    <x v="0"/>
    <x v="0"/>
    <s v="https://uk1.aconex.co.uk/hub/index.html?mainTarget=%2FViewCorrespondence%3FPROJECT_ID%3D268457782%26CORRESPONDENCE_MAILBOX%3D0%26Correspondence_ID%3D348986270"/>
    <s v="HBC-RFI-000062"/>
    <x v="0"/>
    <x v="0"/>
    <x v="7"/>
  </r>
  <r>
    <x v="0"/>
    <x v="5"/>
    <x v="21"/>
    <x v="1"/>
    <x v="21"/>
    <x v="2"/>
    <x v="19"/>
    <x v="20"/>
    <x v="19"/>
    <x v="21"/>
    <x v="0"/>
    <x v="0"/>
    <s v="https://uk1.aconex.co.uk/hub/index.html?mainTarget=%2FViewCorrespondence%3FPROJECT_ID%3D268457782%26CORRESPONDENCE_MAILBOX%3D0%26Correspondence_ID%3D348986498"/>
    <s v="CPMG-SUBRFI-000013"/>
    <x v="0"/>
    <x v="1"/>
    <x v="2"/>
  </r>
  <r>
    <x v="0"/>
    <x v="5"/>
    <x v="22"/>
    <x v="1"/>
    <x v="22"/>
    <x v="2"/>
    <x v="20"/>
    <x v="21"/>
    <x v="20"/>
    <x v="22"/>
    <x v="0"/>
    <x v="0"/>
    <s v="https://uk1.aconex.co.uk/hub/index.html?mainTarget=%2FViewCorrespondence%3FPROJECT_ID%3D268457782%26CORRESPONDENCE_MAILBOX%3D0%26Correspondence_ID%3D348995453"/>
    <s v="CPMG-SUBRFI-000014"/>
    <x v="0"/>
    <x v="1"/>
    <x v="2"/>
  </r>
  <r>
    <x v="0"/>
    <x v="5"/>
    <x v="23"/>
    <x v="1"/>
    <x v="23"/>
    <x v="3"/>
    <x v="21"/>
    <x v="22"/>
    <x v="21"/>
    <x v="23"/>
    <x v="0"/>
    <x v="0"/>
    <s v="https://uk1.aconex.co.uk/hub/index.html?mainTarget=%2FViewCorrespondence%3FPROJECT_ID%3D268457782%26CORRESPONDENCE_MAILBOX%3D0%26Correspondence_ID%3D349017223"/>
    <s v="HBC-RFI-000063"/>
    <x v="0"/>
    <x v="0"/>
    <x v="5"/>
  </r>
  <r>
    <x v="0"/>
    <x v="5"/>
    <x v="24"/>
    <x v="1"/>
    <x v="24"/>
    <x v="3"/>
    <x v="22"/>
    <x v="23"/>
    <x v="22"/>
    <x v="24"/>
    <x v="0"/>
    <x v="0"/>
    <s v="https://uk1.aconex.co.uk/hub/index.html?mainTarget=%2FViewCorrespondence%3FPROJECT_ID%3D268457782%26CORRESPONDENCE_MAILBOX%3D0%26Correspondence_ID%3D349027578"/>
    <s v="HBC-RFI-000064"/>
    <x v="0"/>
    <x v="0"/>
    <x v="5"/>
  </r>
  <r>
    <x v="0"/>
    <x v="5"/>
    <x v="25"/>
    <x v="1"/>
    <x v="25"/>
    <x v="3"/>
    <x v="23"/>
    <x v="24"/>
    <x v="23"/>
    <x v="25"/>
    <x v="0"/>
    <x v="0"/>
    <s v="https://uk1.aconex.co.uk/hub/index.html?mainTarget=%2FViewCorrespondence%3FPROJECT_ID%3D268457782%26CORRESPONDENCE_MAILBOX%3D0%26Correspondence_ID%3D349450025"/>
    <s v="HBC-RFI-000076"/>
    <x v="0"/>
    <x v="0"/>
    <x v="5"/>
  </r>
  <r>
    <x v="0"/>
    <x v="6"/>
    <x v="26"/>
    <x v="1"/>
    <x v="26"/>
    <x v="3"/>
    <x v="24"/>
    <x v="25"/>
    <x v="24"/>
    <x v="26"/>
    <x v="0"/>
    <x v="0"/>
    <s v="https://uk1.aconex.co.uk/hub/index.html?mainTarget=%2FViewCorrespondence%3FPROJECT_ID%3D268457782%26CORRESPONDENCE_MAILBOX%3D0%26Correspondence_ID%3D349450085"/>
    <s v="HBC-RFI-000077"/>
    <x v="0"/>
    <x v="0"/>
    <x v="6"/>
  </r>
  <r>
    <x v="0"/>
    <x v="6"/>
    <x v="26"/>
    <x v="1"/>
    <x v="26"/>
    <x v="4"/>
    <x v="24"/>
    <x v="25"/>
    <x v="24"/>
    <x v="26"/>
    <x v="0"/>
    <x v="0"/>
    <s v="https://uk1.aconex.co.uk/hub/index.html?mainTarget=%2FViewCorrespondence%3FPROJECT_ID%3D268457782%26CORRESPONDENCE_MAILBOX%3D0%26Correspondence_ID%3D349450085"/>
    <s v="HBC-RFI-000077"/>
    <x v="0"/>
    <x v="0"/>
    <x v="6"/>
  </r>
  <r>
    <x v="0"/>
    <x v="6"/>
    <x v="27"/>
    <x v="1"/>
    <x v="27"/>
    <x v="3"/>
    <x v="25"/>
    <x v="26"/>
    <x v="25"/>
    <x v="27"/>
    <x v="0"/>
    <x v="0"/>
    <s v="https://uk1.aconex.co.uk/hub/index.html?mainTarget=%2FViewCorrespondence%3FPROJECT_ID%3D268457782%26CORRESPONDENCE_MAILBOX%3D0%26Correspondence_ID%3D349459282"/>
    <s v="HBC-RFI-000079"/>
    <x v="0"/>
    <x v="0"/>
    <x v="8"/>
  </r>
  <r>
    <x v="0"/>
    <x v="6"/>
    <x v="27"/>
    <x v="1"/>
    <x v="27"/>
    <x v="1"/>
    <x v="25"/>
    <x v="26"/>
    <x v="25"/>
    <x v="27"/>
    <x v="0"/>
    <x v="0"/>
    <s v="https://uk1.aconex.co.uk/hub/index.html?mainTarget=%2FViewCorrespondence%3FPROJECT_ID%3D268457782%26CORRESPONDENCE_MAILBOX%3D0%26Correspondence_ID%3D349459282"/>
    <s v="HBC-RFI-000079"/>
    <x v="0"/>
    <x v="0"/>
    <x v="8"/>
  </r>
  <r>
    <x v="0"/>
    <x v="6"/>
    <x v="27"/>
    <x v="1"/>
    <x v="27"/>
    <x v="4"/>
    <x v="25"/>
    <x v="26"/>
    <x v="25"/>
    <x v="27"/>
    <x v="0"/>
    <x v="0"/>
    <s v="https://uk1.aconex.co.uk/hub/index.html?mainTarget=%2FViewCorrespondence%3FPROJECT_ID%3D268457782%26CORRESPONDENCE_MAILBOX%3D0%26Correspondence_ID%3D349459282"/>
    <s v="HBC-RFI-000079"/>
    <x v="0"/>
    <x v="0"/>
    <x v="8"/>
  </r>
  <r>
    <x v="0"/>
    <x v="5"/>
    <x v="28"/>
    <x v="1"/>
    <x v="28"/>
    <x v="3"/>
    <x v="26"/>
    <x v="27"/>
    <x v="26"/>
    <x v="28"/>
    <x v="0"/>
    <x v="0"/>
    <s v="https://uk1.aconex.co.uk/hub/index.html?mainTarget=%2FViewCorrespondence%3FPROJECT_ID%3D268457782%26CORRESPONDENCE_MAILBOX%3D0%26Correspondence_ID%3D349526070"/>
    <s v="HBC-RFI-000089"/>
    <x v="0"/>
    <x v="0"/>
    <x v="5"/>
  </r>
  <r>
    <x v="2"/>
    <x v="0"/>
    <x v="29"/>
    <x v="2"/>
    <x v="29"/>
    <x v="5"/>
    <x v="27"/>
    <x v="8"/>
    <x v="7"/>
    <x v="29"/>
    <x v="0"/>
    <x v="0"/>
    <s v="https://uk1.aconex.co.uk/hub/index.html?mainTarget=%2FViewCorrespondence%3FPROJECT_ID%3D268457782%26CORRESPONDENCE_MAILBOX%3D0%26Correspondence_ID%3D349439041"/>
    <s v="HBC-RFI-000075"/>
    <x v="2"/>
    <x v="1"/>
    <x v="9"/>
  </r>
  <r>
    <x v="2"/>
    <x v="7"/>
    <x v="29"/>
    <x v="2"/>
    <x v="29"/>
    <x v="5"/>
    <x v="27"/>
    <x v="8"/>
    <x v="7"/>
    <x v="29"/>
    <x v="0"/>
    <x v="0"/>
    <s v="https://uk1.aconex.co.uk/hub/index.html?mainTarget=%2FViewCorrespondence%3FPROJECT_ID%3D268457782%26CORRESPONDENCE_MAILBOX%3D0%26Correspondence_ID%3D349439041"/>
    <s v="HBC-RFI-000075"/>
    <x v="2"/>
    <x v="1"/>
    <x v="9"/>
  </r>
  <r>
    <x v="2"/>
    <x v="5"/>
    <x v="29"/>
    <x v="2"/>
    <x v="29"/>
    <x v="5"/>
    <x v="27"/>
    <x v="8"/>
    <x v="7"/>
    <x v="29"/>
    <x v="0"/>
    <x v="0"/>
    <s v="https://uk1.aconex.co.uk/hub/index.html?mainTarget=%2FViewCorrespondence%3FPROJECT_ID%3D268457782%26CORRESPONDENCE_MAILBOX%3D0%26Correspondence_ID%3D349439041"/>
    <s v="HBC-RFI-000075"/>
    <x v="2"/>
    <x v="1"/>
    <x v="9"/>
  </r>
  <r>
    <x v="2"/>
    <x v="3"/>
    <x v="29"/>
    <x v="2"/>
    <x v="29"/>
    <x v="5"/>
    <x v="27"/>
    <x v="8"/>
    <x v="7"/>
    <x v="29"/>
    <x v="0"/>
    <x v="0"/>
    <s v="https://uk1.aconex.co.uk/hub/index.html?mainTarget=%2FViewCorrespondence%3FPROJECT_ID%3D268457782%26CORRESPONDENCE_MAILBOX%3D0%26Correspondence_ID%3D349439041"/>
    <s v="HBC-RFI-000075"/>
    <x v="2"/>
    <x v="1"/>
    <x v="9"/>
  </r>
  <r>
    <x v="2"/>
    <x v="8"/>
    <x v="29"/>
    <x v="2"/>
    <x v="29"/>
    <x v="5"/>
    <x v="27"/>
    <x v="8"/>
    <x v="7"/>
    <x v="29"/>
    <x v="0"/>
    <x v="0"/>
    <s v="https://uk1.aconex.co.uk/hub/index.html?mainTarget=%2FViewCorrespondence%3FPROJECT_ID%3D268457782%26CORRESPONDENCE_MAILBOX%3D0%26Correspondence_ID%3D349439041"/>
    <s v="HBC-RFI-000075"/>
    <x v="2"/>
    <x v="1"/>
    <x v="9"/>
  </r>
  <r>
    <x v="2"/>
    <x v="9"/>
    <x v="29"/>
    <x v="2"/>
    <x v="29"/>
    <x v="5"/>
    <x v="27"/>
    <x v="8"/>
    <x v="7"/>
    <x v="29"/>
    <x v="0"/>
    <x v="0"/>
    <s v="https://uk1.aconex.co.uk/hub/index.html?mainTarget=%2FViewCorrespondence%3FPROJECT_ID%3D268457782%26CORRESPONDENCE_MAILBOX%3D0%26Correspondence_ID%3D349439041"/>
    <s v="HBC-RFI-000075"/>
    <x v="2"/>
    <x v="1"/>
    <x v="9"/>
  </r>
  <r>
    <x v="2"/>
    <x v="10"/>
    <x v="29"/>
    <x v="2"/>
    <x v="29"/>
    <x v="5"/>
    <x v="27"/>
    <x v="8"/>
    <x v="7"/>
    <x v="29"/>
    <x v="0"/>
    <x v="0"/>
    <s v="https://uk1.aconex.co.uk/hub/index.html?mainTarget=%2FViewCorrespondence%3FPROJECT_ID%3D268457782%26CORRESPONDENCE_MAILBOX%3D0%26Correspondence_ID%3D349439041"/>
    <s v="HBC-RFI-000075"/>
    <x v="2"/>
    <x v="1"/>
    <x v="9"/>
  </r>
  <r>
    <x v="3"/>
    <x v="6"/>
    <x v="30"/>
    <x v="3"/>
    <x v="30"/>
    <x v="2"/>
    <x v="28"/>
    <x v="28"/>
    <x v="27"/>
    <x v="30"/>
    <x v="0"/>
    <x v="1"/>
    <s v="https://uk1.aconex.co.uk/hub/index.html?mainTarget=%2FViewCorrespondence%3FPROJECT_ID%3D268457782%26CORRESPONDENCE_MAILBOX%3D0%26Correspondence_ID%3D348327175"/>
    <s v="Elect-SUBRFI-000001"/>
    <x v="3"/>
    <x v="1"/>
    <x v="2"/>
  </r>
  <r>
    <x v="3"/>
    <x v="6"/>
    <x v="31"/>
    <x v="3"/>
    <x v="31"/>
    <x v="2"/>
    <x v="29"/>
    <x v="28"/>
    <x v="28"/>
    <x v="31"/>
    <x v="0"/>
    <x v="1"/>
    <s v="https://uk1.aconex.co.uk/hub/index.html?mainTarget=%2FViewCorrespondence%3FPROJECT_ID%3D268457782%26CORRESPONDENCE_MAILBOX%3D0%26Correspondence_ID%3D348327631"/>
    <s v="Elect-SUBRFI-000002"/>
    <x v="3"/>
    <x v="1"/>
    <x v="2"/>
  </r>
  <r>
    <x v="3"/>
    <x v="6"/>
    <x v="32"/>
    <x v="3"/>
    <x v="32"/>
    <x v="2"/>
    <x v="30"/>
    <x v="29"/>
    <x v="29"/>
    <x v="32"/>
    <x v="0"/>
    <x v="2"/>
    <s v="https://uk1.aconex.co.uk/hub/index.html?mainTarget=%2FViewCorrespondence%3FPROJECT_ID%3D268457782%26CORRESPONDENCE_MAILBOX%3D0%26Correspondence_ID%3D348327754"/>
    <s v="EDGEPS-CL-RFI-000002"/>
    <x v="3"/>
    <x v="0"/>
    <x v="2"/>
  </r>
  <r>
    <x v="3"/>
    <x v="4"/>
    <x v="33"/>
    <x v="3"/>
    <x v="33"/>
    <x v="2"/>
    <x v="31"/>
    <x v="8"/>
    <x v="7"/>
    <x v="33"/>
    <x v="0"/>
    <x v="2"/>
    <s v="https://uk1.aconex.co.uk/hub/index.html?mainTarget=%2FViewCorrespondence%3FPROJECT_ID%3D268457782%26CORRESPONDENCE_MAILBOX%3D0%26Correspondence_ID%3D348328855"/>
    <s v="EDGEPS-CL-RFI-000003"/>
    <x v="3"/>
    <x v="0"/>
    <x v="2"/>
  </r>
  <r>
    <x v="3"/>
    <x v="1"/>
    <x v="33"/>
    <x v="3"/>
    <x v="33"/>
    <x v="2"/>
    <x v="31"/>
    <x v="8"/>
    <x v="7"/>
    <x v="33"/>
    <x v="0"/>
    <x v="2"/>
    <s v="https://uk1.aconex.co.uk/hub/index.html?mainTarget=%2FViewCorrespondence%3FPROJECT_ID%3D268457782%26CORRESPONDENCE_MAILBOX%3D0%26Correspondence_ID%3D348328855"/>
    <s v="EDGEPS-CL-RFI-000003"/>
    <x v="3"/>
    <x v="0"/>
    <x v="2"/>
  </r>
  <r>
    <x v="3"/>
    <x v="2"/>
    <x v="33"/>
    <x v="3"/>
    <x v="33"/>
    <x v="2"/>
    <x v="31"/>
    <x v="8"/>
    <x v="7"/>
    <x v="33"/>
    <x v="0"/>
    <x v="2"/>
    <s v="https://uk1.aconex.co.uk/hub/index.html?mainTarget=%2FViewCorrespondence%3FPROJECT_ID%3D268457782%26CORRESPONDENCE_MAILBOX%3D0%26Correspondence_ID%3D348328855"/>
    <s v="EDGEPS-CL-RFI-000003"/>
    <x v="3"/>
    <x v="0"/>
    <x v="2"/>
  </r>
  <r>
    <x v="3"/>
    <x v="9"/>
    <x v="33"/>
    <x v="3"/>
    <x v="33"/>
    <x v="2"/>
    <x v="31"/>
    <x v="8"/>
    <x v="7"/>
    <x v="33"/>
    <x v="0"/>
    <x v="2"/>
    <s v="https://uk1.aconex.co.uk/hub/index.html?mainTarget=%2FViewCorrespondence%3FPROJECT_ID%3D268457782%26CORRESPONDENCE_MAILBOX%3D0%26Correspondence_ID%3D348328855"/>
    <s v="EDGEPS-CL-RFI-000003"/>
    <x v="3"/>
    <x v="0"/>
    <x v="2"/>
  </r>
  <r>
    <x v="3"/>
    <x v="0"/>
    <x v="33"/>
    <x v="3"/>
    <x v="33"/>
    <x v="2"/>
    <x v="31"/>
    <x v="8"/>
    <x v="7"/>
    <x v="33"/>
    <x v="0"/>
    <x v="2"/>
    <s v="https://uk1.aconex.co.uk/hub/index.html?mainTarget=%2FViewCorrespondence%3FPROJECT_ID%3D268457782%26CORRESPONDENCE_MAILBOX%3D0%26Correspondence_ID%3D348328855"/>
    <s v="EDGEPS-CL-RFI-000003"/>
    <x v="3"/>
    <x v="0"/>
    <x v="2"/>
  </r>
  <r>
    <x v="3"/>
    <x v="6"/>
    <x v="34"/>
    <x v="3"/>
    <x v="34"/>
    <x v="2"/>
    <x v="32"/>
    <x v="8"/>
    <x v="7"/>
    <x v="34"/>
    <x v="0"/>
    <x v="3"/>
    <s v="https://uk1.aconex.co.uk/hub/index.html?mainTarget=%2FViewCorrespondence%3FPROJECT_ID%3D268457782%26CORRESPONDENCE_MAILBOX%3D0%26Correspondence_ID%3D348328905"/>
    <s v="EDGEPS-CL-RFI-000004"/>
    <x v="3"/>
    <x v="0"/>
    <x v="2"/>
  </r>
  <r>
    <x v="3"/>
    <x v="6"/>
    <x v="35"/>
    <x v="3"/>
    <x v="35"/>
    <x v="2"/>
    <x v="33"/>
    <x v="8"/>
    <x v="7"/>
    <x v="35"/>
    <x v="0"/>
    <x v="3"/>
    <s v="https://uk1.aconex.co.uk/hub/index.html?mainTarget=%2FViewCorrespondence%3FPROJECT_ID%3D268457782%26CORRESPONDENCE_MAILBOX%3D0%26Correspondence_ID%3D348328974"/>
    <s v="Elect-SUBRFI-000006"/>
    <x v="3"/>
    <x v="1"/>
    <x v="2"/>
  </r>
  <r>
    <x v="3"/>
    <x v="6"/>
    <x v="36"/>
    <x v="3"/>
    <x v="36"/>
    <x v="2"/>
    <x v="34"/>
    <x v="8"/>
    <x v="7"/>
    <x v="36"/>
    <x v="0"/>
    <x v="4"/>
    <s v="https://uk1.aconex.co.uk/hub/index.html?mainTarget=%2FViewCorrespondence%3FPROJECT_ID%3D268457782%26CORRESPONDENCE_MAILBOX%3D0%26Correspondence_ID%3D348329016"/>
    <s v="Elect-SUBRFI-000007"/>
    <x v="3"/>
    <x v="1"/>
    <x v="2"/>
  </r>
  <r>
    <x v="2"/>
    <x v="11"/>
    <x v="37"/>
    <x v="3"/>
    <x v="37"/>
    <x v="2"/>
    <x v="35"/>
    <x v="8"/>
    <x v="7"/>
    <x v="37"/>
    <x v="0"/>
    <x v="0"/>
    <s v="https://uk1.aconex.co.uk/hub/index.html?mainTarget=%2FViewCorrespondence%3FPROJECT_ID%3D268457782%26CORRESPONDENCE_MAILBOX%3D0%26Correspondence_ID%3D348329048"/>
    <s v="EDGEPS-CL-RFI-000005"/>
    <x v="2"/>
    <x v="0"/>
    <x v="2"/>
  </r>
  <r>
    <x v="2"/>
    <x v="1"/>
    <x v="37"/>
    <x v="3"/>
    <x v="37"/>
    <x v="2"/>
    <x v="35"/>
    <x v="8"/>
    <x v="7"/>
    <x v="37"/>
    <x v="0"/>
    <x v="0"/>
    <s v="https://uk1.aconex.co.uk/hub/index.html?mainTarget=%2FViewCorrespondence%3FPROJECT_ID%3D268457782%26CORRESPONDENCE_MAILBOX%3D0%26Correspondence_ID%3D348329048"/>
    <s v="EDGEPS-CL-RFI-000005"/>
    <x v="2"/>
    <x v="0"/>
    <x v="2"/>
  </r>
  <r>
    <x v="2"/>
    <x v="12"/>
    <x v="37"/>
    <x v="3"/>
    <x v="37"/>
    <x v="2"/>
    <x v="35"/>
    <x v="8"/>
    <x v="7"/>
    <x v="37"/>
    <x v="0"/>
    <x v="0"/>
    <s v="https://uk1.aconex.co.uk/hub/index.html?mainTarget=%2FViewCorrespondence%3FPROJECT_ID%3D268457782%26CORRESPONDENCE_MAILBOX%3D0%26Correspondence_ID%3D348329048"/>
    <s v="EDGEPS-CL-RFI-000005"/>
    <x v="2"/>
    <x v="0"/>
    <x v="2"/>
  </r>
  <r>
    <x v="2"/>
    <x v="1"/>
    <x v="38"/>
    <x v="3"/>
    <x v="38"/>
    <x v="0"/>
    <x v="35"/>
    <x v="30"/>
    <x v="30"/>
    <x v="38"/>
    <x v="0"/>
    <x v="0"/>
    <s v="https://uk1.aconex.co.uk/hub/index.html?mainTarget=%2FViewCorrespondence%3FPROJECT_ID%3D268457782%26CORRESPONDENCE_MAILBOX%3D0%26Correspondence_ID%3D348329071"/>
    <s v="HBC-RFI-000007"/>
    <x v="2"/>
    <x v="0"/>
    <x v="0"/>
  </r>
  <r>
    <x v="0"/>
    <x v="6"/>
    <x v="39"/>
    <x v="3"/>
    <x v="39"/>
    <x v="2"/>
    <x v="36"/>
    <x v="8"/>
    <x v="7"/>
    <x v="39"/>
    <x v="0"/>
    <x v="0"/>
    <s v="https://uk1.aconex.co.uk/hub/index.html?mainTarget=%2FViewCorrespondence%3FPROJECT_ID%3D268457782%26CORRESPONDENCE_MAILBOX%3D0%26Correspondence_ID%3D348329100"/>
    <s v="Elect-SUBRFI-000010"/>
    <x v="0"/>
    <x v="1"/>
    <x v="2"/>
  </r>
  <r>
    <x v="3"/>
    <x v="6"/>
    <x v="40"/>
    <x v="3"/>
    <x v="40"/>
    <x v="2"/>
    <x v="37"/>
    <x v="31"/>
    <x v="31"/>
    <x v="40"/>
    <x v="0"/>
    <x v="5"/>
    <s v="https://uk1.aconex.co.uk/hub/index.html?mainTarget=%2FViewCorrespondence%3FPROJECT_ID%3D268457782%26CORRESPONDENCE_MAILBOX%3D0%26Correspondence_ID%3D348329125"/>
    <s v="Elect-SUBRFI-000011"/>
    <x v="3"/>
    <x v="1"/>
    <x v="2"/>
  </r>
  <r>
    <x v="3"/>
    <x v="6"/>
    <x v="41"/>
    <x v="3"/>
    <x v="41"/>
    <x v="0"/>
    <x v="38"/>
    <x v="32"/>
    <x v="32"/>
    <x v="41"/>
    <x v="0"/>
    <x v="5"/>
    <s v="https://uk1.aconex.co.uk/hub/index.html?mainTarget=%2FViewCorrespondence%3FPROJECT_ID%3D268457782%26CORRESPONDENCE_MAILBOX%3D0%26Correspondence_ID%3D348863858"/>
    <s v="HBC-RFI-000008"/>
    <x v="3"/>
    <x v="0"/>
    <x v="0"/>
  </r>
  <r>
    <x v="2"/>
    <x v="11"/>
    <x v="42"/>
    <x v="3"/>
    <x v="42"/>
    <x v="1"/>
    <x v="39"/>
    <x v="8"/>
    <x v="7"/>
    <x v="42"/>
    <x v="0"/>
    <x v="0"/>
    <s v="https://uk1.aconex.co.uk/hub/index.html?mainTarget=%2FViewCorrespondence%3FPROJECT_ID%3D268457782%26CORRESPONDENCE_MAILBOX%3D0%26Correspondence_ID%3D349456721"/>
    <s v="HBC-RFI-000078"/>
    <x v="2"/>
    <x v="0"/>
    <x v="10"/>
  </r>
  <r>
    <x v="2"/>
    <x v="9"/>
    <x v="42"/>
    <x v="3"/>
    <x v="42"/>
    <x v="1"/>
    <x v="39"/>
    <x v="8"/>
    <x v="7"/>
    <x v="42"/>
    <x v="0"/>
    <x v="0"/>
    <s v="https://uk1.aconex.co.uk/hub/index.html?mainTarget=%2FViewCorrespondence%3FPROJECT_ID%3D268457782%26CORRESPONDENCE_MAILBOX%3D0%26Correspondence_ID%3D349456721"/>
    <s v="HBC-RFI-000078"/>
    <x v="2"/>
    <x v="0"/>
    <x v="10"/>
  </r>
  <r>
    <x v="2"/>
    <x v="0"/>
    <x v="42"/>
    <x v="3"/>
    <x v="42"/>
    <x v="1"/>
    <x v="39"/>
    <x v="8"/>
    <x v="7"/>
    <x v="42"/>
    <x v="0"/>
    <x v="0"/>
    <s v="https://uk1.aconex.co.uk/hub/index.html?mainTarget=%2FViewCorrespondence%3FPROJECT_ID%3D268457782%26CORRESPONDENCE_MAILBOX%3D0%26Correspondence_ID%3D349456721"/>
    <s v="HBC-RFI-000078"/>
    <x v="2"/>
    <x v="0"/>
    <x v="10"/>
  </r>
  <r>
    <x v="2"/>
    <x v="6"/>
    <x v="43"/>
    <x v="3"/>
    <x v="43"/>
    <x v="2"/>
    <x v="40"/>
    <x v="8"/>
    <x v="7"/>
    <x v="43"/>
    <x v="0"/>
    <x v="0"/>
    <s v="https://uk1.aconex.co.uk/hub/index.html?mainTarget=%2FViewCorrespondence%3FPROJECT_ID%3D268457782%26CORRESPONDENCE_MAILBOX%3D0%26Correspondence_ID%3D349457090"/>
    <s v="Elect-SUBRFI-000014"/>
    <x v="2"/>
    <x v="1"/>
    <x v="2"/>
  </r>
  <r>
    <x v="1"/>
    <x v="11"/>
    <x v="44"/>
    <x v="3"/>
    <x v="44"/>
    <x v="1"/>
    <x v="41"/>
    <x v="8"/>
    <x v="7"/>
    <x v="44"/>
    <x v="0"/>
    <x v="0"/>
    <s v="https://uk1.aconex.co.uk/hub/index.html?mainTarget=%2FViewCorrespondence%3FPROJECT_ID%3D268457782%26CORRESPONDENCE_MAILBOX%3D0%26Correspondence_ID%3D349655284"/>
    <s v="HBC-RFI-000110"/>
    <x v="1"/>
    <x v="0"/>
    <x v="11"/>
  </r>
  <r>
    <x v="1"/>
    <x v="12"/>
    <x v="44"/>
    <x v="3"/>
    <x v="44"/>
    <x v="1"/>
    <x v="41"/>
    <x v="8"/>
    <x v="7"/>
    <x v="44"/>
    <x v="0"/>
    <x v="0"/>
    <s v="https://uk1.aconex.co.uk/hub/index.html?mainTarget=%2FViewCorrespondence%3FPROJECT_ID%3D268457782%26CORRESPONDENCE_MAILBOX%3D0%26Correspondence_ID%3D349655284"/>
    <s v="HBC-RFI-000110"/>
    <x v="1"/>
    <x v="0"/>
    <x v="11"/>
  </r>
  <r>
    <x v="3"/>
    <x v="6"/>
    <x v="45"/>
    <x v="4"/>
    <x v="45"/>
    <x v="2"/>
    <x v="42"/>
    <x v="33"/>
    <x v="33"/>
    <x v="45"/>
    <x v="0"/>
    <x v="6"/>
    <s v="https://uk1.aconex.co.uk/hub/index.html?mainTarget=%2FViewCorrespondence%3FPROJECT_ID%3D268457782%26CORRESPONDENCE_MAILBOX%3D0%26Correspondence_ID%3D348440008"/>
    <s v="EDGEPS-CL-RFI-000006"/>
    <x v="3"/>
    <x v="0"/>
    <x v="2"/>
  </r>
  <r>
    <x v="2"/>
    <x v="13"/>
    <x v="46"/>
    <x v="4"/>
    <x v="46"/>
    <x v="2"/>
    <x v="43"/>
    <x v="34"/>
    <x v="34"/>
    <x v="46"/>
    <x v="0"/>
    <x v="0"/>
    <s v="https://uk1.aconex.co.uk/hub/index.html?mainTarget=%2FViewCorrespondence%3FPROJECT_ID%3D268457782%26CORRESPONDENCE_MAILBOX%3D0%26Correspondence_ID%3D348741858"/>
    <s v="EDGEPS-CL-RFI-000001"/>
    <x v="2"/>
    <x v="0"/>
    <x v="2"/>
  </r>
  <r>
    <x v="3"/>
    <x v="6"/>
    <x v="47"/>
    <x v="4"/>
    <x v="47"/>
    <x v="6"/>
    <x v="44"/>
    <x v="35"/>
    <x v="35"/>
    <x v="47"/>
    <x v="0"/>
    <x v="7"/>
    <s v="https://uk1.aconex.co.uk/hub/index.html?mainTarget=%2FViewCorrespondence%3FPROJECT_ID%3D268457782%26CORRESPONDENCE_MAILBOX%3D0%26Correspondence_ID%3D348872326"/>
    <s v="HBC-RFI-000009"/>
    <x v="3"/>
    <x v="0"/>
    <x v="12"/>
  </r>
  <r>
    <x v="3"/>
    <x v="6"/>
    <x v="47"/>
    <x v="4"/>
    <x v="47"/>
    <x v="7"/>
    <x v="44"/>
    <x v="35"/>
    <x v="35"/>
    <x v="47"/>
    <x v="0"/>
    <x v="7"/>
    <s v="https://uk1.aconex.co.uk/hub/index.html?mainTarget=%2FViewCorrespondence%3FPROJECT_ID%3D268457782%26CORRESPONDENCE_MAILBOX%3D0%26Correspondence_ID%3D348872326"/>
    <s v="HBC-RFI-000009"/>
    <x v="3"/>
    <x v="0"/>
    <x v="12"/>
  </r>
  <r>
    <x v="3"/>
    <x v="6"/>
    <x v="47"/>
    <x v="4"/>
    <x v="47"/>
    <x v="8"/>
    <x v="44"/>
    <x v="35"/>
    <x v="35"/>
    <x v="47"/>
    <x v="0"/>
    <x v="7"/>
    <s v="https://uk1.aconex.co.uk/hub/index.html?mainTarget=%2FViewCorrespondence%3FPROJECT_ID%3D268457782%26CORRESPONDENCE_MAILBOX%3D0%26Correspondence_ID%3D348872326"/>
    <s v="HBC-RFI-000009"/>
    <x v="3"/>
    <x v="0"/>
    <x v="12"/>
  </r>
  <r>
    <x v="3"/>
    <x v="6"/>
    <x v="47"/>
    <x v="4"/>
    <x v="47"/>
    <x v="9"/>
    <x v="44"/>
    <x v="35"/>
    <x v="35"/>
    <x v="47"/>
    <x v="0"/>
    <x v="7"/>
    <s v="https://uk1.aconex.co.uk/hub/index.html?mainTarget=%2FViewCorrespondence%3FPROJECT_ID%3D268457782%26CORRESPONDENCE_MAILBOX%3D0%26Correspondence_ID%3D348872326"/>
    <s v="HBC-RFI-000009"/>
    <x v="3"/>
    <x v="0"/>
    <x v="12"/>
  </r>
  <r>
    <x v="2"/>
    <x v="11"/>
    <x v="48"/>
    <x v="4"/>
    <x v="48"/>
    <x v="2"/>
    <x v="45"/>
    <x v="8"/>
    <x v="7"/>
    <x v="48"/>
    <x v="0"/>
    <x v="0"/>
    <s v="https://uk1.aconex.co.uk/hub/index.html?mainTarget=%2FViewCorrespondence%3FPROJECT_ID%3D268457782%26CORRESPONDENCE_MAILBOX%3D0%26Correspondence_ID%3D348883893"/>
    <s v="EDGEPS-CL-RFI-000007"/>
    <x v="2"/>
    <x v="0"/>
    <x v="2"/>
  </r>
  <r>
    <x v="2"/>
    <x v="1"/>
    <x v="48"/>
    <x v="4"/>
    <x v="48"/>
    <x v="2"/>
    <x v="45"/>
    <x v="8"/>
    <x v="7"/>
    <x v="48"/>
    <x v="0"/>
    <x v="0"/>
    <s v="https://uk1.aconex.co.uk/hub/index.html?mainTarget=%2FViewCorrespondence%3FPROJECT_ID%3D268457782%26CORRESPONDENCE_MAILBOX%3D0%26Correspondence_ID%3D348883893"/>
    <s v="EDGEPS-CL-RFI-000007"/>
    <x v="2"/>
    <x v="0"/>
    <x v="2"/>
  </r>
  <r>
    <x v="2"/>
    <x v="12"/>
    <x v="48"/>
    <x v="4"/>
    <x v="48"/>
    <x v="2"/>
    <x v="45"/>
    <x v="8"/>
    <x v="7"/>
    <x v="48"/>
    <x v="0"/>
    <x v="0"/>
    <s v="https://uk1.aconex.co.uk/hub/index.html?mainTarget=%2FViewCorrespondence%3FPROJECT_ID%3D268457782%26CORRESPONDENCE_MAILBOX%3D0%26Correspondence_ID%3D348883893"/>
    <s v="EDGEPS-CL-RFI-000007"/>
    <x v="2"/>
    <x v="0"/>
    <x v="2"/>
  </r>
  <r>
    <x v="0"/>
    <x v="3"/>
    <x v="49"/>
    <x v="4"/>
    <x v="49"/>
    <x v="5"/>
    <x v="46"/>
    <x v="36"/>
    <x v="36"/>
    <x v="49"/>
    <x v="0"/>
    <x v="0"/>
    <s v="https://uk1.aconex.co.uk/hub/index.html?mainTarget=%2FViewCorrespondence%3FPROJECT_ID%3D268457782%26CORRESPONDENCE_MAILBOX%3D0%26Correspondence_ID%3D348963523"/>
    <s v="HBC-RFI-000011"/>
    <x v="0"/>
    <x v="1"/>
    <x v="13"/>
  </r>
  <r>
    <x v="0"/>
    <x v="3"/>
    <x v="50"/>
    <x v="4"/>
    <x v="50"/>
    <x v="4"/>
    <x v="47"/>
    <x v="37"/>
    <x v="37"/>
    <x v="50"/>
    <x v="0"/>
    <x v="0"/>
    <s v="https://uk1.aconex.co.uk/hub/index.html?mainTarget=%2FViewCorrespondence%3FPROJECT_ID%3D268457782%26CORRESPONDENCE_MAILBOX%3D0%26Correspondence_ID%3D349009007"/>
    <s v="HBC-RFI-000012"/>
    <x v="0"/>
    <x v="0"/>
    <x v="7"/>
  </r>
  <r>
    <x v="0"/>
    <x v="3"/>
    <x v="51"/>
    <x v="4"/>
    <x v="51"/>
    <x v="1"/>
    <x v="48"/>
    <x v="38"/>
    <x v="38"/>
    <x v="51"/>
    <x v="0"/>
    <x v="0"/>
    <s v="https://uk1.aconex.co.uk/hub/index.html?mainTarget=%2FViewCorrespondence%3FPROJECT_ID%3D268457782%26CORRESPONDENCE_MAILBOX%3D0%26Correspondence_ID%3D349009079"/>
    <s v="HBC-RFI-000013"/>
    <x v="0"/>
    <x v="0"/>
    <x v="1"/>
  </r>
  <r>
    <x v="0"/>
    <x v="3"/>
    <x v="52"/>
    <x v="4"/>
    <x v="52"/>
    <x v="4"/>
    <x v="49"/>
    <x v="39"/>
    <x v="39"/>
    <x v="52"/>
    <x v="0"/>
    <x v="0"/>
    <s v="https://uk1.aconex.co.uk/hub/index.html?mainTarget=%2FViewCorrespondence%3FPROJECT_ID%3D268457782%26CORRESPONDENCE_MAILBOX%3D0%26Correspondence_ID%3D349009222"/>
    <s v="HBC-RFI-000014"/>
    <x v="0"/>
    <x v="0"/>
    <x v="7"/>
  </r>
  <r>
    <x v="0"/>
    <x v="3"/>
    <x v="53"/>
    <x v="4"/>
    <x v="53"/>
    <x v="1"/>
    <x v="50"/>
    <x v="40"/>
    <x v="40"/>
    <x v="53"/>
    <x v="0"/>
    <x v="0"/>
    <s v="https://uk1.aconex.co.uk/hub/index.html?mainTarget=%2FViewCorrespondence%3FPROJECT_ID%3D268457782%26CORRESPONDENCE_MAILBOX%3D0%26Correspondence_ID%3D349010130"/>
    <s v="HBC-RFI-000015"/>
    <x v="0"/>
    <x v="0"/>
    <x v="1"/>
  </r>
  <r>
    <x v="0"/>
    <x v="3"/>
    <x v="54"/>
    <x v="4"/>
    <x v="54"/>
    <x v="1"/>
    <x v="51"/>
    <x v="41"/>
    <x v="41"/>
    <x v="54"/>
    <x v="0"/>
    <x v="0"/>
    <s v="https://uk1.aconex.co.uk/hub/index.html?mainTarget=%2FViewCorrespondence%3FPROJECT_ID%3D268457782%26CORRESPONDENCE_MAILBOX%3D0%26Correspondence_ID%3D349010358"/>
    <s v="HBC-RFI-000016"/>
    <x v="0"/>
    <x v="0"/>
    <x v="1"/>
  </r>
  <r>
    <x v="0"/>
    <x v="3"/>
    <x v="55"/>
    <x v="4"/>
    <x v="55"/>
    <x v="1"/>
    <x v="52"/>
    <x v="42"/>
    <x v="42"/>
    <x v="55"/>
    <x v="0"/>
    <x v="0"/>
    <s v="https://uk1.aconex.co.uk/hub/index.html?mainTarget=%2FViewCorrespondence%3FPROJECT_ID%3D268457782%26CORRESPONDENCE_MAILBOX%3D0%26Correspondence_ID%3D349010567"/>
    <s v="HBC-RFI-000017"/>
    <x v="0"/>
    <x v="0"/>
    <x v="1"/>
  </r>
  <r>
    <x v="2"/>
    <x v="4"/>
    <x v="56"/>
    <x v="4"/>
    <x v="56"/>
    <x v="2"/>
    <x v="53"/>
    <x v="43"/>
    <x v="43"/>
    <x v="56"/>
    <x v="0"/>
    <x v="0"/>
    <s v="https://uk1.aconex.co.uk/hub/index.html?mainTarget=%2FViewCorrespondence%3FPROJECT_ID%3D268457782%26CORRESPONDENCE_MAILBOX%3D0%26Correspondence_ID%3D349010704"/>
    <s v="EDGEPS-CL-RFI-000008"/>
    <x v="2"/>
    <x v="0"/>
    <x v="2"/>
  </r>
  <r>
    <x v="0"/>
    <x v="3"/>
    <x v="57"/>
    <x v="4"/>
    <x v="57"/>
    <x v="1"/>
    <x v="54"/>
    <x v="44"/>
    <x v="44"/>
    <x v="57"/>
    <x v="0"/>
    <x v="0"/>
    <s v="https://uk1.aconex.co.uk/hub/index.html?mainTarget=%2FViewCorrespondence%3FPROJECT_ID%3D268457782%26CORRESPONDENCE_MAILBOX%3D0%26Correspondence_ID%3D349010841"/>
    <s v="HBC-RFI-000019"/>
    <x v="0"/>
    <x v="0"/>
    <x v="1"/>
  </r>
  <r>
    <x v="3"/>
    <x v="6"/>
    <x v="58"/>
    <x v="4"/>
    <x v="58"/>
    <x v="1"/>
    <x v="55"/>
    <x v="45"/>
    <x v="45"/>
    <x v="58"/>
    <x v="0"/>
    <x v="8"/>
    <s v="https://uk1.aconex.co.uk/hub/index.html?mainTarget=%2FViewCorrespondence%3FPROJECT_ID%3D268457782%26CORRESPONDENCE_MAILBOX%3D0%26Correspondence_ID%3D349010955"/>
    <s v="HBC-RFI-000020"/>
    <x v="3"/>
    <x v="0"/>
    <x v="1"/>
  </r>
  <r>
    <x v="3"/>
    <x v="6"/>
    <x v="59"/>
    <x v="4"/>
    <x v="59"/>
    <x v="1"/>
    <x v="56"/>
    <x v="46"/>
    <x v="46"/>
    <x v="59"/>
    <x v="0"/>
    <x v="9"/>
    <s v="https://uk1.aconex.co.uk/hub/index.html?mainTarget=%2FViewCorrespondence%3FPROJECT_ID%3D268457782%26CORRESPONDENCE_MAILBOX%3D0%26Correspondence_ID%3D349011057"/>
    <s v="HBC-RFI-000021"/>
    <x v="3"/>
    <x v="0"/>
    <x v="1"/>
  </r>
  <r>
    <x v="0"/>
    <x v="3"/>
    <x v="60"/>
    <x v="4"/>
    <x v="60"/>
    <x v="1"/>
    <x v="57"/>
    <x v="47"/>
    <x v="47"/>
    <x v="60"/>
    <x v="0"/>
    <x v="0"/>
    <s v="https://uk1.aconex.co.uk/hub/index.html?mainTarget=%2FViewCorrespondence%3FPROJECT_ID%3D268457782%26CORRESPONDENCE_MAILBOX%3D0%26Correspondence_ID%3D349011137"/>
    <s v="HBC-RFI-000022"/>
    <x v="0"/>
    <x v="0"/>
    <x v="1"/>
  </r>
  <r>
    <x v="0"/>
    <x v="3"/>
    <x v="61"/>
    <x v="4"/>
    <x v="61"/>
    <x v="0"/>
    <x v="58"/>
    <x v="48"/>
    <x v="48"/>
    <x v="61"/>
    <x v="0"/>
    <x v="0"/>
    <s v="https://uk1.aconex.co.uk/hub/index.html?mainTarget=%2FViewCorrespondence%3FPROJECT_ID%3D268457782%26CORRESPONDENCE_MAILBOX%3D0%26Correspondence_ID%3D349011257"/>
    <s v="HBC-RFI-000023"/>
    <x v="0"/>
    <x v="0"/>
    <x v="0"/>
  </r>
  <r>
    <x v="0"/>
    <x v="3"/>
    <x v="62"/>
    <x v="4"/>
    <x v="62"/>
    <x v="1"/>
    <x v="59"/>
    <x v="49"/>
    <x v="49"/>
    <x v="62"/>
    <x v="0"/>
    <x v="0"/>
    <s v="https://uk1.aconex.co.uk/hub/index.html?mainTarget=%2FViewCorrespondence%3FPROJECT_ID%3D268457782%26CORRESPONDENCE_MAILBOX%3D0%26Correspondence_ID%3D349011653"/>
    <s v="HBC-RFI-000024"/>
    <x v="0"/>
    <x v="0"/>
    <x v="1"/>
  </r>
  <r>
    <x v="0"/>
    <x v="3"/>
    <x v="63"/>
    <x v="4"/>
    <x v="63"/>
    <x v="1"/>
    <x v="60"/>
    <x v="50"/>
    <x v="50"/>
    <x v="63"/>
    <x v="0"/>
    <x v="0"/>
    <s v="https://uk1.aconex.co.uk/hub/index.html?mainTarget=%2FViewCorrespondence%3FPROJECT_ID%3D268457782%26CORRESPONDENCE_MAILBOX%3D0%26Correspondence_ID%3D349011807"/>
    <s v="HBC-RFI-000025"/>
    <x v="0"/>
    <x v="0"/>
    <x v="1"/>
  </r>
  <r>
    <x v="0"/>
    <x v="3"/>
    <x v="64"/>
    <x v="4"/>
    <x v="64"/>
    <x v="0"/>
    <x v="61"/>
    <x v="51"/>
    <x v="51"/>
    <x v="64"/>
    <x v="0"/>
    <x v="0"/>
    <s v="https://uk1.aconex.co.uk/hub/index.html?mainTarget=%2FViewCorrespondence%3FPROJECT_ID%3D268457782%26CORRESPONDENCE_MAILBOX%3D0%26Correspondence_ID%3D349012000"/>
    <s v="HBC-RFI-000026"/>
    <x v="0"/>
    <x v="0"/>
    <x v="14"/>
  </r>
  <r>
    <x v="0"/>
    <x v="3"/>
    <x v="64"/>
    <x v="4"/>
    <x v="64"/>
    <x v="1"/>
    <x v="61"/>
    <x v="51"/>
    <x v="51"/>
    <x v="64"/>
    <x v="0"/>
    <x v="0"/>
    <s v="https://uk1.aconex.co.uk/hub/index.html?mainTarget=%2FViewCorrespondence%3FPROJECT_ID%3D268457782%26CORRESPONDENCE_MAILBOX%3D0%26Correspondence_ID%3D349012000"/>
    <s v="HBC-RFI-000026"/>
    <x v="0"/>
    <x v="0"/>
    <x v="14"/>
  </r>
  <r>
    <x v="0"/>
    <x v="3"/>
    <x v="65"/>
    <x v="4"/>
    <x v="65"/>
    <x v="1"/>
    <x v="62"/>
    <x v="52"/>
    <x v="52"/>
    <x v="65"/>
    <x v="0"/>
    <x v="0"/>
    <s v="https://uk1.aconex.co.uk/hub/index.html?mainTarget=%2FViewCorrespondence%3FPROJECT_ID%3D268457782%26CORRESPONDENCE_MAILBOX%3D0%26Correspondence_ID%3D349014098"/>
    <s v="HBC-RFI-000027"/>
    <x v="0"/>
    <x v="0"/>
    <x v="1"/>
  </r>
  <r>
    <x v="3"/>
    <x v="6"/>
    <x v="66"/>
    <x v="4"/>
    <x v="66"/>
    <x v="1"/>
    <x v="63"/>
    <x v="53"/>
    <x v="53"/>
    <x v="66"/>
    <x v="0"/>
    <x v="10"/>
    <s v="https://uk1.aconex.co.uk/hub/index.html?mainTarget=%2FViewCorrespondence%3FPROJECT_ID%3D268457782%26CORRESPONDENCE_MAILBOX%3D0%26Correspondence_ID%3D349014211"/>
    <s v="HBC-RFI-000028"/>
    <x v="3"/>
    <x v="0"/>
    <x v="1"/>
  </r>
  <r>
    <x v="0"/>
    <x v="3"/>
    <x v="67"/>
    <x v="4"/>
    <x v="67"/>
    <x v="1"/>
    <x v="64"/>
    <x v="54"/>
    <x v="54"/>
    <x v="67"/>
    <x v="0"/>
    <x v="0"/>
    <s v="https://uk1.aconex.co.uk/hub/index.html?mainTarget=%2FViewCorrespondence%3FPROJECT_ID%3D268457782%26CORRESPONDENCE_MAILBOX%3D0%26Correspondence_ID%3D349014419"/>
    <s v="HBC-RFI-000029"/>
    <x v="0"/>
    <x v="0"/>
    <x v="1"/>
  </r>
  <r>
    <x v="0"/>
    <x v="3"/>
    <x v="68"/>
    <x v="4"/>
    <x v="68"/>
    <x v="1"/>
    <x v="65"/>
    <x v="55"/>
    <x v="55"/>
    <x v="68"/>
    <x v="0"/>
    <x v="0"/>
    <s v="https://uk1.aconex.co.uk/hub/index.html?mainTarget=%2FViewCorrespondence%3FPROJECT_ID%3D268457782%26CORRESPONDENCE_MAILBOX%3D0%26Correspondence_ID%3D349014756"/>
    <s v="HBC-RFI-000030"/>
    <x v="0"/>
    <x v="0"/>
    <x v="1"/>
  </r>
  <r>
    <x v="0"/>
    <x v="3"/>
    <x v="69"/>
    <x v="4"/>
    <x v="69"/>
    <x v="1"/>
    <x v="66"/>
    <x v="56"/>
    <x v="56"/>
    <x v="69"/>
    <x v="0"/>
    <x v="0"/>
    <s v="https://uk1.aconex.co.uk/hub/index.html?mainTarget=%2FViewCorrespondence%3FPROJECT_ID%3D268457782%26CORRESPONDENCE_MAILBOX%3D0%26Correspondence_ID%3D349015159"/>
    <s v="HBC-RFI-000031"/>
    <x v="0"/>
    <x v="0"/>
    <x v="1"/>
  </r>
  <r>
    <x v="0"/>
    <x v="3"/>
    <x v="70"/>
    <x v="4"/>
    <x v="70"/>
    <x v="1"/>
    <x v="67"/>
    <x v="57"/>
    <x v="57"/>
    <x v="70"/>
    <x v="0"/>
    <x v="0"/>
    <s v="https://uk1.aconex.co.uk/hub/index.html?mainTarget=%2FViewCorrespondence%3FPROJECT_ID%3D268457782%26CORRESPONDENCE_MAILBOX%3D0%26Correspondence_ID%3D349015793"/>
    <s v="HBC-RFI-000032"/>
    <x v="0"/>
    <x v="0"/>
    <x v="1"/>
  </r>
  <r>
    <x v="0"/>
    <x v="3"/>
    <x v="71"/>
    <x v="4"/>
    <x v="71"/>
    <x v="1"/>
    <x v="68"/>
    <x v="57"/>
    <x v="58"/>
    <x v="71"/>
    <x v="0"/>
    <x v="0"/>
    <s v="https://uk1.aconex.co.uk/hub/index.html?mainTarget=%2FViewCorrespondence%3FPROJECT_ID%3D268457782%26CORRESPONDENCE_MAILBOX%3D0%26Correspondence_ID%3D349015873"/>
    <s v="HBC-RFI-000033"/>
    <x v="0"/>
    <x v="0"/>
    <x v="1"/>
  </r>
  <r>
    <x v="0"/>
    <x v="3"/>
    <x v="72"/>
    <x v="4"/>
    <x v="72"/>
    <x v="1"/>
    <x v="69"/>
    <x v="58"/>
    <x v="59"/>
    <x v="72"/>
    <x v="0"/>
    <x v="0"/>
    <s v="https://uk1.aconex.co.uk/hub/index.html?mainTarget=%2FViewCorrespondence%3FPROJECT_ID%3D268457782%26CORRESPONDENCE_MAILBOX%3D0%26Correspondence_ID%3D349015972"/>
    <s v="HBC-RFI-000034"/>
    <x v="0"/>
    <x v="0"/>
    <x v="1"/>
  </r>
  <r>
    <x v="0"/>
    <x v="3"/>
    <x v="73"/>
    <x v="4"/>
    <x v="73"/>
    <x v="1"/>
    <x v="70"/>
    <x v="59"/>
    <x v="60"/>
    <x v="73"/>
    <x v="0"/>
    <x v="0"/>
    <s v="https://uk1.aconex.co.uk/hub/index.html?mainTarget=%2FViewCorrespondence%3FPROJECT_ID%3D268457782%26CORRESPONDENCE_MAILBOX%3D0%26Correspondence_ID%3D349023874"/>
    <s v="HBC-RFI-000035"/>
    <x v="0"/>
    <x v="0"/>
    <x v="1"/>
  </r>
  <r>
    <x v="0"/>
    <x v="3"/>
    <x v="74"/>
    <x v="4"/>
    <x v="74"/>
    <x v="1"/>
    <x v="71"/>
    <x v="60"/>
    <x v="61"/>
    <x v="74"/>
    <x v="0"/>
    <x v="0"/>
    <s v="https://uk1.aconex.co.uk/hub/index.html?mainTarget=%2FViewCorrespondence%3FPROJECT_ID%3D268457782%26CORRESPONDENCE_MAILBOX%3D0%26Correspondence_ID%3D349024725"/>
    <s v="HBC-RFI-000036"/>
    <x v="0"/>
    <x v="0"/>
    <x v="1"/>
  </r>
  <r>
    <x v="0"/>
    <x v="3"/>
    <x v="75"/>
    <x v="4"/>
    <x v="75"/>
    <x v="1"/>
    <x v="72"/>
    <x v="61"/>
    <x v="62"/>
    <x v="75"/>
    <x v="0"/>
    <x v="0"/>
    <s v="https://uk1.aconex.co.uk/hub/index.html?mainTarget=%2FViewCorrespondence%3FPROJECT_ID%3D268457782%26CORRESPONDENCE_MAILBOX%3D0%26Correspondence_ID%3D349024781"/>
    <s v="HBC-RFI-000037"/>
    <x v="0"/>
    <x v="0"/>
    <x v="1"/>
  </r>
  <r>
    <x v="0"/>
    <x v="3"/>
    <x v="76"/>
    <x v="4"/>
    <x v="76"/>
    <x v="1"/>
    <x v="73"/>
    <x v="62"/>
    <x v="63"/>
    <x v="76"/>
    <x v="0"/>
    <x v="0"/>
    <s v="https://uk1.aconex.co.uk/hub/index.html?mainTarget=%2FViewCorrespondence%3FPROJECT_ID%3D268457782%26CORRESPONDENCE_MAILBOX%3D0%26Correspondence_ID%3D349025156"/>
    <s v="HBC-RFI-000038"/>
    <x v="0"/>
    <x v="0"/>
    <x v="1"/>
  </r>
  <r>
    <x v="0"/>
    <x v="3"/>
    <x v="77"/>
    <x v="4"/>
    <x v="77"/>
    <x v="1"/>
    <x v="74"/>
    <x v="63"/>
    <x v="64"/>
    <x v="77"/>
    <x v="0"/>
    <x v="0"/>
    <s v="https://uk1.aconex.co.uk/hub/index.html?mainTarget=%2FViewCorrespondence%3FPROJECT_ID%3D268457782%26CORRESPONDENCE_MAILBOX%3D0%26Correspondence_ID%3D349025709"/>
    <s v="HBC-RFI-000039"/>
    <x v="0"/>
    <x v="0"/>
    <x v="1"/>
  </r>
  <r>
    <x v="0"/>
    <x v="3"/>
    <x v="78"/>
    <x v="4"/>
    <x v="78"/>
    <x v="1"/>
    <x v="75"/>
    <x v="64"/>
    <x v="65"/>
    <x v="78"/>
    <x v="0"/>
    <x v="0"/>
    <s v="https://uk1.aconex.co.uk/hub/index.html?mainTarget=%2FViewCorrespondence%3FPROJECT_ID%3D268457782%26CORRESPONDENCE_MAILBOX%3D0%26Correspondence_ID%3D349026384"/>
    <s v="HBC-RFI-000040"/>
    <x v="0"/>
    <x v="0"/>
    <x v="15"/>
  </r>
  <r>
    <x v="0"/>
    <x v="3"/>
    <x v="78"/>
    <x v="4"/>
    <x v="78"/>
    <x v="4"/>
    <x v="75"/>
    <x v="64"/>
    <x v="65"/>
    <x v="78"/>
    <x v="0"/>
    <x v="0"/>
    <s v="https://uk1.aconex.co.uk/hub/index.html?mainTarget=%2FViewCorrespondence%3FPROJECT_ID%3D268457782%26CORRESPONDENCE_MAILBOX%3D0%26Correspondence_ID%3D349026384"/>
    <s v="HBC-RFI-000040"/>
    <x v="0"/>
    <x v="0"/>
    <x v="15"/>
  </r>
  <r>
    <x v="0"/>
    <x v="3"/>
    <x v="79"/>
    <x v="4"/>
    <x v="79"/>
    <x v="0"/>
    <x v="76"/>
    <x v="65"/>
    <x v="66"/>
    <x v="79"/>
    <x v="0"/>
    <x v="0"/>
    <s v="https://uk1.aconex.co.uk/hub/index.html?mainTarget=%2FViewCorrespondence%3FPROJECT_ID%3D268457782%26CORRESPONDENCE_MAILBOX%3D0%26Correspondence_ID%3D349026745"/>
    <s v="HBC-RFI-000041"/>
    <x v="0"/>
    <x v="0"/>
    <x v="14"/>
  </r>
  <r>
    <x v="0"/>
    <x v="3"/>
    <x v="79"/>
    <x v="4"/>
    <x v="79"/>
    <x v="1"/>
    <x v="76"/>
    <x v="65"/>
    <x v="66"/>
    <x v="79"/>
    <x v="0"/>
    <x v="0"/>
    <s v="https://uk1.aconex.co.uk/hub/index.html?mainTarget=%2FViewCorrespondence%3FPROJECT_ID%3D268457782%26CORRESPONDENCE_MAILBOX%3D0%26Correspondence_ID%3D349026745"/>
    <s v="HBC-RFI-000041"/>
    <x v="0"/>
    <x v="0"/>
    <x v="14"/>
  </r>
  <r>
    <x v="0"/>
    <x v="3"/>
    <x v="80"/>
    <x v="4"/>
    <x v="80"/>
    <x v="1"/>
    <x v="77"/>
    <x v="66"/>
    <x v="67"/>
    <x v="80"/>
    <x v="0"/>
    <x v="0"/>
    <s v="https://uk1.aconex.co.uk/hub/index.html?mainTarget=%2FViewCorrespondence%3FPROJECT_ID%3D268457782%26CORRESPONDENCE_MAILBOX%3D0%26Correspondence_ID%3D349027888"/>
    <s v="HBC-RFI-000042"/>
    <x v="0"/>
    <x v="0"/>
    <x v="1"/>
  </r>
  <r>
    <x v="0"/>
    <x v="3"/>
    <x v="81"/>
    <x v="4"/>
    <x v="81"/>
    <x v="1"/>
    <x v="78"/>
    <x v="56"/>
    <x v="68"/>
    <x v="81"/>
    <x v="0"/>
    <x v="0"/>
    <s v="https://uk1.aconex.co.uk/hub/index.html?mainTarget=%2FViewCorrespondence%3FPROJECT_ID%3D268457782%26CORRESPONDENCE_MAILBOX%3D0%26Correspondence_ID%3D349028083"/>
    <s v="HBC-RFI-000043"/>
    <x v="0"/>
    <x v="0"/>
    <x v="1"/>
  </r>
  <r>
    <x v="0"/>
    <x v="3"/>
    <x v="82"/>
    <x v="4"/>
    <x v="82"/>
    <x v="1"/>
    <x v="79"/>
    <x v="67"/>
    <x v="69"/>
    <x v="82"/>
    <x v="0"/>
    <x v="0"/>
    <s v="https://uk1.aconex.co.uk/hub/index.html?mainTarget=%2FViewCorrespondence%3FPROJECT_ID%3D268457782%26CORRESPONDENCE_MAILBOX%3D0%26Correspondence_ID%3D349029373"/>
    <s v="HBC-RFI-000044"/>
    <x v="0"/>
    <x v="0"/>
    <x v="1"/>
  </r>
  <r>
    <x v="0"/>
    <x v="6"/>
    <x v="83"/>
    <x v="4"/>
    <x v="83"/>
    <x v="1"/>
    <x v="80"/>
    <x v="68"/>
    <x v="70"/>
    <x v="83"/>
    <x v="0"/>
    <x v="0"/>
    <s v="https://uk1.aconex.co.uk/hub/index.html?mainTarget=%2FViewCorrespondence%3FPROJECT_ID%3D268457782%26CORRESPONDENCE_MAILBOX%3D0%26Correspondence_ID%3D349029525"/>
    <s v="HBC-RFI-000045"/>
    <x v="0"/>
    <x v="0"/>
    <x v="1"/>
  </r>
  <r>
    <x v="0"/>
    <x v="6"/>
    <x v="84"/>
    <x v="4"/>
    <x v="84"/>
    <x v="0"/>
    <x v="81"/>
    <x v="69"/>
    <x v="71"/>
    <x v="84"/>
    <x v="0"/>
    <x v="0"/>
    <s v="https://uk1.aconex.co.uk/hub/index.html?mainTarget=%2FViewCorrespondence%3FPROJECT_ID%3D268457782%26CORRESPONDENCE_MAILBOX%3D0%26Correspondence_ID%3D349029568"/>
    <s v="HBC-RFI-000046"/>
    <x v="0"/>
    <x v="0"/>
    <x v="0"/>
  </r>
  <r>
    <x v="2"/>
    <x v="1"/>
    <x v="85"/>
    <x v="4"/>
    <x v="85"/>
    <x v="0"/>
    <x v="82"/>
    <x v="8"/>
    <x v="7"/>
    <x v="85"/>
    <x v="0"/>
    <x v="0"/>
    <s v="https://uk1.aconex.co.uk/hub/index.html?mainTarget=%2FViewCorrespondence%3FPROJECT_ID%3D268457782%26CORRESPONDENCE_MAILBOX%3D0%26Correspondence_ID%3D349029712"/>
    <s v="HBC-RFI-000047"/>
    <x v="2"/>
    <x v="0"/>
    <x v="16"/>
  </r>
  <r>
    <x v="2"/>
    <x v="1"/>
    <x v="85"/>
    <x v="4"/>
    <x v="85"/>
    <x v="1"/>
    <x v="82"/>
    <x v="8"/>
    <x v="7"/>
    <x v="85"/>
    <x v="0"/>
    <x v="0"/>
    <s v="https://uk1.aconex.co.uk/hub/index.html?mainTarget=%2FViewCorrespondence%3FPROJECT_ID%3D268457782%26CORRESPONDENCE_MAILBOX%3D0%26Correspondence_ID%3D349029712"/>
    <s v="HBC-RFI-000047"/>
    <x v="2"/>
    <x v="0"/>
    <x v="16"/>
  </r>
  <r>
    <x v="2"/>
    <x v="4"/>
    <x v="85"/>
    <x v="4"/>
    <x v="85"/>
    <x v="0"/>
    <x v="82"/>
    <x v="8"/>
    <x v="7"/>
    <x v="85"/>
    <x v="0"/>
    <x v="0"/>
    <s v="https://uk1.aconex.co.uk/hub/index.html?mainTarget=%2FViewCorrespondence%3FPROJECT_ID%3D268457782%26CORRESPONDENCE_MAILBOX%3D0%26Correspondence_ID%3D349029712"/>
    <s v="HBC-RFI-000047"/>
    <x v="2"/>
    <x v="0"/>
    <x v="16"/>
  </r>
  <r>
    <x v="2"/>
    <x v="4"/>
    <x v="85"/>
    <x v="4"/>
    <x v="85"/>
    <x v="1"/>
    <x v="82"/>
    <x v="8"/>
    <x v="7"/>
    <x v="85"/>
    <x v="0"/>
    <x v="0"/>
    <s v="https://uk1.aconex.co.uk/hub/index.html?mainTarget=%2FViewCorrespondence%3FPROJECT_ID%3D268457782%26CORRESPONDENCE_MAILBOX%3D0%26Correspondence_ID%3D349029712"/>
    <s v="HBC-RFI-000047"/>
    <x v="2"/>
    <x v="0"/>
    <x v="16"/>
  </r>
  <r>
    <x v="3"/>
    <x v="6"/>
    <x v="86"/>
    <x v="4"/>
    <x v="86"/>
    <x v="1"/>
    <x v="83"/>
    <x v="70"/>
    <x v="72"/>
    <x v="86"/>
    <x v="0"/>
    <x v="11"/>
    <s v="https://uk1.aconex.co.uk/hub/index.html?mainTarget=%2FViewCorrespondence%3FPROJECT_ID%3D268457782%26CORRESPONDENCE_MAILBOX%3D0%26Correspondence_ID%3D349029982"/>
    <s v="HBC-RFI-000048"/>
    <x v="3"/>
    <x v="0"/>
    <x v="1"/>
  </r>
  <r>
    <x v="0"/>
    <x v="3"/>
    <x v="87"/>
    <x v="4"/>
    <x v="87"/>
    <x v="1"/>
    <x v="84"/>
    <x v="71"/>
    <x v="73"/>
    <x v="87"/>
    <x v="0"/>
    <x v="0"/>
    <s v="https://uk1.aconex.co.uk/hub/index.html?mainTarget=%2FViewCorrespondence%3FPROJECT_ID%3D268457782%26CORRESPONDENCE_MAILBOX%3D0%26Correspondence_ID%3D349030267"/>
    <s v="HBC-RFI-000049"/>
    <x v="0"/>
    <x v="0"/>
    <x v="1"/>
  </r>
  <r>
    <x v="3"/>
    <x v="6"/>
    <x v="88"/>
    <x v="4"/>
    <x v="88"/>
    <x v="1"/>
    <x v="85"/>
    <x v="72"/>
    <x v="74"/>
    <x v="88"/>
    <x v="0"/>
    <x v="12"/>
    <s v="https://uk1.aconex.co.uk/hub/index.html?mainTarget=%2FViewCorrespondence%3FPROJECT_ID%3D268457782%26CORRESPONDENCE_MAILBOX%3D0%26Correspondence_ID%3D349030465"/>
    <s v="HBC-RFI-000050"/>
    <x v="3"/>
    <x v="0"/>
    <x v="1"/>
  </r>
  <r>
    <x v="0"/>
    <x v="3"/>
    <x v="89"/>
    <x v="4"/>
    <x v="89"/>
    <x v="1"/>
    <x v="86"/>
    <x v="73"/>
    <x v="75"/>
    <x v="89"/>
    <x v="0"/>
    <x v="0"/>
    <s v="https://uk1.aconex.co.uk/hub/index.html?mainTarget=%2FViewCorrespondence%3FPROJECT_ID%3D268457782%26CORRESPONDENCE_MAILBOX%3D0%26Correspondence_ID%3D349030568"/>
    <s v="HBC-RFI-000051"/>
    <x v="0"/>
    <x v="0"/>
    <x v="1"/>
  </r>
  <r>
    <x v="0"/>
    <x v="3"/>
    <x v="90"/>
    <x v="4"/>
    <x v="90"/>
    <x v="1"/>
    <x v="87"/>
    <x v="74"/>
    <x v="76"/>
    <x v="90"/>
    <x v="0"/>
    <x v="0"/>
    <s v="https://uk1.aconex.co.uk/hub/index.html?mainTarget=%2FViewCorrespondence%3FPROJECT_ID%3D268457782%26CORRESPONDENCE_MAILBOX%3D0%26Correspondence_ID%3D349030653"/>
    <s v="HBC-RFI-000052"/>
    <x v="0"/>
    <x v="0"/>
    <x v="1"/>
  </r>
  <r>
    <x v="0"/>
    <x v="3"/>
    <x v="91"/>
    <x v="4"/>
    <x v="91"/>
    <x v="1"/>
    <x v="88"/>
    <x v="75"/>
    <x v="77"/>
    <x v="91"/>
    <x v="0"/>
    <x v="0"/>
    <s v="https://uk1.aconex.co.uk/hub/index.html?mainTarget=%2FViewCorrespondence%3FPROJECT_ID%3D268457782%26CORRESPONDENCE_MAILBOX%3D0%26Correspondence_ID%3D349030759"/>
    <s v="HBC-RFI-000053"/>
    <x v="0"/>
    <x v="0"/>
    <x v="1"/>
  </r>
  <r>
    <x v="0"/>
    <x v="3"/>
    <x v="92"/>
    <x v="4"/>
    <x v="92"/>
    <x v="1"/>
    <x v="89"/>
    <x v="76"/>
    <x v="78"/>
    <x v="92"/>
    <x v="0"/>
    <x v="0"/>
    <s v="https://uk1.aconex.co.uk/hub/index.html?mainTarget=%2FViewCorrespondence%3FPROJECT_ID%3D268457782%26CORRESPONDENCE_MAILBOX%3D0%26Correspondence_ID%3D349030842"/>
    <s v="HBC-RFI-000054"/>
    <x v="0"/>
    <x v="0"/>
    <x v="1"/>
  </r>
  <r>
    <x v="0"/>
    <x v="6"/>
    <x v="93"/>
    <x v="4"/>
    <x v="93"/>
    <x v="0"/>
    <x v="90"/>
    <x v="77"/>
    <x v="79"/>
    <x v="93"/>
    <x v="0"/>
    <x v="0"/>
    <s v="https://uk1.aconex.co.uk/hub/index.html?mainTarget=%2FViewCorrespondence%3FPROJECT_ID%3D268457782%26CORRESPONDENCE_MAILBOX%3D0%26Correspondence_ID%3D349048081"/>
    <s v="HBC-RFI-000055"/>
    <x v="0"/>
    <x v="0"/>
    <x v="14"/>
  </r>
  <r>
    <x v="0"/>
    <x v="6"/>
    <x v="93"/>
    <x v="4"/>
    <x v="93"/>
    <x v="1"/>
    <x v="90"/>
    <x v="77"/>
    <x v="79"/>
    <x v="93"/>
    <x v="0"/>
    <x v="0"/>
    <s v="https://uk1.aconex.co.uk/hub/index.html?mainTarget=%2FViewCorrespondence%3FPROJECT_ID%3D268457782%26CORRESPONDENCE_MAILBOX%3D0%26Correspondence_ID%3D349048081"/>
    <s v="HBC-RFI-000055"/>
    <x v="0"/>
    <x v="0"/>
    <x v="14"/>
  </r>
  <r>
    <x v="0"/>
    <x v="3"/>
    <x v="94"/>
    <x v="4"/>
    <x v="94"/>
    <x v="3"/>
    <x v="91"/>
    <x v="78"/>
    <x v="80"/>
    <x v="94"/>
    <x v="0"/>
    <x v="0"/>
    <s v="https://uk1.aconex.co.uk/hub/index.html?mainTarget=%2FViewCorrespondence%3FPROJECT_ID%3D268457782%26CORRESPONDENCE_MAILBOX%3D0%26Correspondence_ID%3D349086575"/>
    <s v="HBC-RFI-000058"/>
    <x v="0"/>
    <x v="0"/>
    <x v="17"/>
  </r>
  <r>
    <x v="0"/>
    <x v="3"/>
    <x v="94"/>
    <x v="4"/>
    <x v="94"/>
    <x v="1"/>
    <x v="91"/>
    <x v="78"/>
    <x v="80"/>
    <x v="94"/>
    <x v="0"/>
    <x v="0"/>
    <s v="https://uk1.aconex.co.uk/hub/index.html?mainTarget=%2FViewCorrespondence%3FPROJECT_ID%3D268457782%26CORRESPONDENCE_MAILBOX%3D0%26Correspondence_ID%3D349086575"/>
    <s v="HBC-RFI-000058"/>
    <x v="0"/>
    <x v="0"/>
    <x v="17"/>
  </r>
  <r>
    <x v="0"/>
    <x v="3"/>
    <x v="95"/>
    <x v="4"/>
    <x v="95"/>
    <x v="1"/>
    <x v="92"/>
    <x v="79"/>
    <x v="81"/>
    <x v="95"/>
    <x v="0"/>
    <x v="0"/>
    <s v="https://uk1.aconex.co.uk/hub/index.html?mainTarget=%2FViewCorrespondence%3FPROJECT_ID%3D268457782%26CORRESPONDENCE_MAILBOX%3D0%26Correspondence_ID%3D349348672"/>
    <s v="HBC-RFI-000072"/>
    <x v="0"/>
    <x v="0"/>
    <x v="1"/>
  </r>
  <r>
    <x v="0"/>
    <x v="6"/>
    <x v="96"/>
    <x v="4"/>
    <x v="96"/>
    <x v="1"/>
    <x v="93"/>
    <x v="80"/>
    <x v="82"/>
    <x v="96"/>
    <x v="0"/>
    <x v="0"/>
    <s v="https://uk1.aconex.co.uk/hub/index.html?mainTarget=%2FViewCorrespondence%3FPROJECT_ID%3D268457782%26CORRESPONDENCE_MAILBOX%3D0%26Correspondence_ID%3D349348918"/>
    <s v="HBC-RFI-000073"/>
    <x v="0"/>
    <x v="0"/>
    <x v="1"/>
  </r>
  <r>
    <x v="0"/>
    <x v="6"/>
    <x v="97"/>
    <x v="4"/>
    <x v="97"/>
    <x v="1"/>
    <x v="94"/>
    <x v="81"/>
    <x v="83"/>
    <x v="97"/>
    <x v="0"/>
    <x v="0"/>
    <s v="https://uk1.aconex.co.uk/hub/index.html?mainTarget=%2FViewCorrespondence%3FPROJECT_ID%3D268457782%26CORRESPONDENCE_MAILBOX%3D0%26Correspondence_ID%3D349349074"/>
    <s v="HBC-RFI-000074"/>
    <x v="0"/>
    <x v="0"/>
    <x v="1"/>
  </r>
  <r>
    <x v="1"/>
    <x v="6"/>
    <x v="98"/>
    <x v="4"/>
    <x v="98"/>
    <x v="0"/>
    <x v="95"/>
    <x v="8"/>
    <x v="7"/>
    <x v="98"/>
    <x v="0"/>
    <x v="0"/>
    <s v="https://uk1.aconex.co.uk/hub/index.html?mainTarget=%2FViewCorrespondence%3FPROJECT_ID%3D268457782%26CORRESPONDENCE_MAILBOX%3D0%26Correspondence_ID%3D349522819"/>
    <s v="HBC-RFI-000080"/>
    <x v="1"/>
    <x v="0"/>
    <x v="0"/>
  </r>
  <r>
    <x v="1"/>
    <x v="6"/>
    <x v="99"/>
    <x v="4"/>
    <x v="99"/>
    <x v="0"/>
    <x v="96"/>
    <x v="8"/>
    <x v="7"/>
    <x v="99"/>
    <x v="0"/>
    <x v="0"/>
    <s v="https://uk1.aconex.co.uk/hub/index.html?mainTarget=%2FViewCorrespondence%3FPROJECT_ID%3D268457782%26CORRESPONDENCE_MAILBOX%3D0%26Correspondence_ID%3D349523709"/>
    <s v="HBC-RFI-000081"/>
    <x v="1"/>
    <x v="0"/>
    <x v="0"/>
  </r>
  <r>
    <x v="1"/>
    <x v="6"/>
    <x v="100"/>
    <x v="4"/>
    <x v="100"/>
    <x v="0"/>
    <x v="97"/>
    <x v="8"/>
    <x v="7"/>
    <x v="100"/>
    <x v="0"/>
    <x v="0"/>
    <s v="https://uk1.aconex.co.uk/hub/index.html?mainTarget=%2FViewCorrespondence%3FPROJECT_ID%3D268457782%26CORRESPONDENCE_MAILBOX%3D0%26Correspondence_ID%3D349523781"/>
    <s v="HBC-RFI-000082"/>
    <x v="1"/>
    <x v="0"/>
    <x v="0"/>
  </r>
  <r>
    <x v="1"/>
    <x v="1"/>
    <x v="101"/>
    <x v="4"/>
    <x v="101"/>
    <x v="0"/>
    <x v="98"/>
    <x v="8"/>
    <x v="7"/>
    <x v="101"/>
    <x v="0"/>
    <x v="0"/>
    <s v="https://uk1.aconex.co.uk/hub/index.html?mainTarget=%2FViewCorrespondence%3FPROJECT_ID%3D268457782%26CORRESPONDENCE_MAILBOX%3D0%26Correspondence_ID%3D349523842"/>
    <s v="HBC-RFI-000083"/>
    <x v="1"/>
    <x v="0"/>
    <x v="18"/>
  </r>
  <r>
    <x v="1"/>
    <x v="2"/>
    <x v="101"/>
    <x v="4"/>
    <x v="101"/>
    <x v="0"/>
    <x v="98"/>
    <x v="8"/>
    <x v="7"/>
    <x v="101"/>
    <x v="0"/>
    <x v="0"/>
    <s v="https://uk1.aconex.co.uk/hub/index.html?mainTarget=%2FViewCorrespondence%3FPROJECT_ID%3D268457782%26CORRESPONDENCE_MAILBOX%3D0%26Correspondence_ID%3D349523842"/>
    <s v="HBC-RFI-000083"/>
    <x v="1"/>
    <x v="0"/>
    <x v="18"/>
  </r>
  <r>
    <x v="1"/>
    <x v="4"/>
    <x v="101"/>
    <x v="4"/>
    <x v="101"/>
    <x v="0"/>
    <x v="98"/>
    <x v="8"/>
    <x v="7"/>
    <x v="101"/>
    <x v="0"/>
    <x v="0"/>
    <s v="https://uk1.aconex.co.uk/hub/index.html?mainTarget=%2FViewCorrespondence%3FPROJECT_ID%3D268457782%26CORRESPONDENCE_MAILBOX%3D0%26Correspondence_ID%3D349523842"/>
    <s v="HBC-RFI-000083"/>
    <x v="1"/>
    <x v="0"/>
    <x v="18"/>
  </r>
  <r>
    <x v="1"/>
    <x v="1"/>
    <x v="102"/>
    <x v="4"/>
    <x v="102"/>
    <x v="0"/>
    <x v="99"/>
    <x v="8"/>
    <x v="7"/>
    <x v="102"/>
    <x v="0"/>
    <x v="0"/>
    <s v="https://uk1.aconex.co.uk/hub/index.html?mainTarget=%2FViewCorrespondence%3FPROJECT_ID%3D268457782%26CORRESPONDENCE_MAILBOX%3D0%26Correspondence_ID%3D349523895"/>
    <s v="HBC-RFI-000084"/>
    <x v="1"/>
    <x v="0"/>
    <x v="18"/>
  </r>
  <r>
    <x v="1"/>
    <x v="2"/>
    <x v="102"/>
    <x v="4"/>
    <x v="102"/>
    <x v="0"/>
    <x v="99"/>
    <x v="8"/>
    <x v="7"/>
    <x v="102"/>
    <x v="0"/>
    <x v="0"/>
    <s v="https://uk1.aconex.co.uk/hub/index.html?mainTarget=%2FViewCorrespondence%3FPROJECT_ID%3D268457782%26CORRESPONDENCE_MAILBOX%3D0%26Correspondence_ID%3D349523895"/>
    <s v="HBC-RFI-000084"/>
    <x v="1"/>
    <x v="0"/>
    <x v="18"/>
  </r>
  <r>
    <x v="1"/>
    <x v="4"/>
    <x v="102"/>
    <x v="4"/>
    <x v="102"/>
    <x v="0"/>
    <x v="99"/>
    <x v="8"/>
    <x v="7"/>
    <x v="102"/>
    <x v="0"/>
    <x v="0"/>
    <s v="https://uk1.aconex.co.uk/hub/index.html?mainTarget=%2FViewCorrespondence%3FPROJECT_ID%3D268457782%26CORRESPONDENCE_MAILBOX%3D0%26Correspondence_ID%3D349523895"/>
    <s v="HBC-RFI-000084"/>
    <x v="1"/>
    <x v="0"/>
    <x v="18"/>
  </r>
  <r>
    <x v="1"/>
    <x v="1"/>
    <x v="103"/>
    <x v="4"/>
    <x v="103"/>
    <x v="0"/>
    <x v="100"/>
    <x v="8"/>
    <x v="7"/>
    <x v="103"/>
    <x v="0"/>
    <x v="0"/>
    <s v="https://uk1.aconex.co.uk/hub/index.html?mainTarget=%2FViewCorrespondence%3FPROJECT_ID%3D268457782%26CORRESPONDENCE_MAILBOX%3D0%26Correspondence_ID%3D349523954"/>
    <s v="HBC-RFI-000085"/>
    <x v="1"/>
    <x v="0"/>
    <x v="18"/>
  </r>
  <r>
    <x v="1"/>
    <x v="2"/>
    <x v="103"/>
    <x v="4"/>
    <x v="103"/>
    <x v="0"/>
    <x v="100"/>
    <x v="8"/>
    <x v="7"/>
    <x v="103"/>
    <x v="0"/>
    <x v="0"/>
    <s v="https://uk1.aconex.co.uk/hub/index.html?mainTarget=%2FViewCorrespondence%3FPROJECT_ID%3D268457782%26CORRESPONDENCE_MAILBOX%3D0%26Correspondence_ID%3D349523954"/>
    <s v="HBC-RFI-000085"/>
    <x v="1"/>
    <x v="0"/>
    <x v="18"/>
  </r>
  <r>
    <x v="1"/>
    <x v="4"/>
    <x v="103"/>
    <x v="4"/>
    <x v="103"/>
    <x v="0"/>
    <x v="100"/>
    <x v="8"/>
    <x v="7"/>
    <x v="103"/>
    <x v="0"/>
    <x v="0"/>
    <s v="https://uk1.aconex.co.uk/hub/index.html?mainTarget=%2FViewCorrespondence%3FPROJECT_ID%3D268457782%26CORRESPONDENCE_MAILBOX%3D0%26Correspondence_ID%3D349523954"/>
    <s v="HBC-RFI-000085"/>
    <x v="1"/>
    <x v="0"/>
    <x v="18"/>
  </r>
  <r>
    <x v="1"/>
    <x v="1"/>
    <x v="104"/>
    <x v="4"/>
    <x v="104"/>
    <x v="0"/>
    <x v="101"/>
    <x v="8"/>
    <x v="7"/>
    <x v="104"/>
    <x v="0"/>
    <x v="0"/>
    <s v="https://uk1.aconex.co.uk/hub/index.html?mainTarget=%2FViewCorrespondence%3FPROJECT_ID%3D268457782%26CORRESPONDENCE_MAILBOX%3D0%26Correspondence_ID%3D349524042"/>
    <s v="HBC-RFI-000086"/>
    <x v="1"/>
    <x v="0"/>
    <x v="18"/>
  </r>
  <r>
    <x v="1"/>
    <x v="2"/>
    <x v="104"/>
    <x v="4"/>
    <x v="104"/>
    <x v="0"/>
    <x v="101"/>
    <x v="8"/>
    <x v="7"/>
    <x v="104"/>
    <x v="0"/>
    <x v="0"/>
    <s v="https://uk1.aconex.co.uk/hub/index.html?mainTarget=%2FViewCorrespondence%3FPROJECT_ID%3D268457782%26CORRESPONDENCE_MAILBOX%3D0%26Correspondence_ID%3D349524042"/>
    <s v="HBC-RFI-000086"/>
    <x v="1"/>
    <x v="0"/>
    <x v="18"/>
  </r>
  <r>
    <x v="1"/>
    <x v="4"/>
    <x v="104"/>
    <x v="4"/>
    <x v="104"/>
    <x v="0"/>
    <x v="101"/>
    <x v="8"/>
    <x v="7"/>
    <x v="104"/>
    <x v="0"/>
    <x v="0"/>
    <s v="https://uk1.aconex.co.uk/hub/index.html?mainTarget=%2FViewCorrespondence%3FPROJECT_ID%3D268457782%26CORRESPONDENCE_MAILBOX%3D0%26Correspondence_ID%3D349524042"/>
    <s v="HBC-RFI-000086"/>
    <x v="1"/>
    <x v="0"/>
    <x v="18"/>
  </r>
  <r>
    <x v="1"/>
    <x v="1"/>
    <x v="105"/>
    <x v="4"/>
    <x v="105"/>
    <x v="0"/>
    <x v="102"/>
    <x v="8"/>
    <x v="7"/>
    <x v="105"/>
    <x v="0"/>
    <x v="0"/>
    <s v="https://uk1.aconex.co.uk/hub/index.html?mainTarget=%2FViewCorrespondence%3FPROJECT_ID%3D268457782%26CORRESPONDENCE_MAILBOX%3D0%26Correspondence_ID%3D349524192"/>
    <s v="HBC-RFI-000087"/>
    <x v="1"/>
    <x v="0"/>
    <x v="18"/>
  </r>
  <r>
    <x v="1"/>
    <x v="2"/>
    <x v="105"/>
    <x v="4"/>
    <x v="105"/>
    <x v="0"/>
    <x v="102"/>
    <x v="8"/>
    <x v="7"/>
    <x v="105"/>
    <x v="0"/>
    <x v="0"/>
    <s v="https://uk1.aconex.co.uk/hub/index.html?mainTarget=%2FViewCorrespondence%3FPROJECT_ID%3D268457782%26CORRESPONDENCE_MAILBOX%3D0%26Correspondence_ID%3D349524192"/>
    <s v="HBC-RFI-000087"/>
    <x v="1"/>
    <x v="0"/>
    <x v="18"/>
  </r>
  <r>
    <x v="1"/>
    <x v="4"/>
    <x v="105"/>
    <x v="4"/>
    <x v="105"/>
    <x v="0"/>
    <x v="102"/>
    <x v="8"/>
    <x v="7"/>
    <x v="105"/>
    <x v="0"/>
    <x v="0"/>
    <s v="https://uk1.aconex.co.uk/hub/index.html?mainTarget=%2FViewCorrespondence%3FPROJECT_ID%3D268457782%26CORRESPONDENCE_MAILBOX%3D0%26Correspondence_ID%3D349524192"/>
    <s v="HBC-RFI-000087"/>
    <x v="1"/>
    <x v="0"/>
    <x v="18"/>
  </r>
  <r>
    <x v="1"/>
    <x v="1"/>
    <x v="106"/>
    <x v="4"/>
    <x v="106"/>
    <x v="0"/>
    <x v="103"/>
    <x v="8"/>
    <x v="7"/>
    <x v="106"/>
    <x v="0"/>
    <x v="0"/>
    <s v="https://uk1.aconex.co.uk/hub/index.html?mainTarget=%2FViewCorrespondence%3FPROJECT_ID%3D268457782%26CORRESPONDENCE_MAILBOX%3D0%26Correspondence_ID%3D349524270"/>
    <s v="HBC-RFI-000088"/>
    <x v="1"/>
    <x v="0"/>
    <x v="18"/>
  </r>
  <r>
    <x v="1"/>
    <x v="2"/>
    <x v="106"/>
    <x v="4"/>
    <x v="106"/>
    <x v="0"/>
    <x v="103"/>
    <x v="8"/>
    <x v="7"/>
    <x v="106"/>
    <x v="0"/>
    <x v="0"/>
    <s v="https://uk1.aconex.co.uk/hub/index.html?mainTarget=%2FViewCorrespondence%3FPROJECT_ID%3D268457782%26CORRESPONDENCE_MAILBOX%3D0%26Correspondence_ID%3D349524270"/>
    <s v="HBC-RFI-000088"/>
    <x v="1"/>
    <x v="0"/>
    <x v="18"/>
  </r>
  <r>
    <x v="1"/>
    <x v="4"/>
    <x v="106"/>
    <x v="4"/>
    <x v="106"/>
    <x v="0"/>
    <x v="103"/>
    <x v="8"/>
    <x v="7"/>
    <x v="106"/>
    <x v="0"/>
    <x v="0"/>
    <s v="https://uk1.aconex.co.uk/hub/index.html?mainTarget=%2FViewCorrespondence%3FPROJECT_ID%3D268457782%26CORRESPONDENCE_MAILBOX%3D0%26Correspondence_ID%3D349524270"/>
    <s v="HBC-RFI-000088"/>
    <x v="1"/>
    <x v="0"/>
    <x v="18"/>
  </r>
  <r>
    <x v="0"/>
    <x v="3"/>
    <x v="107"/>
    <x v="4"/>
    <x v="107"/>
    <x v="0"/>
    <x v="104"/>
    <x v="82"/>
    <x v="84"/>
    <x v="107"/>
    <x v="0"/>
    <x v="0"/>
    <s v="https://uk1.aconex.co.uk/hub/index.html?mainTarget=%2FViewCorrespondence%3FPROJECT_ID%3D268457782%26CORRESPONDENCE_MAILBOX%3D0%26Correspondence_ID%3D349528656"/>
    <s v="HBC-RFI-000090"/>
    <x v="0"/>
    <x v="0"/>
    <x v="0"/>
  </r>
  <r>
    <x v="1"/>
    <x v="1"/>
    <x v="108"/>
    <x v="4"/>
    <x v="108"/>
    <x v="0"/>
    <x v="105"/>
    <x v="8"/>
    <x v="7"/>
    <x v="108"/>
    <x v="0"/>
    <x v="0"/>
    <s v="https://uk1.aconex.co.uk/hub/index.html?mainTarget=%2FViewCorrespondence%3FPROJECT_ID%3D268457782%26CORRESPONDENCE_MAILBOX%3D0%26Correspondence_ID%3D349528953"/>
    <s v="HBC-RFI-000092"/>
    <x v="1"/>
    <x v="0"/>
    <x v="18"/>
  </r>
  <r>
    <x v="1"/>
    <x v="2"/>
    <x v="108"/>
    <x v="4"/>
    <x v="108"/>
    <x v="0"/>
    <x v="105"/>
    <x v="8"/>
    <x v="7"/>
    <x v="108"/>
    <x v="0"/>
    <x v="0"/>
    <s v="https://uk1.aconex.co.uk/hub/index.html?mainTarget=%2FViewCorrespondence%3FPROJECT_ID%3D268457782%26CORRESPONDENCE_MAILBOX%3D0%26Correspondence_ID%3D349528953"/>
    <s v="HBC-RFI-000092"/>
    <x v="1"/>
    <x v="0"/>
    <x v="18"/>
  </r>
  <r>
    <x v="1"/>
    <x v="4"/>
    <x v="108"/>
    <x v="4"/>
    <x v="108"/>
    <x v="0"/>
    <x v="105"/>
    <x v="8"/>
    <x v="7"/>
    <x v="108"/>
    <x v="0"/>
    <x v="0"/>
    <s v="https://uk1.aconex.co.uk/hub/index.html?mainTarget=%2FViewCorrespondence%3FPROJECT_ID%3D268457782%26CORRESPONDENCE_MAILBOX%3D0%26Correspondence_ID%3D349528953"/>
    <s v="HBC-RFI-000092"/>
    <x v="1"/>
    <x v="0"/>
    <x v="18"/>
  </r>
  <r>
    <x v="1"/>
    <x v="1"/>
    <x v="109"/>
    <x v="4"/>
    <x v="109"/>
    <x v="0"/>
    <x v="106"/>
    <x v="8"/>
    <x v="7"/>
    <x v="109"/>
    <x v="0"/>
    <x v="0"/>
    <s v="https://uk1.aconex.co.uk/hub/index.html?mainTarget=%2FViewCorrespondence%3FPROJECT_ID%3D268457782%26CORRESPONDENCE_MAILBOX%3D0%26Correspondence_ID%3D349529033"/>
    <s v="HBC-RFI-000093"/>
    <x v="1"/>
    <x v="0"/>
    <x v="18"/>
  </r>
  <r>
    <x v="1"/>
    <x v="2"/>
    <x v="109"/>
    <x v="4"/>
    <x v="109"/>
    <x v="0"/>
    <x v="106"/>
    <x v="8"/>
    <x v="7"/>
    <x v="109"/>
    <x v="0"/>
    <x v="0"/>
    <s v="https://uk1.aconex.co.uk/hub/index.html?mainTarget=%2FViewCorrespondence%3FPROJECT_ID%3D268457782%26CORRESPONDENCE_MAILBOX%3D0%26Correspondence_ID%3D349529033"/>
    <s v="HBC-RFI-000093"/>
    <x v="1"/>
    <x v="0"/>
    <x v="18"/>
  </r>
  <r>
    <x v="1"/>
    <x v="4"/>
    <x v="109"/>
    <x v="4"/>
    <x v="109"/>
    <x v="0"/>
    <x v="106"/>
    <x v="8"/>
    <x v="7"/>
    <x v="109"/>
    <x v="0"/>
    <x v="0"/>
    <s v="https://uk1.aconex.co.uk/hub/index.html?mainTarget=%2FViewCorrespondence%3FPROJECT_ID%3D268457782%26CORRESPONDENCE_MAILBOX%3D0%26Correspondence_ID%3D349529033"/>
    <s v="HBC-RFI-000093"/>
    <x v="1"/>
    <x v="0"/>
    <x v="18"/>
  </r>
  <r>
    <x v="1"/>
    <x v="1"/>
    <x v="110"/>
    <x v="4"/>
    <x v="110"/>
    <x v="0"/>
    <x v="107"/>
    <x v="8"/>
    <x v="7"/>
    <x v="110"/>
    <x v="0"/>
    <x v="0"/>
    <s v="https://uk1.aconex.co.uk/hub/index.html?mainTarget=%2FViewCorrespondence%3FPROJECT_ID%3D268457782%26CORRESPONDENCE_MAILBOX%3D0%26Correspondence_ID%3D349529273"/>
    <s v="HBC-RFI-000095"/>
    <x v="1"/>
    <x v="0"/>
    <x v="18"/>
  </r>
  <r>
    <x v="1"/>
    <x v="2"/>
    <x v="110"/>
    <x v="4"/>
    <x v="110"/>
    <x v="0"/>
    <x v="107"/>
    <x v="8"/>
    <x v="7"/>
    <x v="110"/>
    <x v="0"/>
    <x v="0"/>
    <s v="https://uk1.aconex.co.uk/hub/index.html?mainTarget=%2FViewCorrespondence%3FPROJECT_ID%3D268457782%26CORRESPONDENCE_MAILBOX%3D0%26Correspondence_ID%3D349529273"/>
    <s v="HBC-RFI-000095"/>
    <x v="1"/>
    <x v="0"/>
    <x v="18"/>
  </r>
  <r>
    <x v="1"/>
    <x v="4"/>
    <x v="110"/>
    <x v="4"/>
    <x v="110"/>
    <x v="0"/>
    <x v="107"/>
    <x v="8"/>
    <x v="7"/>
    <x v="110"/>
    <x v="0"/>
    <x v="0"/>
    <s v="https://uk1.aconex.co.uk/hub/index.html?mainTarget=%2FViewCorrespondence%3FPROJECT_ID%3D268457782%26CORRESPONDENCE_MAILBOX%3D0%26Correspondence_ID%3D349529273"/>
    <s v="HBC-RFI-000095"/>
    <x v="1"/>
    <x v="0"/>
    <x v="18"/>
  </r>
  <r>
    <x v="1"/>
    <x v="1"/>
    <x v="111"/>
    <x v="4"/>
    <x v="111"/>
    <x v="0"/>
    <x v="108"/>
    <x v="8"/>
    <x v="7"/>
    <x v="111"/>
    <x v="0"/>
    <x v="0"/>
    <s v="https://uk1.aconex.co.uk/hub/index.html?mainTarget=%2FViewCorrespondence%3FPROJECT_ID%3D268457782%26CORRESPONDENCE_MAILBOX%3D0%26Correspondence_ID%3D349529436"/>
    <s v="HBC-RFI-000096"/>
    <x v="1"/>
    <x v="0"/>
    <x v="18"/>
  </r>
  <r>
    <x v="1"/>
    <x v="2"/>
    <x v="111"/>
    <x v="4"/>
    <x v="111"/>
    <x v="0"/>
    <x v="108"/>
    <x v="8"/>
    <x v="7"/>
    <x v="111"/>
    <x v="0"/>
    <x v="0"/>
    <s v="https://uk1.aconex.co.uk/hub/index.html?mainTarget=%2FViewCorrespondence%3FPROJECT_ID%3D268457782%26CORRESPONDENCE_MAILBOX%3D0%26Correspondence_ID%3D349529436"/>
    <s v="HBC-RFI-000096"/>
    <x v="1"/>
    <x v="0"/>
    <x v="18"/>
  </r>
  <r>
    <x v="1"/>
    <x v="4"/>
    <x v="111"/>
    <x v="4"/>
    <x v="111"/>
    <x v="0"/>
    <x v="108"/>
    <x v="8"/>
    <x v="7"/>
    <x v="111"/>
    <x v="0"/>
    <x v="0"/>
    <s v="https://uk1.aconex.co.uk/hub/index.html?mainTarget=%2FViewCorrespondence%3FPROJECT_ID%3D268457782%26CORRESPONDENCE_MAILBOX%3D0%26Correspondence_ID%3D349529436"/>
    <s v="HBC-RFI-000096"/>
    <x v="1"/>
    <x v="0"/>
    <x v="18"/>
  </r>
  <r>
    <x v="1"/>
    <x v="1"/>
    <x v="112"/>
    <x v="4"/>
    <x v="112"/>
    <x v="0"/>
    <x v="109"/>
    <x v="8"/>
    <x v="7"/>
    <x v="112"/>
    <x v="0"/>
    <x v="0"/>
    <s v="https://uk1.aconex.co.uk/hub/index.html?mainTarget=%2FViewCorrespondence%3FPROJECT_ID%3D268457782%26CORRESPONDENCE_MAILBOX%3D0%26Correspondence_ID%3D349529628"/>
    <s v="HBC-RFI-000097"/>
    <x v="1"/>
    <x v="0"/>
    <x v="18"/>
  </r>
  <r>
    <x v="1"/>
    <x v="2"/>
    <x v="112"/>
    <x v="4"/>
    <x v="112"/>
    <x v="0"/>
    <x v="109"/>
    <x v="8"/>
    <x v="7"/>
    <x v="112"/>
    <x v="0"/>
    <x v="0"/>
    <s v="https://uk1.aconex.co.uk/hub/index.html?mainTarget=%2FViewCorrespondence%3FPROJECT_ID%3D268457782%26CORRESPONDENCE_MAILBOX%3D0%26Correspondence_ID%3D349529628"/>
    <s v="HBC-RFI-000097"/>
    <x v="1"/>
    <x v="0"/>
    <x v="18"/>
  </r>
  <r>
    <x v="1"/>
    <x v="4"/>
    <x v="112"/>
    <x v="4"/>
    <x v="112"/>
    <x v="0"/>
    <x v="109"/>
    <x v="8"/>
    <x v="7"/>
    <x v="112"/>
    <x v="0"/>
    <x v="0"/>
    <s v="https://uk1.aconex.co.uk/hub/index.html?mainTarget=%2FViewCorrespondence%3FPROJECT_ID%3D268457782%26CORRESPONDENCE_MAILBOX%3D0%26Correspondence_ID%3D349529628"/>
    <s v="HBC-RFI-000097"/>
    <x v="1"/>
    <x v="0"/>
    <x v="18"/>
  </r>
  <r>
    <x v="1"/>
    <x v="1"/>
    <x v="113"/>
    <x v="4"/>
    <x v="113"/>
    <x v="0"/>
    <x v="110"/>
    <x v="8"/>
    <x v="7"/>
    <x v="113"/>
    <x v="0"/>
    <x v="0"/>
    <s v="https://uk1.aconex.co.uk/hub/index.html?mainTarget=%2FViewCorrespondence%3FPROJECT_ID%3D268457782%26CORRESPONDENCE_MAILBOX%3D0%26Correspondence_ID%3D349529681"/>
    <s v="HBC-RFI-000098"/>
    <x v="1"/>
    <x v="0"/>
    <x v="18"/>
  </r>
  <r>
    <x v="1"/>
    <x v="2"/>
    <x v="113"/>
    <x v="4"/>
    <x v="113"/>
    <x v="0"/>
    <x v="110"/>
    <x v="8"/>
    <x v="7"/>
    <x v="113"/>
    <x v="0"/>
    <x v="0"/>
    <s v="https://uk1.aconex.co.uk/hub/index.html?mainTarget=%2FViewCorrespondence%3FPROJECT_ID%3D268457782%26CORRESPONDENCE_MAILBOX%3D0%26Correspondence_ID%3D349529681"/>
    <s v="HBC-RFI-000098"/>
    <x v="1"/>
    <x v="0"/>
    <x v="18"/>
  </r>
  <r>
    <x v="1"/>
    <x v="4"/>
    <x v="113"/>
    <x v="4"/>
    <x v="113"/>
    <x v="0"/>
    <x v="110"/>
    <x v="8"/>
    <x v="7"/>
    <x v="113"/>
    <x v="0"/>
    <x v="0"/>
    <s v="https://uk1.aconex.co.uk/hub/index.html?mainTarget=%2FViewCorrespondence%3FPROJECT_ID%3D268457782%26CORRESPONDENCE_MAILBOX%3D0%26Correspondence_ID%3D349529681"/>
    <s v="HBC-RFI-000098"/>
    <x v="1"/>
    <x v="0"/>
    <x v="18"/>
  </r>
  <r>
    <x v="1"/>
    <x v="1"/>
    <x v="114"/>
    <x v="4"/>
    <x v="114"/>
    <x v="0"/>
    <x v="111"/>
    <x v="8"/>
    <x v="7"/>
    <x v="114"/>
    <x v="0"/>
    <x v="0"/>
    <s v="https://uk1.aconex.co.uk/hub/index.html?mainTarget=%2FViewCorrespondence%3FPROJECT_ID%3D268457782%26CORRESPONDENCE_MAILBOX%3D0%26Correspondence_ID%3D349529903"/>
    <s v="HBC-RFI-000099"/>
    <x v="1"/>
    <x v="0"/>
    <x v="18"/>
  </r>
  <r>
    <x v="1"/>
    <x v="2"/>
    <x v="114"/>
    <x v="4"/>
    <x v="114"/>
    <x v="0"/>
    <x v="111"/>
    <x v="8"/>
    <x v="7"/>
    <x v="114"/>
    <x v="0"/>
    <x v="0"/>
    <s v="https://uk1.aconex.co.uk/hub/index.html?mainTarget=%2FViewCorrespondence%3FPROJECT_ID%3D268457782%26CORRESPONDENCE_MAILBOX%3D0%26Correspondence_ID%3D349529903"/>
    <s v="HBC-RFI-000099"/>
    <x v="1"/>
    <x v="0"/>
    <x v="18"/>
  </r>
  <r>
    <x v="1"/>
    <x v="4"/>
    <x v="114"/>
    <x v="4"/>
    <x v="114"/>
    <x v="0"/>
    <x v="111"/>
    <x v="8"/>
    <x v="7"/>
    <x v="114"/>
    <x v="0"/>
    <x v="0"/>
    <s v="https://uk1.aconex.co.uk/hub/index.html?mainTarget=%2FViewCorrespondence%3FPROJECT_ID%3D268457782%26CORRESPONDENCE_MAILBOX%3D0%26Correspondence_ID%3D349529903"/>
    <s v="HBC-RFI-000099"/>
    <x v="1"/>
    <x v="0"/>
    <x v="18"/>
  </r>
  <r>
    <x v="1"/>
    <x v="6"/>
    <x v="115"/>
    <x v="4"/>
    <x v="115"/>
    <x v="5"/>
    <x v="112"/>
    <x v="8"/>
    <x v="7"/>
    <x v="115"/>
    <x v="0"/>
    <x v="0"/>
    <s v="https://uk1.aconex.co.uk/hub/index.html?mainTarget=%2FViewCorrespondence%3FPROJECT_ID%3D268457782%26CORRESPONDENCE_MAILBOX%3D0%26Correspondence_ID%3D349547362"/>
    <s v="HBC-RFI-000102"/>
    <x v="1"/>
    <x v="1"/>
    <x v="13"/>
  </r>
  <r>
    <x v="1"/>
    <x v="8"/>
    <x v="116"/>
    <x v="4"/>
    <x v="116"/>
    <x v="5"/>
    <x v="113"/>
    <x v="8"/>
    <x v="7"/>
    <x v="116"/>
    <x v="0"/>
    <x v="0"/>
    <s v="https://uk1.aconex.co.uk/hub/index.html?mainTarget=%2FViewCorrespondence%3FPROJECT_ID%3D268457782%26CORRESPONDENCE_MAILBOX%3D0%26Correspondence_ID%3D349547459"/>
    <s v="HBC-RFI-000103"/>
    <x v="1"/>
    <x v="1"/>
    <x v="13"/>
  </r>
  <r>
    <x v="1"/>
    <x v="8"/>
    <x v="117"/>
    <x v="4"/>
    <x v="117"/>
    <x v="5"/>
    <x v="114"/>
    <x v="8"/>
    <x v="7"/>
    <x v="117"/>
    <x v="0"/>
    <x v="0"/>
    <s v="https://uk1.aconex.co.uk/hub/index.html?mainTarget=%2FViewCorrespondence%3FPROJECT_ID%3D268457782%26CORRESPONDENCE_MAILBOX%3D0%26Correspondence_ID%3D349547532"/>
    <s v="HBC-RFI-000104"/>
    <x v="1"/>
    <x v="1"/>
    <x v="13"/>
  </r>
  <r>
    <x v="1"/>
    <x v="8"/>
    <x v="118"/>
    <x v="4"/>
    <x v="118"/>
    <x v="5"/>
    <x v="115"/>
    <x v="8"/>
    <x v="7"/>
    <x v="118"/>
    <x v="0"/>
    <x v="0"/>
    <s v="https://uk1.aconex.co.uk/hub/index.html?mainTarget=%2FViewCorrespondence%3FPROJECT_ID%3D268457782%26CORRESPONDENCE_MAILBOX%3D0%26Correspondence_ID%3D349565481"/>
    <s v="HBC-RFI-000105"/>
    <x v="1"/>
    <x v="1"/>
    <x v="13"/>
  </r>
  <r>
    <x v="1"/>
    <x v="1"/>
    <x v="119"/>
    <x v="4"/>
    <x v="119"/>
    <x v="0"/>
    <x v="116"/>
    <x v="8"/>
    <x v="7"/>
    <x v="119"/>
    <x v="0"/>
    <x v="0"/>
    <s v="https://uk1.aconex.co.uk/hub/index.html?mainTarget=%2FViewCorrespondence%3FPROJECT_ID%3D268457782%26CORRESPONDENCE_MAILBOX%3D0%26Correspondence_ID%3D349594750"/>
    <s v="HBC-RFI-000106"/>
    <x v="1"/>
    <x v="0"/>
    <x v="18"/>
  </r>
  <r>
    <x v="1"/>
    <x v="2"/>
    <x v="119"/>
    <x v="4"/>
    <x v="119"/>
    <x v="0"/>
    <x v="116"/>
    <x v="8"/>
    <x v="7"/>
    <x v="119"/>
    <x v="0"/>
    <x v="0"/>
    <s v="https://uk1.aconex.co.uk/hub/index.html?mainTarget=%2FViewCorrespondence%3FPROJECT_ID%3D268457782%26CORRESPONDENCE_MAILBOX%3D0%26Correspondence_ID%3D349594750"/>
    <s v="HBC-RFI-000106"/>
    <x v="1"/>
    <x v="0"/>
    <x v="18"/>
  </r>
  <r>
    <x v="1"/>
    <x v="4"/>
    <x v="119"/>
    <x v="4"/>
    <x v="119"/>
    <x v="0"/>
    <x v="116"/>
    <x v="8"/>
    <x v="7"/>
    <x v="119"/>
    <x v="0"/>
    <x v="0"/>
    <s v="https://uk1.aconex.co.uk/hub/index.html?mainTarget=%2FViewCorrespondence%3FPROJECT_ID%3D268457782%26CORRESPONDENCE_MAILBOX%3D0%26Correspondence_ID%3D349594750"/>
    <s v="HBC-RFI-000106"/>
    <x v="1"/>
    <x v="0"/>
    <x v="18"/>
  </r>
  <r>
    <x v="1"/>
    <x v="14"/>
    <x v="120"/>
    <x v="4"/>
    <x v="120"/>
    <x v="4"/>
    <x v="117"/>
    <x v="8"/>
    <x v="7"/>
    <x v="120"/>
    <x v="0"/>
    <x v="0"/>
    <s v="https://uk1.aconex.co.uk/hub/index.html?mainTarget=%2FViewCorrespondence%3FPROJECT_ID%3D268457782%26CORRESPONDENCE_MAILBOX%3D0%26Correspondence_ID%3D349608207"/>
    <s v="HBC-RFI-000108"/>
    <x v="1"/>
    <x v="0"/>
    <x v="7"/>
  </r>
  <r>
    <x v="1"/>
    <x v="3"/>
    <x v="121"/>
    <x v="5"/>
    <x v="121"/>
    <x v="2"/>
    <x v="118"/>
    <x v="8"/>
    <x v="7"/>
    <x v="121"/>
    <x v="0"/>
    <x v="0"/>
    <s v="https://uk1.aconex.co.uk/hub/index.html?mainTarget=%2FViewCorrespondence%3FPROJECT_ID%3D268457782%26CORRESPONDENCE_MAILBOX%3D0%26Correspondence_ID%3D349673408"/>
    <s v="WBL 1919-SUBRFI-000001"/>
    <x v="1"/>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C68257-58CC-4658-A410-023EBA12A567}"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4:B9" firstHeaderRow="1" firstDataRow="1" firstDataCol="1" rowPageCount="2" colPageCount="1"/>
  <pivotFields count="16">
    <pivotField axis="axisRow" dataField="1" showAll="0">
      <items count="5">
        <item x="3"/>
        <item x="1"/>
        <item x="2"/>
        <item x="0"/>
        <item t="default"/>
      </items>
    </pivotField>
    <pivotField showAll="0"/>
    <pivotField showAll="0"/>
    <pivotField axis="axisPage" multipleItemSelectionAllowed="1" showAll="0">
      <items count="7">
        <item x="0"/>
        <item x="1"/>
        <item x="3"/>
        <item x="4"/>
        <item x="2"/>
        <item x="5"/>
        <item t="default"/>
      </items>
    </pivotField>
    <pivotField showAll="0"/>
    <pivotField showAll="0"/>
    <pivotField showAll="0"/>
    <pivotField showAll="0"/>
    <pivotField showAll="0"/>
    <pivotField showAll="0"/>
    <pivotField showAll="0"/>
    <pivotField showAll="0"/>
    <pivotField showAll="0"/>
    <pivotField showAll="0"/>
    <pivotField name="Client RFI" axis="axisPage" showAll="0">
      <items count="3">
        <item x="1"/>
        <item x="0"/>
        <item t="default"/>
      </items>
    </pivotField>
    <pivotField showAll="0"/>
  </pivotFields>
  <rowFields count="1">
    <field x="0"/>
  </rowFields>
  <rowItems count="5">
    <i>
      <x/>
    </i>
    <i>
      <x v="1"/>
    </i>
    <i>
      <x v="2"/>
    </i>
    <i>
      <x v="3"/>
    </i>
    <i t="grand">
      <x/>
    </i>
  </rowItems>
  <colItems count="1">
    <i/>
  </colItems>
  <pageFields count="2">
    <pageField fld="3" hier="-1"/>
    <pageField fld="14" hier="-1"/>
  </pageFields>
  <dataFields count="1">
    <dataField name="Count of Status" fld="0" subtotal="count" baseField="0" baseItem="0"/>
  </dataFields>
  <formats count="8">
    <format dxfId="32">
      <pivotArea grandRow="1" outline="0" collapsedLevelsAreSubtotals="1" fieldPosition="0"/>
    </format>
    <format dxfId="31">
      <pivotArea dataOnly="0" labelOnly="1" grandRow="1" outline="0" fieldPosition="0"/>
    </format>
    <format dxfId="30">
      <pivotArea grandRow="1" outline="0" collapsedLevelsAreSubtotals="1" fieldPosition="0"/>
    </format>
    <format dxfId="29">
      <pivotArea dataOnly="0" labelOnly="1" grandRow="1" outline="0" fieldPosition="0"/>
    </format>
    <format dxfId="28">
      <pivotArea grandRow="1" outline="0" collapsedLevelsAreSubtotals="1" fieldPosition="0"/>
    </format>
    <format dxfId="27">
      <pivotArea dataOnly="0" labelOnly="1" grandRow="1" outline="0" fieldPosition="0"/>
    </format>
    <format dxfId="26">
      <pivotArea grandRow="1" outline="0" collapsedLevelsAreSubtotals="1" fieldPosition="0"/>
    </format>
    <format dxfId="25">
      <pivotArea dataOnly="0" labelOnly="1" grandRow="1" outline="0" fieldPosition="0"/>
    </format>
  </formats>
  <chartFormats count="1">
    <chartFormat chart="16" format="3" series="1">
      <pivotArea type="data" outline="0" fieldPosition="0">
        <references count="1">
          <reference field="4294967294" count="1" selected="0">
            <x v="0"/>
          </reference>
        </references>
      </pivotArea>
    </chartFormat>
  </chartFormats>
  <pivotTableStyleInfo name="Workflow Tracker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62195C-0F7F-4647-AE38-D2A4DC3E2E94}" name="PivotTable3" cacheId="13" applyNumberFormats="0" applyBorderFormats="0" applyFontFormats="0" applyPatternFormats="0" applyAlignmentFormats="0" applyWidthHeightFormats="1" dataCaption="Values" updatedVersion="8" minRefreshableVersion="3" showDrill="0" rowGrandTotals="0" colGrandTotals="0" itemPrintTitles="1" createdVersion="8" indent="0" compact="0" compactData="0" rowHeaderCaption="" fieldListSortAscending="1">
  <location ref="A8:F374" firstHeaderRow="1" firstDataRow="1" firstDataCol="6" rowPageCount="3" colPageCount="1"/>
  <pivotFields count="19">
    <pivotField name="RFI Status" axis="axisPage" compact="0" outline="0" multipleItemSelectionAllowed="1" showAll="0" defaultSubtotal="0">
      <items count="4">
        <item x="3"/>
        <item x="1"/>
        <item x="2"/>
        <item x="0"/>
      </items>
    </pivotField>
    <pivotField compact="0" outline="0" showAll="0" defaultSubtotal="0"/>
    <pivotField axis="axisRow" subtotalTop="0" showAll="0" sortType="ascending" defaultSubtotal="0">
      <items count="133">
        <item x="0"/>
        <item m="1" x="123"/>
        <item m="1" x="124"/>
        <item x="1"/>
        <item x="2"/>
        <item x="3"/>
        <item m="1" x="125"/>
        <item x="4"/>
        <item m="1" x="126"/>
        <item x="5"/>
        <item x="6"/>
        <item x="7"/>
        <item x="8"/>
        <item x="9"/>
        <item x="10"/>
        <item x="11"/>
        <item x="12"/>
        <item x="13"/>
        <item m="1" x="127"/>
        <item x="14"/>
        <item m="1" x="128"/>
        <item x="15"/>
        <item m="1" x="129"/>
        <item x="16"/>
        <item x="17"/>
        <item x="18"/>
        <item x="19"/>
        <item x="20"/>
        <item m="1" x="130"/>
        <item x="21"/>
        <item x="22"/>
        <item x="23"/>
        <item m="1" x="131"/>
        <item x="24"/>
        <item m="1" x="132"/>
        <item x="25"/>
        <item x="26"/>
        <item x="27"/>
        <item x="28"/>
        <item m="1" x="122"/>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s>
    </pivotField>
    <pivotField compact="0" outline="0" showAll="0" defaultSubtotal="0"/>
    <pivotField axis="axisRow" compact="0" outline="0" showAll="0" defaultSubtotal="0">
      <items count="124">
        <item x="59"/>
        <item x="64"/>
        <item x="53"/>
        <item x="60"/>
        <item x="57"/>
        <item x="63"/>
        <item x="61"/>
        <item x="54"/>
        <item x="62"/>
        <item x="55"/>
        <item x="56"/>
        <item x="78"/>
        <item x="77"/>
        <item x="86"/>
        <item x="73"/>
        <item x="38"/>
        <item x="37"/>
        <item x="41"/>
        <item x="89"/>
        <item x="87"/>
        <item x="92"/>
        <item x="70"/>
        <item x="91"/>
        <item x="67"/>
        <item x="82"/>
        <item x="33"/>
        <item x="32"/>
        <item x="34"/>
        <item x="72"/>
        <item x="94"/>
        <item x="79"/>
        <item x="66"/>
        <item x="85"/>
        <item x="90"/>
        <item x="58"/>
        <item x="75"/>
        <item x="52"/>
        <item x="74"/>
        <item x="80"/>
        <item x="65"/>
        <item x="88"/>
        <item x="93"/>
        <item x="45"/>
        <item x="10"/>
        <item x="84"/>
        <item x="51"/>
        <item x="69"/>
        <item x="71"/>
        <item x="76"/>
        <item x="81"/>
        <item x="83"/>
        <item x="50"/>
        <item x="68"/>
        <item x="11"/>
        <item m="1" x="123"/>
        <item x="46"/>
        <item x="48"/>
        <item x="9"/>
        <item x="22"/>
        <item x="30"/>
        <item x="31"/>
        <item x="47"/>
        <item x="49"/>
        <item x="0"/>
        <item x="1"/>
        <item x="3"/>
        <item x="4"/>
        <item x="13"/>
        <item x="14"/>
        <item x="15"/>
        <item x="20"/>
        <item x="23"/>
        <item x="24"/>
        <item x="5"/>
        <item x="6"/>
        <item x="7"/>
        <item x="2"/>
        <item x="12"/>
        <item x="16"/>
        <item x="17"/>
        <item x="18"/>
        <item x="19"/>
        <item x="21"/>
        <item x="35"/>
        <item x="36"/>
        <item x="39"/>
        <item x="40"/>
        <item x="95"/>
        <item x="96"/>
        <item x="97"/>
        <item x="25"/>
        <item x="26"/>
        <item x="27"/>
        <item x="29"/>
        <item x="42"/>
        <item x="43"/>
        <item x="98"/>
        <item x="99"/>
        <item x="100"/>
        <item x="101"/>
        <item x="102"/>
        <item x="103"/>
        <item x="104"/>
        <item x="105"/>
        <item x="106"/>
        <item x="28"/>
        <item x="107"/>
        <item x="108"/>
        <item x="109"/>
        <item x="110"/>
        <item x="111"/>
        <item x="112"/>
        <item x="113"/>
        <item x="114"/>
        <item x="115"/>
        <item x="116"/>
        <item x="117"/>
        <item x="118"/>
        <item m="1" x="122"/>
        <item x="119"/>
        <item x="8"/>
        <item x="120"/>
        <item x="44"/>
        <item x="121"/>
      </items>
    </pivotField>
    <pivotField axis="axisPage" compact="0" outline="0" multipleItemSelectionAllowed="1" showAll="0" defaultSubtotal="0">
      <items count="15">
        <item x="3"/>
        <item x="1"/>
        <item x="0"/>
        <item x="4"/>
        <item x="2"/>
        <item m="1" x="10"/>
        <item m="1" x="11"/>
        <item m="1" x="12"/>
        <item m="1" x="13"/>
        <item x="5"/>
        <item m="1" x="14"/>
        <item x="6"/>
        <item x="7"/>
        <item x="8"/>
        <item x="9"/>
      </items>
    </pivotField>
    <pivotField axis="axisRow" compact="0" outline="0" showAll="0" sortType="ascending" defaultSubtotal="0">
      <items count="127">
        <item x="28"/>
        <item x="29"/>
        <item x="30"/>
        <item x="31"/>
        <item x="32"/>
        <item x="33"/>
        <item x="34"/>
        <item x="35"/>
        <item x="36"/>
        <item x="37"/>
        <item x="42"/>
        <item x="43"/>
        <item x="38"/>
        <item x="44"/>
        <item x="45"/>
        <item x="46"/>
        <item x="7"/>
        <item x="8"/>
        <item x="9"/>
        <item x="10"/>
        <item x="11"/>
        <item x="12"/>
        <item x="13"/>
        <item x="14"/>
        <item x="15"/>
        <item x="16"/>
        <item x="17"/>
        <item x="18"/>
        <item x="19"/>
        <item x="20"/>
        <item x="47"/>
        <item x="48"/>
        <item x="49"/>
        <item x="50"/>
        <item x="51"/>
        <item x="52"/>
        <item x="53"/>
        <item x="54"/>
        <item x="55"/>
        <item x="56"/>
        <item x="57"/>
        <item x="58"/>
        <item x="59"/>
        <item x="60"/>
        <item x="61"/>
        <item x="62"/>
        <item x="63"/>
        <item x="64"/>
        <item x="65"/>
        <item x="66"/>
        <item x="67"/>
        <item x="68"/>
        <item x="69"/>
        <item x="21"/>
        <item x="70"/>
        <item x="71"/>
        <item x="72"/>
        <item x="73"/>
        <item x="74"/>
        <item x="75"/>
        <item x="76"/>
        <item x="22"/>
        <item x="77"/>
        <item x="78"/>
        <item x="79"/>
        <item x="80"/>
        <item x="81"/>
        <item x="82"/>
        <item x="83"/>
        <item x="84"/>
        <item x="85"/>
        <item x="86"/>
        <item x="87"/>
        <item x="88"/>
        <item x="89"/>
        <item x="90"/>
        <item x="91"/>
        <item x="0"/>
        <item x="1"/>
        <item x="2"/>
        <item x="3"/>
        <item x="4"/>
        <item x="5"/>
        <item m="1" x="123"/>
        <item m="1" x="124"/>
        <item m="1" x="125"/>
        <item m="1" x="126"/>
        <item m="1" x="120"/>
        <item m="1" x="121"/>
        <item m="1" x="122"/>
        <item x="92"/>
        <item x="93"/>
        <item x="94"/>
        <item x="27"/>
        <item x="23"/>
        <item x="24"/>
        <item x="39"/>
        <item x="40"/>
        <item x="25"/>
        <item x="95"/>
        <item x="96"/>
        <item x="97"/>
        <item x="98"/>
        <item x="99"/>
        <item x="100"/>
        <item x="101"/>
        <item x="102"/>
        <item x="103"/>
        <item x="26"/>
        <item x="104"/>
        <item x="105"/>
        <item x="106"/>
        <item x="107"/>
        <item x="108"/>
        <item x="109"/>
        <item x="110"/>
        <item x="111"/>
        <item x="112"/>
        <item x="113"/>
        <item x="114"/>
        <item x="115"/>
        <item m="1" x="119"/>
        <item x="116"/>
        <item x="6"/>
        <item x="117"/>
        <item x="41"/>
        <item x="118"/>
      </items>
    </pivotField>
    <pivotField axis="axisRow" compact="0" outline="0" showAll="0" defaultSubtotal="0">
      <items count="85">
        <item x="8"/>
        <item x="10"/>
        <item x="33"/>
        <item x="37"/>
        <item x="38"/>
        <item x="36"/>
        <item x="40"/>
        <item x="41"/>
        <item x="42"/>
        <item x="43"/>
        <item x="44"/>
        <item x="45"/>
        <item x="46"/>
        <item x="47"/>
        <item x="48"/>
        <item x="49"/>
        <item x="50"/>
        <item x="51"/>
        <item x="53"/>
        <item x="54"/>
        <item x="55"/>
        <item x="56"/>
        <item x="57"/>
        <item x="58"/>
        <item x="59"/>
        <item x="60"/>
        <item x="61"/>
        <item x="62"/>
        <item x="63"/>
        <item x="64"/>
        <item x="65"/>
        <item x="66"/>
        <item x="67"/>
        <item x="70"/>
        <item x="71"/>
        <item x="72"/>
        <item x="73"/>
        <item x="74"/>
        <item x="75"/>
        <item x="76"/>
        <item x="9"/>
        <item x="21"/>
        <item x="28"/>
        <item x="32"/>
        <item x="35"/>
        <item x="13"/>
        <item x="14"/>
        <item x="22"/>
        <item x="23"/>
        <item m="1" x="84"/>
        <item x="11"/>
        <item x="2"/>
        <item x="15"/>
        <item x="17"/>
        <item x="18"/>
        <item x="31"/>
        <item x="0"/>
        <item x="12"/>
        <item x="16"/>
        <item x="20"/>
        <item x="3"/>
        <item x="19"/>
        <item x="4"/>
        <item x="5"/>
        <item x="6"/>
        <item x="1"/>
        <item x="7"/>
        <item x="80"/>
        <item x="30"/>
        <item x="29"/>
        <item x="52"/>
        <item x="68"/>
        <item x="69"/>
        <item x="77"/>
        <item x="78"/>
        <item x="79"/>
        <item x="81"/>
        <item x="24"/>
        <item x="25"/>
        <item x="26"/>
        <item x="82"/>
        <item m="1" x="83"/>
        <item x="27"/>
        <item x="39"/>
        <item x="34"/>
      </items>
    </pivotField>
    <pivotField axis="axisRow" compact="0" outline="0" showAll="0" defaultSubtotal="0">
      <items count="102">
        <item x="7"/>
        <item m="1" x="101"/>
        <item x="33"/>
        <item x="37"/>
        <item x="38"/>
        <item m="1" x="87"/>
        <item x="40"/>
        <item x="41"/>
        <item x="42"/>
        <item x="43"/>
        <item x="44"/>
        <item x="45"/>
        <item x="46"/>
        <item x="47"/>
        <item x="48"/>
        <item x="49"/>
        <item x="50"/>
        <item x="51"/>
        <item x="53"/>
        <item x="54"/>
        <item x="55"/>
        <item x="56"/>
        <item x="57"/>
        <item x="58"/>
        <item x="59"/>
        <item x="60"/>
        <item x="61"/>
        <item x="62"/>
        <item x="63"/>
        <item x="64"/>
        <item x="65"/>
        <item x="66"/>
        <item x="67"/>
        <item x="68"/>
        <item x="69"/>
        <item x="72"/>
        <item x="73"/>
        <item x="74"/>
        <item x="75"/>
        <item x="76"/>
        <item x="77"/>
        <item x="78"/>
        <item x="8"/>
        <item x="20"/>
        <item x="27"/>
        <item x="28"/>
        <item x="32"/>
        <item x="35"/>
        <item x="36"/>
        <item x="9"/>
        <item m="1" x="97"/>
        <item m="1" x="98"/>
        <item m="1" x="99"/>
        <item m="1" x="100"/>
        <item m="1" x="89"/>
        <item m="1" x="96"/>
        <item x="2"/>
        <item x="14"/>
        <item x="16"/>
        <item x="17"/>
        <item x="31"/>
        <item m="1" x="94"/>
        <item x="10"/>
        <item m="1" x="95"/>
        <item x="12"/>
        <item x="13"/>
        <item x="15"/>
        <item x="19"/>
        <item x="21"/>
        <item x="22"/>
        <item x="0"/>
        <item m="1" x="90"/>
        <item x="11"/>
        <item x="18"/>
        <item m="1" x="91"/>
        <item m="1" x="92"/>
        <item m="1" x="93"/>
        <item x="1"/>
        <item x="3"/>
        <item x="4"/>
        <item x="5"/>
        <item x="6"/>
        <item x="82"/>
        <item x="30"/>
        <item x="29"/>
        <item x="52"/>
        <item x="70"/>
        <item x="71"/>
        <item m="1" x="88"/>
        <item x="80"/>
        <item x="81"/>
        <item x="83"/>
        <item x="23"/>
        <item x="24"/>
        <item x="25"/>
        <item x="79"/>
        <item x="84"/>
        <item m="1" x="86"/>
        <item x="26"/>
        <item x="39"/>
        <item m="1" x="85"/>
        <item x="34"/>
      </items>
    </pivotField>
    <pivotField axis="axisRow" compact="0" outline="0" showAll="0" defaultSubtotal="0">
      <items count="237">
        <item m="1" x="147"/>
        <item m="1" x="170"/>
        <item x="34"/>
        <item m="1" x="171"/>
        <item m="1" x="195"/>
        <item m="1" x="153"/>
        <item x="88"/>
        <item m="1" x="194"/>
        <item m="1" x="158"/>
        <item m="1" x="199"/>
        <item m="1" x="201"/>
        <item m="1" x="202"/>
        <item m="1" x="203"/>
        <item m="1" x="204"/>
        <item m="1" x="205"/>
        <item m="1" x="206"/>
        <item m="1" x="207"/>
        <item m="1" x="208"/>
        <item m="1" x="209"/>
        <item m="1" x="210"/>
        <item m="1" x="211"/>
        <item m="1" x="212"/>
        <item m="1" x="213"/>
        <item m="1" x="214"/>
        <item m="1" x="150"/>
        <item m="1" x="215"/>
        <item m="1" x="216"/>
        <item m="1" x="217"/>
        <item m="1" x="218"/>
        <item m="1" x="219"/>
        <item m="1" x="220"/>
        <item m="1" x="221"/>
        <item m="1" x="222"/>
        <item m="1" x="223"/>
        <item m="1" x="224"/>
        <item m="1" x="225"/>
        <item m="1" x="226"/>
        <item m="1" x="227"/>
        <item m="1" x="228"/>
        <item m="1" x="229"/>
        <item m="1" x="230"/>
        <item m="1" x="231"/>
        <item m="1" x="151"/>
        <item m="1" x="152"/>
        <item x="85"/>
        <item m="1" x="232"/>
        <item m="1" x="233"/>
        <item m="1" x="234"/>
        <item m="1" x="235"/>
        <item m="1" x="236"/>
        <item m="1" x="196"/>
        <item m="1" x="198"/>
        <item m="1" x="197"/>
        <item m="1" x="200"/>
        <item m="1" x="193"/>
        <item m="1" x="148"/>
        <item x="45"/>
        <item x="50"/>
        <item x="51"/>
        <item m="1" x="131"/>
        <item x="53"/>
        <item x="54"/>
        <item x="55"/>
        <item x="57"/>
        <item x="58"/>
        <item x="59"/>
        <item x="60"/>
        <item x="61"/>
        <item x="62"/>
        <item x="63"/>
        <item x="64"/>
        <item x="66"/>
        <item x="67"/>
        <item x="68"/>
        <item x="69"/>
        <item x="70"/>
        <item x="71"/>
        <item x="72"/>
        <item x="73"/>
        <item x="74"/>
        <item x="75"/>
        <item x="76"/>
        <item x="77"/>
        <item x="78"/>
        <item x="79"/>
        <item x="80"/>
        <item x="81"/>
        <item x="82"/>
        <item m="1" x="140"/>
        <item x="87"/>
        <item x="89"/>
        <item x="91"/>
        <item x="92"/>
        <item m="1" x="125"/>
        <item m="1" x="149"/>
        <item x="9"/>
        <item x="22"/>
        <item x="30"/>
        <item x="31"/>
        <item x="47"/>
        <item x="49"/>
        <item m="1" x="184"/>
        <item m="1" x="163"/>
        <item m="1" x="178"/>
        <item m="1" x="174"/>
        <item x="10"/>
        <item m="1" x="186"/>
        <item m="1" x="187"/>
        <item m="1" x="188"/>
        <item m="1" x="181"/>
        <item m="1" x="191"/>
        <item m="1" x="192"/>
        <item m="1" x="162"/>
        <item m="1" x="172"/>
        <item m="1" x="155"/>
        <item m="1" x="175"/>
        <item m="1" x="176"/>
        <item m="1" x="168"/>
        <item m="1" x="185"/>
        <item x="2"/>
        <item x="12"/>
        <item x="16"/>
        <item m="1" x="189"/>
        <item x="18"/>
        <item x="19"/>
        <item m="1" x="190"/>
        <item m="1" x="159"/>
        <item m="1" x="160"/>
        <item m="1" x="161"/>
        <item x="40"/>
        <item m="1" x="177"/>
        <item x="11"/>
        <item m="1" x="179"/>
        <item x="14"/>
        <item m="1" x="180"/>
        <item x="17"/>
        <item x="21"/>
        <item m="1" x="182"/>
        <item m="1" x="183"/>
        <item m="1" x="156"/>
        <item m="1" x="173"/>
        <item m="1" x="157"/>
        <item x="0"/>
        <item m="1" x="164"/>
        <item x="13"/>
        <item m="1" x="169"/>
        <item x="20"/>
        <item x="23"/>
        <item x="24"/>
        <item m="1" x="165"/>
        <item m="1" x="166"/>
        <item m="1" x="167"/>
        <item x="1"/>
        <item x="3"/>
        <item x="4"/>
        <item x="5"/>
        <item x="6"/>
        <item x="7"/>
        <item x="15"/>
        <item x="33"/>
        <item x="37"/>
        <item m="1" x="154"/>
        <item x="96"/>
        <item x="35"/>
        <item x="36"/>
        <item x="39"/>
        <item m="1" x="145"/>
        <item x="38"/>
        <item m="1" x="142"/>
        <item m="1" x="143"/>
        <item m="1" x="144"/>
        <item x="29"/>
        <item x="32"/>
        <item x="41"/>
        <item x="42"/>
        <item x="43"/>
        <item x="48"/>
        <item x="65"/>
        <item x="83"/>
        <item x="84"/>
        <item x="90"/>
        <item m="1" x="146"/>
        <item x="94"/>
        <item x="95"/>
        <item x="97"/>
        <item m="1" x="137"/>
        <item m="1" x="139"/>
        <item m="1" x="138"/>
        <item x="56"/>
        <item m="1" x="141"/>
        <item x="26"/>
        <item x="86"/>
        <item x="93"/>
        <item m="1" x="132"/>
        <item m="1" x="133"/>
        <item m="1" x="134"/>
        <item x="101"/>
        <item x="102"/>
        <item x="103"/>
        <item x="104"/>
        <item x="105"/>
        <item x="106"/>
        <item x="25"/>
        <item m="1" x="135"/>
        <item m="1" x="136"/>
        <item x="107"/>
        <item x="108"/>
        <item x="109"/>
        <item x="110"/>
        <item x="111"/>
        <item x="112"/>
        <item x="113"/>
        <item x="114"/>
        <item m="1" x="124"/>
        <item m="1" x="130"/>
        <item m="1" x="128"/>
        <item x="116"/>
        <item x="117"/>
        <item x="28"/>
        <item x="52"/>
        <item x="98"/>
        <item x="99"/>
        <item x="100"/>
        <item x="118"/>
        <item m="1" x="127"/>
        <item x="119"/>
        <item m="1" x="129"/>
        <item m="1" x="126"/>
        <item x="115"/>
        <item x="120"/>
        <item x="8"/>
        <item x="27"/>
        <item m="1" x="122"/>
        <item m="1" x="123"/>
        <item x="121"/>
        <item x="44"/>
        <item x="46"/>
      </items>
    </pivotField>
    <pivotField compact="0" outline="0" showAll="0" defaultSubtotal="0"/>
    <pivotField compact="0" outline="0" showAll="0" defaultSubtotal="0"/>
    <pivotField compact="0" outline="0" showAll="0" defaultSubtotal="0"/>
    <pivotField compact="0" outline="0" subtotalTop="0" showAll="0" defaultSubtotal="0"/>
    <pivotField axis="axisRow" compact="0" outline="0" subtotalTop="0" showAll="0" insertBlankRow="1" sortType="ascending" defaultSubtotal="0">
      <items count="4">
        <item x="3"/>
        <item x="1"/>
        <item x="2"/>
        <item x="0"/>
      </items>
    </pivotField>
    <pivotField name="Client RFI" axis="axisPage" compact="0" outline="0" subtotalTop="0" showAll="0" defaultSubtotal="0">
      <items count="2">
        <item x="1"/>
        <item x="0"/>
      </items>
    </pivotField>
    <pivotField compact="0" outline="0" showAll="0" defaultSubtotal="0"/>
    <pivotField compact="0" outline="0"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s>
    </pivotField>
    <pivotField compact="0" outline="0" showAll="0" defaultSubtotal="0">
      <items count="14">
        <item sd="0" x="0"/>
        <item sd="0" x="1"/>
        <item sd="0" x="2"/>
        <item sd="0" x="3"/>
        <item sd="0" x="4"/>
        <item sd="0" x="5"/>
        <item sd="0" x="6"/>
        <item sd="0" x="7"/>
        <item sd="0" x="8"/>
        <item sd="0" x="9"/>
        <item sd="0" x="10"/>
        <item sd="0" x="11"/>
        <item sd="0" x="12"/>
        <item sd="0" x="13"/>
      </items>
    </pivotField>
  </pivotFields>
  <rowFields count="7">
    <field x="2"/>
    <field x="14"/>
    <field x="6"/>
    <field x="4"/>
    <field x="7"/>
    <field x="8"/>
    <field x="9"/>
  </rowFields>
  <rowItems count="366">
    <i>
      <x/>
    </i>
    <i r="1">
      <x v="3"/>
      <x v="77"/>
      <x v="63"/>
      <x v="56"/>
      <x v="70"/>
      <x v="142"/>
    </i>
    <i t="blank" r="1">
      <x v="3"/>
    </i>
    <i>
      <x v="3"/>
    </i>
    <i r="1">
      <x v="3"/>
      <x v="78"/>
      <x v="64"/>
      <x v="65"/>
      <x v="77"/>
      <x v="152"/>
    </i>
    <i t="blank" r="1">
      <x v="3"/>
    </i>
    <i>
      <x v="4"/>
    </i>
    <i r="1">
      <x v="3"/>
      <x v="79"/>
      <x v="76"/>
      <x v="51"/>
      <x v="56"/>
      <x v="119"/>
    </i>
    <i t="blank" r="1">
      <x v="3"/>
    </i>
    <i>
      <x v="5"/>
    </i>
    <i r="1">
      <x v="3"/>
      <x v="79"/>
      <x v="65"/>
      <x v="60"/>
      <x v="78"/>
      <x v="153"/>
    </i>
    <i t="blank" r="1">
      <x v="3"/>
    </i>
    <i>
      <x v="7"/>
    </i>
    <i r="1">
      <x v="3"/>
      <x v="80"/>
      <x v="66"/>
      <x v="62"/>
      <x v="79"/>
      <x v="154"/>
    </i>
    <i t="blank" r="1">
      <x v="3"/>
    </i>
    <i>
      <x v="9"/>
    </i>
    <i r="1">
      <x v="3"/>
      <x v="81"/>
      <x v="73"/>
      <x v="63"/>
      <x v="80"/>
      <x v="155"/>
    </i>
    <i t="blank" r="1">
      <x v="3"/>
    </i>
    <i>
      <x v="10"/>
    </i>
    <i r="1">
      <x v="3"/>
      <x v="82"/>
      <x v="74"/>
      <x v="64"/>
      <x v="80"/>
      <x v="156"/>
    </i>
    <i t="blank" r="1">
      <x v="3"/>
    </i>
    <i>
      <x v="11"/>
    </i>
    <i r="1">
      <x v="3"/>
      <x v="82"/>
      <x v="75"/>
      <x v="66"/>
      <x v="81"/>
      <x v="157"/>
    </i>
    <i t="blank" r="1">
      <x v="3"/>
    </i>
    <i>
      <x v="12"/>
    </i>
    <i r="1">
      <x v="1"/>
      <x v="123"/>
      <x v="120"/>
      <x/>
      <x/>
      <x v="230"/>
    </i>
    <i t="blank" r="1">
      <x v="1"/>
    </i>
    <i>
      <x v="13"/>
    </i>
    <i r="1">
      <x v="3"/>
      <x v="16"/>
      <x v="57"/>
      <x v="40"/>
      <x v="42"/>
      <x v="95"/>
    </i>
    <i t="blank" r="1">
      <x v="3"/>
    </i>
    <i>
      <x v="14"/>
    </i>
    <i r="1">
      <x v="3"/>
      <x v="17"/>
      <x v="43"/>
      <x v="1"/>
      <x v="49"/>
      <x v="105"/>
    </i>
    <i t="blank" r="1">
      <x v="3"/>
    </i>
    <i>
      <x v="15"/>
    </i>
    <i r="1">
      <x v="3"/>
      <x v="18"/>
      <x v="53"/>
      <x v="50"/>
      <x v="62"/>
      <x v="131"/>
    </i>
    <i t="blank" r="1">
      <x v="3"/>
    </i>
    <i>
      <x v="16"/>
    </i>
    <i r="1">
      <x v="3"/>
      <x v="19"/>
      <x v="77"/>
      <x/>
      <x/>
      <x v="120"/>
    </i>
    <i t="blank" r="1">
      <x v="3"/>
    </i>
    <i>
      <x v="17"/>
    </i>
    <i r="1">
      <x v="3"/>
      <x v="20"/>
      <x v="67"/>
      <x v="57"/>
      <x v="72"/>
      <x v="144"/>
    </i>
    <i t="blank" r="1">
      <x v="3"/>
    </i>
    <i>
      <x v="19"/>
    </i>
    <i r="1">
      <x v="3"/>
      <x v="21"/>
      <x v="68"/>
      <x v="45"/>
      <x v="64"/>
      <x v="133"/>
    </i>
    <i t="blank" r="1">
      <x v="3"/>
    </i>
    <i>
      <x v="21"/>
    </i>
    <i r="1">
      <x v="3"/>
      <x v="22"/>
      <x v="69"/>
      <x v="46"/>
      <x v="65"/>
      <x v="158"/>
    </i>
    <i t="blank" r="1">
      <x v="3"/>
    </i>
    <i>
      <x v="23"/>
    </i>
    <i r="1">
      <x v="3"/>
      <x v="23"/>
      <x v="78"/>
      <x v="52"/>
      <x v="57"/>
      <x v="121"/>
    </i>
    <i t="blank" r="1">
      <x v="3"/>
    </i>
    <i>
      <x v="24"/>
    </i>
    <i r="1">
      <x v="3"/>
      <x v="24"/>
      <x v="79"/>
      <x v="58"/>
      <x v="66"/>
      <x v="135"/>
    </i>
    <i t="blank" r="1">
      <x v="3"/>
    </i>
    <i>
      <x v="25"/>
    </i>
    <i r="1">
      <x v="3"/>
      <x v="25"/>
      <x v="80"/>
      <x v="53"/>
      <x v="58"/>
      <x v="123"/>
    </i>
    <i t="blank" r="1">
      <x v="3"/>
    </i>
    <i>
      <x v="26"/>
    </i>
    <i r="1">
      <x v="3"/>
      <x v="26"/>
      <x v="81"/>
      <x v="54"/>
      <x v="59"/>
      <x v="124"/>
    </i>
    <i t="blank" r="1">
      <x v="3"/>
    </i>
    <i>
      <x v="27"/>
    </i>
    <i r="1">
      <x v="3"/>
      <x v="27"/>
      <x v="70"/>
      <x v="61"/>
      <x v="73"/>
      <x v="146"/>
    </i>
    <i t="blank" r="1">
      <x v="3"/>
    </i>
    <i>
      <x v="29"/>
    </i>
    <i r="1">
      <x v="3"/>
      <x v="28"/>
      <x v="82"/>
      <x v="59"/>
      <x v="67"/>
      <x v="136"/>
    </i>
    <i t="blank" r="1">
      <x v="3"/>
    </i>
    <i>
      <x v="30"/>
    </i>
    <i r="1">
      <x v="3"/>
      <x v="29"/>
      <x v="58"/>
      <x v="41"/>
      <x v="43"/>
      <x v="96"/>
    </i>
    <i t="blank" r="1">
      <x v="3"/>
    </i>
    <i>
      <x v="31"/>
    </i>
    <i r="1">
      <x v="3"/>
      <x v="53"/>
      <x v="71"/>
      <x v="47"/>
      <x v="68"/>
      <x v="147"/>
    </i>
    <i t="blank" r="1">
      <x v="3"/>
    </i>
    <i>
      <x v="33"/>
    </i>
    <i r="1">
      <x v="3"/>
      <x v="61"/>
      <x v="72"/>
      <x v="48"/>
      <x v="69"/>
      <x v="148"/>
    </i>
    <i t="blank" r="1">
      <x v="3"/>
    </i>
    <i>
      <x v="35"/>
    </i>
    <i r="1">
      <x v="3"/>
      <x v="94"/>
      <x v="90"/>
      <x v="77"/>
      <x v="92"/>
      <x v="202"/>
    </i>
    <i t="blank" r="1">
      <x v="3"/>
    </i>
    <i>
      <x v="36"/>
    </i>
    <i r="1">
      <x v="3"/>
      <x v="95"/>
      <x v="91"/>
      <x v="78"/>
      <x v="93"/>
      <x v="190"/>
    </i>
    <i t="blank" r="1">
      <x v="3"/>
    </i>
    <i>
      <x v="37"/>
    </i>
    <i r="1">
      <x v="3"/>
      <x v="98"/>
      <x v="92"/>
      <x v="79"/>
      <x v="94"/>
      <x v="231"/>
    </i>
    <i t="blank" r="1">
      <x v="3"/>
    </i>
    <i>
      <x v="38"/>
    </i>
    <i r="1">
      <x v="3"/>
      <x v="108"/>
      <x v="105"/>
      <x v="82"/>
      <x v="98"/>
      <x v="218"/>
    </i>
    <i t="blank" r="1">
      <x v="3"/>
    </i>
    <i>
      <x v="40"/>
    </i>
    <i r="1">
      <x v="2"/>
      <x v="93"/>
      <x v="93"/>
      <x/>
      <x/>
      <x v="171"/>
    </i>
    <i t="blank" r="1">
      <x v="2"/>
    </i>
    <i>
      <x v="41"/>
    </i>
    <i r="1">
      <x/>
      <x/>
      <x v="59"/>
      <x v="42"/>
      <x v="44"/>
      <x v="97"/>
    </i>
    <i t="blank" r="1">
      <x/>
    </i>
    <i>
      <x v="42"/>
    </i>
    <i r="1">
      <x/>
      <x v="1"/>
      <x v="60"/>
      <x v="42"/>
      <x v="45"/>
      <x v="98"/>
    </i>
    <i t="blank" r="1">
      <x/>
    </i>
    <i>
      <x v="43"/>
    </i>
    <i r="1">
      <x/>
      <x v="2"/>
      <x v="26"/>
      <x v="69"/>
      <x v="84"/>
      <x v="172"/>
    </i>
    <i t="blank" r="1">
      <x/>
    </i>
    <i>
      <x v="44"/>
    </i>
    <i r="1">
      <x/>
      <x v="3"/>
      <x v="25"/>
      <x/>
      <x/>
      <x v="159"/>
    </i>
    <i t="blank" r="1">
      <x/>
    </i>
    <i>
      <x v="45"/>
    </i>
    <i r="1">
      <x/>
      <x v="4"/>
      <x v="27"/>
      <x/>
      <x/>
      <x v="2"/>
    </i>
    <i t="blank" r="1">
      <x/>
    </i>
    <i>
      <x v="46"/>
    </i>
    <i r="1">
      <x/>
      <x v="5"/>
      <x v="83"/>
      <x/>
      <x/>
      <x v="163"/>
    </i>
    <i t="blank" r="1">
      <x/>
    </i>
    <i>
      <x v="47"/>
    </i>
    <i r="1">
      <x/>
      <x v="6"/>
      <x v="84"/>
      <x/>
      <x/>
      <x v="164"/>
    </i>
    <i t="blank" r="1">
      <x/>
    </i>
    <i>
      <x v="48"/>
    </i>
    <i r="1">
      <x v="2"/>
      <x v="7"/>
      <x v="16"/>
      <x/>
      <x/>
      <x v="160"/>
    </i>
    <i t="blank" r="1">
      <x v="2"/>
    </i>
    <i>
      <x v="49"/>
    </i>
    <i r="1">
      <x v="2"/>
      <x v="7"/>
      <x v="15"/>
      <x v="68"/>
      <x v="83"/>
      <x v="167"/>
    </i>
    <i t="blank" r="1">
      <x v="2"/>
    </i>
    <i>
      <x v="50"/>
    </i>
    <i r="1">
      <x v="3"/>
      <x v="8"/>
      <x v="85"/>
      <x/>
      <x/>
      <x v="165"/>
    </i>
    <i t="blank" r="1">
      <x v="3"/>
    </i>
    <i>
      <x v="51"/>
    </i>
    <i r="1">
      <x/>
      <x v="9"/>
      <x v="86"/>
      <x v="55"/>
      <x v="60"/>
      <x v="129"/>
    </i>
    <i t="blank" r="1">
      <x/>
    </i>
    <i>
      <x v="52"/>
    </i>
    <i r="1">
      <x/>
      <x v="12"/>
      <x v="17"/>
      <x v="43"/>
      <x v="46"/>
      <x v="173"/>
    </i>
    <i t="blank" r="1">
      <x/>
    </i>
    <i>
      <x v="53"/>
    </i>
    <i r="1">
      <x v="2"/>
      <x v="96"/>
      <x v="94"/>
      <x/>
      <x/>
      <x v="174"/>
    </i>
    <i t="blank" r="1">
      <x v="2"/>
    </i>
    <i>
      <x v="54"/>
    </i>
    <i r="1">
      <x v="2"/>
      <x v="97"/>
      <x v="95"/>
      <x/>
      <x/>
      <x v="175"/>
    </i>
    <i t="blank" r="1">
      <x v="2"/>
    </i>
    <i>
      <x v="55"/>
    </i>
    <i r="1">
      <x v="1"/>
      <x v="125"/>
      <x v="122"/>
      <x/>
      <x/>
      <x v="235"/>
    </i>
    <i t="blank" r="1">
      <x v="1"/>
    </i>
    <i>
      <x v="56"/>
    </i>
    <i r="1">
      <x/>
      <x v="10"/>
      <x v="42"/>
      <x v="2"/>
      <x v="2"/>
      <x v="56"/>
    </i>
    <i t="blank" r="1">
      <x/>
    </i>
    <i>
      <x v="57"/>
    </i>
    <i r="1">
      <x v="2"/>
      <x v="11"/>
      <x v="55"/>
      <x v="84"/>
      <x v="101"/>
      <x v="236"/>
    </i>
    <i t="blank" r="1">
      <x v="2"/>
    </i>
    <i>
      <x v="58"/>
    </i>
    <i r="1">
      <x/>
      <x v="13"/>
      <x v="61"/>
      <x v="44"/>
      <x v="47"/>
      <x v="99"/>
    </i>
    <i t="blank" r="1">
      <x/>
    </i>
    <i>
      <x v="59"/>
    </i>
    <i r="1">
      <x v="2"/>
      <x v="14"/>
      <x v="56"/>
      <x/>
      <x/>
      <x v="176"/>
    </i>
    <i t="blank" r="1">
      <x v="2"/>
    </i>
    <i>
      <x v="60"/>
    </i>
    <i r="1">
      <x v="3"/>
      <x v="15"/>
      <x v="62"/>
      <x v="5"/>
      <x v="48"/>
      <x v="100"/>
    </i>
    <i t="blank" r="1">
      <x v="3"/>
    </i>
    <i>
      <x v="61"/>
    </i>
    <i r="1">
      <x v="3"/>
      <x v="30"/>
      <x v="51"/>
      <x v="3"/>
      <x v="3"/>
      <x v="57"/>
    </i>
    <i t="blank" r="1">
      <x v="3"/>
    </i>
    <i>
      <x v="62"/>
    </i>
    <i r="1">
      <x v="3"/>
      <x v="31"/>
      <x v="45"/>
      <x v="4"/>
      <x v="4"/>
      <x v="58"/>
    </i>
    <i t="blank" r="1">
      <x v="3"/>
    </i>
    <i>
      <x v="63"/>
    </i>
    <i r="1">
      <x v="3"/>
      <x v="32"/>
      <x v="36"/>
      <x v="83"/>
      <x v="99"/>
      <x v="219"/>
    </i>
    <i t="blank" r="1">
      <x v="3"/>
    </i>
    <i>
      <x v="64"/>
    </i>
    <i r="1">
      <x v="3"/>
      <x v="33"/>
      <x v="2"/>
      <x v="6"/>
      <x v="6"/>
      <x v="60"/>
    </i>
    <i t="blank" r="1">
      <x v="3"/>
    </i>
    <i>
      <x v="65"/>
    </i>
    <i r="1">
      <x v="3"/>
      <x v="34"/>
      <x v="7"/>
      <x v="7"/>
      <x v="7"/>
      <x v="61"/>
    </i>
    <i t="blank" r="1">
      <x v="3"/>
    </i>
    <i>
      <x v="66"/>
    </i>
    <i r="1">
      <x v="3"/>
      <x v="35"/>
      <x v="9"/>
      <x v="8"/>
      <x v="8"/>
      <x v="62"/>
    </i>
    <i t="blank" r="1">
      <x v="3"/>
    </i>
    <i>
      <x v="67"/>
    </i>
    <i r="1">
      <x v="2"/>
      <x v="36"/>
      <x v="10"/>
      <x v="9"/>
      <x v="9"/>
      <x v="188"/>
    </i>
    <i t="blank" r="1">
      <x v="2"/>
    </i>
    <i>
      <x v="68"/>
    </i>
    <i r="1">
      <x v="3"/>
      <x v="37"/>
      <x v="4"/>
      <x v="10"/>
      <x v="10"/>
      <x v="63"/>
    </i>
    <i t="blank" r="1">
      <x v="3"/>
    </i>
    <i>
      <x v="69"/>
    </i>
    <i r="1">
      <x/>
      <x v="38"/>
      <x v="34"/>
      <x v="11"/>
      <x v="11"/>
      <x v="64"/>
    </i>
    <i t="blank" r="1">
      <x/>
    </i>
    <i>
      <x v="70"/>
    </i>
    <i r="1">
      <x/>
      <x v="39"/>
      <x/>
      <x v="12"/>
      <x v="12"/>
      <x v="65"/>
    </i>
    <i t="blank" r="1">
      <x/>
    </i>
    <i>
      <x v="71"/>
    </i>
    <i r="1">
      <x v="3"/>
      <x v="40"/>
      <x v="3"/>
      <x v="13"/>
      <x v="13"/>
      <x v="66"/>
    </i>
    <i t="blank" r="1">
      <x v="3"/>
    </i>
    <i>
      <x v="72"/>
    </i>
    <i r="1">
      <x v="3"/>
      <x v="41"/>
      <x v="6"/>
      <x v="14"/>
      <x v="14"/>
      <x v="67"/>
    </i>
    <i t="blank" r="1">
      <x v="3"/>
    </i>
    <i>
      <x v="73"/>
    </i>
    <i r="1">
      <x v="3"/>
      <x v="42"/>
      <x v="8"/>
      <x v="15"/>
      <x v="15"/>
      <x v="68"/>
    </i>
    <i t="blank" r="1">
      <x v="3"/>
    </i>
    <i>
      <x v="74"/>
    </i>
    <i r="1">
      <x v="3"/>
      <x v="43"/>
      <x v="5"/>
      <x v="16"/>
      <x v="16"/>
      <x v="69"/>
    </i>
    <i t="blank" r="1">
      <x v="3"/>
    </i>
    <i>
      <x v="75"/>
    </i>
    <i r="1">
      <x v="3"/>
      <x v="44"/>
      <x v="1"/>
      <x v="17"/>
      <x v="17"/>
      <x v="70"/>
    </i>
    <i t="blank" r="1">
      <x v="3"/>
    </i>
    <i>
      <x v="76"/>
    </i>
    <i r="1">
      <x v="3"/>
      <x v="45"/>
      <x v="39"/>
      <x v="70"/>
      <x v="85"/>
      <x v="177"/>
    </i>
    <i t="blank" r="1">
      <x v="3"/>
    </i>
    <i>
      <x v="77"/>
    </i>
    <i r="1">
      <x/>
      <x v="46"/>
      <x v="31"/>
      <x v="18"/>
      <x v="18"/>
      <x v="71"/>
    </i>
    <i t="blank" r="1">
      <x/>
    </i>
    <i>
      <x v="78"/>
    </i>
    <i r="1">
      <x v="3"/>
      <x v="47"/>
      <x v="23"/>
      <x v="19"/>
      <x v="19"/>
      <x v="72"/>
    </i>
    <i t="blank" r="1">
      <x v="3"/>
    </i>
    <i>
      <x v="79"/>
    </i>
    <i r="1">
      <x v="3"/>
      <x v="48"/>
      <x v="52"/>
      <x v="20"/>
      <x v="20"/>
      <x v="73"/>
    </i>
    <i t="blank" r="1">
      <x v="3"/>
    </i>
    <i>
      <x v="80"/>
    </i>
    <i r="1">
      <x v="3"/>
      <x v="49"/>
      <x v="46"/>
      <x v="21"/>
      <x v="21"/>
      <x v="74"/>
    </i>
    <i t="blank" r="1">
      <x v="3"/>
    </i>
    <i>
      <x v="81"/>
    </i>
    <i r="1">
      <x v="3"/>
      <x v="50"/>
      <x v="21"/>
      <x v="22"/>
      <x v="22"/>
      <x v="75"/>
    </i>
    <i t="blank" r="1">
      <x v="3"/>
    </i>
    <i>
      <x v="82"/>
    </i>
    <i r="1">
      <x v="3"/>
      <x v="51"/>
      <x v="47"/>
      <x v="22"/>
      <x v="23"/>
      <x v="76"/>
    </i>
    <i t="blank" r="1">
      <x v="3"/>
    </i>
    <i>
      <x v="83"/>
    </i>
    <i r="1">
      <x v="3"/>
      <x v="52"/>
      <x v="28"/>
      <x v="23"/>
      <x v="24"/>
      <x v="77"/>
    </i>
    <i t="blank" r="1">
      <x v="3"/>
    </i>
    <i>
      <x v="84"/>
    </i>
    <i r="1">
      <x v="3"/>
      <x v="54"/>
      <x v="14"/>
      <x v="24"/>
      <x v="25"/>
      <x v="78"/>
    </i>
    <i t="blank" r="1">
      <x v="3"/>
    </i>
    <i>
      <x v="85"/>
    </i>
    <i r="1">
      <x v="3"/>
      <x v="55"/>
      <x v="37"/>
      <x v="25"/>
      <x v="26"/>
      <x v="79"/>
    </i>
    <i t="blank" r="1">
      <x v="3"/>
    </i>
    <i>
      <x v="86"/>
    </i>
    <i r="1">
      <x v="3"/>
      <x v="56"/>
      <x v="35"/>
      <x v="26"/>
      <x v="27"/>
      <x v="80"/>
    </i>
    <i t="blank" r="1">
      <x v="3"/>
    </i>
    <i>
      <x v="87"/>
    </i>
    <i r="1">
      <x v="3"/>
      <x v="57"/>
      <x v="48"/>
      <x v="27"/>
      <x v="28"/>
      <x v="81"/>
    </i>
    <i t="blank" r="1">
      <x v="3"/>
    </i>
    <i>
      <x v="88"/>
    </i>
    <i r="1">
      <x v="3"/>
      <x v="58"/>
      <x v="12"/>
      <x v="28"/>
      <x v="29"/>
      <x v="82"/>
    </i>
    <i t="blank" r="1">
      <x v="3"/>
    </i>
    <i>
      <x v="89"/>
    </i>
    <i r="1">
      <x v="3"/>
      <x v="59"/>
      <x v="11"/>
      <x v="29"/>
      <x v="30"/>
      <x v="83"/>
    </i>
    <i t="blank" r="1">
      <x v="3"/>
    </i>
    <i>
      <x v="90"/>
    </i>
    <i r="1">
      <x v="3"/>
      <x v="60"/>
      <x v="30"/>
      <x v="30"/>
      <x v="31"/>
      <x v="84"/>
    </i>
    <i t="blank" r="1">
      <x v="3"/>
    </i>
    <i>
      <x v="91"/>
    </i>
    <i r="1">
      <x v="3"/>
      <x v="62"/>
      <x v="38"/>
      <x v="31"/>
      <x v="32"/>
      <x v="85"/>
    </i>
    <i t="blank" r="1">
      <x v="3"/>
    </i>
    <i>
      <x v="92"/>
    </i>
    <i r="1">
      <x v="3"/>
      <x v="63"/>
      <x v="49"/>
      <x v="21"/>
      <x v="33"/>
      <x v="86"/>
    </i>
    <i t="blank" r="1">
      <x v="3"/>
    </i>
    <i>
      <x v="93"/>
    </i>
    <i r="1">
      <x v="3"/>
      <x v="64"/>
      <x v="24"/>
      <x v="32"/>
      <x v="34"/>
      <x v="87"/>
    </i>
    <i t="blank" r="1">
      <x v="3"/>
    </i>
    <i>
      <x v="94"/>
    </i>
    <i r="1">
      <x v="3"/>
      <x v="65"/>
      <x v="50"/>
      <x v="71"/>
      <x v="86"/>
      <x v="178"/>
    </i>
    <i t="blank" r="1">
      <x v="3"/>
    </i>
    <i>
      <x v="95"/>
    </i>
    <i r="1">
      <x v="3"/>
      <x v="66"/>
      <x v="44"/>
      <x v="72"/>
      <x v="87"/>
      <x v="179"/>
    </i>
    <i t="blank" r="1">
      <x v="3"/>
    </i>
    <i>
      <x v="96"/>
    </i>
    <i r="1">
      <x v="2"/>
      <x v="67"/>
      <x v="32"/>
      <x/>
      <x/>
      <x v="44"/>
    </i>
    <i t="blank" r="1">
      <x v="2"/>
    </i>
    <i>
      <x v="97"/>
    </i>
    <i r="1">
      <x/>
      <x v="68"/>
      <x v="13"/>
      <x v="33"/>
      <x v="35"/>
      <x v="191"/>
    </i>
    <i t="blank" r="1">
      <x/>
    </i>
    <i>
      <x v="98"/>
    </i>
    <i r="1">
      <x v="3"/>
      <x v="69"/>
      <x v="19"/>
      <x v="34"/>
      <x v="36"/>
      <x v="89"/>
    </i>
    <i t="blank" r="1">
      <x v="3"/>
    </i>
    <i>
      <x v="99"/>
    </i>
    <i r="1">
      <x/>
      <x v="70"/>
      <x v="40"/>
      <x v="35"/>
      <x v="37"/>
      <x v="6"/>
    </i>
    <i t="blank" r="1">
      <x/>
    </i>
    <i>
      <x v="100"/>
    </i>
    <i r="1">
      <x v="3"/>
      <x v="71"/>
      <x v="18"/>
      <x v="36"/>
      <x v="38"/>
      <x v="90"/>
    </i>
    <i t="blank" r="1">
      <x v="3"/>
    </i>
    <i>
      <x v="101"/>
    </i>
    <i r="1">
      <x v="3"/>
      <x v="72"/>
      <x v="33"/>
      <x v="37"/>
      <x v="39"/>
      <x v="180"/>
    </i>
    <i t="blank" r="1">
      <x v="3"/>
    </i>
    <i>
      <x v="102"/>
    </i>
    <i r="1">
      <x v="3"/>
      <x v="73"/>
      <x v="22"/>
      <x v="38"/>
      <x v="40"/>
      <x v="91"/>
    </i>
    <i t="blank" r="1">
      <x v="3"/>
    </i>
    <i>
      <x v="103"/>
    </i>
    <i r="1">
      <x v="3"/>
      <x v="74"/>
      <x v="20"/>
      <x v="39"/>
      <x v="41"/>
      <x v="92"/>
    </i>
    <i t="blank" r="1">
      <x v="3"/>
    </i>
    <i>
      <x v="104"/>
    </i>
    <i r="1">
      <x v="3"/>
      <x v="75"/>
      <x v="41"/>
      <x v="73"/>
      <x v="95"/>
      <x v="192"/>
    </i>
    <i t="blank" r="1">
      <x v="3"/>
    </i>
    <i>
      <x v="105"/>
    </i>
    <i r="1">
      <x v="3"/>
      <x v="76"/>
      <x v="29"/>
      <x v="74"/>
      <x v="89"/>
      <x v="182"/>
    </i>
    <i t="blank" r="1">
      <x v="3"/>
    </i>
    <i>
      <x v="106"/>
    </i>
    <i r="1">
      <x v="3"/>
      <x v="90"/>
      <x v="87"/>
      <x v="75"/>
      <x v="90"/>
      <x v="183"/>
    </i>
    <i t="blank" r="1">
      <x v="3"/>
    </i>
    <i>
      <x v="107"/>
    </i>
    <i r="1">
      <x v="3"/>
      <x v="91"/>
      <x v="88"/>
      <x v="67"/>
      <x v="82"/>
      <x v="162"/>
    </i>
    <i t="blank" r="1">
      <x v="3"/>
    </i>
    <i>
      <x v="108"/>
    </i>
    <i r="1">
      <x v="3"/>
      <x v="92"/>
      <x v="89"/>
      <x v="76"/>
      <x v="91"/>
      <x v="184"/>
    </i>
    <i t="blank" r="1">
      <x v="3"/>
    </i>
    <i>
      <x v="109"/>
    </i>
    <i r="1">
      <x v="1"/>
      <x v="99"/>
      <x v="96"/>
      <x/>
      <x/>
      <x v="220"/>
    </i>
    <i t="blank" r="1">
      <x v="1"/>
    </i>
    <i>
      <x v="110"/>
    </i>
    <i r="1">
      <x v="1"/>
      <x v="100"/>
      <x v="97"/>
      <x/>
      <x/>
      <x v="221"/>
    </i>
    <i t="blank" r="1">
      <x v="1"/>
    </i>
    <i>
      <x v="111"/>
    </i>
    <i r="1">
      <x v="1"/>
      <x v="101"/>
      <x v="98"/>
      <x/>
      <x/>
      <x v="222"/>
    </i>
    <i t="blank" r="1">
      <x v="1"/>
    </i>
    <i>
      <x v="112"/>
    </i>
    <i r="1">
      <x v="1"/>
      <x v="102"/>
      <x v="99"/>
      <x/>
      <x/>
      <x v="196"/>
    </i>
    <i t="blank" r="1">
      <x v="1"/>
    </i>
    <i>
      <x v="113"/>
    </i>
    <i r="1">
      <x v="1"/>
      <x v="103"/>
      <x v="100"/>
      <x/>
      <x/>
      <x v="197"/>
    </i>
    <i t="blank" r="1">
      <x v="1"/>
    </i>
    <i>
      <x v="114"/>
    </i>
    <i r="1">
      <x v="1"/>
      <x v="104"/>
      <x v="101"/>
      <x/>
      <x/>
      <x v="198"/>
    </i>
    <i t="blank" r="1">
      <x v="1"/>
    </i>
    <i>
      <x v="115"/>
    </i>
    <i r="1">
      <x v="1"/>
      <x v="105"/>
      <x v="102"/>
      <x/>
      <x/>
      <x v="199"/>
    </i>
    <i t="blank" r="1">
      <x v="1"/>
    </i>
    <i>
      <x v="116"/>
    </i>
    <i r="1">
      <x v="1"/>
      <x v="106"/>
      <x v="103"/>
      <x/>
      <x/>
      <x v="200"/>
    </i>
    <i t="blank" r="1">
      <x v="1"/>
    </i>
    <i>
      <x v="117"/>
    </i>
    <i r="1">
      <x v="1"/>
      <x v="107"/>
      <x v="104"/>
      <x/>
      <x/>
      <x v="201"/>
    </i>
    <i t="blank" r="1">
      <x v="1"/>
    </i>
    <i>
      <x v="118"/>
    </i>
    <i r="1">
      <x v="3"/>
      <x v="109"/>
      <x v="106"/>
      <x v="80"/>
      <x v="96"/>
      <x v="205"/>
    </i>
    <i t="blank" r="1">
      <x v="3"/>
    </i>
    <i>
      <x v="119"/>
    </i>
    <i r="1">
      <x v="1"/>
      <x v="110"/>
      <x v="107"/>
      <x/>
      <x/>
      <x v="206"/>
    </i>
    <i t="blank" r="1">
      <x v="1"/>
    </i>
    <i>
      <x v="120"/>
    </i>
    <i r="1">
      <x v="1"/>
      <x v="111"/>
      <x v="108"/>
      <x/>
      <x/>
      <x v="207"/>
    </i>
    <i t="blank" r="1">
      <x v="1"/>
    </i>
    <i>
      <x v="121"/>
    </i>
    <i r="1">
      <x v="1"/>
      <x v="112"/>
      <x v="109"/>
      <x/>
      <x/>
      <x v="208"/>
    </i>
    <i t="blank" r="1">
      <x v="1"/>
    </i>
    <i>
      <x v="122"/>
    </i>
    <i r="1">
      <x v="1"/>
      <x v="113"/>
      <x v="110"/>
      <x/>
      <x/>
      <x v="209"/>
    </i>
    <i t="blank" r="1">
      <x v="1"/>
    </i>
    <i>
      <x v="123"/>
    </i>
    <i r="1">
      <x v="1"/>
      <x v="114"/>
      <x v="111"/>
      <x/>
      <x/>
      <x v="210"/>
    </i>
    <i t="blank" r="1">
      <x v="1"/>
    </i>
    <i>
      <x v="124"/>
    </i>
    <i r="1">
      <x v="1"/>
      <x v="115"/>
      <x v="112"/>
      <x/>
      <x/>
      <x v="211"/>
    </i>
    <i t="blank" r="1">
      <x v="1"/>
    </i>
    <i>
      <x v="125"/>
    </i>
    <i r="1">
      <x v="1"/>
      <x v="116"/>
      <x v="113"/>
      <x/>
      <x/>
      <x v="212"/>
    </i>
    <i t="blank" r="1">
      <x v="1"/>
    </i>
    <i>
      <x v="126"/>
    </i>
    <i r="1">
      <x v="1"/>
      <x v="117"/>
      <x v="114"/>
      <x/>
      <x/>
      <x v="228"/>
    </i>
    <i t="blank" r="1">
      <x v="1"/>
    </i>
    <i>
      <x v="127"/>
    </i>
    <i r="1">
      <x v="1"/>
      <x v="118"/>
      <x v="115"/>
      <x/>
      <x/>
      <x v="216"/>
    </i>
    <i t="blank" r="1">
      <x v="1"/>
    </i>
    <i>
      <x v="128"/>
    </i>
    <i r="1">
      <x v="1"/>
      <x v="119"/>
      <x v="116"/>
      <x/>
      <x/>
      <x v="217"/>
    </i>
    <i t="blank" r="1">
      <x v="1"/>
    </i>
    <i>
      <x v="129"/>
    </i>
    <i r="1">
      <x v="1"/>
      <x v="120"/>
      <x v="117"/>
      <x/>
      <x/>
      <x v="223"/>
    </i>
    <i t="blank" r="1">
      <x v="1"/>
    </i>
    <i>
      <x v="130"/>
    </i>
    <i r="1">
      <x v="1"/>
      <x v="122"/>
      <x v="119"/>
      <x/>
      <x/>
      <x v="225"/>
    </i>
    <i t="blank" r="1">
      <x v="1"/>
    </i>
    <i>
      <x v="131"/>
    </i>
    <i r="1">
      <x v="1"/>
      <x v="124"/>
      <x v="121"/>
      <x/>
      <x/>
      <x v="229"/>
    </i>
    <i t="blank" r="1">
      <x v="1"/>
    </i>
    <i>
      <x v="132"/>
    </i>
    <i r="1">
      <x v="1"/>
      <x v="126"/>
      <x v="123"/>
      <x/>
      <x/>
      <x v="234"/>
    </i>
    <i t="blank" r="1">
      <x v="1"/>
    </i>
  </rowItems>
  <colItems count="1">
    <i/>
  </colItems>
  <pageFields count="3">
    <pageField fld="15" hier="-1"/>
    <pageField fld="0" hier="-1"/>
    <pageField fld="5" hier="-1"/>
  </pageFields>
  <formats count="19">
    <format dxfId="24">
      <pivotArea dataOnly="0" labelOnly="1" outline="0" fieldPosition="0">
        <references count="1">
          <reference field="6" count="0"/>
        </references>
      </pivotArea>
    </format>
    <format dxfId="23">
      <pivotArea type="all" dataOnly="0" outline="0" fieldPosition="0"/>
    </format>
    <format dxfId="22">
      <pivotArea field="4" type="button" dataOnly="0" labelOnly="1" outline="0" axis="axisRow" fieldPosition="3"/>
    </format>
    <format dxfId="21">
      <pivotArea field="7" type="button" dataOnly="0" labelOnly="1" outline="0" axis="axisRow" fieldPosition="4"/>
    </format>
    <format dxfId="20">
      <pivotArea field="8" type="button" dataOnly="0" labelOnly="1" outline="0" axis="axisRow" fieldPosition="5"/>
    </format>
    <format dxfId="19">
      <pivotArea field="9" type="button" dataOnly="0" labelOnly="1" outline="0" axis="axisRow" fieldPosition="6"/>
    </format>
    <format dxfId="18">
      <pivotArea dataOnly="0" labelOnly="1" outline="0" fieldPosition="0">
        <references count="1">
          <reference field="2" count="0"/>
        </references>
      </pivotArea>
    </format>
    <format dxfId="17">
      <pivotArea dataOnly="0" labelOnly="1" fieldPosition="0">
        <references count="1">
          <reference field="2" count="1">
            <x v="15"/>
          </reference>
        </references>
      </pivotArea>
    </format>
    <format dxfId="16">
      <pivotArea dataOnly="0" labelOnly="1" fieldPosition="0">
        <references count="1">
          <reference field="2" count="0"/>
        </references>
      </pivotArea>
    </format>
    <format dxfId="15">
      <pivotArea dataOnly="0" labelOnly="1" fieldPosition="0">
        <references count="1">
          <reference field="2" count="0"/>
        </references>
      </pivotArea>
    </format>
    <format dxfId="14">
      <pivotArea dataOnly="0" labelOnly="1" fieldPosition="0">
        <references count="1">
          <reference field="2" count="0"/>
        </references>
      </pivotArea>
    </format>
    <format dxfId="13">
      <pivotArea dataOnly="0" labelOnly="1" fieldPosition="0">
        <references count="1">
          <reference field="14" count="0"/>
        </references>
      </pivotArea>
    </format>
    <format dxfId="12">
      <pivotArea dataOnly="0" labelOnly="1" fieldPosition="0">
        <references count="1">
          <reference field="6" count="0"/>
        </references>
      </pivotArea>
    </format>
    <format dxfId="11">
      <pivotArea dataOnly="0" labelOnly="1" fieldPosition="0">
        <references count="1">
          <reference field="4" count="0"/>
        </references>
      </pivotArea>
    </format>
    <format dxfId="10">
      <pivotArea dataOnly="0" labelOnly="1" fieldPosition="0">
        <references count="1">
          <reference field="7" count="0"/>
        </references>
      </pivotArea>
    </format>
    <format dxfId="9">
      <pivotArea dataOnly="0" labelOnly="1" fieldPosition="0">
        <references count="1">
          <reference field="8" count="0"/>
        </references>
      </pivotArea>
    </format>
    <format dxfId="8">
      <pivotArea dataOnly="0" labelOnly="1" fieldPosition="0">
        <references count="1">
          <reference field="9" count="0"/>
        </references>
      </pivotArea>
    </format>
    <format dxfId="7">
      <pivotArea field="8" type="button" dataOnly="0" labelOnly="1" outline="0" axis="axisRow" fieldPosition="5"/>
    </format>
    <format dxfId="6">
      <pivotArea dataOnly="0" labelOnly="1" fieldPosition="0">
        <references count="1">
          <reference field="8" count="0"/>
        </references>
      </pivotArea>
    </format>
  </formats>
  <pivotTableStyleInfo name="Workflow Tracker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15542301-87A3-407F-9AFE-801E17ED7F53}" autoFormatId="16" applyNumberFormats="0" applyBorderFormats="0" applyFontFormats="0" applyPatternFormats="0" applyAlignmentFormats="0" applyWidthHeightFormats="0">
  <queryTableRefresh nextId="3">
    <queryTableFields count="2">
      <queryTableField id="1" name="Project Name" tableColumnId="1"/>
      <queryTableField id="2" name="Date Generated" tableColumnId="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F82C3CB-4D04-4F6A-B690-B4F988545C8B}" name="ProjectInfo" displayName="ProjectInfo" ref="A1:B2" tableType="queryTable" totalsRowShown="0">
  <autoFilter ref="A1:B2" xr:uid="{CF82C3CB-4D04-4F6A-B690-B4F988545C8B}"/>
  <tableColumns count="2">
    <tableColumn id="1" xr3:uid="{8722A432-D224-478F-8E91-4393F4E57B26}" uniqueName="1" name="Project Name" queryTableFieldId="1" dataDxfId="5"/>
    <tableColumn id="2" xr3:uid="{D2D6BB55-3436-40F7-AD30-A77A4D2904CC}" uniqueName="2" name="Date Generated" queryTableFieldId="2"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EDF05-BBFB-453E-B55A-7118D0D9DAB3}">
  <sheetPr>
    <pageSetUpPr fitToPage="1"/>
  </sheetPr>
  <dimension ref="A1:I9"/>
  <sheetViews>
    <sheetView zoomScale="115" zoomScaleNormal="115" workbookViewId="0">
      <selection activeCell="D4" sqref="D4:G4"/>
    </sheetView>
  </sheetViews>
  <sheetFormatPr defaultRowHeight="14.4" x14ac:dyDescent="0.3"/>
  <cols>
    <col min="1" max="1" width="13.44140625" bestFit="1" customWidth="1"/>
    <col min="2" max="2" width="14" bestFit="1" customWidth="1"/>
    <col min="3" max="3" width="16.88671875" customWidth="1"/>
    <col min="4" max="4" width="27.6640625" customWidth="1"/>
    <col min="5" max="5" width="13.5546875" customWidth="1"/>
    <col min="6" max="7" width="15.109375" customWidth="1"/>
    <col min="9" max="9" width="0" hidden="1" customWidth="1"/>
  </cols>
  <sheetData>
    <row r="1" spans="1:9" ht="23.4" customHeight="1" x14ac:dyDescent="0.45">
      <c r="A1" s="7" t="s">
        <v>6</v>
      </c>
      <c r="B1" t="s">
        <v>0</v>
      </c>
      <c r="D1" s="2" t="s">
        <v>4</v>
      </c>
    </row>
    <row r="2" spans="1:9" ht="15.6" customHeight="1" x14ac:dyDescent="0.3">
      <c r="A2" s="7" t="s">
        <v>23</v>
      </c>
      <c r="B2" t="s">
        <v>0</v>
      </c>
      <c r="D2" s="4" t="str">
        <f>"Project Name: " &amp; ProjectInfo[[#This Row],[Project Name]]</f>
        <v>Project Name: MTP</v>
      </c>
      <c r="I2" t="str">
        <f>"Total number of RFIs: " &amp; GETPIVOTDATA("Status",$A$4)</f>
        <v>Total number of RFIs: 127</v>
      </c>
    </row>
    <row r="3" spans="1:9" ht="15.6" customHeight="1" x14ac:dyDescent="0.3">
      <c r="D3" s="4" t="str" cm="1">
        <f t="array" ref="D3">"Date Generated: " &amp; TEXT(ProjectInfo[Date Generated],"dd/mm/yyyy HH:mm")</f>
        <v>Date Generated: 27/03/2026 14:36</v>
      </c>
    </row>
    <row r="4" spans="1:9" ht="19.8" customHeight="1" x14ac:dyDescent="0.35">
      <c r="A4" s="7" t="s">
        <v>1</v>
      </c>
      <c r="B4" t="s">
        <v>15</v>
      </c>
      <c r="D4" s="20" t="s">
        <v>2</v>
      </c>
      <c r="E4" s="21"/>
      <c r="F4" s="21"/>
      <c r="G4" s="21"/>
    </row>
    <row r="5" spans="1:9" x14ac:dyDescent="0.3">
      <c r="A5" s="5" t="s">
        <v>340</v>
      </c>
      <c r="B5" s="22">
        <v>16</v>
      </c>
    </row>
    <row r="6" spans="1:9" x14ac:dyDescent="0.3">
      <c r="A6" s="5" t="s">
        <v>16</v>
      </c>
      <c r="B6" s="22">
        <v>30</v>
      </c>
    </row>
    <row r="7" spans="1:9" x14ac:dyDescent="0.3">
      <c r="A7" s="5" t="s">
        <v>18</v>
      </c>
      <c r="B7" s="22">
        <v>9</v>
      </c>
    </row>
    <row r="8" spans="1:9" x14ac:dyDescent="0.3">
      <c r="A8" s="5" t="s">
        <v>17</v>
      </c>
      <c r="B8" s="22">
        <v>72</v>
      </c>
    </row>
    <row r="9" spans="1:9" x14ac:dyDescent="0.3">
      <c r="A9" s="24" t="s">
        <v>3</v>
      </c>
      <c r="B9" s="23">
        <v>127</v>
      </c>
    </row>
  </sheetData>
  <mergeCells count="1">
    <mergeCell ref="D4:G4"/>
  </mergeCells>
  <pageMargins left="0.70866141732283472" right="0.70866141732283472" top="0.74803149606299213" bottom="0.74803149606299213" header="0.31496062992125984" footer="0.31496062992125984"/>
  <pageSetup paperSize="11" scale="78" fitToHeight="0" orientation="portrait" r:id="rId2"/>
  <headerFooter>
    <oddHeader>&amp;C&amp;KFF0000Classification: Official</oddHeader>
  </headerFooter>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376"/>
  <sheetViews>
    <sheetView tabSelected="1" zoomScaleNormal="100" workbookViewId="0">
      <selection activeCell="C11" sqref="C11"/>
    </sheetView>
  </sheetViews>
  <sheetFormatPr defaultRowHeight="14.4" x14ac:dyDescent="0.3"/>
  <cols>
    <col min="1" max="1" width="19.33203125" customWidth="1"/>
    <col min="2" max="2" width="16.109375" customWidth="1"/>
    <col min="3" max="3" width="75.77734375" style="1" customWidth="1"/>
    <col min="4" max="4" width="69.77734375" style="5" customWidth="1"/>
    <col min="5" max="5" width="19.5546875" style="9" customWidth="1"/>
    <col min="6" max="6" width="20.44140625" bestFit="1" customWidth="1"/>
    <col min="7" max="7" width="23" style="1" bestFit="1" customWidth="1"/>
    <col min="8" max="9" width="23" bestFit="1" customWidth="1"/>
    <col min="10" max="10" width="20" bestFit="1" customWidth="1"/>
  </cols>
  <sheetData>
    <row r="1" spans="1:7" ht="23.4" x14ac:dyDescent="0.45">
      <c r="A1" s="2" t="s">
        <v>4</v>
      </c>
      <c r="F1" s="6"/>
    </row>
    <row r="2" spans="1:7" ht="15.6" x14ac:dyDescent="0.3">
      <c r="A2" s="3" t="str">
        <f>"Project Name: " &amp; ProjectInfo[[#This Row],[Project Name]]</f>
        <v>Project Name: MTP</v>
      </c>
    </row>
    <row r="3" spans="1:7" ht="15.6" x14ac:dyDescent="0.3">
      <c r="A3" s="18" t="str" cm="1">
        <f t="array" ref="A3">"Date Generated: " &amp; TEXT(ProjectInfo[Date Generated],"dd/mm/yyyy HH:mm")</f>
        <v>Date Generated: 27/03/2026 14:36</v>
      </c>
    </row>
    <row r="4" spans="1:7" x14ac:dyDescent="0.3">
      <c r="A4" s="8" t="s">
        <v>23</v>
      </c>
      <c r="B4" s="1" t="s">
        <v>0</v>
      </c>
      <c r="D4" s="10"/>
    </row>
    <row r="5" spans="1:7" x14ac:dyDescent="0.3">
      <c r="A5" s="8" t="s">
        <v>20</v>
      </c>
      <c r="B5" s="1" t="s">
        <v>0</v>
      </c>
    </row>
    <row r="6" spans="1:7" x14ac:dyDescent="0.3">
      <c r="A6" s="8" t="s">
        <v>8</v>
      </c>
      <c r="B6" s="1" t="s">
        <v>0</v>
      </c>
    </row>
    <row r="7" spans="1:7" s="1" customFormat="1" x14ac:dyDescent="0.3">
      <c r="D7" s="10"/>
      <c r="E7" s="12"/>
    </row>
    <row r="8" spans="1:7" s="1" customFormat="1" x14ac:dyDescent="0.3">
      <c r="A8" s="8" t="s">
        <v>22</v>
      </c>
      <c r="B8" s="8" t="s">
        <v>9</v>
      </c>
      <c r="C8" s="8" t="s">
        <v>7</v>
      </c>
      <c r="D8" s="8" t="s">
        <v>10</v>
      </c>
      <c r="E8" s="17" t="s">
        <v>11</v>
      </c>
      <c r="F8" s="8" t="s">
        <v>12</v>
      </c>
      <c r="G8"/>
    </row>
    <row r="9" spans="1:7" s="1" customFormat="1" ht="15.6" x14ac:dyDescent="0.3">
      <c r="A9" s="11" t="s">
        <v>241</v>
      </c>
      <c r="B9" s="16"/>
      <c r="C9" s="16"/>
      <c r="D9" s="16"/>
      <c r="E9" s="16"/>
      <c r="F9" s="16"/>
      <c r="G9"/>
    </row>
    <row r="10" spans="1:7" s="1" customFormat="1" ht="28.8" x14ac:dyDescent="0.3">
      <c r="A10" s="13" t="s">
        <v>17</v>
      </c>
      <c r="B10" s="14">
        <v>46085.643055555556</v>
      </c>
      <c r="C10" s="15" t="s">
        <v>24</v>
      </c>
      <c r="D10" s="15" t="s">
        <v>251</v>
      </c>
      <c r="E10" s="14">
        <v>46094.366666666669</v>
      </c>
      <c r="F10" s="15" t="s">
        <v>313</v>
      </c>
      <c r="G10"/>
    </row>
    <row r="11" spans="1:7" s="1" customFormat="1" x14ac:dyDescent="0.3">
      <c r="A11" s="10"/>
      <c r="G11"/>
    </row>
    <row r="12" spans="1:7" s="1" customFormat="1" ht="15.6" x14ac:dyDescent="0.3">
      <c r="A12" s="11" t="s">
        <v>242</v>
      </c>
      <c r="B12" s="16"/>
      <c r="C12" s="16"/>
      <c r="D12" s="16"/>
      <c r="E12" s="16"/>
      <c r="F12" s="16"/>
      <c r="G12"/>
    </row>
    <row r="13" spans="1:7" s="1" customFormat="1" ht="216" x14ac:dyDescent="0.3">
      <c r="A13" s="13" t="s">
        <v>17</v>
      </c>
      <c r="B13" s="14">
        <v>46085.643750000003</v>
      </c>
      <c r="C13" s="15" t="s">
        <v>25</v>
      </c>
      <c r="D13" s="15" t="s">
        <v>323</v>
      </c>
      <c r="E13" s="14">
        <v>46097.337500000001</v>
      </c>
      <c r="F13" s="15" t="s">
        <v>324</v>
      </c>
      <c r="G13"/>
    </row>
    <row r="14" spans="1:7" s="1" customFormat="1" x14ac:dyDescent="0.3">
      <c r="A14" s="10"/>
      <c r="G14"/>
    </row>
    <row r="15" spans="1:7" s="1" customFormat="1" ht="15.6" x14ac:dyDescent="0.3">
      <c r="A15" s="11" t="s">
        <v>261</v>
      </c>
      <c r="B15" s="16"/>
      <c r="C15" s="16"/>
      <c r="D15" s="16"/>
      <c r="E15" s="16"/>
      <c r="F15" s="16"/>
      <c r="G15"/>
    </row>
    <row r="16" spans="1:7" s="1" customFormat="1" ht="28.8" x14ac:dyDescent="0.3">
      <c r="A16" s="13" t="s">
        <v>17</v>
      </c>
      <c r="B16" s="14">
        <v>46085.644444444442</v>
      </c>
      <c r="C16" s="15" t="s">
        <v>262</v>
      </c>
      <c r="D16" s="15" t="s">
        <v>263</v>
      </c>
      <c r="E16" s="14">
        <v>46092.659722222219</v>
      </c>
      <c r="F16" s="15" t="s">
        <v>264</v>
      </c>
      <c r="G16"/>
    </row>
    <row r="17" spans="1:7" s="1" customFormat="1" x14ac:dyDescent="0.3">
      <c r="A17" s="10"/>
      <c r="G17"/>
    </row>
    <row r="18" spans="1:7" s="1" customFormat="1" ht="15.6" x14ac:dyDescent="0.3">
      <c r="A18" s="11" t="s">
        <v>243</v>
      </c>
      <c r="B18" s="16"/>
      <c r="C18" s="16"/>
      <c r="D18" s="16"/>
      <c r="E18" s="16"/>
      <c r="F18" s="16"/>
      <c r="G18"/>
    </row>
    <row r="19" spans="1:7" s="1" customFormat="1" ht="72" x14ac:dyDescent="0.3">
      <c r="A19" s="13" t="s">
        <v>17</v>
      </c>
      <c r="B19" s="14">
        <v>46085.644444444442</v>
      </c>
      <c r="C19" s="15" t="s">
        <v>26</v>
      </c>
      <c r="D19" s="15" t="s">
        <v>314</v>
      </c>
      <c r="E19" s="14">
        <v>46097.301388888889</v>
      </c>
      <c r="F19" s="15" t="s">
        <v>325</v>
      </c>
      <c r="G19"/>
    </row>
    <row r="20" spans="1:7" s="1" customFormat="1" x14ac:dyDescent="0.3">
      <c r="A20" s="10"/>
      <c r="G20"/>
    </row>
    <row r="21" spans="1:7" s="1" customFormat="1" ht="15.6" x14ac:dyDescent="0.3">
      <c r="A21" s="11" t="s">
        <v>244</v>
      </c>
      <c r="B21" s="16"/>
      <c r="C21" s="16"/>
      <c r="D21" s="16"/>
      <c r="E21" s="16"/>
      <c r="F21" s="16"/>
      <c r="G21"/>
    </row>
    <row r="22" spans="1:7" s="1" customFormat="1" ht="57.6" x14ac:dyDescent="0.3">
      <c r="A22" s="13" t="s">
        <v>17</v>
      </c>
      <c r="B22" s="14">
        <v>46086.339583333334</v>
      </c>
      <c r="C22" s="15" t="s">
        <v>27</v>
      </c>
      <c r="D22" s="15" t="s">
        <v>320</v>
      </c>
      <c r="E22" s="14">
        <v>46097.324305555558</v>
      </c>
      <c r="F22" s="15" t="s">
        <v>326</v>
      </c>
      <c r="G22"/>
    </row>
    <row r="23" spans="1:7" s="1" customFormat="1" x14ac:dyDescent="0.3">
      <c r="A23" s="10"/>
      <c r="G23"/>
    </row>
    <row r="24" spans="1:7" s="1" customFormat="1" ht="15.6" x14ac:dyDescent="0.3">
      <c r="A24" s="11" t="s">
        <v>30</v>
      </c>
      <c r="B24" s="16"/>
      <c r="C24" s="16"/>
      <c r="D24" s="16"/>
      <c r="E24" s="16"/>
      <c r="F24" s="16"/>
      <c r="G24"/>
    </row>
    <row r="25" spans="1:7" s="1" customFormat="1" ht="43.2" x14ac:dyDescent="0.3">
      <c r="A25" s="13" t="s">
        <v>17</v>
      </c>
      <c r="B25" s="14">
        <v>46091.663194444445</v>
      </c>
      <c r="C25" s="15" t="s">
        <v>31</v>
      </c>
      <c r="D25" s="15" t="s">
        <v>321</v>
      </c>
      <c r="E25" s="14">
        <v>46097.324999999997</v>
      </c>
      <c r="F25" s="15" t="s">
        <v>327</v>
      </c>
      <c r="G25"/>
    </row>
    <row r="26" spans="1:7" s="1" customFormat="1" x14ac:dyDescent="0.3">
      <c r="A26" s="10"/>
      <c r="G26"/>
    </row>
    <row r="27" spans="1:7" s="1" customFormat="1" ht="15.6" x14ac:dyDescent="0.3">
      <c r="A27" s="11" t="s">
        <v>32</v>
      </c>
      <c r="B27" s="16"/>
      <c r="C27" s="16"/>
      <c r="D27" s="16"/>
      <c r="E27" s="16"/>
      <c r="F27" s="16"/>
      <c r="G27"/>
    </row>
    <row r="28" spans="1:7" s="1" customFormat="1" ht="57.6" x14ac:dyDescent="0.3">
      <c r="A28" s="13" t="s">
        <v>17</v>
      </c>
      <c r="B28" s="14">
        <v>46091.663888888892</v>
      </c>
      <c r="C28" s="15" t="s">
        <v>33</v>
      </c>
      <c r="D28" s="15" t="s">
        <v>322</v>
      </c>
      <c r="E28" s="14">
        <v>46097.324999999997</v>
      </c>
      <c r="F28" s="15" t="s">
        <v>328</v>
      </c>
      <c r="G28"/>
    </row>
    <row r="29" spans="1:7" s="1" customFormat="1" x14ac:dyDescent="0.3">
      <c r="A29" s="10"/>
      <c r="G29"/>
    </row>
    <row r="30" spans="1:7" s="1" customFormat="1" ht="15.6" x14ac:dyDescent="0.3">
      <c r="A30" s="11" t="s">
        <v>34</v>
      </c>
      <c r="B30" s="16"/>
      <c r="C30" s="16"/>
      <c r="D30" s="16"/>
      <c r="E30" s="16"/>
      <c r="F30" s="16"/>
      <c r="G30"/>
    </row>
    <row r="31" spans="1:7" s="1" customFormat="1" ht="86.4" x14ac:dyDescent="0.3">
      <c r="A31" s="13" t="s">
        <v>17</v>
      </c>
      <c r="B31" s="14">
        <v>46091.663888888892</v>
      </c>
      <c r="C31" s="15" t="s">
        <v>35</v>
      </c>
      <c r="D31" s="15" t="s">
        <v>329</v>
      </c>
      <c r="E31" s="14">
        <v>46097.32916666667</v>
      </c>
      <c r="F31" s="15" t="s">
        <v>330</v>
      </c>
      <c r="G31"/>
    </row>
    <row r="32" spans="1:7" s="1" customFormat="1" x14ac:dyDescent="0.3">
      <c r="A32" s="10"/>
      <c r="G32"/>
    </row>
    <row r="33" spans="1:7" s="1" customFormat="1" ht="15.6" x14ac:dyDescent="0.3">
      <c r="A33" s="11" t="s">
        <v>456</v>
      </c>
      <c r="B33" s="16"/>
      <c r="C33" s="16"/>
      <c r="D33" s="16"/>
      <c r="E33" s="16"/>
      <c r="F33" s="16"/>
      <c r="G33"/>
    </row>
    <row r="34" spans="1:7" s="1" customFormat="1" ht="129.6" x14ac:dyDescent="0.3">
      <c r="A34" s="13" t="s">
        <v>16</v>
      </c>
      <c r="B34" s="14">
        <v>46105.706250000003</v>
      </c>
      <c r="C34" s="15" t="s">
        <v>457</v>
      </c>
      <c r="D34" s="15" t="s">
        <v>5</v>
      </c>
      <c r="E34" s="14" t="s">
        <v>5</v>
      </c>
      <c r="F34" s="15" t="s">
        <v>462</v>
      </c>
      <c r="G34"/>
    </row>
    <row r="35" spans="1:7" s="1" customFormat="1" x14ac:dyDescent="0.3">
      <c r="A35" s="10"/>
      <c r="G35"/>
    </row>
    <row r="36" spans="1:7" s="1" customFormat="1" ht="15.6" x14ac:dyDescent="0.3">
      <c r="A36" s="11" t="s">
        <v>265</v>
      </c>
      <c r="B36" s="16"/>
      <c r="C36" s="16"/>
      <c r="D36" s="16"/>
      <c r="E36" s="16"/>
      <c r="F36" s="16"/>
      <c r="G36"/>
    </row>
    <row r="37" spans="1:7" s="1" customFormat="1" ht="57.6" x14ac:dyDescent="0.3">
      <c r="A37" s="13" t="s">
        <v>17</v>
      </c>
      <c r="B37" s="14">
        <v>46078.440972222219</v>
      </c>
      <c r="C37" s="15" t="s">
        <v>266</v>
      </c>
      <c r="D37" s="15" t="s">
        <v>267</v>
      </c>
      <c r="E37" s="14">
        <v>46083.419444444444</v>
      </c>
      <c r="F37" s="15" t="s">
        <v>268</v>
      </c>
      <c r="G37"/>
    </row>
    <row r="38" spans="1:7" s="1" customFormat="1" x14ac:dyDescent="0.3">
      <c r="A38" s="10"/>
      <c r="G38"/>
    </row>
    <row r="39" spans="1:7" s="1" customFormat="1" ht="15.6" x14ac:dyDescent="0.3">
      <c r="A39" s="11" t="s">
        <v>36</v>
      </c>
      <c r="B39" s="16"/>
      <c r="C39" s="16"/>
      <c r="D39" s="16"/>
      <c r="E39" s="16"/>
      <c r="F39" s="16"/>
      <c r="G39"/>
    </row>
    <row r="40" spans="1:7" s="1" customFormat="1" x14ac:dyDescent="0.3">
      <c r="A40" s="13" t="s">
        <v>17</v>
      </c>
      <c r="B40" s="14">
        <v>46078.45208333333</v>
      </c>
      <c r="C40" s="15" t="s">
        <v>37</v>
      </c>
      <c r="D40" s="15" t="s">
        <v>38</v>
      </c>
      <c r="E40" s="14">
        <v>46092.666666666664</v>
      </c>
      <c r="F40" s="15" t="s">
        <v>39</v>
      </c>
      <c r="G40"/>
    </row>
    <row r="41" spans="1:7" s="1" customFormat="1" x14ac:dyDescent="0.3">
      <c r="A41" s="10"/>
      <c r="G41"/>
    </row>
    <row r="42" spans="1:7" s="1" customFormat="1" ht="15.6" x14ac:dyDescent="0.3">
      <c r="A42" s="11" t="s">
        <v>238</v>
      </c>
      <c r="B42" s="16"/>
      <c r="C42" s="16"/>
      <c r="D42" s="16"/>
      <c r="E42" s="16"/>
      <c r="F42" s="16"/>
      <c r="G42"/>
    </row>
    <row r="43" spans="1:7" s="1" customFormat="1" ht="43.2" x14ac:dyDescent="0.3">
      <c r="A43" s="13" t="s">
        <v>17</v>
      </c>
      <c r="B43" s="14">
        <v>46078.453472222223</v>
      </c>
      <c r="C43" s="15" t="s">
        <v>239</v>
      </c>
      <c r="D43" s="15" t="s">
        <v>240</v>
      </c>
      <c r="E43" s="14">
        <v>46093.603472222225</v>
      </c>
      <c r="F43" s="15" t="s">
        <v>252</v>
      </c>
      <c r="G43"/>
    </row>
    <row r="44" spans="1:7" s="1" customFormat="1" x14ac:dyDescent="0.3">
      <c r="A44" s="10"/>
      <c r="G44"/>
    </row>
    <row r="45" spans="1:7" s="1" customFormat="1" ht="15.6" x14ac:dyDescent="0.3">
      <c r="A45" s="11" t="s">
        <v>269</v>
      </c>
      <c r="B45" s="16"/>
      <c r="C45" s="16"/>
      <c r="D45" s="16"/>
      <c r="E45" s="16"/>
      <c r="F45" s="16"/>
      <c r="G45"/>
    </row>
    <row r="46" spans="1:7" s="1" customFormat="1" ht="28.8" x14ac:dyDescent="0.3">
      <c r="A46" s="13" t="s">
        <v>17</v>
      </c>
      <c r="B46" s="14">
        <v>46078.45416666667</v>
      </c>
      <c r="C46" s="15" t="s">
        <v>270</v>
      </c>
      <c r="D46" s="15" t="s">
        <v>5</v>
      </c>
      <c r="E46" s="14" t="s">
        <v>5</v>
      </c>
      <c r="F46" s="15" t="s">
        <v>271</v>
      </c>
      <c r="G46"/>
    </row>
    <row r="47" spans="1:7" s="1" customFormat="1" x14ac:dyDescent="0.3">
      <c r="A47" s="10"/>
      <c r="G47"/>
    </row>
    <row r="48" spans="1:7" s="1" customFormat="1" ht="15.6" x14ac:dyDescent="0.3">
      <c r="A48" s="11" t="s">
        <v>245</v>
      </c>
      <c r="B48" s="16"/>
      <c r="C48" s="16"/>
      <c r="D48" s="16"/>
      <c r="E48" s="16"/>
      <c r="F48" s="16"/>
      <c r="G48"/>
    </row>
    <row r="49" spans="1:7" s="1" customFormat="1" x14ac:dyDescent="0.3">
      <c r="A49" s="13" t="s">
        <v>17</v>
      </c>
      <c r="B49" s="14">
        <v>46078.454861111109</v>
      </c>
      <c r="C49" s="15" t="s">
        <v>28</v>
      </c>
      <c r="D49" s="15" t="s">
        <v>253</v>
      </c>
      <c r="E49" s="14">
        <v>46094.384027777778</v>
      </c>
      <c r="F49" s="15" t="s">
        <v>315</v>
      </c>
      <c r="G49"/>
    </row>
    <row r="50" spans="1:7" s="1" customFormat="1" x14ac:dyDescent="0.3">
      <c r="A50" s="10"/>
      <c r="G50"/>
    </row>
    <row r="51" spans="1:7" s="1" customFormat="1" ht="15.6" x14ac:dyDescent="0.3">
      <c r="A51" s="11" t="s">
        <v>250</v>
      </c>
      <c r="B51" s="16"/>
      <c r="C51" s="16"/>
      <c r="D51" s="16"/>
      <c r="E51" s="16"/>
      <c r="F51" s="16"/>
      <c r="G51"/>
    </row>
    <row r="52" spans="1:7" s="1" customFormat="1" ht="28.8" x14ac:dyDescent="0.3">
      <c r="A52" s="13" t="s">
        <v>17</v>
      </c>
      <c r="B52" s="14">
        <v>46078.456250000003</v>
      </c>
      <c r="C52" s="15" t="s">
        <v>230</v>
      </c>
      <c r="D52" s="15" t="s">
        <v>231</v>
      </c>
      <c r="E52" s="14">
        <v>46093.605555555558</v>
      </c>
      <c r="F52" s="15" t="s">
        <v>254</v>
      </c>
      <c r="G52"/>
    </row>
    <row r="53" spans="1:7" s="1" customFormat="1" x14ac:dyDescent="0.3">
      <c r="A53" s="10"/>
      <c r="G53"/>
    </row>
    <row r="54" spans="1:7" s="1" customFormat="1" ht="15.6" x14ac:dyDescent="0.3">
      <c r="A54" s="11" t="s">
        <v>249</v>
      </c>
      <c r="B54" s="16"/>
      <c r="C54" s="16"/>
      <c r="D54" s="16"/>
      <c r="E54" s="16"/>
      <c r="F54" s="16"/>
      <c r="G54"/>
    </row>
    <row r="55" spans="1:7" s="1" customFormat="1" ht="57.6" x14ac:dyDescent="0.3">
      <c r="A55" s="13" t="s">
        <v>17</v>
      </c>
      <c r="B55" s="14">
        <v>46078.459027777775</v>
      </c>
      <c r="C55" s="15" t="s">
        <v>232</v>
      </c>
      <c r="D55" s="15" t="s">
        <v>233</v>
      </c>
      <c r="E55" s="14">
        <v>46093.604166666664</v>
      </c>
      <c r="F55" s="15" t="s">
        <v>331</v>
      </c>
      <c r="G55"/>
    </row>
    <row r="56" spans="1:7" s="1" customFormat="1" x14ac:dyDescent="0.3">
      <c r="A56" s="10"/>
      <c r="G56"/>
    </row>
    <row r="57" spans="1:7" s="1" customFormat="1" ht="15.6" x14ac:dyDescent="0.3">
      <c r="A57" s="11" t="s">
        <v>272</v>
      </c>
      <c r="B57" s="16"/>
      <c r="C57" s="16"/>
      <c r="D57" s="16"/>
      <c r="E57" s="16"/>
      <c r="F57" s="16"/>
      <c r="G57"/>
    </row>
    <row r="58" spans="1:7" s="1" customFormat="1" x14ac:dyDescent="0.3">
      <c r="A58" s="13" t="s">
        <v>17</v>
      </c>
      <c r="B58" s="14">
        <v>46078.459722222222</v>
      </c>
      <c r="C58" s="15" t="s">
        <v>273</v>
      </c>
      <c r="D58" s="15" t="s">
        <v>274</v>
      </c>
      <c r="E58" s="14">
        <v>46092.65347222222</v>
      </c>
      <c r="F58" s="15" t="s">
        <v>275</v>
      </c>
      <c r="G58"/>
    </row>
    <row r="59" spans="1:7" s="1" customFormat="1" x14ac:dyDescent="0.3">
      <c r="A59" s="10"/>
      <c r="G59"/>
    </row>
    <row r="60" spans="1:7" s="1" customFormat="1" ht="15.6" x14ac:dyDescent="0.3">
      <c r="A60" s="11" t="s">
        <v>276</v>
      </c>
      <c r="B60" s="16"/>
      <c r="C60" s="16"/>
      <c r="D60" s="16"/>
      <c r="E60" s="16"/>
      <c r="F60" s="16"/>
      <c r="G60"/>
    </row>
    <row r="61" spans="1:7" s="1" customFormat="1" ht="43.2" x14ac:dyDescent="0.3">
      <c r="A61" s="13" t="s">
        <v>17</v>
      </c>
      <c r="B61" s="14">
        <v>46078.460416666669</v>
      </c>
      <c r="C61" s="15" t="s">
        <v>277</v>
      </c>
      <c r="D61" s="15" t="s">
        <v>278</v>
      </c>
      <c r="E61" s="14">
        <v>46093.724999999999</v>
      </c>
      <c r="F61" s="15" t="s">
        <v>279</v>
      </c>
      <c r="G61"/>
    </row>
    <row r="62" spans="1:7" s="1" customFormat="1" x14ac:dyDescent="0.3">
      <c r="A62" s="10"/>
      <c r="G62"/>
    </row>
    <row r="63" spans="1:7" s="1" customFormat="1" ht="15.6" x14ac:dyDescent="0.3">
      <c r="A63" s="11" t="s">
        <v>280</v>
      </c>
      <c r="B63" s="16"/>
      <c r="C63" s="16"/>
      <c r="D63" s="16"/>
      <c r="E63" s="16"/>
      <c r="F63" s="16"/>
      <c r="G63"/>
    </row>
    <row r="64" spans="1:7" s="1" customFormat="1" ht="86.4" x14ac:dyDescent="0.3">
      <c r="A64" s="13" t="s">
        <v>17</v>
      </c>
      <c r="B64" s="14">
        <v>46078.461111111108</v>
      </c>
      <c r="C64" s="15" t="s">
        <v>281</v>
      </c>
      <c r="D64" s="15" t="s">
        <v>282</v>
      </c>
      <c r="E64" s="14">
        <v>46092.316666666666</v>
      </c>
      <c r="F64" s="15" t="s">
        <v>283</v>
      </c>
      <c r="G64"/>
    </row>
    <row r="65" spans="1:7" s="1" customFormat="1" x14ac:dyDescent="0.3">
      <c r="A65" s="10"/>
      <c r="G65"/>
    </row>
    <row r="66" spans="1:7" s="1" customFormat="1" ht="15.6" x14ac:dyDescent="0.3">
      <c r="A66" s="11" t="s">
        <v>284</v>
      </c>
      <c r="B66" s="16"/>
      <c r="C66" s="16"/>
      <c r="D66" s="16"/>
      <c r="E66" s="16"/>
      <c r="F66" s="16"/>
      <c r="G66"/>
    </row>
    <row r="67" spans="1:7" s="1" customFormat="1" x14ac:dyDescent="0.3">
      <c r="A67" s="13" t="s">
        <v>17</v>
      </c>
      <c r="B67" s="14">
        <v>46078.461805555555</v>
      </c>
      <c r="C67" s="15" t="s">
        <v>285</v>
      </c>
      <c r="D67" s="15" t="s">
        <v>286</v>
      </c>
      <c r="E67" s="14">
        <v>46092.654861111114</v>
      </c>
      <c r="F67" s="15" t="s">
        <v>287</v>
      </c>
      <c r="G67"/>
    </row>
    <row r="68" spans="1:7" s="1" customFormat="1" x14ac:dyDescent="0.3">
      <c r="A68" s="10"/>
      <c r="G68"/>
    </row>
    <row r="69" spans="1:7" s="1" customFormat="1" ht="15.6" x14ac:dyDescent="0.3">
      <c r="A69" s="11" t="s">
        <v>246</v>
      </c>
      <c r="B69" s="16"/>
      <c r="C69" s="16"/>
      <c r="D69" s="16"/>
      <c r="E69" s="16"/>
      <c r="F69" s="16"/>
      <c r="G69"/>
    </row>
    <row r="70" spans="1:7" s="1" customFormat="1" ht="28.8" x14ac:dyDescent="0.3">
      <c r="A70" s="13" t="s">
        <v>17</v>
      </c>
      <c r="B70" s="14">
        <v>46078.464583333334</v>
      </c>
      <c r="C70" s="15" t="s">
        <v>29</v>
      </c>
      <c r="D70" s="15" t="s">
        <v>316</v>
      </c>
      <c r="E70" s="14">
        <v>46094.522222222222</v>
      </c>
      <c r="F70" s="15" t="s">
        <v>317</v>
      </c>
      <c r="G70"/>
    </row>
    <row r="71" spans="1:7" s="1" customFormat="1" x14ac:dyDescent="0.3">
      <c r="A71" s="10"/>
      <c r="G71"/>
    </row>
    <row r="72" spans="1:7" s="1" customFormat="1" ht="15.6" x14ac:dyDescent="0.3">
      <c r="A72" s="11" t="s">
        <v>288</v>
      </c>
      <c r="B72" s="16"/>
      <c r="C72" s="16"/>
      <c r="D72" s="16"/>
      <c r="E72" s="16"/>
      <c r="F72" s="16"/>
      <c r="G72"/>
    </row>
    <row r="73" spans="1:7" s="1" customFormat="1" ht="28.8" x14ac:dyDescent="0.3">
      <c r="A73" s="13" t="s">
        <v>17</v>
      </c>
      <c r="B73" s="14">
        <v>46078.468055555553</v>
      </c>
      <c r="C73" s="15" t="s">
        <v>289</v>
      </c>
      <c r="D73" s="15" t="s">
        <v>290</v>
      </c>
      <c r="E73" s="14">
        <v>46093.722916666666</v>
      </c>
      <c r="F73" s="15" t="s">
        <v>291</v>
      </c>
      <c r="G73"/>
    </row>
    <row r="74" spans="1:7" s="1" customFormat="1" x14ac:dyDescent="0.3">
      <c r="A74" s="10"/>
      <c r="G74"/>
    </row>
    <row r="75" spans="1:7" s="1" customFormat="1" ht="15.6" x14ac:dyDescent="0.3">
      <c r="A75" s="11" t="s">
        <v>292</v>
      </c>
      <c r="B75" s="16"/>
      <c r="C75" s="16"/>
      <c r="D75" s="16"/>
      <c r="E75" s="16"/>
      <c r="F75" s="16"/>
      <c r="G75"/>
    </row>
    <row r="76" spans="1:7" s="1" customFormat="1" x14ac:dyDescent="0.3">
      <c r="A76" s="13" t="s">
        <v>17</v>
      </c>
      <c r="B76" s="14">
        <v>46078.620833333334</v>
      </c>
      <c r="C76" s="15" t="s">
        <v>293</v>
      </c>
      <c r="D76" s="15" t="s">
        <v>294</v>
      </c>
      <c r="E76" s="14">
        <v>46083.426388888889</v>
      </c>
      <c r="F76" s="15" t="s">
        <v>295</v>
      </c>
      <c r="G76"/>
    </row>
    <row r="77" spans="1:7" s="1" customFormat="1" x14ac:dyDescent="0.3">
      <c r="A77" s="10"/>
      <c r="G77"/>
    </row>
    <row r="78" spans="1:7" s="1" customFormat="1" ht="15.6" x14ac:dyDescent="0.3">
      <c r="A78" s="11" t="s">
        <v>248</v>
      </c>
      <c r="B78" s="16"/>
      <c r="C78" s="16"/>
      <c r="D78" s="16"/>
      <c r="E78" s="16"/>
      <c r="F78" s="16"/>
      <c r="G78"/>
    </row>
    <row r="79" spans="1:7" s="1" customFormat="1" x14ac:dyDescent="0.3">
      <c r="A79" s="13" t="s">
        <v>17</v>
      </c>
      <c r="B79" s="14">
        <v>46079.474999999999</v>
      </c>
      <c r="C79" s="15" t="s">
        <v>234</v>
      </c>
      <c r="D79" s="15" t="s">
        <v>235</v>
      </c>
      <c r="E79" s="14">
        <v>46093.602777777778</v>
      </c>
      <c r="F79" s="15" t="s">
        <v>318</v>
      </c>
      <c r="G79"/>
    </row>
    <row r="80" spans="1:7" s="1" customFormat="1" x14ac:dyDescent="0.3">
      <c r="A80" s="10"/>
      <c r="G80"/>
    </row>
    <row r="81" spans="1:7" s="1" customFormat="1" ht="15.6" x14ac:dyDescent="0.3">
      <c r="A81" s="11" t="s">
        <v>247</v>
      </c>
      <c r="B81" s="16"/>
      <c r="C81" s="16"/>
      <c r="D81" s="16"/>
      <c r="E81" s="16"/>
      <c r="F81" s="16"/>
      <c r="G81"/>
    </row>
    <row r="82" spans="1:7" s="1" customFormat="1" ht="43.2" x14ac:dyDescent="0.3">
      <c r="A82" s="13" t="s">
        <v>17</v>
      </c>
      <c r="B82" s="14">
        <v>46079.655555555553</v>
      </c>
      <c r="C82" s="15" t="s">
        <v>236</v>
      </c>
      <c r="D82" s="15" t="s">
        <v>237</v>
      </c>
      <c r="E82" s="14">
        <v>46093.602083333331</v>
      </c>
      <c r="F82" s="15" t="s">
        <v>319</v>
      </c>
      <c r="G82"/>
    </row>
    <row r="83" spans="1:7" s="1" customFormat="1" x14ac:dyDescent="0.3">
      <c r="A83" s="10"/>
      <c r="G83"/>
    </row>
    <row r="84" spans="1:7" s="1" customFormat="1" ht="15.6" x14ac:dyDescent="0.3">
      <c r="A84" s="11" t="s">
        <v>343</v>
      </c>
      <c r="B84" s="16"/>
      <c r="C84" s="16"/>
      <c r="D84" s="16"/>
      <c r="E84" s="16"/>
      <c r="F84" s="16"/>
      <c r="G84"/>
    </row>
    <row r="85" spans="1:7" s="1" customFormat="1" ht="43.2" x14ac:dyDescent="0.3">
      <c r="A85" s="13" t="s">
        <v>17</v>
      </c>
      <c r="B85" s="14">
        <v>46098.743750000001</v>
      </c>
      <c r="C85" s="15" t="s">
        <v>344</v>
      </c>
      <c r="D85" s="15" t="s">
        <v>376</v>
      </c>
      <c r="E85" s="14">
        <v>46100.675000000003</v>
      </c>
      <c r="F85" s="15" t="s">
        <v>407</v>
      </c>
      <c r="G85"/>
    </row>
    <row r="86" spans="1:7" s="1" customFormat="1" x14ac:dyDescent="0.3">
      <c r="A86" s="10"/>
      <c r="G86"/>
    </row>
    <row r="87" spans="1:7" s="1" customFormat="1" ht="15.6" x14ac:dyDescent="0.3">
      <c r="A87" s="11" t="s">
        <v>345</v>
      </c>
      <c r="B87" s="16"/>
      <c r="C87" s="16"/>
      <c r="D87" s="16"/>
      <c r="E87" s="16"/>
      <c r="F87" s="16"/>
      <c r="G87"/>
    </row>
    <row r="88" spans="1:7" s="1" customFormat="1" ht="28.8" x14ac:dyDescent="0.3">
      <c r="A88" s="13" t="s">
        <v>17</v>
      </c>
      <c r="B88" s="14">
        <v>46098.745138888888</v>
      </c>
      <c r="C88" s="15" t="s">
        <v>346</v>
      </c>
      <c r="D88" s="15" t="s">
        <v>377</v>
      </c>
      <c r="E88" s="14">
        <v>46100.51458333333</v>
      </c>
      <c r="F88" s="15" t="s">
        <v>380</v>
      </c>
      <c r="G88"/>
    </row>
    <row r="89" spans="1:7" s="1" customFormat="1" x14ac:dyDescent="0.3">
      <c r="A89" s="10"/>
      <c r="G89"/>
    </row>
    <row r="90" spans="1:7" s="1" customFormat="1" ht="15.6" x14ac:dyDescent="0.3">
      <c r="A90" s="11" t="s">
        <v>347</v>
      </c>
      <c r="B90" s="16"/>
      <c r="C90" s="16"/>
      <c r="D90" s="16"/>
      <c r="E90" s="16"/>
      <c r="F90" s="16"/>
      <c r="G90"/>
    </row>
    <row r="91" spans="1:7" s="1" customFormat="1" ht="115.2" x14ac:dyDescent="0.3">
      <c r="A91" s="13" t="s">
        <v>17</v>
      </c>
      <c r="B91" s="14">
        <v>46099.399305555555</v>
      </c>
      <c r="C91" s="15" t="s">
        <v>348</v>
      </c>
      <c r="D91" s="15" t="s">
        <v>378</v>
      </c>
      <c r="E91" s="14">
        <v>46100.500694444447</v>
      </c>
      <c r="F91" s="15" t="s">
        <v>463</v>
      </c>
      <c r="G91"/>
    </row>
    <row r="92" spans="1:7" s="1" customFormat="1" x14ac:dyDescent="0.3">
      <c r="A92" s="10"/>
      <c r="G92"/>
    </row>
    <row r="93" spans="1:7" s="1" customFormat="1" ht="15.6" x14ac:dyDescent="0.3">
      <c r="A93" s="11" t="s">
        <v>408</v>
      </c>
      <c r="B93" s="16"/>
      <c r="C93" s="16"/>
      <c r="D93" s="16"/>
      <c r="E93" s="16"/>
      <c r="F93" s="16"/>
      <c r="G93"/>
    </row>
    <row r="94" spans="1:7" s="1" customFormat="1" ht="72" x14ac:dyDescent="0.3">
      <c r="A94" s="13" t="s">
        <v>17</v>
      </c>
      <c r="B94" s="14">
        <v>46101.59652777778</v>
      </c>
      <c r="C94" s="15" t="s">
        <v>409</v>
      </c>
      <c r="D94" s="15" t="s">
        <v>443</v>
      </c>
      <c r="E94" s="14">
        <v>46104.65347222222</v>
      </c>
      <c r="F94" s="15" t="s">
        <v>444</v>
      </c>
      <c r="G94"/>
    </row>
    <row r="95" spans="1:7" s="1" customFormat="1" x14ac:dyDescent="0.3">
      <c r="A95" s="10"/>
      <c r="G95"/>
    </row>
    <row r="96" spans="1:7" s="1" customFormat="1" ht="15.6" x14ac:dyDescent="0.3">
      <c r="A96" s="11" t="s">
        <v>349</v>
      </c>
      <c r="B96" s="16"/>
      <c r="C96" s="16"/>
      <c r="D96" s="16"/>
      <c r="E96" s="16"/>
      <c r="F96" s="16"/>
      <c r="G96"/>
    </row>
    <row r="97" spans="1:7" s="1" customFormat="1" ht="28.8" x14ac:dyDescent="0.3">
      <c r="A97" s="13" t="s">
        <v>18</v>
      </c>
      <c r="B97" s="14">
        <v>46098.567361111112</v>
      </c>
      <c r="C97" s="15" t="s">
        <v>350</v>
      </c>
      <c r="D97" s="15" t="s">
        <v>5</v>
      </c>
      <c r="E97" s="14" t="s">
        <v>5</v>
      </c>
      <c r="F97" s="15" t="s">
        <v>351</v>
      </c>
      <c r="G97"/>
    </row>
    <row r="98" spans="1:7" s="1" customFormat="1" x14ac:dyDescent="0.3">
      <c r="A98" s="10"/>
      <c r="G98"/>
    </row>
    <row r="99" spans="1:7" s="1" customFormat="1" ht="15.6" x14ac:dyDescent="0.3">
      <c r="A99" s="11" t="s">
        <v>296</v>
      </c>
      <c r="B99" s="16"/>
      <c r="C99" s="16"/>
      <c r="D99" s="16"/>
      <c r="E99" s="16"/>
      <c r="F99" s="16"/>
      <c r="G99"/>
    </row>
    <row r="100" spans="1:7" s="1" customFormat="1" x14ac:dyDescent="0.3">
      <c r="A100" s="13" t="s">
        <v>340</v>
      </c>
      <c r="B100" s="14">
        <v>46049.478472222225</v>
      </c>
      <c r="C100" s="15" t="s">
        <v>297</v>
      </c>
      <c r="D100" s="15" t="s">
        <v>298</v>
      </c>
      <c r="E100" s="14">
        <v>46072.532638888886</v>
      </c>
      <c r="F100" s="15" t="s">
        <v>299</v>
      </c>
      <c r="G100"/>
    </row>
    <row r="101" spans="1:7" s="1" customFormat="1" x14ac:dyDescent="0.3">
      <c r="A101" s="10"/>
      <c r="G101"/>
    </row>
    <row r="102" spans="1:7" s="1" customFormat="1" ht="15.6" x14ac:dyDescent="0.3">
      <c r="A102" s="11" t="s">
        <v>300</v>
      </c>
      <c r="B102" s="16"/>
      <c r="C102" s="16"/>
      <c r="D102" s="16"/>
      <c r="E102" s="16"/>
      <c r="F102" s="16"/>
      <c r="G102"/>
    </row>
    <row r="103" spans="1:7" s="1" customFormat="1" x14ac:dyDescent="0.3">
      <c r="A103" s="13" t="s">
        <v>340</v>
      </c>
      <c r="B103" s="14">
        <v>46049.480555555558</v>
      </c>
      <c r="C103" s="15" t="s">
        <v>301</v>
      </c>
      <c r="D103" s="15" t="s">
        <v>298</v>
      </c>
      <c r="E103" s="14">
        <v>46072.533333333333</v>
      </c>
      <c r="F103" s="15" t="s">
        <v>302</v>
      </c>
      <c r="G103"/>
    </row>
    <row r="104" spans="1:7" s="1" customFormat="1" x14ac:dyDescent="0.3">
      <c r="A104" s="10"/>
      <c r="G104"/>
    </row>
    <row r="105" spans="1:7" s="1" customFormat="1" ht="15.6" x14ac:dyDescent="0.3">
      <c r="A105" s="11" t="s">
        <v>40</v>
      </c>
      <c r="B105" s="16"/>
      <c r="C105" s="16"/>
      <c r="D105" s="16"/>
      <c r="E105" s="16"/>
      <c r="F105" s="16"/>
      <c r="G105"/>
    </row>
    <row r="106" spans="1:7" s="1" customFormat="1" ht="43.2" x14ac:dyDescent="0.3">
      <c r="A106" s="13" t="s">
        <v>340</v>
      </c>
      <c r="B106" s="14">
        <v>46049.499305555553</v>
      </c>
      <c r="C106" s="15" t="s">
        <v>41</v>
      </c>
      <c r="D106" s="15" t="s">
        <v>352</v>
      </c>
      <c r="E106" s="14">
        <v>46098.576388888891</v>
      </c>
      <c r="F106" s="15" t="s">
        <v>353</v>
      </c>
      <c r="G106"/>
    </row>
    <row r="107" spans="1:7" s="1" customFormat="1" x14ac:dyDescent="0.3">
      <c r="A107" s="10"/>
      <c r="G107"/>
    </row>
    <row r="108" spans="1:7" s="1" customFormat="1" ht="15.6" x14ac:dyDescent="0.3">
      <c r="A108" s="11" t="s">
        <v>42</v>
      </c>
      <c r="B108" s="16"/>
      <c r="C108" s="16"/>
      <c r="D108" s="16"/>
      <c r="E108" s="16"/>
      <c r="F108" s="16"/>
      <c r="G108"/>
    </row>
    <row r="109" spans="1:7" s="1" customFormat="1" ht="100.8" x14ac:dyDescent="0.3">
      <c r="A109" s="13" t="s">
        <v>340</v>
      </c>
      <c r="B109" s="14">
        <v>46049.5</v>
      </c>
      <c r="C109" s="15" t="s">
        <v>43</v>
      </c>
      <c r="D109" s="15" t="s">
        <v>5</v>
      </c>
      <c r="E109" s="14" t="s">
        <v>5</v>
      </c>
      <c r="F109" s="15" t="s">
        <v>332</v>
      </c>
      <c r="G109"/>
    </row>
    <row r="110" spans="1:7" s="1" customFormat="1" x14ac:dyDescent="0.3">
      <c r="A110" s="10"/>
      <c r="G110"/>
    </row>
    <row r="111" spans="1:7" s="1" customFormat="1" ht="15.6" x14ac:dyDescent="0.3">
      <c r="A111" s="11" t="s">
        <v>44</v>
      </c>
      <c r="B111" s="16"/>
      <c r="C111" s="16"/>
      <c r="D111" s="16"/>
      <c r="E111" s="16"/>
      <c r="F111" s="16"/>
      <c r="G111"/>
    </row>
    <row r="112" spans="1:7" s="1" customFormat="1" ht="28.8" x14ac:dyDescent="0.3">
      <c r="A112" s="13" t="s">
        <v>340</v>
      </c>
      <c r="B112" s="14">
        <v>46049.501388888886</v>
      </c>
      <c r="C112" s="15" t="s">
        <v>45</v>
      </c>
      <c r="D112" s="15" t="s">
        <v>5</v>
      </c>
      <c r="E112" s="14" t="s">
        <v>5</v>
      </c>
      <c r="F112" s="15" t="s">
        <v>46</v>
      </c>
      <c r="G112"/>
    </row>
    <row r="113" spans="1:7" s="1" customFormat="1" x14ac:dyDescent="0.3">
      <c r="A113" s="10"/>
      <c r="G113"/>
    </row>
    <row r="114" spans="1:7" s="1" customFormat="1" ht="15.6" x14ac:dyDescent="0.3">
      <c r="A114" s="11" t="s">
        <v>303</v>
      </c>
      <c r="B114" s="16"/>
      <c r="C114" s="16"/>
      <c r="D114" s="16"/>
      <c r="E114" s="16"/>
      <c r="F114" s="16"/>
      <c r="G114"/>
    </row>
    <row r="115" spans="1:7" s="1" customFormat="1" ht="28.8" x14ac:dyDescent="0.3">
      <c r="A115" s="13" t="s">
        <v>340</v>
      </c>
      <c r="B115" s="14">
        <v>46049.502083333333</v>
      </c>
      <c r="C115" s="15" t="s">
        <v>304</v>
      </c>
      <c r="D115" s="15" t="s">
        <v>5</v>
      </c>
      <c r="E115" s="14" t="s">
        <v>5</v>
      </c>
      <c r="F115" s="15" t="s">
        <v>337</v>
      </c>
      <c r="G115"/>
    </row>
    <row r="116" spans="1:7" s="1" customFormat="1" x14ac:dyDescent="0.3">
      <c r="A116" s="10"/>
      <c r="G116"/>
    </row>
    <row r="117" spans="1:7" s="1" customFormat="1" ht="15.6" x14ac:dyDescent="0.3">
      <c r="A117" s="11" t="s">
        <v>305</v>
      </c>
      <c r="B117" s="16"/>
      <c r="C117" s="16"/>
      <c r="D117" s="16"/>
      <c r="E117" s="16"/>
      <c r="F117" s="16"/>
      <c r="G117"/>
    </row>
    <row r="118" spans="1:7" s="1" customFormat="1" ht="28.8" x14ac:dyDescent="0.3">
      <c r="A118" s="13" t="s">
        <v>340</v>
      </c>
      <c r="B118" s="14">
        <v>46049.50277777778</v>
      </c>
      <c r="C118" s="15" t="s">
        <v>306</v>
      </c>
      <c r="D118" s="15" t="s">
        <v>5</v>
      </c>
      <c r="E118" s="14" t="s">
        <v>5</v>
      </c>
      <c r="F118" s="15" t="s">
        <v>338</v>
      </c>
      <c r="G118"/>
    </row>
    <row r="119" spans="1:7" s="1" customFormat="1" x14ac:dyDescent="0.3">
      <c r="A119" s="10"/>
      <c r="G119"/>
    </row>
    <row r="120" spans="1:7" ht="15.6" x14ac:dyDescent="0.3">
      <c r="A120" s="11" t="s">
        <v>47</v>
      </c>
      <c r="B120" s="16"/>
      <c r="C120" s="16"/>
      <c r="D120" s="16"/>
      <c r="E120" s="16"/>
      <c r="F120" s="16"/>
      <c r="G120"/>
    </row>
    <row r="121" spans="1:7" ht="28.8" x14ac:dyDescent="0.3">
      <c r="A121" s="13" t="s">
        <v>18</v>
      </c>
      <c r="B121" s="14">
        <v>46049.503472222219</v>
      </c>
      <c r="C121" s="15" t="s">
        <v>48</v>
      </c>
      <c r="D121" s="15" t="s">
        <v>5</v>
      </c>
      <c r="E121" s="14" t="s">
        <v>5</v>
      </c>
      <c r="F121" s="15" t="s">
        <v>333</v>
      </c>
      <c r="G121"/>
    </row>
    <row r="122" spans="1:7" x14ac:dyDescent="0.3">
      <c r="A122" s="10"/>
      <c r="B122" s="1"/>
      <c r="D122" s="1"/>
      <c r="E122" s="1"/>
      <c r="F122" s="1"/>
      <c r="G122"/>
    </row>
    <row r="123" spans="1:7" ht="15.6" x14ac:dyDescent="0.3">
      <c r="A123" s="11" t="s">
        <v>49</v>
      </c>
      <c r="B123" s="16"/>
      <c r="C123" s="16"/>
      <c r="D123" s="16"/>
      <c r="E123" s="16"/>
      <c r="F123" s="16"/>
      <c r="G123"/>
    </row>
    <row r="124" spans="1:7" x14ac:dyDescent="0.3">
      <c r="A124" s="13" t="s">
        <v>18</v>
      </c>
      <c r="B124" s="14">
        <v>46049.503472222219</v>
      </c>
      <c r="C124" s="15" t="s">
        <v>50</v>
      </c>
      <c r="D124" s="15" t="s">
        <v>341</v>
      </c>
      <c r="E124" s="14">
        <v>46098.327777777777</v>
      </c>
      <c r="F124" s="15" t="s">
        <v>342</v>
      </c>
      <c r="G124"/>
    </row>
    <row r="125" spans="1:7" x14ac:dyDescent="0.3">
      <c r="A125" s="10"/>
      <c r="B125" s="1"/>
      <c r="D125" s="1"/>
      <c r="E125" s="1"/>
      <c r="F125" s="1"/>
      <c r="G125"/>
    </row>
    <row r="126" spans="1:7" ht="15.6" x14ac:dyDescent="0.3">
      <c r="A126" s="11" t="s">
        <v>307</v>
      </c>
      <c r="B126" s="16"/>
      <c r="C126" s="16"/>
      <c r="D126" s="16"/>
      <c r="E126" s="16"/>
      <c r="F126" s="16"/>
      <c r="G126"/>
    </row>
    <row r="127" spans="1:7" x14ac:dyDescent="0.3">
      <c r="A127" s="13" t="s">
        <v>17</v>
      </c>
      <c r="B127" s="14">
        <v>46049.504166666666</v>
      </c>
      <c r="C127" s="15" t="s">
        <v>308</v>
      </c>
      <c r="D127" s="15" t="s">
        <v>5</v>
      </c>
      <c r="E127" s="14" t="s">
        <v>5</v>
      </c>
      <c r="F127" s="15" t="s">
        <v>339</v>
      </c>
      <c r="G127"/>
    </row>
    <row r="128" spans="1:7" x14ac:dyDescent="0.3">
      <c r="A128" s="10"/>
      <c r="B128" s="1"/>
      <c r="D128" s="1"/>
      <c r="E128" s="1"/>
      <c r="F128" s="1"/>
      <c r="G128"/>
    </row>
    <row r="129" spans="1:7" ht="15.6" x14ac:dyDescent="0.3">
      <c r="A129" s="11" t="s">
        <v>309</v>
      </c>
      <c r="B129" s="16"/>
      <c r="C129" s="16"/>
      <c r="D129" s="16"/>
      <c r="E129" s="16"/>
      <c r="F129" s="16"/>
      <c r="G129"/>
    </row>
    <row r="130" spans="1:7" ht="28.8" x14ac:dyDescent="0.3">
      <c r="A130" s="13" t="s">
        <v>340</v>
      </c>
      <c r="B130" s="14">
        <v>46049.504861111112</v>
      </c>
      <c r="C130" s="15" t="s">
        <v>310</v>
      </c>
      <c r="D130" s="15" t="s">
        <v>311</v>
      </c>
      <c r="E130" s="14">
        <v>46092.649305555555</v>
      </c>
      <c r="F130" s="15" t="s">
        <v>312</v>
      </c>
      <c r="G130"/>
    </row>
    <row r="131" spans="1:7" x14ac:dyDescent="0.3">
      <c r="A131" s="10"/>
      <c r="B131" s="1"/>
      <c r="D131" s="1"/>
      <c r="E131" s="1"/>
      <c r="F131" s="1"/>
      <c r="G131"/>
    </row>
    <row r="132" spans="1:7" ht="15.6" x14ac:dyDescent="0.3">
      <c r="A132" s="11" t="s">
        <v>51</v>
      </c>
      <c r="B132" s="16"/>
      <c r="C132" s="16"/>
      <c r="D132" s="16"/>
      <c r="E132" s="16"/>
      <c r="F132" s="16"/>
      <c r="G132"/>
    </row>
    <row r="133" spans="1:7" ht="115.2" x14ac:dyDescent="0.3">
      <c r="A133" s="13" t="s">
        <v>340</v>
      </c>
      <c r="B133" s="14">
        <v>46072.559027777781</v>
      </c>
      <c r="C133" s="15" t="s">
        <v>52</v>
      </c>
      <c r="D133" s="15" t="s">
        <v>53</v>
      </c>
      <c r="E133" s="14">
        <v>46078.384027777778</v>
      </c>
      <c r="F133" s="15" t="s">
        <v>354</v>
      </c>
      <c r="G133"/>
    </row>
    <row r="134" spans="1:7" x14ac:dyDescent="0.3">
      <c r="A134" s="10"/>
      <c r="B134" s="1"/>
      <c r="D134" s="1"/>
      <c r="E134" s="1"/>
      <c r="F134" s="1"/>
      <c r="G134"/>
    </row>
    <row r="135" spans="1:7" ht="15.6" x14ac:dyDescent="0.3">
      <c r="A135" s="11" t="s">
        <v>355</v>
      </c>
      <c r="B135" s="16"/>
      <c r="C135" s="16"/>
      <c r="D135" s="16"/>
      <c r="E135" s="16"/>
      <c r="F135" s="16"/>
      <c r="G135"/>
    </row>
    <row r="136" spans="1:7" x14ac:dyDescent="0.3">
      <c r="A136" s="13" t="s">
        <v>18</v>
      </c>
      <c r="B136" s="14">
        <v>46099.348611111112</v>
      </c>
      <c r="C136" s="15" t="s">
        <v>356</v>
      </c>
      <c r="D136" s="15" t="s">
        <v>5</v>
      </c>
      <c r="E136" s="14" t="s">
        <v>5</v>
      </c>
      <c r="F136" s="15" t="s">
        <v>357</v>
      </c>
      <c r="G136"/>
    </row>
    <row r="137" spans="1:7" x14ac:dyDescent="0.3">
      <c r="A137" s="10"/>
      <c r="B137" s="1"/>
      <c r="D137" s="1"/>
      <c r="E137" s="1"/>
      <c r="F137" s="1"/>
      <c r="G137"/>
    </row>
    <row r="138" spans="1:7" ht="15.6" x14ac:dyDescent="0.3">
      <c r="A138" s="11" t="s">
        <v>358</v>
      </c>
      <c r="B138" s="16"/>
      <c r="C138" s="16"/>
      <c r="D138" s="16"/>
      <c r="E138" s="16"/>
      <c r="F138" s="16"/>
      <c r="G138"/>
    </row>
    <row r="139" spans="1:7" x14ac:dyDescent="0.3">
      <c r="A139" s="13" t="s">
        <v>18</v>
      </c>
      <c r="B139" s="14">
        <v>46099.352083333331</v>
      </c>
      <c r="C139" s="15" t="s">
        <v>359</v>
      </c>
      <c r="D139" s="15" t="s">
        <v>5</v>
      </c>
      <c r="E139" s="14" t="s">
        <v>5</v>
      </c>
      <c r="F139" s="15" t="s">
        <v>360</v>
      </c>
      <c r="G139"/>
    </row>
    <row r="140" spans="1:7" x14ac:dyDescent="0.3">
      <c r="A140" s="10"/>
      <c r="B140" s="1"/>
      <c r="D140" s="1"/>
      <c r="E140" s="1"/>
      <c r="F140" s="1"/>
      <c r="G140"/>
    </row>
    <row r="141" spans="1:7" ht="15.6" x14ac:dyDescent="0.3">
      <c r="A141" s="11" t="s">
        <v>464</v>
      </c>
      <c r="B141" s="16"/>
      <c r="C141" s="16"/>
      <c r="D141" s="16"/>
      <c r="E141" s="16"/>
      <c r="F141" s="16"/>
      <c r="G141"/>
    </row>
    <row r="142" spans="1:7" x14ac:dyDescent="0.3">
      <c r="A142" s="13" t="s">
        <v>16</v>
      </c>
      <c r="B142" s="14">
        <v>46107.645833333336</v>
      </c>
      <c r="C142" s="15" t="s">
        <v>465</v>
      </c>
      <c r="D142" s="15" t="s">
        <v>5</v>
      </c>
      <c r="E142" s="14" t="s">
        <v>5</v>
      </c>
      <c r="F142" s="15" t="s">
        <v>470</v>
      </c>
      <c r="G142"/>
    </row>
    <row r="143" spans="1:7" x14ac:dyDescent="0.3">
      <c r="A143" s="10"/>
      <c r="B143" s="1"/>
      <c r="D143" s="1"/>
      <c r="E143" s="1"/>
      <c r="F143" s="1"/>
      <c r="G143"/>
    </row>
    <row r="144" spans="1:7" ht="15.6" x14ac:dyDescent="0.3">
      <c r="A144" s="11" t="s">
        <v>54</v>
      </c>
      <c r="B144" s="16"/>
      <c r="C144" s="16"/>
      <c r="D144" s="16"/>
      <c r="E144" s="16"/>
      <c r="F144" s="16"/>
      <c r="G144"/>
    </row>
    <row r="145" spans="1:7" ht="28.8" x14ac:dyDescent="0.3">
      <c r="A145" s="13" t="s">
        <v>340</v>
      </c>
      <c r="B145" s="14">
        <v>46055.356249999997</v>
      </c>
      <c r="C145" s="15" t="s">
        <v>55</v>
      </c>
      <c r="D145" s="15" t="s">
        <v>56</v>
      </c>
      <c r="E145" s="14">
        <v>46078.379861111112</v>
      </c>
      <c r="F145" s="15" t="s">
        <v>57</v>
      </c>
      <c r="G145"/>
    </row>
    <row r="146" spans="1:7" x14ac:dyDescent="0.3">
      <c r="A146" s="10"/>
      <c r="B146" s="1"/>
      <c r="D146" s="1"/>
      <c r="E146" s="1"/>
      <c r="F146" s="1"/>
      <c r="G146"/>
    </row>
    <row r="147" spans="1:7" ht="15.6" x14ac:dyDescent="0.3">
      <c r="A147" s="11" t="s">
        <v>58</v>
      </c>
      <c r="B147" s="16"/>
      <c r="C147" s="16"/>
      <c r="D147" s="16"/>
      <c r="E147" s="16"/>
      <c r="F147" s="16"/>
      <c r="G147"/>
    </row>
    <row r="148" spans="1:7" ht="43.2" x14ac:dyDescent="0.3">
      <c r="A148" s="13" t="s">
        <v>18</v>
      </c>
      <c r="B148" s="14">
        <v>46066.631944444445</v>
      </c>
      <c r="C148" s="15" t="s">
        <v>59</v>
      </c>
      <c r="D148" s="15" t="s">
        <v>466</v>
      </c>
      <c r="E148" s="14">
        <v>46108.574999999997</v>
      </c>
      <c r="F148" s="15" t="s">
        <v>471</v>
      </c>
      <c r="G148"/>
    </row>
    <row r="149" spans="1:7" x14ac:dyDescent="0.3">
      <c r="A149" s="10"/>
      <c r="B149" s="1"/>
      <c r="D149" s="1"/>
      <c r="E149" s="1"/>
      <c r="F149" s="1"/>
      <c r="G149"/>
    </row>
    <row r="150" spans="1:7" ht="15.6" x14ac:dyDescent="0.3">
      <c r="A150" s="11" t="s">
        <v>60</v>
      </c>
      <c r="B150" s="16"/>
      <c r="C150" s="16"/>
      <c r="D150" s="16"/>
      <c r="E150" s="16"/>
      <c r="F150" s="16"/>
      <c r="G150"/>
    </row>
    <row r="151" spans="1:7" x14ac:dyDescent="0.3">
      <c r="A151" s="13" t="s">
        <v>340</v>
      </c>
      <c r="B151" s="14">
        <v>46072.697222222225</v>
      </c>
      <c r="C151" s="15" t="s">
        <v>61</v>
      </c>
      <c r="D151" s="15" t="s">
        <v>62</v>
      </c>
      <c r="E151" s="14">
        <v>46079.402083333334</v>
      </c>
      <c r="F151" s="15" t="s">
        <v>63</v>
      </c>
      <c r="G151"/>
    </row>
    <row r="152" spans="1:7" x14ac:dyDescent="0.3">
      <c r="A152" s="10"/>
      <c r="B152" s="1"/>
      <c r="D152" s="1"/>
      <c r="E152" s="1"/>
      <c r="F152" s="1"/>
      <c r="G152"/>
    </row>
    <row r="153" spans="1:7" ht="15.6" x14ac:dyDescent="0.3">
      <c r="A153" s="11" t="s">
        <v>64</v>
      </c>
      <c r="B153" s="16"/>
      <c r="C153" s="16"/>
      <c r="D153" s="16"/>
      <c r="E153" s="16"/>
      <c r="F153" s="16"/>
      <c r="G153"/>
    </row>
    <row r="154" spans="1:7" x14ac:dyDescent="0.3">
      <c r="A154" s="13" t="s">
        <v>18</v>
      </c>
      <c r="B154" s="14">
        <v>46073.414583333331</v>
      </c>
      <c r="C154" s="15" t="s">
        <v>65</v>
      </c>
      <c r="D154" s="15" t="s">
        <v>5</v>
      </c>
      <c r="E154" s="14" t="s">
        <v>5</v>
      </c>
      <c r="F154" s="15" t="s">
        <v>361</v>
      </c>
      <c r="G154"/>
    </row>
    <row r="155" spans="1:7" x14ac:dyDescent="0.3">
      <c r="A155" s="10"/>
      <c r="B155" s="1"/>
      <c r="D155" s="1"/>
      <c r="E155" s="1"/>
      <c r="F155" s="1"/>
      <c r="G155"/>
    </row>
    <row r="156" spans="1:7" ht="15.6" x14ac:dyDescent="0.3">
      <c r="A156" s="11" t="s">
        <v>66</v>
      </c>
      <c r="B156" s="16"/>
      <c r="C156" s="16"/>
      <c r="D156" s="16"/>
      <c r="E156" s="16"/>
      <c r="F156" s="16"/>
      <c r="G156"/>
    </row>
    <row r="157" spans="1:7" x14ac:dyDescent="0.3">
      <c r="A157" s="13" t="s">
        <v>17</v>
      </c>
      <c r="B157" s="14">
        <v>46077.611111111109</v>
      </c>
      <c r="C157" s="15" t="s">
        <v>67</v>
      </c>
      <c r="D157" s="15" t="s">
        <v>68</v>
      </c>
      <c r="E157" s="14">
        <v>46077.640972222223</v>
      </c>
      <c r="F157" s="15" t="s">
        <v>69</v>
      </c>
      <c r="G157"/>
    </row>
    <row r="158" spans="1:7" x14ac:dyDescent="0.3">
      <c r="A158" s="10"/>
      <c r="B158" s="1"/>
      <c r="D158" s="1"/>
      <c r="E158" s="1"/>
      <c r="F158" s="1"/>
      <c r="G158"/>
    </row>
    <row r="159" spans="1:7" ht="15.6" x14ac:dyDescent="0.3">
      <c r="A159" s="11" t="s">
        <v>70</v>
      </c>
      <c r="B159" s="16"/>
      <c r="C159" s="16"/>
      <c r="D159" s="16"/>
      <c r="E159" s="16"/>
      <c r="F159" s="16"/>
      <c r="G159"/>
    </row>
    <row r="160" spans="1:7" x14ac:dyDescent="0.3">
      <c r="A160" s="13" t="s">
        <v>17</v>
      </c>
      <c r="B160" s="14">
        <v>46079.331250000003</v>
      </c>
      <c r="C160" s="15" t="s">
        <v>71</v>
      </c>
      <c r="D160" s="15" t="s">
        <v>72</v>
      </c>
      <c r="E160" s="14">
        <v>46079.445138888892</v>
      </c>
      <c r="F160" s="15" t="s">
        <v>73</v>
      </c>
      <c r="G160"/>
    </row>
    <row r="161" spans="1:7" x14ac:dyDescent="0.3">
      <c r="A161" s="10"/>
      <c r="B161" s="1"/>
      <c r="D161" s="1"/>
      <c r="E161" s="1"/>
      <c r="F161" s="1"/>
      <c r="G161"/>
    </row>
    <row r="162" spans="1:7" ht="15.6" x14ac:dyDescent="0.3">
      <c r="A162" s="11" t="s">
        <v>74</v>
      </c>
      <c r="B162" s="16"/>
      <c r="C162" s="16"/>
      <c r="D162" s="16"/>
      <c r="E162" s="16"/>
      <c r="F162" s="16"/>
      <c r="G162"/>
    </row>
    <row r="163" spans="1:7" x14ac:dyDescent="0.3">
      <c r="A163" s="13" t="s">
        <v>17</v>
      </c>
      <c r="B163" s="14">
        <v>46079.335416666669</v>
      </c>
      <c r="C163" s="15" t="s">
        <v>75</v>
      </c>
      <c r="D163" s="15" t="s">
        <v>76</v>
      </c>
      <c r="E163" s="14">
        <v>46079.493750000001</v>
      </c>
      <c r="F163" s="15" t="s">
        <v>77</v>
      </c>
      <c r="G163"/>
    </row>
    <row r="164" spans="1:7" x14ac:dyDescent="0.3">
      <c r="A164" s="10"/>
      <c r="B164" s="1"/>
      <c r="D164" s="1"/>
      <c r="E164" s="1"/>
      <c r="F164" s="1"/>
      <c r="G164"/>
    </row>
    <row r="165" spans="1:7" ht="15.6" x14ac:dyDescent="0.3">
      <c r="A165" s="11" t="s">
        <v>78</v>
      </c>
      <c r="B165" s="16"/>
      <c r="C165" s="16"/>
      <c r="D165" s="16"/>
      <c r="E165" s="16"/>
      <c r="F165" s="16"/>
      <c r="G165"/>
    </row>
    <row r="166" spans="1:7" x14ac:dyDescent="0.3">
      <c r="A166" s="13" t="s">
        <v>17</v>
      </c>
      <c r="B166" s="14">
        <v>46079.337500000001</v>
      </c>
      <c r="C166" s="15" t="s">
        <v>79</v>
      </c>
      <c r="D166" s="15" t="s">
        <v>445</v>
      </c>
      <c r="E166" s="14">
        <v>46104.7</v>
      </c>
      <c r="F166" s="15" t="s">
        <v>446</v>
      </c>
      <c r="G166"/>
    </row>
    <row r="167" spans="1:7" x14ac:dyDescent="0.3">
      <c r="A167" s="10"/>
      <c r="B167" s="1"/>
      <c r="D167" s="1"/>
      <c r="E167" s="1"/>
      <c r="F167" s="1"/>
      <c r="G167"/>
    </row>
    <row r="168" spans="1:7" ht="15.6" x14ac:dyDescent="0.3">
      <c r="A168" s="11" t="s">
        <v>80</v>
      </c>
      <c r="B168" s="16"/>
      <c r="C168" s="16"/>
      <c r="D168" s="16"/>
      <c r="E168" s="16"/>
      <c r="F168" s="16"/>
      <c r="G168"/>
    </row>
    <row r="169" spans="1:7" ht="57.6" x14ac:dyDescent="0.3">
      <c r="A169" s="13" t="s">
        <v>17</v>
      </c>
      <c r="B169" s="14">
        <v>46079.362500000003</v>
      </c>
      <c r="C169" s="15" t="s">
        <v>81</v>
      </c>
      <c r="D169" s="15" t="s">
        <v>82</v>
      </c>
      <c r="E169" s="14">
        <v>46079.363194444442</v>
      </c>
      <c r="F169" s="15" t="s">
        <v>83</v>
      </c>
      <c r="G169"/>
    </row>
    <row r="170" spans="1:7" x14ac:dyDescent="0.3">
      <c r="A170" s="10"/>
      <c r="B170" s="1"/>
      <c r="D170" s="1"/>
      <c r="E170" s="1"/>
      <c r="F170" s="1"/>
      <c r="G170"/>
    </row>
    <row r="171" spans="1:7" ht="15.6" x14ac:dyDescent="0.3">
      <c r="A171" s="11" t="s">
        <v>84</v>
      </c>
      <c r="B171" s="16"/>
      <c r="C171" s="16"/>
      <c r="D171" s="16"/>
      <c r="E171" s="16"/>
      <c r="F171" s="16"/>
      <c r="G171"/>
    </row>
    <row r="172" spans="1:7" x14ac:dyDescent="0.3">
      <c r="A172" s="13" t="s">
        <v>17</v>
      </c>
      <c r="B172" s="14">
        <v>46079.364583333336</v>
      </c>
      <c r="C172" s="15" t="s">
        <v>85</v>
      </c>
      <c r="D172" s="15" t="s">
        <v>86</v>
      </c>
      <c r="E172" s="14">
        <v>46079.366666666669</v>
      </c>
      <c r="F172" s="15" t="s">
        <v>87</v>
      </c>
      <c r="G172"/>
    </row>
    <row r="173" spans="1:7" x14ac:dyDescent="0.3">
      <c r="A173" s="10"/>
      <c r="B173" s="1"/>
      <c r="D173" s="1"/>
      <c r="E173" s="1"/>
      <c r="F173" s="1"/>
      <c r="G173"/>
    </row>
    <row r="174" spans="1:7" ht="15.6" x14ac:dyDescent="0.3">
      <c r="A174" s="11" t="s">
        <v>88</v>
      </c>
      <c r="B174" s="16"/>
      <c r="C174" s="16"/>
      <c r="D174" s="16"/>
      <c r="E174" s="16"/>
      <c r="F174" s="16"/>
      <c r="G174"/>
    </row>
    <row r="175" spans="1:7" ht="43.2" x14ac:dyDescent="0.3">
      <c r="A175" s="13" t="s">
        <v>17</v>
      </c>
      <c r="B175" s="14">
        <v>46079.366666666669</v>
      </c>
      <c r="C175" s="15" t="s">
        <v>89</v>
      </c>
      <c r="D175" s="15" t="s">
        <v>90</v>
      </c>
      <c r="E175" s="14">
        <v>46079.368055555555</v>
      </c>
      <c r="F175" s="15" t="s">
        <v>91</v>
      </c>
      <c r="G175"/>
    </row>
    <row r="176" spans="1:7" x14ac:dyDescent="0.3">
      <c r="A176" s="10"/>
      <c r="B176" s="1"/>
      <c r="D176" s="1"/>
      <c r="E176" s="1"/>
      <c r="F176" s="1"/>
      <c r="G176"/>
    </row>
    <row r="177" spans="1:7" ht="15.6" x14ac:dyDescent="0.3">
      <c r="A177" s="11" t="s">
        <v>92</v>
      </c>
      <c r="B177" s="16"/>
      <c r="C177" s="16"/>
      <c r="D177" s="16"/>
      <c r="E177" s="16"/>
      <c r="F177" s="16"/>
      <c r="G177"/>
    </row>
    <row r="178" spans="1:7" ht="28.8" x14ac:dyDescent="0.3">
      <c r="A178" s="13" t="s">
        <v>18</v>
      </c>
      <c r="B178" s="14">
        <v>46079.368750000001</v>
      </c>
      <c r="C178" s="15" t="s">
        <v>93</v>
      </c>
      <c r="D178" s="15" t="s">
        <v>94</v>
      </c>
      <c r="E178" s="14">
        <v>46079.370138888888</v>
      </c>
      <c r="F178" s="15" t="s">
        <v>379</v>
      </c>
      <c r="G178"/>
    </row>
    <row r="179" spans="1:7" x14ac:dyDescent="0.3">
      <c r="A179" s="10"/>
      <c r="B179" s="1"/>
      <c r="D179" s="1"/>
      <c r="E179" s="1"/>
      <c r="F179" s="1"/>
      <c r="G179"/>
    </row>
    <row r="180" spans="1:7" ht="15.6" x14ac:dyDescent="0.3">
      <c r="A180" s="11" t="s">
        <v>95</v>
      </c>
      <c r="B180" s="16"/>
      <c r="C180" s="16"/>
      <c r="D180" s="16"/>
      <c r="E180" s="16"/>
      <c r="F180" s="16"/>
      <c r="G180"/>
    </row>
    <row r="181" spans="1:7" ht="86.4" x14ac:dyDescent="0.3">
      <c r="A181" s="13" t="s">
        <v>17</v>
      </c>
      <c r="B181" s="14">
        <v>46079.371527777781</v>
      </c>
      <c r="C181" s="15" t="s">
        <v>96</v>
      </c>
      <c r="D181" s="15" t="s">
        <v>97</v>
      </c>
      <c r="E181" s="14">
        <v>46079.37222222222</v>
      </c>
      <c r="F181" s="15" t="s">
        <v>98</v>
      </c>
      <c r="G181"/>
    </row>
    <row r="182" spans="1:7" x14ac:dyDescent="0.3">
      <c r="A182" s="10"/>
      <c r="B182" s="1"/>
      <c r="D182" s="1"/>
      <c r="E182" s="1"/>
      <c r="F182" s="1"/>
      <c r="G182"/>
    </row>
    <row r="183" spans="1:7" ht="15.6" x14ac:dyDescent="0.3">
      <c r="A183" s="11" t="s">
        <v>99</v>
      </c>
      <c r="B183" s="16"/>
      <c r="C183" s="16"/>
      <c r="D183" s="16"/>
      <c r="E183" s="16"/>
      <c r="F183" s="16"/>
      <c r="G183"/>
    </row>
    <row r="184" spans="1:7" ht="28.8" x14ac:dyDescent="0.3">
      <c r="A184" s="13" t="s">
        <v>340</v>
      </c>
      <c r="B184" s="14">
        <v>46079.372916666667</v>
      </c>
      <c r="C184" s="15" t="s">
        <v>100</v>
      </c>
      <c r="D184" s="15" t="s">
        <v>101</v>
      </c>
      <c r="E184" s="14">
        <v>46079.373611111114</v>
      </c>
      <c r="F184" s="15" t="s">
        <v>102</v>
      </c>
      <c r="G184"/>
    </row>
    <row r="185" spans="1:7" x14ac:dyDescent="0.3">
      <c r="A185" s="10"/>
      <c r="B185" s="1"/>
      <c r="D185" s="1"/>
      <c r="E185" s="1"/>
      <c r="F185" s="1"/>
      <c r="G185"/>
    </row>
    <row r="186" spans="1:7" ht="15.6" x14ac:dyDescent="0.3">
      <c r="A186" s="11" t="s">
        <v>103</v>
      </c>
      <c r="B186" s="16"/>
      <c r="C186" s="16"/>
      <c r="D186" s="16"/>
      <c r="E186" s="16"/>
      <c r="F186" s="16"/>
      <c r="G186"/>
    </row>
    <row r="187" spans="1:7" ht="57.6" x14ac:dyDescent="0.3">
      <c r="A187" s="13" t="s">
        <v>340</v>
      </c>
      <c r="B187" s="14">
        <v>46079.374305555553</v>
      </c>
      <c r="C187" s="15" t="s">
        <v>104</v>
      </c>
      <c r="D187" s="15" t="s">
        <v>105</v>
      </c>
      <c r="E187" s="14">
        <v>46079.375</v>
      </c>
      <c r="F187" s="15" t="s">
        <v>106</v>
      </c>
      <c r="G187"/>
    </row>
    <row r="188" spans="1:7" x14ac:dyDescent="0.3">
      <c r="A188" s="10"/>
      <c r="B188" s="1"/>
      <c r="D188" s="1"/>
      <c r="E188" s="1"/>
      <c r="F188" s="1"/>
      <c r="G188"/>
    </row>
    <row r="189" spans="1:7" ht="15.6" x14ac:dyDescent="0.3">
      <c r="A189" s="11" t="s">
        <v>107</v>
      </c>
      <c r="B189" s="16"/>
      <c r="C189" s="16"/>
      <c r="D189" s="16"/>
      <c r="E189" s="16"/>
      <c r="F189" s="16"/>
      <c r="G189"/>
    </row>
    <row r="190" spans="1:7" ht="43.2" x14ac:dyDescent="0.3">
      <c r="A190" s="13" t="s">
        <v>17</v>
      </c>
      <c r="B190" s="14">
        <v>46079.376388888886</v>
      </c>
      <c r="C190" s="15" t="s">
        <v>108</v>
      </c>
      <c r="D190" s="15" t="s">
        <v>109</v>
      </c>
      <c r="E190" s="14">
        <v>46079.377083333333</v>
      </c>
      <c r="F190" s="15" t="s">
        <v>110</v>
      </c>
      <c r="G190"/>
    </row>
    <row r="191" spans="1:7" x14ac:dyDescent="0.3">
      <c r="A191" s="10"/>
      <c r="B191" s="1"/>
      <c r="D191" s="1"/>
      <c r="E191" s="1"/>
      <c r="F191" s="1"/>
      <c r="G191"/>
    </row>
    <row r="192" spans="1:7" ht="15.6" x14ac:dyDescent="0.3">
      <c r="A192" s="11" t="s">
        <v>111</v>
      </c>
      <c r="B192" s="16"/>
      <c r="C192" s="16"/>
      <c r="D192" s="16"/>
      <c r="E192" s="16"/>
      <c r="F192" s="16"/>
      <c r="G192"/>
    </row>
    <row r="193" spans="1:7" ht="43.2" x14ac:dyDescent="0.3">
      <c r="A193" s="13" t="s">
        <v>17</v>
      </c>
      <c r="B193" s="14">
        <v>46079.381944444445</v>
      </c>
      <c r="C193" s="15" t="s">
        <v>112</v>
      </c>
      <c r="D193" s="15" t="s">
        <v>113</v>
      </c>
      <c r="E193" s="14">
        <v>46079.382638888892</v>
      </c>
      <c r="F193" s="15" t="s">
        <v>114</v>
      </c>
      <c r="G193"/>
    </row>
    <row r="194" spans="1:7" x14ac:dyDescent="0.3">
      <c r="A194" s="10"/>
      <c r="B194" s="1"/>
      <c r="D194" s="1"/>
      <c r="E194" s="1"/>
      <c r="F194" s="1"/>
      <c r="G194"/>
    </row>
    <row r="195" spans="1:7" ht="15.6" x14ac:dyDescent="0.3">
      <c r="A195" s="11" t="s">
        <v>115</v>
      </c>
      <c r="B195" s="16"/>
      <c r="C195" s="16"/>
      <c r="D195" s="16"/>
      <c r="E195" s="16"/>
      <c r="F195" s="16"/>
      <c r="G195"/>
    </row>
    <row r="196" spans="1:7" ht="28.8" x14ac:dyDescent="0.3">
      <c r="A196" s="13" t="s">
        <v>17</v>
      </c>
      <c r="B196" s="14">
        <v>46079.384722222225</v>
      </c>
      <c r="C196" s="15" t="s">
        <v>116</v>
      </c>
      <c r="D196" s="15" t="s">
        <v>117</v>
      </c>
      <c r="E196" s="14">
        <v>46079.385416666664</v>
      </c>
      <c r="F196" s="15" t="s">
        <v>118</v>
      </c>
      <c r="G196"/>
    </row>
    <row r="197" spans="1:7" x14ac:dyDescent="0.3">
      <c r="A197" s="10"/>
      <c r="B197" s="1"/>
      <c r="D197" s="1"/>
      <c r="E197" s="1"/>
      <c r="F197" s="1"/>
      <c r="G197"/>
    </row>
    <row r="198" spans="1:7" ht="15.6" x14ac:dyDescent="0.3">
      <c r="A198" s="11" t="s">
        <v>119</v>
      </c>
      <c r="B198" s="16"/>
      <c r="C198" s="16"/>
      <c r="D198" s="16"/>
      <c r="E198" s="16"/>
      <c r="F198" s="16"/>
      <c r="G198"/>
    </row>
    <row r="199" spans="1:7" ht="100.8" x14ac:dyDescent="0.3">
      <c r="A199" s="13" t="s">
        <v>17</v>
      </c>
      <c r="B199" s="14">
        <v>46079.386805555558</v>
      </c>
      <c r="C199" s="15" t="s">
        <v>120</v>
      </c>
      <c r="D199" s="15" t="s">
        <v>121</v>
      </c>
      <c r="E199" s="14">
        <v>46079.388888888891</v>
      </c>
      <c r="F199" s="15" t="s">
        <v>122</v>
      </c>
      <c r="G199"/>
    </row>
    <row r="200" spans="1:7" x14ac:dyDescent="0.3">
      <c r="A200" s="10"/>
      <c r="B200" s="1"/>
      <c r="D200" s="1"/>
      <c r="E200" s="1"/>
      <c r="F200" s="1"/>
      <c r="G200"/>
    </row>
    <row r="201" spans="1:7" ht="15.6" x14ac:dyDescent="0.3">
      <c r="A201" s="11" t="s">
        <v>123</v>
      </c>
      <c r="B201" s="16"/>
      <c r="C201" s="16"/>
      <c r="D201" s="16"/>
      <c r="E201" s="16"/>
      <c r="F201" s="16"/>
      <c r="G201"/>
    </row>
    <row r="202" spans="1:7" ht="172.8" x14ac:dyDescent="0.3">
      <c r="A202" s="13" t="s">
        <v>17</v>
      </c>
      <c r="B202" s="14">
        <v>46079.408333333333</v>
      </c>
      <c r="C202" s="15" t="s">
        <v>124</v>
      </c>
      <c r="D202" s="15" t="s">
        <v>125</v>
      </c>
      <c r="E202" s="14">
        <v>46079.422222222223</v>
      </c>
      <c r="F202" s="15" t="s">
        <v>126</v>
      </c>
      <c r="G202"/>
    </row>
    <row r="203" spans="1:7" x14ac:dyDescent="0.3">
      <c r="A203" s="10"/>
      <c r="B203" s="1"/>
      <c r="D203" s="1"/>
      <c r="E203" s="1"/>
      <c r="F203" s="1"/>
      <c r="G203"/>
    </row>
    <row r="204" spans="1:7" ht="15.6" x14ac:dyDescent="0.3">
      <c r="A204" s="11" t="s">
        <v>127</v>
      </c>
      <c r="B204" s="16"/>
      <c r="C204" s="16"/>
      <c r="D204" s="16"/>
      <c r="E204" s="16"/>
      <c r="F204" s="16"/>
      <c r="G204"/>
    </row>
    <row r="205" spans="1:7" ht="201.6" x14ac:dyDescent="0.3">
      <c r="A205" s="13" t="s">
        <v>17</v>
      </c>
      <c r="B205" s="14">
        <v>46079.424305555556</v>
      </c>
      <c r="C205" s="15" t="s">
        <v>128</v>
      </c>
      <c r="D205" s="15" t="s">
        <v>362</v>
      </c>
      <c r="E205" s="14">
        <v>46098.593055555553</v>
      </c>
      <c r="F205" s="15" t="s">
        <v>363</v>
      </c>
      <c r="G205"/>
    </row>
    <row r="206" spans="1:7" x14ac:dyDescent="0.3">
      <c r="A206" s="10"/>
      <c r="B206" s="1"/>
      <c r="D206" s="1"/>
      <c r="E206" s="1"/>
      <c r="F206" s="1"/>
      <c r="G206"/>
    </row>
    <row r="207" spans="1:7" ht="15.6" x14ac:dyDescent="0.3">
      <c r="A207" s="11" t="s">
        <v>129</v>
      </c>
      <c r="B207" s="16"/>
      <c r="C207" s="16"/>
      <c r="D207" s="16"/>
      <c r="E207" s="16"/>
      <c r="F207" s="16"/>
      <c r="G207"/>
    </row>
    <row r="208" spans="1:7" ht="28.8" x14ac:dyDescent="0.3">
      <c r="A208" s="13" t="s">
        <v>340</v>
      </c>
      <c r="B208" s="14">
        <v>46079.425000000003</v>
      </c>
      <c r="C208" s="15" t="s">
        <v>130</v>
      </c>
      <c r="D208" s="15" t="s">
        <v>131</v>
      </c>
      <c r="E208" s="14">
        <v>46079.426388888889</v>
      </c>
      <c r="F208" s="15" t="s">
        <v>132</v>
      </c>
      <c r="G208"/>
    </row>
    <row r="209" spans="1:7" x14ac:dyDescent="0.3">
      <c r="A209" s="10"/>
      <c r="B209" s="1"/>
      <c r="D209" s="1"/>
      <c r="E209" s="1"/>
      <c r="F209" s="1"/>
      <c r="G209"/>
    </row>
    <row r="210" spans="1:7" ht="15.6" x14ac:dyDescent="0.3">
      <c r="A210" s="11" t="s">
        <v>133</v>
      </c>
      <c r="B210" s="16"/>
      <c r="C210" s="16"/>
      <c r="D210" s="16"/>
      <c r="E210" s="16"/>
      <c r="F210" s="16"/>
      <c r="G210"/>
    </row>
    <row r="211" spans="1:7" ht="28.8" x14ac:dyDescent="0.3">
      <c r="A211" s="13" t="s">
        <v>17</v>
      </c>
      <c r="B211" s="14">
        <v>46079.431250000001</v>
      </c>
      <c r="C211" s="15" t="s">
        <v>134</v>
      </c>
      <c r="D211" s="15" t="s">
        <v>135</v>
      </c>
      <c r="E211" s="14">
        <v>46079.431944444441</v>
      </c>
      <c r="F211" s="15" t="s">
        <v>136</v>
      </c>
      <c r="G211"/>
    </row>
    <row r="212" spans="1:7" x14ac:dyDescent="0.3">
      <c r="A212" s="10"/>
      <c r="B212" s="1"/>
      <c r="D212" s="1"/>
      <c r="E212" s="1"/>
      <c r="F212" s="1"/>
      <c r="G212"/>
    </row>
    <row r="213" spans="1:7" ht="15.6" x14ac:dyDescent="0.3">
      <c r="A213" s="11" t="s">
        <v>137</v>
      </c>
      <c r="B213" s="16"/>
      <c r="C213" s="16"/>
      <c r="D213" s="16"/>
      <c r="E213" s="16"/>
      <c r="F213" s="16"/>
      <c r="G213"/>
    </row>
    <row r="214" spans="1:7" ht="28.8" x14ac:dyDescent="0.3">
      <c r="A214" s="13" t="s">
        <v>17</v>
      </c>
      <c r="B214" s="14">
        <v>46079.438194444447</v>
      </c>
      <c r="C214" s="15" t="s">
        <v>138</v>
      </c>
      <c r="D214" s="15" t="s">
        <v>139</v>
      </c>
      <c r="E214" s="14">
        <v>46079.438888888886</v>
      </c>
      <c r="F214" s="15" t="s">
        <v>140</v>
      </c>
      <c r="G214"/>
    </row>
    <row r="215" spans="1:7" x14ac:dyDescent="0.3">
      <c r="A215" s="10"/>
      <c r="B215" s="1"/>
      <c r="D215" s="1"/>
      <c r="E215" s="1"/>
      <c r="F215" s="1"/>
      <c r="G215"/>
    </row>
    <row r="216" spans="1:7" ht="15.6" x14ac:dyDescent="0.3">
      <c r="A216" s="11" t="s">
        <v>141</v>
      </c>
      <c r="B216" s="16"/>
      <c r="C216" s="16"/>
      <c r="D216" s="16"/>
      <c r="E216" s="16"/>
      <c r="F216" s="16"/>
      <c r="G216"/>
    </row>
    <row r="217" spans="1:7" ht="57.6" x14ac:dyDescent="0.3">
      <c r="A217" s="13" t="s">
        <v>17</v>
      </c>
      <c r="B217" s="14">
        <v>46079.443749999999</v>
      </c>
      <c r="C217" s="15" t="s">
        <v>142</v>
      </c>
      <c r="D217" s="15" t="s">
        <v>143</v>
      </c>
      <c r="E217" s="14">
        <v>46079.447916666664</v>
      </c>
      <c r="F217" s="15" t="s">
        <v>144</v>
      </c>
      <c r="G217"/>
    </row>
    <row r="218" spans="1:7" x14ac:dyDescent="0.3">
      <c r="A218" s="10"/>
      <c r="B218" s="1"/>
      <c r="D218" s="1"/>
      <c r="E218" s="1"/>
      <c r="F218" s="1"/>
      <c r="G218"/>
    </row>
    <row r="219" spans="1:7" ht="15.6" x14ac:dyDescent="0.3">
      <c r="A219" s="11" t="s">
        <v>145</v>
      </c>
      <c r="B219" s="16"/>
      <c r="C219" s="16"/>
      <c r="D219" s="16"/>
      <c r="E219" s="16"/>
      <c r="F219" s="16"/>
      <c r="G219"/>
    </row>
    <row r="220" spans="1:7" ht="28.8" x14ac:dyDescent="0.3">
      <c r="A220" s="13" t="s">
        <v>17</v>
      </c>
      <c r="B220" s="14">
        <v>46079.45</v>
      </c>
      <c r="C220" s="15" t="s">
        <v>146</v>
      </c>
      <c r="D220" s="15" t="s">
        <v>147</v>
      </c>
      <c r="E220" s="14">
        <v>46079.450694444444</v>
      </c>
      <c r="F220" s="15" t="s">
        <v>148</v>
      </c>
      <c r="G220"/>
    </row>
    <row r="221" spans="1:7" x14ac:dyDescent="0.3">
      <c r="A221" s="10"/>
      <c r="B221" s="1"/>
      <c r="D221" s="1"/>
      <c r="E221" s="1"/>
      <c r="F221" s="1"/>
      <c r="G221"/>
    </row>
    <row r="222" spans="1:7" ht="15.6" x14ac:dyDescent="0.3">
      <c r="A222" s="11" t="s">
        <v>149</v>
      </c>
      <c r="B222" s="16"/>
      <c r="C222" s="16"/>
      <c r="D222" s="16"/>
      <c r="E222" s="16"/>
      <c r="F222" s="16"/>
      <c r="G222"/>
    </row>
    <row r="223" spans="1:7" ht="72" x14ac:dyDescent="0.3">
      <c r="A223" s="13" t="s">
        <v>17</v>
      </c>
      <c r="B223" s="14">
        <v>46079.451388888891</v>
      </c>
      <c r="C223" s="15" t="s">
        <v>150</v>
      </c>
      <c r="D223" s="15" t="s">
        <v>147</v>
      </c>
      <c r="E223" s="14">
        <v>46079.45208333333</v>
      </c>
      <c r="F223" s="15" t="s">
        <v>151</v>
      </c>
      <c r="G223"/>
    </row>
    <row r="224" spans="1:7" x14ac:dyDescent="0.3">
      <c r="A224" s="10"/>
      <c r="B224" s="1"/>
      <c r="D224" s="1"/>
      <c r="E224" s="1"/>
      <c r="F224" s="1"/>
      <c r="G224"/>
    </row>
    <row r="225" spans="1:7" ht="15.6" x14ac:dyDescent="0.3">
      <c r="A225" s="11" t="s">
        <v>152</v>
      </c>
      <c r="B225" s="16"/>
      <c r="C225" s="16"/>
      <c r="D225" s="16"/>
      <c r="E225" s="16"/>
      <c r="F225" s="16"/>
      <c r="G225"/>
    </row>
    <row r="226" spans="1:7" ht="28.8" x14ac:dyDescent="0.3">
      <c r="A226" s="13" t="s">
        <v>17</v>
      </c>
      <c r="B226" s="14">
        <v>46079.453472222223</v>
      </c>
      <c r="C226" s="15" t="s">
        <v>153</v>
      </c>
      <c r="D226" s="15" t="s">
        <v>154</v>
      </c>
      <c r="E226" s="14">
        <v>46079.45416666667</v>
      </c>
      <c r="F226" s="15" t="s">
        <v>155</v>
      </c>
      <c r="G226"/>
    </row>
    <row r="227" spans="1:7" x14ac:dyDescent="0.3">
      <c r="A227" s="10"/>
      <c r="B227" s="1"/>
      <c r="D227" s="1"/>
      <c r="E227" s="1"/>
      <c r="F227" s="1"/>
      <c r="G227"/>
    </row>
    <row r="228" spans="1:7" ht="15.6" x14ac:dyDescent="0.3">
      <c r="A228" s="11" t="s">
        <v>156</v>
      </c>
      <c r="B228" s="16"/>
      <c r="C228" s="16"/>
      <c r="D228" s="16"/>
      <c r="E228" s="16"/>
      <c r="F228" s="16"/>
      <c r="G228"/>
    </row>
    <row r="229" spans="1:7" ht="28.8" x14ac:dyDescent="0.3">
      <c r="A229" s="13" t="s">
        <v>17</v>
      </c>
      <c r="B229" s="14">
        <v>46079.607638888891</v>
      </c>
      <c r="C229" s="15" t="s">
        <v>157</v>
      </c>
      <c r="D229" s="15" t="s">
        <v>158</v>
      </c>
      <c r="E229" s="14">
        <v>46079.607638888891</v>
      </c>
      <c r="F229" s="15" t="s">
        <v>159</v>
      </c>
      <c r="G229"/>
    </row>
    <row r="230" spans="1:7" x14ac:dyDescent="0.3">
      <c r="A230" s="10"/>
      <c r="B230" s="1"/>
      <c r="D230" s="1"/>
      <c r="E230" s="1"/>
      <c r="F230" s="1"/>
      <c r="G230"/>
    </row>
    <row r="231" spans="1:7" ht="15.6" x14ac:dyDescent="0.3">
      <c r="A231" s="11" t="s">
        <v>160</v>
      </c>
      <c r="B231" s="16"/>
      <c r="C231" s="16"/>
      <c r="D231" s="16"/>
      <c r="E231" s="16"/>
      <c r="F231" s="16"/>
      <c r="G231"/>
    </row>
    <row r="232" spans="1:7" ht="43.2" x14ac:dyDescent="0.3">
      <c r="A232" s="13" t="s">
        <v>17</v>
      </c>
      <c r="B232" s="14">
        <v>46079.609027777777</v>
      </c>
      <c r="C232" s="15" t="s">
        <v>161</v>
      </c>
      <c r="D232" s="15" t="s">
        <v>162</v>
      </c>
      <c r="E232" s="14">
        <v>46079.609027777777</v>
      </c>
      <c r="F232" s="15" t="s">
        <v>163</v>
      </c>
      <c r="G232"/>
    </row>
    <row r="233" spans="1:7" x14ac:dyDescent="0.3">
      <c r="A233" s="10"/>
      <c r="B233" s="1"/>
      <c r="D233" s="1"/>
      <c r="E233" s="1"/>
      <c r="F233" s="1"/>
      <c r="G233"/>
    </row>
    <row r="234" spans="1:7" ht="15.6" x14ac:dyDescent="0.3">
      <c r="A234" s="11" t="s">
        <v>164</v>
      </c>
      <c r="B234" s="16"/>
      <c r="C234" s="16"/>
      <c r="D234" s="16"/>
      <c r="E234" s="16"/>
      <c r="F234" s="16"/>
      <c r="G234"/>
    </row>
    <row r="235" spans="1:7" ht="28.8" x14ac:dyDescent="0.3">
      <c r="A235" s="13" t="s">
        <v>17</v>
      </c>
      <c r="B235" s="14">
        <v>46079.613194444442</v>
      </c>
      <c r="C235" s="15" t="s">
        <v>165</v>
      </c>
      <c r="D235" s="15" t="s">
        <v>166</v>
      </c>
      <c r="E235" s="14">
        <v>46079.613888888889</v>
      </c>
      <c r="F235" s="15" t="s">
        <v>167</v>
      </c>
      <c r="G235"/>
    </row>
    <row r="236" spans="1:7" x14ac:dyDescent="0.3">
      <c r="A236" s="10"/>
      <c r="B236" s="1"/>
      <c r="D236" s="1"/>
      <c r="E236" s="1"/>
      <c r="F236" s="1"/>
      <c r="G236"/>
    </row>
    <row r="237" spans="1:7" ht="15.6" x14ac:dyDescent="0.3">
      <c r="A237" s="11" t="s">
        <v>168</v>
      </c>
      <c r="B237" s="16"/>
      <c r="C237" s="16"/>
      <c r="D237" s="16"/>
      <c r="E237" s="16"/>
      <c r="F237" s="16"/>
      <c r="G237"/>
    </row>
    <row r="238" spans="1:7" ht="43.2" x14ac:dyDescent="0.3">
      <c r="A238" s="13" t="s">
        <v>17</v>
      </c>
      <c r="B238" s="14">
        <v>46079.62222222222</v>
      </c>
      <c r="C238" s="15" t="s">
        <v>169</v>
      </c>
      <c r="D238" s="15" t="s">
        <v>170</v>
      </c>
      <c r="E238" s="14">
        <v>46079.62222222222</v>
      </c>
      <c r="F238" s="15" t="s">
        <v>171</v>
      </c>
      <c r="G238"/>
    </row>
    <row r="239" spans="1:7" x14ac:dyDescent="0.3">
      <c r="A239" s="10"/>
      <c r="B239" s="1"/>
      <c r="D239" s="1"/>
      <c r="E239" s="1"/>
      <c r="F239" s="1"/>
      <c r="G239"/>
    </row>
    <row r="240" spans="1:7" ht="15.6" x14ac:dyDescent="0.3">
      <c r="A240" s="11" t="s">
        <v>172</v>
      </c>
      <c r="B240" s="16"/>
      <c r="C240" s="16"/>
      <c r="D240" s="16"/>
      <c r="E240" s="16"/>
      <c r="F240" s="16"/>
      <c r="G240"/>
    </row>
    <row r="241" spans="1:7" ht="100.8" x14ac:dyDescent="0.3">
      <c r="A241" s="13" t="s">
        <v>17</v>
      </c>
      <c r="B241" s="14">
        <v>46079.624305555553</v>
      </c>
      <c r="C241" s="15" t="s">
        <v>173</v>
      </c>
      <c r="D241" s="15" t="s">
        <v>174</v>
      </c>
      <c r="E241" s="14">
        <v>46079.625</v>
      </c>
      <c r="F241" s="15" t="s">
        <v>175</v>
      </c>
      <c r="G241"/>
    </row>
    <row r="242" spans="1:7" x14ac:dyDescent="0.3">
      <c r="A242" s="10"/>
      <c r="B242" s="1"/>
      <c r="D242" s="1"/>
      <c r="E242" s="1"/>
      <c r="F242" s="1"/>
      <c r="G242"/>
    </row>
    <row r="243" spans="1:7" ht="15.6" x14ac:dyDescent="0.3">
      <c r="A243" s="11" t="s">
        <v>176</v>
      </c>
      <c r="B243" s="16"/>
      <c r="C243" s="16"/>
      <c r="D243" s="16"/>
      <c r="E243" s="16"/>
      <c r="F243" s="16"/>
      <c r="G243"/>
    </row>
    <row r="244" spans="1:7" ht="72" x14ac:dyDescent="0.3">
      <c r="A244" s="13" t="s">
        <v>17</v>
      </c>
      <c r="B244" s="14">
        <v>46079.636805555558</v>
      </c>
      <c r="C244" s="15" t="s">
        <v>177</v>
      </c>
      <c r="D244" s="15" t="s">
        <v>178</v>
      </c>
      <c r="E244" s="14">
        <v>46079.638194444444</v>
      </c>
      <c r="F244" s="15" t="s">
        <v>179</v>
      </c>
      <c r="G244"/>
    </row>
    <row r="245" spans="1:7" x14ac:dyDescent="0.3">
      <c r="A245" s="10"/>
      <c r="B245" s="1"/>
      <c r="D245" s="1"/>
      <c r="E245" s="1"/>
      <c r="F245" s="1"/>
      <c r="G245"/>
    </row>
    <row r="246" spans="1:7" ht="15.6" x14ac:dyDescent="0.3">
      <c r="A246" s="11" t="s">
        <v>180</v>
      </c>
      <c r="B246" s="16"/>
      <c r="C246" s="16"/>
      <c r="D246" s="16"/>
      <c r="E246" s="16"/>
      <c r="F246" s="16"/>
      <c r="G246"/>
    </row>
    <row r="247" spans="1:7" ht="28.8" x14ac:dyDescent="0.3">
      <c r="A247" s="13" t="s">
        <v>17</v>
      </c>
      <c r="B247" s="14">
        <v>46079.654861111114</v>
      </c>
      <c r="C247" s="15" t="s">
        <v>181</v>
      </c>
      <c r="D247" s="15" t="s">
        <v>182</v>
      </c>
      <c r="E247" s="14">
        <v>46079.656944444447</v>
      </c>
      <c r="F247" s="15" t="s">
        <v>183</v>
      </c>
      <c r="G247"/>
    </row>
    <row r="248" spans="1:7" x14ac:dyDescent="0.3">
      <c r="A248" s="10"/>
      <c r="B248" s="1"/>
      <c r="D248" s="1"/>
      <c r="E248" s="1"/>
      <c r="F248" s="1"/>
      <c r="G248"/>
    </row>
    <row r="249" spans="1:7" ht="15.6" x14ac:dyDescent="0.3">
      <c r="A249" s="11" t="s">
        <v>184</v>
      </c>
      <c r="B249" s="16"/>
      <c r="C249" s="16"/>
      <c r="D249" s="16"/>
      <c r="E249" s="16"/>
      <c r="F249" s="16"/>
      <c r="G249"/>
    </row>
    <row r="250" spans="1:7" ht="43.2" x14ac:dyDescent="0.3">
      <c r="A250" s="13" t="s">
        <v>17</v>
      </c>
      <c r="B250" s="14">
        <v>46079.658333333333</v>
      </c>
      <c r="C250" s="15" t="s">
        <v>185</v>
      </c>
      <c r="D250" s="15" t="s">
        <v>186</v>
      </c>
      <c r="E250" s="14">
        <v>46079.65902777778</v>
      </c>
      <c r="F250" s="15" t="s">
        <v>187</v>
      </c>
      <c r="G250"/>
    </row>
    <row r="251" spans="1:7" x14ac:dyDescent="0.3">
      <c r="A251" s="10"/>
      <c r="B251" s="1"/>
      <c r="D251" s="1"/>
      <c r="E251" s="1"/>
      <c r="F251" s="1"/>
      <c r="G251"/>
    </row>
    <row r="252" spans="1:7" ht="15.6" x14ac:dyDescent="0.3">
      <c r="A252" s="11" t="s">
        <v>188</v>
      </c>
      <c r="B252" s="16"/>
      <c r="C252" s="16"/>
      <c r="D252" s="16"/>
      <c r="E252" s="16"/>
      <c r="F252" s="16"/>
      <c r="G252"/>
    </row>
    <row r="253" spans="1:7" ht="43.2" x14ac:dyDescent="0.3">
      <c r="A253" s="13" t="s">
        <v>17</v>
      </c>
      <c r="B253" s="14">
        <v>46079.661111111112</v>
      </c>
      <c r="C253" s="15" t="s">
        <v>189</v>
      </c>
      <c r="D253" s="15" t="s">
        <v>143</v>
      </c>
      <c r="E253" s="14">
        <v>46079.661805555559</v>
      </c>
      <c r="F253" s="15" t="s">
        <v>190</v>
      </c>
      <c r="G253"/>
    </row>
    <row r="254" spans="1:7" x14ac:dyDescent="0.3">
      <c r="A254" s="10"/>
      <c r="B254" s="1"/>
      <c r="D254" s="1"/>
      <c r="E254" s="1"/>
      <c r="F254" s="1"/>
      <c r="G254"/>
    </row>
    <row r="255" spans="1:7" ht="15.6" x14ac:dyDescent="0.3">
      <c r="A255" s="11" t="s">
        <v>191</v>
      </c>
      <c r="B255" s="16"/>
      <c r="C255" s="16"/>
      <c r="D255" s="16"/>
      <c r="E255" s="16"/>
      <c r="F255" s="16"/>
      <c r="G255"/>
    </row>
    <row r="256" spans="1:7" ht="28.8" x14ac:dyDescent="0.3">
      <c r="A256" s="13" t="s">
        <v>17</v>
      </c>
      <c r="B256" s="14">
        <v>46079.682638888888</v>
      </c>
      <c r="C256" s="15" t="s">
        <v>192</v>
      </c>
      <c r="D256" s="15" t="s">
        <v>193</v>
      </c>
      <c r="E256" s="14">
        <v>46079.683333333334</v>
      </c>
      <c r="F256" s="15" t="s">
        <v>194</v>
      </c>
      <c r="G256"/>
    </row>
    <row r="257" spans="1:7" x14ac:dyDescent="0.3">
      <c r="A257" s="10"/>
      <c r="B257" s="1"/>
      <c r="D257" s="1"/>
      <c r="E257" s="1"/>
      <c r="F257" s="1"/>
      <c r="G257"/>
    </row>
    <row r="258" spans="1:7" ht="15.6" x14ac:dyDescent="0.3">
      <c r="A258" s="11" t="s">
        <v>195</v>
      </c>
      <c r="B258" s="16"/>
      <c r="C258" s="16"/>
      <c r="D258" s="16"/>
      <c r="E258" s="16"/>
      <c r="F258" s="16"/>
      <c r="G258"/>
    </row>
    <row r="259" spans="1:7" ht="57.6" x14ac:dyDescent="0.3">
      <c r="A259" s="13" t="s">
        <v>17</v>
      </c>
      <c r="B259" s="14">
        <v>46079.684027777781</v>
      </c>
      <c r="C259" s="15" t="s">
        <v>196</v>
      </c>
      <c r="D259" s="15" t="s">
        <v>364</v>
      </c>
      <c r="E259" s="14">
        <v>46098.520833333336</v>
      </c>
      <c r="F259" s="15" t="s">
        <v>365</v>
      </c>
      <c r="G259"/>
    </row>
    <row r="260" spans="1:7" x14ac:dyDescent="0.3">
      <c r="A260" s="10"/>
      <c r="B260" s="1"/>
      <c r="D260" s="1"/>
      <c r="E260" s="1"/>
      <c r="F260" s="1"/>
      <c r="G260"/>
    </row>
    <row r="261" spans="1:7" ht="15.6" x14ac:dyDescent="0.3">
      <c r="A261" s="11" t="s">
        <v>197</v>
      </c>
      <c r="B261" s="16"/>
      <c r="C261" s="16"/>
      <c r="D261" s="16"/>
      <c r="E261" s="16"/>
      <c r="F261" s="16"/>
      <c r="G261"/>
    </row>
    <row r="262" spans="1:7" ht="28.8" x14ac:dyDescent="0.3">
      <c r="A262" s="13" t="s">
        <v>17</v>
      </c>
      <c r="B262" s="14">
        <v>46079.686805555553</v>
      </c>
      <c r="C262" s="15" t="s">
        <v>198</v>
      </c>
      <c r="D262" s="15" t="s">
        <v>366</v>
      </c>
      <c r="E262" s="14">
        <v>46098.712500000001</v>
      </c>
      <c r="F262" s="15" t="s">
        <v>367</v>
      </c>
      <c r="G262"/>
    </row>
    <row r="263" spans="1:7" x14ac:dyDescent="0.3">
      <c r="A263" s="10"/>
      <c r="B263" s="1"/>
      <c r="D263" s="1"/>
      <c r="E263" s="1"/>
      <c r="F263" s="1"/>
      <c r="G263"/>
    </row>
    <row r="264" spans="1:7" ht="15.6" x14ac:dyDescent="0.3">
      <c r="A264" s="11" t="s">
        <v>199</v>
      </c>
      <c r="B264" s="16"/>
      <c r="C264" s="16"/>
      <c r="D264" s="16"/>
      <c r="E264" s="16"/>
      <c r="F264" s="16"/>
      <c r="G264"/>
    </row>
    <row r="265" spans="1:7" ht="28.8" x14ac:dyDescent="0.3">
      <c r="A265" s="13" t="s">
        <v>18</v>
      </c>
      <c r="B265" s="14">
        <v>46079.691666666666</v>
      </c>
      <c r="C265" s="15" t="s">
        <v>200</v>
      </c>
      <c r="D265" s="15" t="s">
        <v>5</v>
      </c>
      <c r="E265" s="14" t="s">
        <v>5</v>
      </c>
      <c r="F265" s="15" t="s">
        <v>201</v>
      </c>
      <c r="G265"/>
    </row>
    <row r="266" spans="1:7" x14ac:dyDescent="0.3">
      <c r="A266" s="10"/>
      <c r="B266" s="1"/>
      <c r="D266" s="1"/>
      <c r="E266" s="1"/>
      <c r="F266" s="1"/>
      <c r="G266"/>
    </row>
    <row r="267" spans="1:7" ht="15.6" x14ac:dyDescent="0.3">
      <c r="A267" s="11" t="s">
        <v>202</v>
      </c>
      <c r="B267" s="16"/>
      <c r="C267" s="16"/>
      <c r="D267" s="16"/>
      <c r="E267" s="16"/>
      <c r="F267" s="16"/>
      <c r="G267"/>
    </row>
    <row r="268" spans="1:7" ht="28.8" x14ac:dyDescent="0.3">
      <c r="A268" s="13" t="s">
        <v>340</v>
      </c>
      <c r="B268" s="14">
        <v>46079.693055555559</v>
      </c>
      <c r="C268" s="15" t="s">
        <v>203</v>
      </c>
      <c r="D268" s="15" t="s">
        <v>204</v>
      </c>
      <c r="E268" s="14">
        <v>46079.696527777778</v>
      </c>
      <c r="F268" s="15" t="s">
        <v>381</v>
      </c>
      <c r="G268"/>
    </row>
    <row r="269" spans="1:7" x14ac:dyDescent="0.3">
      <c r="A269" s="10"/>
      <c r="B269" s="1"/>
      <c r="D269" s="1"/>
      <c r="E269" s="1"/>
      <c r="F269" s="1"/>
      <c r="G269"/>
    </row>
    <row r="270" spans="1:7" ht="15.6" x14ac:dyDescent="0.3">
      <c r="A270" s="11" t="s">
        <v>205</v>
      </c>
      <c r="B270" s="16"/>
      <c r="C270" s="16"/>
      <c r="D270" s="16"/>
      <c r="E270" s="16"/>
      <c r="F270" s="16"/>
      <c r="G270"/>
    </row>
    <row r="271" spans="1:7" ht="43.2" x14ac:dyDescent="0.3">
      <c r="A271" s="13" t="s">
        <v>17</v>
      </c>
      <c r="B271" s="14">
        <v>46079.697222222225</v>
      </c>
      <c r="C271" s="15" t="s">
        <v>206</v>
      </c>
      <c r="D271" s="15" t="s">
        <v>207</v>
      </c>
      <c r="E271" s="14">
        <v>46079.700694444444</v>
      </c>
      <c r="F271" s="15" t="s">
        <v>208</v>
      </c>
      <c r="G271"/>
    </row>
    <row r="272" spans="1:7" x14ac:dyDescent="0.3">
      <c r="A272" s="10"/>
      <c r="B272" s="1"/>
      <c r="D272" s="1"/>
      <c r="E272" s="1"/>
      <c r="F272" s="1"/>
      <c r="G272"/>
    </row>
    <row r="273" spans="1:7" ht="15.6" x14ac:dyDescent="0.3">
      <c r="A273" s="11" t="s">
        <v>209</v>
      </c>
      <c r="B273" s="16"/>
      <c r="C273" s="16"/>
      <c r="D273" s="16"/>
      <c r="E273" s="16"/>
      <c r="F273" s="16"/>
      <c r="G273"/>
    </row>
    <row r="274" spans="1:7" ht="28.8" x14ac:dyDescent="0.3">
      <c r="A274" s="13" t="s">
        <v>340</v>
      </c>
      <c r="B274" s="14">
        <v>46079.701388888891</v>
      </c>
      <c r="C274" s="15" t="s">
        <v>210</v>
      </c>
      <c r="D274" s="15" t="s">
        <v>211</v>
      </c>
      <c r="E274" s="14">
        <v>46079.701388888891</v>
      </c>
      <c r="F274" s="15" t="s">
        <v>212</v>
      </c>
      <c r="G274"/>
    </row>
    <row r="275" spans="1:7" x14ac:dyDescent="0.3">
      <c r="A275" s="10"/>
      <c r="B275" s="1"/>
      <c r="D275" s="1"/>
      <c r="E275" s="1"/>
      <c r="F275" s="1"/>
      <c r="G275"/>
    </row>
    <row r="276" spans="1:7" ht="15.6" x14ac:dyDescent="0.3">
      <c r="A276" s="11" t="s">
        <v>213</v>
      </c>
      <c r="B276" s="16"/>
      <c r="C276" s="16"/>
      <c r="D276" s="16"/>
      <c r="E276" s="16"/>
      <c r="F276" s="16"/>
      <c r="G276"/>
    </row>
    <row r="277" spans="1:7" ht="28.8" x14ac:dyDescent="0.3">
      <c r="A277" s="13" t="s">
        <v>17</v>
      </c>
      <c r="B277" s="14">
        <v>46079.70416666667</v>
      </c>
      <c r="C277" s="15" t="s">
        <v>214</v>
      </c>
      <c r="D277" s="15" t="s">
        <v>215</v>
      </c>
      <c r="E277" s="14">
        <v>46079.704861111109</v>
      </c>
      <c r="F277" s="15" t="s">
        <v>216</v>
      </c>
      <c r="G277"/>
    </row>
    <row r="278" spans="1:7" x14ac:dyDescent="0.3">
      <c r="A278" s="10"/>
      <c r="B278" s="1"/>
      <c r="D278" s="1"/>
      <c r="E278" s="1"/>
      <c r="F278" s="1"/>
      <c r="G278"/>
    </row>
    <row r="279" spans="1:7" ht="15.6" x14ac:dyDescent="0.3">
      <c r="A279" s="11" t="s">
        <v>217</v>
      </c>
      <c r="B279" s="16"/>
      <c r="C279" s="16"/>
      <c r="D279" s="16"/>
      <c r="E279" s="16"/>
      <c r="F279" s="16"/>
      <c r="G279"/>
    </row>
    <row r="280" spans="1:7" ht="28.8" x14ac:dyDescent="0.3">
      <c r="A280" s="13" t="s">
        <v>17</v>
      </c>
      <c r="B280" s="14">
        <v>46079.705555555556</v>
      </c>
      <c r="C280" s="15" t="s">
        <v>218</v>
      </c>
      <c r="D280" s="15" t="s">
        <v>219</v>
      </c>
      <c r="E280" s="14">
        <v>46079.706944444442</v>
      </c>
      <c r="F280" s="15" t="s">
        <v>368</v>
      </c>
      <c r="G280"/>
    </row>
    <row r="281" spans="1:7" x14ac:dyDescent="0.3">
      <c r="A281" s="10"/>
      <c r="B281" s="1"/>
      <c r="D281" s="1"/>
      <c r="E281" s="1"/>
      <c r="F281" s="1"/>
      <c r="G281"/>
    </row>
    <row r="282" spans="1:7" ht="15.6" x14ac:dyDescent="0.3">
      <c r="A282" s="11" t="s">
        <v>220</v>
      </c>
      <c r="B282" s="16"/>
      <c r="C282" s="16"/>
      <c r="D282" s="16"/>
      <c r="E282" s="16"/>
      <c r="F282" s="16"/>
      <c r="G282"/>
    </row>
    <row r="283" spans="1:7" ht="28.8" x14ac:dyDescent="0.3">
      <c r="A283" s="13" t="s">
        <v>17</v>
      </c>
      <c r="B283" s="14">
        <v>46079.708333333336</v>
      </c>
      <c r="C283" s="15" t="s">
        <v>221</v>
      </c>
      <c r="D283" s="15" t="s">
        <v>222</v>
      </c>
      <c r="E283" s="14">
        <v>46079.709027777775</v>
      </c>
      <c r="F283" s="15" t="s">
        <v>223</v>
      </c>
      <c r="G283"/>
    </row>
    <row r="284" spans="1:7" x14ac:dyDescent="0.3">
      <c r="A284" s="10"/>
      <c r="B284" s="1"/>
      <c r="D284" s="1"/>
      <c r="E284" s="1"/>
      <c r="F284" s="1"/>
      <c r="G284"/>
    </row>
    <row r="285" spans="1:7" ht="15.6" x14ac:dyDescent="0.3">
      <c r="A285" s="11" t="s">
        <v>224</v>
      </c>
      <c r="B285" s="16"/>
      <c r="C285" s="16"/>
      <c r="D285" s="16"/>
      <c r="E285" s="16"/>
      <c r="F285" s="16"/>
      <c r="G285"/>
    </row>
    <row r="286" spans="1:7" ht="43.2" x14ac:dyDescent="0.3">
      <c r="A286" s="13" t="s">
        <v>17</v>
      </c>
      <c r="B286" s="14">
        <v>46079.710416666669</v>
      </c>
      <c r="C286" s="15" t="s">
        <v>225</v>
      </c>
      <c r="D286" s="15" t="s">
        <v>226</v>
      </c>
      <c r="E286" s="14">
        <v>46079.710416666669</v>
      </c>
      <c r="F286" s="15" t="s">
        <v>227</v>
      </c>
      <c r="G286"/>
    </row>
    <row r="287" spans="1:7" x14ac:dyDescent="0.3">
      <c r="A287" s="10"/>
      <c r="B287" s="1"/>
      <c r="D287" s="1"/>
      <c r="E287" s="1"/>
      <c r="F287" s="1"/>
      <c r="G287"/>
    </row>
    <row r="288" spans="1:7" ht="15.6" x14ac:dyDescent="0.3">
      <c r="A288" s="11" t="s">
        <v>228</v>
      </c>
      <c r="B288" s="16"/>
      <c r="C288" s="16"/>
      <c r="D288" s="16"/>
      <c r="E288" s="16"/>
      <c r="F288" s="16"/>
      <c r="G288"/>
    </row>
    <row r="289" spans="1:7" ht="201.6" x14ac:dyDescent="0.3">
      <c r="A289" s="13" t="s">
        <v>17</v>
      </c>
      <c r="B289" s="14">
        <v>46080.542361111111</v>
      </c>
      <c r="C289" s="15" t="s">
        <v>229</v>
      </c>
      <c r="D289" s="15" t="s">
        <v>369</v>
      </c>
      <c r="E289" s="14">
        <v>46100.667361111111</v>
      </c>
      <c r="F289" s="15" t="s">
        <v>382</v>
      </c>
      <c r="G289"/>
    </row>
    <row r="290" spans="1:7" x14ac:dyDescent="0.3">
      <c r="A290" s="10"/>
      <c r="B290" s="1"/>
      <c r="D290" s="1"/>
      <c r="E290" s="1"/>
      <c r="F290" s="1"/>
      <c r="G290"/>
    </row>
    <row r="291" spans="1:7" ht="15.6" x14ac:dyDescent="0.3">
      <c r="A291" s="11" t="s">
        <v>21</v>
      </c>
      <c r="B291" s="16"/>
      <c r="C291" s="16"/>
      <c r="D291" s="16"/>
      <c r="E291" s="16"/>
      <c r="F291" s="16"/>
      <c r="G291"/>
    </row>
    <row r="292" spans="1:7" ht="115.2" x14ac:dyDescent="0.3">
      <c r="A292" s="13" t="s">
        <v>17</v>
      </c>
      <c r="B292" s="14">
        <v>46083.575694444444</v>
      </c>
      <c r="C292" s="15" t="s">
        <v>19</v>
      </c>
      <c r="D292" s="15" t="s">
        <v>370</v>
      </c>
      <c r="E292" s="14">
        <v>46098.586805555555</v>
      </c>
      <c r="F292" s="15" t="s">
        <v>371</v>
      </c>
      <c r="G292"/>
    </row>
    <row r="293" spans="1:7" x14ac:dyDescent="0.3">
      <c r="A293" s="10"/>
      <c r="B293" s="1"/>
      <c r="D293" s="1"/>
      <c r="E293" s="1"/>
      <c r="F293" s="1"/>
      <c r="G293"/>
    </row>
    <row r="294" spans="1:7" ht="15.6" x14ac:dyDescent="0.3">
      <c r="A294" s="11" t="s">
        <v>255</v>
      </c>
      <c r="B294" s="16"/>
      <c r="C294" s="16"/>
      <c r="D294" s="16"/>
      <c r="E294" s="16"/>
      <c r="F294" s="16"/>
      <c r="G294"/>
    </row>
    <row r="295" spans="1:7" ht="28.8" x14ac:dyDescent="0.3">
      <c r="A295" s="13" t="s">
        <v>17</v>
      </c>
      <c r="B295" s="14">
        <v>46093.644444444442</v>
      </c>
      <c r="C295" s="15" t="s">
        <v>256</v>
      </c>
      <c r="D295" s="15" t="s">
        <v>372</v>
      </c>
      <c r="E295" s="14">
        <v>46099.681944444441</v>
      </c>
      <c r="F295" s="15" t="s">
        <v>373</v>
      </c>
      <c r="G295"/>
    </row>
    <row r="296" spans="1:7" x14ac:dyDescent="0.3">
      <c r="A296" s="10"/>
      <c r="B296" s="1"/>
      <c r="D296" s="1"/>
      <c r="E296" s="1"/>
      <c r="F296" s="1"/>
      <c r="G296"/>
    </row>
    <row r="297" spans="1:7" ht="15.6" x14ac:dyDescent="0.3">
      <c r="A297" s="11" t="s">
        <v>257</v>
      </c>
      <c r="B297" s="16"/>
      <c r="C297" s="16"/>
      <c r="D297" s="16"/>
      <c r="E297" s="16"/>
      <c r="F297" s="16"/>
      <c r="G297"/>
    </row>
    <row r="298" spans="1:7" ht="43.2" x14ac:dyDescent="0.3">
      <c r="A298" s="13" t="s">
        <v>17</v>
      </c>
      <c r="B298" s="14">
        <v>46093.648611111108</v>
      </c>
      <c r="C298" s="15" t="s">
        <v>258</v>
      </c>
      <c r="D298" s="15" t="s">
        <v>334</v>
      </c>
      <c r="E298" s="14">
        <v>46094.671527777777</v>
      </c>
      <c r="F298" s="15" t="s">
        <v>335</v>
      </c>
      <c r="G298"/>
    </row>
    <row r="299" spans="1:7" x14ac:dyDescent="0.3">
      <c r="A299" s="10"/>
      <c r="B299" s="1"/>
      <c r="D299" s="1"/>
      <c r="E299" s="1"/>
      <c r="F299" s="1"/>
      <c r="G299"/>
    </row>
    <row r="300" spans="1:7" ht="15.6" x14ac:dyDescent="0.3">
      <c r="A300" s="11" t="s">
        <v>259</v>
      </c>
      <c r="B300" s="16"/>
      <c r="C300" s="16"/>
      <c r="D300" s="16"/>
      <c r="E300" s="16"/>
      <c r="F300" s="16"/>
      <c r="G300"/>
    </row>
    <row r="301" spans="1:7" ht="244.8" x14ac:dyDescent="0.3">
      <c r="A301" s="13" t="s">
        <v>17</v>
      </c>
      <c r="B301" s="14">
        <v>46093.651388888888</v>
      </c>
      <c r="C301" s="15" t="s">
        <v>260</v>
      </c>
      <c r="D301" s="15" t="s">
        <v>374</v>
      </c>
      <c r="E301" s="14">
        <v>46098.577777777777</v>
      </c>
      <c r="F301" s="15" t="s">
        <v>375</v>
      </c>
      <c r="G301"/>
    </row>
    <row r="302" spans="1:7" x14ac:dyDescent="0.3">
      <c r="A302" s="10"/>
      <c r="B302" s="1"/>
      <c r="D302" s="1"/>
      <c r="E302" s="1"/>
      <c r="F302" s="1"/>
      <c r="G302"/>
    </row>
    <row r="303" spans="1:7" ht="15.6" x14ac:dyDescent="0.3">
      <c r="A303" s="11" t="s">
        <v>383</v>
      </c>
      <c r="B303" s="16"/>
      <c r="C303" s="16"/>
      <c r="D303" s="16"/>
      <c r="E303" s="16"/>
      <c r="F303" s="16"/>
      <c r="G303"/>
    </row>
    <row r="304" spans="1:7" x14ac:dyDescent="0.3">
      <c r="A304" s="13" t="s">
        <v>16</v>
      </c>
      <c r="B304" s="14">
        <v>46101.547222222223</v>
      </c>
      <c r="C304" s="15" t="s">
        <v>384</v>
      </c>
      <c r="D304" s="15" t="s">
        <v>5</v>
      </c>
      <c r="E304" s="14" t="s">
        <v>5</v>
      </c>
      <c r="F304" s="15" t="s">
        <v>447</v>
      </c>
      <c r="G304"/>
    </row>
    <row r="305" spans="1:7" x14ac:dyDescent="0.3">
      <c r="A305" s="10"/>
      <c r="B305" s="1"/>
      <c r="D305" s="1"/>
      <c r="E305" s="1"/>
      <c r="F305" s="1"/>
      <c r="G305"/>
    </row>
    <row r="306" spans="1:7" ht="15.6" x14ac:dyDescent="0.3">
      <c r="A306" s="11" t="s">
        <v>385</v>
      </c>
      <c r="B306" s="16"/>
      <c r="C306" s="16"/>
      <c r="D306" s="16"/>
      <c r="E306" s="16"/>
      <c r="F306" s="16"/>
      <c r="G306"/>
    </row>
    <row r="307" spans="1:7" x14ac:dyDescent="0.3">
      <c r="A307" s="13" t="s">
        <v>16</v>
      </c>
      <c r="B307" s="14">
        <v>46101.550694444442</v>
      </c>
      <c r="C307" s="15" t="s">
        <v>386</v>
      </c>
      <c r="D307" s="15" t="s">
        <v>5</v>
      </c>
      <c r="E307" s="14" t="s">
        <v>5</v>
      </c>
      <c r="F307" s="15" t="s">
        <v>448</v>
      </c>
      <c r="G307"/>
    </row>
    <row r="308" spans="1:7" x14ac:dyDescent="0.3">
      <c r="A308" s="10"/>
      <c r="B308" s="1"/>
      <c r="D308" s="1"/>
      <c r="E308" s="1"/>
      <c r="F308" s="1"/>
      <c r="G308"/>
    </row>
    <row r="309" spans="1:7" ht="15.6" x14ac:dyDescent="0.3">
      <c r="A309" s="11" t="s">
        <v>387</v>
      </c>
      <c r="B309" s="16"/>
      <c r="C309" s="16"/>
      <c r="D309" s="16"/>
      <c r="E309" s="16"/>
      <c r="F309" s="16"/>
      <c r="G309"/>
    </row>
    <row r="310" spans="1:7" x14ac:dyDescent="0.3">
      <c r="A310" s="13" t="s">
        <v>16</v>
      </c>
      <c r="B310" s="14">
        <v>46101.552083333336</v>
      </c>
      <c r="C310" s="15" t="s">
        <v>388</v>
      </c>
      <c r="D310" s="15" t="s">
        <v>5</v>
      </c>
      <c r="E310" s="14" t="s">
        <v>5</v>
      </c>
      <c r="F310" s="15" t="s">
        <v>449</v>
      </c>
      <c r="G310"/>
    </row>
    <row r="311" spans="1:7" x14ac:dyDescent="0.3">
      <c r="A311" s="10"/>
      <c r="B311" s="1"/>
      <c r="D311" s="1"/>
      <c r="E311" s="1"/>
      <c r="F311" s="1"/>
      <c r="G311"/>
    </row>
    <row r="312" spans="1:7" ht="15.6" x14ac:dyDescent="0.3">
      <c r="A312" s="11" t="s">
        <v>389</v>
      </c>
      <c r="B312" s="16"/>
      <c r="C312" s="16"/>
      <c r="D312" s="16"/>
      <c r="E312" s="16"/>
      <c r="F312" s="16"/>
      <c r="G312"/>
    </row>
    <row r="313" spans="1:7" x14ac:dyDescent="0.3">
      <c r="A313" s="13" t="s">
        <v>16</v>
      </c>
      <c r="B313" s="14">
        <v>46101.553472222222</v>
      </c>
      <c r="C313" s="15" t="s">
        <v>390</v>
      </c>
      <c r="D313" s="15" t="s">
        <v>5</v>
      </c>
      <c r="E313" s="14" t="s">
        <v>5</v>
      </c>
      <c r="F313" s="15" t="s">
        <v>391</v>
      </c>
      <c r="G313"/>
    </row>
    <row r="314" spans="1:7" x14ac:dyDescent="0.3">
      <c r="A314" s="10"/>
      <c r="B314" s="1"/>
      <c r="D314" s="1"/>
      <c r="E314" s="1"/>
      <c r="F314" s="1"/>
      <c r="G314"/>
    </row>
    <row r="315" spans="1:7" ht="15.6" x14ac:dyDescent="0.3">
      <c r="A315" s="11" t="s">
        <v>392</v>
      </c>
      <c r="B315" s="16"/>
      <c r="C315" s="16"/>
      <c r="D315" s="16"/>
      <c r="E315" s="16"/>
      <c r="F315" s="16"/>
      <c r="G315"/>
    </row>
    <row r="316" spans="1:7" x14ac:dyDescent="0.3">
      <c r="A316" s="13" t="s">
        <v>16</v>
      </c>
      <c r="B316" s="14">
        <v>46101.554861111108</v>
      </c>
      <c r="C316" s="15" t="s">
        <v>393</v>
      </c>
      <c r="D316" s="15" t="s">
        <v>5</v>
      </c>
      <c r="E316" s="14" t="s">
        <v>5</v>
      </c>
      <c r="F316" s="15" t="s">
        <v>394</v>
      </c>
      <c r="G316"/>
    </row>
    <row r="317" spans="1:7" x14ac:dyDescent="0.3">
      <c r="A317" s="10"/>
      <c r="B317" s="1"/>
      <c r="D317" s="1"/>
      <c r="E317" s="1"/>
      <c r="F317" s="1"/>
      <c r="G317"/>
    </row>
    <row r="318" spans="1:7" ht="15.6" x14ac:dyDescent="0.3">
      <c r="A318" s="11" t="s">
        <v>395</v>
      </c>
      <c r="B318" s="16"/>
      <c r="C318" s="16"/>
      <c r="D318" s="16"/>
      <c r="E318" s="16"/>
      <c r="F318" s="16"/>
      <c r="G318"/>
    </row>
    <row r="319" spans="1:7" x14ac:dyDescent="0.3">
      <c r="A319" s="13" t="s">
        <v>16</v>
      </c>
      <c r="B319" s="14">
        <v>46101.556944444441</v>
      </c>
      <c r="C319" s="15" t="s">
        <v>396</v>
      </c>
      <c r="D319" s="15" t="s">
        <v>5</v>
      </c>
      <c r="E319" s="14" t="s">
        <v>5</v>
      </c>
      <c r="F319" s="15" t="s">
        <v>397</v>
      </c>
      <c r="G319"/>
    </row>
    <row r="320" spans="1:7" x14ac:dyDescent="0.3">
      <c r="A320" s="10"/>
      <c r="B320" s="1"/>
      <c r="D320" s="1"/>
      <c r="E320" s="1"/>
      <c r="F320" s="1"/>
      <c r="G320"/>
    </row>
    <row r="321" spans="1:7" ht="15.6" x14ac:dyDescent="0.3">
      <c r="A321" s="11" t="s">
        <v>398</v>
      </c>
      <c r="B321" s="16"/>
      <c r="C321" s="16"/>
      <c r="D321" s="16"/>
      <c r="E321" s="16"/>
      <c r="F321" s="16"/>
      <c r="G321"/>
    </row>
    <row r="322" spans="1:7" x14ac:dyDescent="0.3">
      <c r="A322" s="13" t="s">
        <v>16</v>
      </c>
      <c r="B322" s="14">
        <v>46101.55972222222</v>
      </c>
      <c r="C322" s="15" t="s">
        <v>399</v>
      </c>
      <c r="D322" s="15" t="s">
        <v>5</v>
      </c>
      <c r="E322" s="14" t="s">
        <v>5</v>
      </c>
      <c r="F322" s="15" t="s">
        <v>400</v>
      </c>
      <c r="G322"/>
    </row>
    <row r="323" spans="1:7" x14ac:dyDescent="0.3">
      <c r="A323" s="10"/>
      <c r="B323" s="1"/>
      <c r="D323" s="1"/>
      <c r="E323" s="1"/>
      <c r="F323" s="1"/>
      <c r="G323"/>
    </row>
    <row r="324" spans="1:7" ht="15.6" x14ac:dyDescent="0.3">
      <c r="A324" s="11" t="s">
        <v>401</v>
      </c>
      <c r="B324" s="16"/>
      <c r="C324" s="16"/>
      <c r="D324" s="16"/>
      <c r="E324" s="16"/>
      <c r="F324" s="16"/>
      <c r="G324"/>
    </row>
    <row r="325" spans="1:7" x14ac:dyDescent="0.3">
      <c r="A325" s="13" t="s">
        <v>16</v>
      </c>
      <c r="B325" s="14">
        <v>46101.561805555553</v>
      </c>
      <c r="C325" s="15" t="s">
        <v>402</v>
      </c>
      <c r="D325" s="15" t="s">
        <v>5</v>
      </c>
      <c r="E325" s="14" t="s">
        <v>5</v>
      </c>
      <c r="F325" s="15" t="s">
        <v>403</v>
      </c>
      <c r="G325"/>
    </row>
    <row r="326" spans="1:7" x14ac:dyDescent="0.3">
      <c r="A326" s="10"/>
      <c r="B326" s="1"/>
      <c r="D326" s="1"/>
      <c r="E326" s="1"/>
      <c r="F326" s="1"/>
      <c r="G326"/>
    </row>
    <row r="327" spans="1:7" ht="15.6" x14ac:dyDescent="0.3">
      <c r="A327" s="11" t="s">
        <v>404</v>
      </c>
      <c r="B327" s="16"/>
      <c r="C327" s="16"/>
      <c r="D327" s="16"/>
      <c r="E327" s="16"/>
      <c r="F327" s="16"/>
      <c r="G327"/>
    </row>
    <row r="328" spans="1:7" ht="28.8" x14ac:dyDescent="0.3">
      <c r="A328" s="13" t="s">
        <v>16</v>
      </c>
      <c r="B328" s="14">
        <v>46101.563888888886</v>
      </c>
      <c r="C328" s="15" t="s">
        <v>405</v>
      </c>
      <c r="D328" s="15" t="s">
        <v>5</v>
      </c>
      <c r="E328" s="14" t="s">
        <v>5</v>
      </c>
      <c r="F328" s="15" t="s">
        <v>406</v>
      </c>
      <c r="G328"/>
    </row>
    <row r="329" spans="1:7" x14ac:dyDescent="0.3">
      <c r="A329" s="10"/>
      <c r="B329" s="1"/>
      <c r="D329" s="1"/>
      <c r="E329" s="1"/>
      <c r="F329" s="1"/>
      <c r="G329"/>
    </row>
    <row r="330" spans="1:7" ht="15.6" x14ac:dyDescent="0.3">
      <c r="A330" s="11" t="s">
        <v>410</v>
      </c>
      <c r="B330" s="16"/>
      <c r="C330" s="16"/>
      <c r="D330" s="16"/>
      <c r="E330" s="16"/>
      <c r="F330" s="16"/>
      <c r="G330"/>
    </row>
    <row r="331" spans="1:7" ht="28.8" x14ac:dyDescent="0.3">
      <c r="A331" s="13" t="s">
        <v>17</v>
      </c>
      <c r="B331" s="14">
        <v>46101.63958333333</v>
      </c>
      <c r="C331" s="15" t="s">
        <v>411</v>
      </c>
      <c r="D331" s="15" t="s">
        <v>412</v>
      </c>
      <c r="E331" s="14">
        <v>46101.645833333336</v>
      </c>
      <c r="F331" s="15" t="s">
        <v>413</v>
      </c>
      <c r="G331"/>
    </row>
    <row r="332" spans="1:7" x14ac:dyDescent="0.3">
      <c r="A332" s="10"/>
      <c r="B332" s="1"/>
      <c r="D332" s="1"/>
      <c r="E332" s="1"/>
      <c r="F332" s="1"/>
      <c r="G332"/>
    </row>
    <row r="333" spans="1:7" ht="15.6" x14ac:dyDescent="0.3">
      <c r="A333" s="11" t="s">
        <v>414</v>
      </c>
      <c r="B333" s="16"/>
      <c r="C333" s="16"/>
      <c r="D333" s="16"/>
      <c r="E333" s="16"/>
      <c r="F333" s="16"/>
      <c r="G333"/>
    </row>
    <row r="334" spans="1:7" x14ac:dyDescent="0.3">
      <c r="A334" s="13" t="s">
        <v>16</v>
      </c>
      <c r="B334" s="14">
        <v>46101.644444444442</v>
      </c>
      <c r="C334" s="15" t="s">
        <v>415</v>
      </c>
      <c r="D334" s="15" t="s">
        <v>5</v>
      </c>
      <c r="E334" s="14" t="s">
        <v>5</v>
      </c>
      <c r="F334" s="15" t="s">
        <v>416</v>
      </c>
      <c r="G334"/>
    </row>
    <row r="335" spans="1:7" x14ac:dyDescent="0.3">
      <c r="A335" s="10"/>
      <c r="B335" s="1"/>
      <c r="D335" s="1"/>
      <c r="E335" s="1"/>
      <c r="F335" s="1"/>
      <c r="G335"/>
    </row>
    <row r="336" spans="1:7" ht="15.6" x14ac:dyDescent="0.3">
      <c r="A336" s="11" t="s">
        <v>417</v>
      </c>
      <c r="B336" s="16"/>
      <c r="C336" s="16"/>
      <c r="D336" s="16"/>
      <c r="E336" s="16"/>
      <c r="F336" s="16"/>
      <c r="G336"/>
    </row>
    <row r="337" spans="1:7" x14ac:dyDescent="0.3">
      <c r="A337" s="13" t="s">
        <v>16</v>
      </c>
      <c r="B337" s="14">
        <v>46101.645833333336</v>
      </c>
      <c r="C337" s="15" t="s">
        <v>418</v>
      </c>
      <c r="D337" s="15" t="s">
        <v>5</v>
      </c>
      <c r="E337" s="14" t="s">
        <v>5</v>
      </c>
      <c r="F337" s="15" t="s">
        <v>419</v>
      </c>
      <c r="G337"/>
    </row>
    <row r="338" spans="1:7" x14ac:dyDescent="0.3">
      <c r="A338" s="10"/>
      <c r="B338" s="1"/>
      <c r="D338" s="1"/>
      <c r="E338" s="1"/>
      <c r="F338" s="1"/>
      <c r="G338"/>
    </row>
    <row r="339" spans="1:7" ht="15.6" x14ac:dyDescent="0.3">
      <c r="A339" s="11" t="s">
        <v>420</v>
      </c>
      <c r="B339" s="16"/>
      <c r="C339" s="16"/>
      <c r="D339" s="16"/>
      <c r="E339" s="16"/>
      <c r="F339" s="16"/>
      <c r="G339"/>
    </row>
    <row r="340" spans="1:7" x14ac:dyDescent="0.3">
      <c r="A340" s="13" t="s">
        <v>16</v>
      </c>
      <c r="B340" s="14">
        <v>46101.65</v>
      </c>
      <c r="C340" s="15" t="s">
        <v>421</v>
      </c>
      <c r="D340" s="15" t="s">
        <v>5</v>
      </c>
      <c r="E340" s="14" t="s">
        <v>5</v>
      </c>
      <c r="F340" s="15" t="s">
        <v>422</v>
      </c>
      <c r="G340"/>
    </row>
    <row r="341" spans="1:7" x14ac:dyDescent="0.3">
      <c r="A341" s="10"/>
      <c r="B341" s="1"/>
      <c r="D341" s="1"/>
      <c r="E341" s="1"/>
      <c r="F341" s="1"/>
      <c r="G341"/>
    </row>
    <row r="342" spans="1:7" ht="15.6" x14ac:dyDescent="0.3">
      <c r="A342" s="11" t="s">
        <v>423</v>
      </c>
      <c r="B342" s="16"/>
      <c r="C342" s="16"/>
      <c r="D342" s="16"/>
      <c r="E342" s="16"/>
      <c r="F342" s="16"/>
      <c r="G342"/>
    </row>
    <row r="343" spans="1:7" x14ac:dyDescent="0.3">
      <c r="A343" s="13" t="s">
        <v>16</v>
      </c>
      <c r="B343" s="14">
        <v>46101.65347222222</v>
      </c>
      <c r="C343" s="15" t="s">
        <v>424</v>
      </c>
      <c r="D343" s="15" t="s">
        <v>5</v>
      </c>
      <c r="E343" s="14" t="s">
        <v>5</v>
      </c>
      <c r="F343" s="15" t="s">
        <v>425</v>
      </c>
      <c r="G343"/>
    </row>
    <row r="344" spans="1:7" x14ac:dyDescent="0.3">
      <c r="A344" s="10"/>
      <c r="B344" s="1"/>
      <c r="D344" s="1"/>
      <c r="E344" s="1"/>
      <c r="F344" s="1"/>
      <c r="G344"/>
    </row>
    <row r="345" spans="1:7" ht="15.6" x14ac:dyDescent="0.3">
      <c r="A345" s="11" t="s">
        <v>426</v>
      </c>
      <c r="B345" s="16"/>
      <c r="C345" s="16"/>
      <c r="D345" s="16"/>
      <c r="E345" s="16"/>
      <c r="F345" s="16"/>
      <c r="G345"/>
    </row>
    <row r="346" spans="1:7" x14ac:dyDescent="0.3">
      <c r="A346" s="13" t="s">
        <v>16</v>
      </c>
      <c r="B346" s="14">
        <v>46101.655555555553</v>
      </c>
      <c r="C346" s="15" t="s">
        <v>427</v>
      </c>
      <c r="D346" s="15" t="s">
        <v>5</v>
      </c>
      <c r="E346" s="14" t="s">
        <v>5</v>
      </c>
      <c r="F346" s="15" t="s">
        <v>428</v>
      </c>
      <c r="G346"/>
    </row>
    <row r="347" spans="1:7" x14ac:dyDescent="0.3">
      <c r="A347" s="10"/>
      <c r="B347" s="1"/>
      <c r="D347" s="1"/>
      <c r="E347" s="1"/>
      <c r="F347" s="1"/>
      <c r="G347"/>
    </row>
    <row r="348" spans="1:7" ht="15.6" x14ac:dyDescent="0.3">
      <c r="A348" s="11" t="s">
        <v>429</v>
      </c>
      <c r="B348" s="16"/>
      <c r="C348" s="16"/>
      <c r="D348" s="16"/>
      <c r="E348" s="16"/>
      <c r="F348" s="16"/>
      <c r="G348"/>
    </row>
    <row r="349" spans="1:7" x14ac:dyDescent="0.3">
      <c r="A349" s="13" t="s">
        <v>16</v>
      </c>
      <c r="B349" s="14">
        <v>46101.657638888886</v>
      </c>
      <c r="C349" s="15" t="s">
        <v>430</v>
      </c>
      <c r="D349" s="15" t="s">
        <v>5</v>
      </c>
      <c r="E349" s="14" t="s">
        <v>5</v>
      </c>
      <c r="F349" s="15" t="s">
        <v>431</v>
      </c>
      <c r="G349"/>
    </row>
    <row r="350" spans="1:7" x14ac:dyDescent="0.3">
      <c r="A350" s="10"/>
      <c r="B350" s="1"/>
      <c r="D350" s="1"/>
      <c r="E350" s="1"/>
      <c r="F350" s="1"/>
      <c r="G350"/>
    </row>
    <row r="351" spans="1:7" ht="15.6" x14ac:dyDescent="0.3">
      <c r="A351" s="11" t="s">
        <v>432</v>
      </c>
      <c r="B351" s="16"/>
      <c r="C351" s="16"/>
      <c r="D351" s="16"/>
      <c r="E351" s="16"/>
      <c r="F351" s="16"/>
      <c r="G351"/>
    </row>
    <row r="352" spans="1:7" x14ac:dyDescent="0.3">
      <c r="A352" s="13" t="s">
        <v>16</v>
      </c>
      <c r="B352" s="14">
        <v>46101.663194444445</v>
      </c>
      <c r="C352" s="15" t="s">
        <v>433</v>
      </c>
      <c r="D352" s="15" t="s">
        <v>5</v>
      </c>
      <c r="E352" s="14" t="s">
        <v>5</v>
      </c>
      <c r="F352" s="15" t="s">
        <v>434</v>
      </c>
      <c r="G352"/>
    </row>
    <row r="353" spans="1:7" x14ac:dyDescent="0.3">
      <c r="A353" s="10"/>
      <c r="B353" s="1"/>
      <c r="D353" s="1"/>
      <c r="E353" s="1"/>
      <c r="F353" s="1"/>
      <c r="G353"/>
    </row>
    <row r="354" spans="1:7" ht="15.6" x14ac:dyDescent="0.3">
      <c r="A354" s="11" t="s">
        <v>435</v>
      </c>
      <c r="B354" s="16"/>
      <c r="C354" s="16"/>
      <c r="D354" s="16"/>
      <c r="E354" s="16"/>
      <c r="F354" s="16"/>
      <c r="G354"/>
    </row>
    <row r="355" spans="1:7" x14ac:dyDescent="0.3">
      <c r="A355" s="13" t="s">
        <v>16</v>
      </c>
      <c r="B355" s="14">
        <v>46104.42291666667</v>
      </c>
      <c r="C355" s="15" t="s">
        <v>436</v>
      </c>
      <c r="D355" s="15" t="s">
        <v>5</v>
      </c>
      <c r="E355" s="14" t="s">
        <v>5</v>
      </c>
      <c r="F355" s="15" t="s">
        <v>458</v>
      </c>
      <c r="G355"/>
    </row>
    <row r="356" spans="1:7" x14ac:dyDescent="0.3">
      <c r="A356" s="10"/>
      <c r="B356" s="1"/>
      <c r="D356" s="1"/>
      <c r="E356" s="1"/>
      <c r="F356" s="1"/>
      <c r="G356"/>
    </row>
    <row r="357" spans="1:7" ht="15.6" x14ac:dyDescent="0.3">
      <c r="A357" s="11" t="s">
        <v>437</v>
      </c>
      <c r="B357" s="16"/>
      <c r="C357" s="16"/>
      <c r="D357" s="16"/>
      <c r="E357" s="16"/>
      <c r="F357" s="16"/>
      <c r="G357"/>
    </row>
    <row r="358" spans="1:7" x14ac:dyDescent="0.3">
      <c r="A358" s="13" t="s">
        <v>16</v>
      </c>
      <c r="B358" s="14">
        <v>46104.424305555556</v>
      </c>
      <c r="C358" s="15" t="s">
        <v>438</v>
      </c>
      <c r="D358" s="15" t="s">
        <v>5</v>
      </c>
      <c r="E358" s="14" t="s">
        <v>5</v>
      </c>
      <c r="F358" s="15" t="s">
        <v>439</v>
      </c>
      <c r="G358"/>
    </row>
    <row r="359" spans="1:7" x14ac:dyDescent="0.3">
      <c r="A359" s="10"/>
      <c r="B359" s="1"/>
      <c r="D359" s="1"/>
      <c r="E359" s="1"/>
      <c r="F359" s="1"/>
      <c r="G359"/>
    </row>
    <row r="360" spans="1:7" ht="15.6" x14ac:dyDescent="0.3">
      <c r="A360" s="11" t="s">
        <v>440</v>
      </c>
      <c r="B360" s="16"/>
      <c r="C360" s="16"/>
      <c r="D360" s="16"/>
      <c r="E360" s="16"/>
      <c r="F360" s="16"/>
      <c r="G360"/>
    </row>
    <row r="361" spans="1:7" x14ac:dyDescent="0.3">
      <c r="A361" s="13" t="s">
        <v>16</v>
      </c>
      <c r="B361" s="14">
        <v>46104.425000000003</v>
      </c>
      <c r="C361" s="15" t="s">
        <v>441</v>
      </c>
      <c r="D361" s="15" t="s">
        <v>5</v>
      </c>
      <c r="E361" s="14" t="s">
        <v>5</v>
      </c>
      <c r="F361" s="15" t="s">
        <v>442</v>
      </c>
      <c r="G361"/>
    </row>
    <row r="362" spans="1:7" x14ac:dyDescent="0.3">
      <c r="A362" s="10"/>
      <c r="B362" s="1"/>
      <c r="D362" s="1"/>
      <c r="E362" s="1"/>
      <c r="F362" s="1"/>
      <c r="G362"/>
    </row>
    <row r="363" spans="1:7" ht="15.6" x14ac:dyDescent="0.3">
      <c r="A363" s="11" t="s">
        <v>450</v>
      </c>
      <c r="B363" s="16"/>
      <c r="C363" s="16"/>
      <c r="D363" s="16"/>
      <c r="E363" s="16"/>
      <c r="F363" s="16"/>
      <c r="G363"/>
    </row>
    <row r="364" spans="1:7" x14ac:dyDescent="0.3">
      <c r="A364" s="13" t="s">
        <v>16</v>
      </c>
      <c r="B364" s="14">
        <v>46104.706250000003</v>
      </c>
      <c r="C364" s="15" t="s">
        <v>451</v>
      </c>
      <c r="D364" s="15" t="s">
        <v>5</v>
      </c>
      <c r="E364" s="14" t="s">
        <v>5</v>
      </c>
      <c r="F364" s="15" t="s">
        <v>452</v>
      </c>
      <c r="G364"/>
    </row>
    <row r="365" spans="1:7" x14ac:dyDescent="0.3">
      <c r="A365" s="10"/>
      <c r="B365" s="1"/>
      <c r="D365" s="1"/>
      <c r="E365" s="1"/>
      <c r="F365" s="1"/>
      <c r="G365"/>
    </row>
    <row r="366" spans="1:7" ht="15.6" x14ac:dyDescent="0.3">
      <c r="A366" s="11" t="s">
        <v>453</v>
      </c>
      <c r="B366" s="16"/>
      <c r="C366" s="16"/>
      <c r="D366" s="16"/>
      <c r="E366" s="16"/>
      <c r="F366" s="16"/>
      <c r="G366"/>
    </row>
    <row r="367" spans="1:7" x14ac:dyDescent="0.3">
      <c r="A367" s="13" t="s">
        <v>16</v>
      </c>
      <c r="B367" s="14">
        <v>46105.654861111114</v>
      </c>
      <c r="C367" s="15" t="s">
        <v>454</v>
      </c>
      <c r="D367" s="15" t="s">
        <v>5</v>
      </c>
      <c r="E367" s="14" t="s">
        <v>5</v>
      </c>
      <c r="F367" s="15" t="s">
        <v>455</v>
      </c>
      <c r="G367"/>
    </row>
    <row r="368" spans="1:7" x14ac:dyDescent="0.3">
      <c r="A368" s="10"/>
      <c r="B368" s="1"/>
      <c r="D368" s="1"/>
      <c r="E368" s="1"/>
      <c r="F368" s="1"/>
      <c r="G368"/>
    </row>
    <row r="369" spans="1:7" ht="15.6" x14ac:dyDescent="0.3">
      <c r="A369" s="11" t="s">
        <v>459</v>
      </c>
      <c r="B369" s="16"/>
      <c r="C369" s="16"/>
      <c r="D369" s="16"/>
      <c r="E369" s="16"/>
      <c r="F369" s="16"/>
      <c r="G369"/>
    </row>
    <row r="370" spans="1:7" x14ac:dyDescent="0.3">
      <c r="A370" s="13" t="s">
        <v>16</v>
      </c>
      <c r="B370" s="14">
        <v>46106.380555555559</v>
      </c>
      <c r="C370" s="15" t="s">
        <v>460</v>
      </c>
      <c r="D370" s="15" t="s">
        <v>5</v>
      </c>
      <c r="E370" s="14" t="s">
        <v>5</v>
      </c>
      <c r="F370" s="15" t="s">
        <v>461</v>
      </c>
      <c r="G370"/>
    </row>
    <row r="371" spans="1:7" x14ac:dyDescent="0.3">
      <c r="A371" s="10"/>
      <c r="B371" s="1"/>
      <c r="D371" s="1"/>
      <c r="E371" s="1"/>
      <c r="F371" s="1"/>
      <c r="G371"/>
    </row>
    <row r="372" spans="1:7" ht="15.6" x14ac:dyDescent="0.3">
      <c r="A372" s="11" t="s">
        <v>467</v>
      </c>
      <c r="B372" s="16"/>
      <c r="C372" s="16"/>
      <c r="D372" s="16"/>
      <c r="E372" s="16"/>
      <c r="F372" s="16"/>
      <c r="G372"/>
    </row>
    <row r="373" spans="1:7" ht="57.6" x14ac:dyDescent="0.3">
      <c r="A373" s="13" t="s">
        <v>16</v>
      </c>
      <c r="B373" s="14">
        <v>46108.461111111108</v>
      </c>
      <c r="C373" s="15" t="s">
        <v>468</v>
      </c>
      <c r="D373" s="15" t="s">
        <v>5</v>
      </c>
      <c r="E373" s="14" t="s">
        <v>5</v>
      </c>
      <c r="F373" s="15" t="s">
        <v>469</v>
      </c>
      <c r="G373"/>
    </row>
    <row r="374" spans="1:7" x14ac:dyDescent="0.3">
      <c r="A374" s="10"/>
      <c r="B374" s="1"/>
      <c r="D374" s="1"/>
      <c r="E374" s="1"/>
      <c r="F374" s="1"/>
      <c r="G374"/>
    </row>
    <row r="375" spans="1:7" x14ac:dyDescent="0.3">
      <c r="G375"/>
    </row>
    <row r="376" spans="1:7" x14ac:dyDescent="0.3">
      <c r="G376"/>
    </row>
  </sheetData>
  <conditionalFormatting sqref="A1:A1048576">
    <cfRule type="containsText" dxfId="4" priority="1" operator="containsText" text="Closed-Out">
      <formula>NOT(ISERROR(SEARCH("Closed-Out",A1)))</formula>
    </cfRule>
    <cfRule type="containsText" dxfId="3" priority="2" operator="containsText" text="Responded">
      <formula>NOT(ISERROR(SEARCH("Responded",A1)))</formula>
    </cfRule>
    <cfRule type="containsText" dxfId="2" priority="3" operator="containsText" text="Outstanding">
      <formula>NOT(ISERROR(SEARCH("Outstanding",A1)))</formula>
    </cfRule>
    <cfRule type="containsText" dxfId="1" priority="4" operator="containsText" text="Overdue">
      <formula>NOT(ISERROR(SEARCH("Overdue",A1)))</formula>
    </cfRule>
  </conditionalFormatting>
  <pageMargins left="0.70866141732283472" right="0.70866141732283472" top="0.74803149606299213" bottom="0.74803149606299213" header="0.31496062992125984" footer="0.31496062992125984"/>
  <pageSetup paperSize="8" scale="87" firstPageNumber="2" fitToHeight="0" orientation="landscape" r:id="rId2"/>
  <headerFooter>
    <oddHeader>&amp;C&amp;KFF0000Classification: Official</oddHeader>
    <oddFooter>&amp;CPage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E66C8-9B8B-417B-8B9E-94AC31E5AFA4}">
  <dimension ref="A1:B2"/>
  <sheetViews>
    <sheetView workbookViewId="0">
      <selection activeCell="B2" sqref="B2"/>
    </sheetView>
  </sheetViews>
  <sheetFormatPr defaultRowHeight="14.4" x14ac:dyDescent="0.3"/>
  <cols>
    <col min="1" max="1" width="15.109375" bestFit="1" customWidth="1"/>
    <col min="2" max="2" width="17.21875" bestFit="1" customWidth="1"/>
  </cols>
  <sheetData>
    <row r="1" spans="1:2" x14ac:dyDescent="0.3">
      <c r="A1" t="s">
        <v>13</v>
      </c>
      <c r="B1" t="s">
        <v>14</v>
      </c>
    </row>
    <row r="2" spans="1:2" x14ac:dyDescent="0.3">
      <c r="A2" t="s">
        <v>336</v>
      </c>
      <c r="B2" s="19">
        <v>46108.60833333333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8200A10-470A-49A3-B8A4-4E9B1F615837}">
  <ds:schemaRefs>
    <ds:schemaRef ds:uri="http://schemas.microsoft.com/DataMashup"/>
  </ds:schemaRefs>
</ds:datastoreItem>
</file>

<file path=docMetadata/LabelInfo.xml><?xml version="1.0" encoding="utf-8"?>
<clbl:labelList xmlns:clbl="http://schemas.microsoft.com/office/2020/mipLabelMetadata">
  <clbl:label id="{428e5717-1df4-456d-8576-f827ff2d20e1}" enabled="1" method="Privileged" siteId="{69033406-071b-4a95-919c-befbd00ae24c}"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Summary</vt:lpstr>
      <vt:lpstr>Tracker</vt:lpstr>
      <vt:lpstr>ProjectInfo</vt:lpstr>
      <vt:lpstr>Summary!DateGenerated</vt:lpstr>
      <vt:lpstr>Summary!Print_Area</vt:lpstr>
      <vt:lpstr>Tracker!Print_Titles</vt:lpstr>
      <vt:lpstr>Summary!ProjectName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Nicole Millinship</dc:creator>
  <cp:lastModifiedBy>Nicole Millinship</cp:lastModifiedBy>
  <cp:lastPrinted>2026-03-13T08:33:16Z</cp:lastPrinted>
  <dcterms:created xsi:type="dcterms:W3CDTF">2025-04-01T20:16:30Z</dcterms:created>
  <dcterms:modified xsi:type="dcterms:W3CDTF">2026-03-27T14:36:33Z</dcterms:modified>
</cp:coreProperties>
</file>